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CS4804\"/>
    </mc:Choice>
  </mc:AlternateContent>
  <xr:revisionPtr revIDLastSave="0" documentId="8_{A462072C-C931-4F71-B60C-F11AFD056689}" xr6:coauthVersionLast="47" xr6:coauthVersionMax="47" xr10:uidLastSave="{00000000-0000-0000-0000-000000000000}"/>
  <bookViews>
    <workbookView xWindow="-108" yWindow="-108" windowWidth="23256" windowHeight="12456" xr2:uid="{7BB1323C-C9F6-47D5-91D9-0B3401282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 a="1"/>
  <c r="W6" i="1" s="1"/>
  <c r="W3524" i="1" a="1"/>
  <c r="W3524" i="1" s="1"/>
  <c r="E3524" i="1"/>
  <c r="W3523" i="1" a="1"/>
  <c r="W3523" i="1" s="1"/>
  <c r="E3523" i="1"/>
  <c r="W3522" i="1" a="1"/>
  <c r="W3522" i="1" s="1"/>
  <c r="E3522" i="1"/>
  <c r="W3521" i="1" a="1"/>
  <c r="W3521" i="1" s="1"/>
  <c r="E3521" i="1"/>
  <c r="W3520" i="1" a="1"/>
  <c r="W3520" i="1" s="1"/>
  <c r="E3520" i="1"/>
  <c r="W3519" i="1" a="1"/>
  <c r="W3519" i="1" s="1"/>
  <c r="E3519" i="1"/>
  <c r="W3518" i="1" a="1"/>
  <c r="W3518" i="1" s="1"/>
  <c r="E3518" i="1"/>
  <c r="W3517" i="1" a="1"/>
  <c r="W3517" i="1" s="1"/>
  <c r="E3517" i="1"/>
  <c r="W3516" i="1" a="1"/>
  <c r="W3516" i="1" s="1"/>
  <c r="E3516" i="1"/>
  <c r="W3515" i="1" a="1"/>
  <c r="W3515" i="1" s="1"/>
  <c r="E3515" i="1"/>
  <c r="W3514" i="1" a="1"/>
  <c r="W3514" i="1" s="1"/>
  <c r="E3514" i="1"/>
  <c r="W3513" i="1" a="1"/>
  <c r="W3513" i="1" s="1"/>
  <c r="E3513" i="1"/>
  <c r="W3512" i="1" a="1"/>
  <c r="W3512" i="1" s="1"/>
  <c r="E3512" i="1"/>
  <c r="W3511" i="1" a="1"/>
  <c r="W3511" i="1" s="1"/>
  <c r="E3511" i="1"/>
  <c r="W3510" i="1" a="1"/>
  <c r="W3510" i="1" s="1"/>
  <c r="E3510" i="1"/>
  <c r="W3509" i="1" a="1"/>
  <c r="W3509" i="1" s="1"/>
  <c r="E3509" i="1"/>
  <c r="W3508" i="1" a="1"/>
  <c r="W3508" i="1" s="1"/>
  <c r="E3508" i="1"/>
  <c r="W3507" i="1" a="1"/>
  <c r="W3507" i="1" s="1"/>
  <c r="E3507" i="1"/>
  <c r="W3506" i="1" a="1"/>
  <c r="W3506" i="1" s="1"/>
  <c r="E3506" i="1"/>
  <c r="W3505" i="1" a="1"/>
  <c r="W3505" i="1" s="1"/>
  <c r="E3505" i="1"/>
  <c r="W3504" i="1" a="1"/>
  <c r="W3504" i="1" s="1"/>
  <c r="E3504" i="1"/>
  <c r="W3503" i="1" a="1"/>
  <c r="W3503" i="1" s="1"/>
  <c r="E3503" i="1"/>
  <c r="W3502" i="1" a="1"/>
  <c r="W3502" i="1" s="1"/>
  <c r="E3502" i="1"/>
  <c r="W3501" i="1" a="1"/>
  <c r="W3501" i="1" s="1"/>
  <c r="E3501" i="1"/>
  <c r="W3500" i="1" a="1"/>
  <c r="W3500" i="1" s="1"/>
  <c r="E3500" i="1"/>
  <c r="W3499" i="1" a="1"/>
  <c r="W3499" i="1" s="1"/>
  <c r="E3499" i="1"/>
  <c r="W3498" i="1" a="1"/>
  <c r="W3498" i="1" s="1"/>
  <c r="E3498" i="1"/>
  <c r="W3497" i="1" a="1"/>
  <c r="W3497" i="1" s="1"/>
  <c r="E3497" i="1"/>
  <c r="W3496" i="1" a="1"/>
  <c r="W3496" i="1" s="1"/>
  <c r="E3496" i="1"/>
  <c r="W3495" i="1" a="1"/>
  <c r="W3495" i="1" s="1"/>
  <c r="E3495" i="1"/>
  <c r="W3494" i="1" a="1"/>
  <c r="W3494" i="1" s="1"/>
  <c r="E3494" i="1"/>
  <c r="W3493" i="1" a="1"/>
  <c r="W3493" i="1" s="1"/>
  <c r="E3493" i="1"/>
  <c r="W3492" i="1" a="1"/>
  <c r="W3492" i="1" s="1"/>
  <c r="E3492" i="1"/>
  <c r="W3491" i="1" a="1"/>
  <c r="W3491" i="1" s="1"/>
  <c r="E3491" i="1"/>
  <c r="W3490" i="1" a="1"/>
  <c r="W3490" i="1" s="1"/>
  <c r="E3490" i="1"/>
  <c r="W3489" i="1" a="1"/>
  <c r="W3489" i="1" s="1"/>
  <c r="E3489" i="1"/>
  <c r="W3488" i="1" a="1"/>
  <c r="W3488" i="1" s="1"/>
  <c r="E3488" i="1"/>
  <c r="W3487" i="1" a="1"/>
  <c r="W3487" i="1" s="1"/>
  <c r="E3487" i="1"/>
  <c r="W3486" i="1" a="1"/>
  <c r="W3486" i="1" s="1"/>
  <c r="E3486" i="1"/>
  <c r="W3485" i="1" a="1"/>
  <c r="W3485" i="1" s="1"/>
  <c r="E3485" i="1"/>
  <c r="W3484" i="1" a="1"/>
  <c r="W3484" i="1" s="1"/>
  <c r="E3484" i="1"/>
  <c r="W3483" i="1" a="1"/>
  <c r="W3483" i="1" s="1"/>
  <c r="E3483" i="1"/>
  <c r="W3482" i="1" a="1"/>
  <c r="W3482" i="1" s="1"/>
  <c r="E3482" i="1"/>
  <c r="W3481" i="1" a="1"/>
  <c r="W3481" i="1" s="1"/>
  <c r="E3481" i="1"/>
  <c r="W3480" i="1" a="1"/>
  <c r="W3480" i="1" s="1"/>
  <c r="E3480" i="1"/>
  <c r="W3479" i="1" a="1"/>
  <c r="W3479" i="1" s="1"/>
  <c r="E3479" i="1"/>
  <c r="W3478" i="1" a="1"/>
  <c r="W3478" i="1" s="1"/>
  <c r="E3478" i="1"/>
  <c r="W3477" i="1" a="1"/>
  <c r="W3477" i="1" s="1"/>
  <c r="E3477" i="1"/>
  <c r="W3476" i="1" a="1"/>
  <c r="W3476" i="1" s="1"/>
  <c r="E3476" i="1"/>
  <c r="W3475" i="1" a="1"/>
  <c r="W3475" i="1" s="1"/>
  <c r="E3475" i="1"/>
  <c r="W3474" i="1" a="1"/>
  <c r="W3474" i="1" s="1"/>
  <c r="E3474" i="1"/>
  <c r="W3473" i="1" a="1"/>
  <c r="W3473" i="1" s="1"/>
  <c r="E3473" i="1"/>
  <c r="W3472" i="1" a="1"/>
  <c r="W3472" i="1" s="1"/>
  <c r="E3472" i="1"/>
  <c r="W3471" i="1" a="1"/>
  <c r="W3471" i="1" s="1"/>
  <c r="E3471" i="1"/>
  <c r="W3470" i="1" a="1"/>
  <c r="W3470" i="1" s="1"/>
  <c r="E3470" i="1"/>
  <c r="W3469" i="1" a="1"/>
  <c r="W3469" i="1" s="1"/>
  <c r="E3469" i="1"/>
  <c r="W3468" i="1" a="1"/>
  <c r="W3468" i="1" s="1"/>
  <c r="E3468" i="1"/>
  <c r="W3467" i="1" a="1"/>
  <c r="W3467" i="1" s="1"/>
  <c r="E3467" i="1"/>
  <c r="W3466" i="1" a="1"/>
  <c r="W3466" i="1" s="1"/>
  <c r="E3466" i="1"/>
  <c r="W3465" i="1" a="1"/>
  <c r="W3465" i="1" s="1"/>
  <c r="E3465" i="1"/>
  <c r="W3464" i="1" a="1"/>
  <c r="W3464" i="1" s="1"/>
  <c r="E3464" i="1"/>
  <c r="W3463" i="1" a="1"/>
  <c r="W3463" i="1" s="1"/>
  <c r="E3463" i="1"/>
  <c r="W3462" i="1" a="1"/>
  <c r="W3462" i="1" s="1"/>
  <c r="E3462" i="1"/>
  <c r="W3461" i="1" a="1"/>
  <c r="W3461" i="1" s="1"/>
  <c r="E3461" i="1"/>
  <c r="W3460" i="1" a="1"/>
  <c r="W3460" i="1" s="1"/>
  <c r="E3460" i="1"/>
  <c r="W3459" i="1" a="1"/>
  <c r="W3459" i="1" s="1"/>
  <c r="E3459" i="1"/>
  <c r="W3458" i="1" a="1"/>
  <c r="W3458" i="1" s="1"/>
  <c r="E3458" i="1"/>
  <c r="W3457" i="1" a="1"/>
  <c r="W3457" i="1" s="1"/>
  <c r="E3457" i="1"/>
  <c r="W3456" i="1" a="1"/>
  <c r="W3456" i="1" s="1"/>
  <c r="E3456" i="1"/>
  <c r="W3455" i="1" a="1"/>
  <c r="W3455" i="1" s="1"/>
  <c r="E3455" i="1"/>
  <c r="W3454" i="1" a="1"/>
  <c r="W3454" i="1" s="1"/>
  <c r="E3454" i="1"/>
  <c r="W3453" i="1" a="1"/>
  <c r="W3453" i="1" s="1"/>
  <c r="E3453" i="1"/>
  <c r="W3452" i="1" a="1"/>
  <c r="W3452" i="1" s="1"/>
  <c r="E3452" i="1"/>
  <c r="W3451" i="1" a="1"/>
  <c r="W3451" i="1" s="1"/>
  <c r="E3451" i="1"/>
  <c r="W3450" i="1" a="1"/>
  <c r="W3450" i="1" s="1"/>
  <c r="E3450" i="1"/>
  <c r="W3449" i="1" a="1"/>
  <c r="W3449" i="1" s="1"/>
  <c r="E3449" i="1"/>
  <c r="W3448" i="1" a="1"/>
  <c r="W3448" i="1" s="1"/>
  <c r="E3448" i="1"/>
  <c r="W3447" i="1" a="1"/>
  <c r="W3447" i="1" s="1"/>
  <c r="E3447" i="1"/>
  <c r="W3446" i="1" a="1"/>
  <c r="W3446" i="1" s="1"/>
  <c r="E3446" i="1"/>
  <c r="W3445" i="1" a="1"/>
  <c r="W3445" i="1" s="1"/>
  <c r="E3445" i="1"/>
  <c r="W3444" i="1" a="1"/>
  <c r="W3444" i="1" s="1"/>
  <c r="E3444" i="1"/>
  <c r="W3443" i="1" a="1"/>
  <c r="W3443" i="1" s="1"/>
  <c r="E3443" i="1"/>
  <c r="W3442" i="1" a="1"/>
  <c r="W3442" i="1" s="1"/>
  <c r="E3442" i="1"/>
  <c r="W3441" i="1" a="1"/>
  <c r="W3441" i="1" s="1"/>
  <c r="E3441" i="1"/>
  <c r="W3440" i="1" a="1"/>
  <c r="W3440" i="1" s="1"/>
  <c r="E3440" i="1"/>
  <c r="W3439" i="1" a="1"/>
  <c r="W3439" i="1" s="1"/>
  <c r="E3439" i="1"/>
  <c r="W3438" i="1" a="1"/>
  <c r="W3438" i="1" s="1"/>
  <c r="E3438" i="1"/>
  <c r="W3437" i="1" a="1"/>
  <c r="W3437" i="1" s="1"/>
  <c r="E3437" i="1"/>
  <c r="W3436" i="1" a="1"/>
  <c r="W3436" i="1" s="1"/>
  <c r="E3436" i="1"/>
  <c r="W3435" i="1" a="1"/>
  <c r="W3435" i="1" s="1"/>
  <c r="E3435" i="1"/>
  <c r="W3434" i="1" a="1"/>
  <c r="W3434" i="1" s="1"/>
  <c r="E3434" i="1"/>
  <c r="W3433" i="1" a="1"/>
  <c r="W3433" i="1" s="1"/>
  <c r="E3433" i="1"/>
  <c r="W3432" i="1" a="1"/>
  <c r="W3432" i="1" s="1"/>
  <c r="E3432" i="1"/>
  <c r="W3431" i="1" a="1"/>
  <c r="W3431" i="1" s="1"/>
  <c r="E3431" i="1"/>
  <c r="W3430" i="1" a="1"/>
  <c r="W3430" i="1" s="1"/>
  <c r="E3430" i="1"/>
  <c r="W3429" i="1" a="1"/>
  <c r="W3429" i="1" s="1"/>
  <c r="E3429" i="1"/>
  <c r="W3428" i="1" a="1"/>
  <c r="W3428" i="1" s="1"/>
  <c r="E3428" i="1"/>
  <c r="W3427" i="1" a="1"/>
  <c r="W3427" i="1" s="1"/>
  <c r="E3427" i="1"/>
  <c r="W3426" i="1" a="1"/>
  <c r="W3426" i="1" s="1"/>
  <c r="E3426" i="1"/>
  <c r="W3425" i="1" a="1"/>
  <c r="W3425" i="1" s="1"/>
  <c r="E3425" i="1"/>
  <c r="W3424" i="1" a="1"/>
  <c r="W3424" i="1" s="1"/>
  <c r="E3424" i="1"/>
  <c r="W3423" i="1" a="1"/>
  <c r="W3423" i="1" s="1"/>
  <c r="E3423" i="1"/>
  <c r="W3422" i="1" a="1"/>
  <c r="W3422" i="1" s="1"/>
  <c r="E3422" i="1"/>
  <c r="W3421" i="1" a="1"/>
  <c r="W3421" i="1" s="1"/>
  <c r="E3421" i="1"/>
  <c r="W3420" i="1" a="1"/>
  <c r="W3420" i="1" s="1"/>
  <c r="E3420" i="1"/>
  <c r="W3419" i="1" a="1"/>
  <c r="W3419" i="1" s="1"/>
  <c r="E3419" i="1"/>
  <c r="W3418" i="1" a="1"/>
  <c r="W3418" i="1" s="1"/>
  <c r="E3418" i="1"/>
  <c r="W3417" i="1" a="1"/>
  <c r="W3417" i="1" s="1"/>
  <c r="E3417" i="1"/>
  <c r="W3416" i="1" a="1"/>
  <c r="W3416" i="1" s="1"/>
  <c r="E3416" i="1"/>
  <c r="W3415" i="1" a="1"/>
  <c r="W3415" i="1" s="1"/>
  <c r="E3415" i="1"/>
  <c r="W3414" i="1" a="1"/>
  <c r="W3414" i="1" s="1"/>
  <c r="E3414" i="1"/>
  <c r="W3413" i="1" a="1"/>
  <c r="W3413" i="1" s="1"/>
  <c r="E3413" i="1"/>
  <c r="W3412" i="1" a="1"/>
  <c r="W3412" i="1" s="1"/>
  <c r="E3412" i="1"/>
  <c r="W3411" i="1" a="1"/>
  <c r="W3411" i="1" s="1"/>
  <c r="E3411" i="1"/>
  <c r="W3410" i="1" a="1"/>
  <c r="W3410" i="1" s="1"/>
  <c r="E3410" i="1"/>
  <c r="W3409" i="1" a="1"/>
  <c r="W3409" i="1" s="1"/>
  <c r="E3409" i="1"/>
  <c r="W3408" i="1" a="1"/>
  <c r="W3408" i="1" s="1"/>
  <c r="E3408" i="1"/>
  <c r="W3407" i="1" a="1"/>
  <c r="W3407" i="1" s="1"/>
  <c r="E3407" i="1"/>
  <c r="W3406" i="1" a="1"/>
  <c r="W3406" i="1" s="1"/>
  <c r="E3406" i="1"/>
  <c r="W3405" i="1" a="1"/>
  <c r="W3405" i="1" s="1"/>
  <c r="E3405" i="1"/>
  <c r="W3404" i="1" a="1"/>
  <c r="W3404" i="1" s="1"/>
  <c r="E3404" i="1"/>
  <c r="W3403" i="1" a="1"/>
  <c r="W3403" i="1" s="1"/>
  <c r="E3403" i="1"/>
  <c r="W3402" i="1" a="1"/>
  <c r="W3402" i="1" s="1"/>
  <c r="E3402" i="1"/>
  <c r="W3401" i="1" a="1"/>
  <c r="W3401" i="1" s="1"/>
  <c r="E3401" i="1"/>
  <c r="W3400" i="1" a="1"/>
  <c r="W3400" i="1" s="1"/>
  <c r="E3400" i="1"/>
  <c r="W3399" i="1" a="1"/>
  <c r="W3399" i="1" s="1"/>
  <c r="E3399" i="1"/>
  <c r="W3398" i="1" a="1"/>
  <c r="W3398" i="1" s="1"/>
  <c r="E3398" i="1"/>
  <c r="W3397" i="1" a="1"/>
  <c r="W3397" i="1" s="1"/>
  <c r="E3397" i="1"/>
  <c r="W3396" i="1" a="1"/>
  <c r="W3396" i="1" s="1"/>
  <c r="E3396" i="1"/>
  <c r="W3395" i="1" a="1"/>
  <c r="W3395" i="1" s="1"/>
  <c r="E3395" i="1"/>
  <c r="W3394" i="1" a="1"/>
  <c r="W3394" i="1" s="1"/>
  <c r="E3394" i="1"/>
  <c r="W3393" i="1" a="1"/>
  <c r="W3393" i="1" s="1"/>
  <c r="E3393" i="1"/>
  <c r="W3392" i="1" a="1"/>
  <c r="W3392" i="1" s="1"/>
  <c r="E3392" i="1"/>
  <c r="W3391" i="1" a="1"/>
  <c r="W3391" i="1" s="1"/>
  <c r="E3391" i="1"/>
  <c r="W3390" i="1" a="1"/>
  <c r="W3390" i="1" s="1"/>
  <c r="E3390" i="1"/>
  <c r="W3389" i="1" a="1"/>
  <c r="W3389" i="1" s="1"/>
  <c r="E3389" i="1"/>
  <c r="W3388" i="1" a="1"/>
  <c r="W3388" i="1" s="1"/>
  <c r="E3388" i="1"/>
  <c r="W3387" i="1" a="1"/>
  <c r="W3387" i="1" s="1"/>
  <c r="E3387" i="1"/>
  <c r="W3386" i="1" a="1"/>
  <c r="W3386" i="1" s="1"/>
  <c r="E3386" i="1"/>
  <c r="W3385" i="1" a="1"/>
  <c r="W3385" i="1" s="1"/>
  <c r="E3385" i="1"/>
  <c r="W3384" i="1" a="1"/>
  <c r="W3384" i="1" s="1"/>
  <c r="E3384" i="1"/>
  <c r="W3383" i="1" a="1"/>
  <c r="W3383" i="1" s="1"/>
  <c r="E3383" i="1"/>
  <c r="W3382" i="1" a="1"/>
  <c r="W3382" i="1" s="1"/>
  <c r="E3382" i="1"/>
  <c r="W3381" i="1" a="1"/>
  <c r="W3381" i="1" s="1"/>
  <c r="E3381" i="1"/>
  <c r="W3380" i="1" a="1"/>
  <c r="W3380" i="1" s="1"/>
  <c r="E3380" i="1"/>
  <c r="W3379" i="1" a="1"/>
  <c r="W3379" i="1" s="1"/>
  <c r="E3379" i="1"/>
  <c r="W3378" i="1" a="1"/>
  <c r="W3378" i="1" s="1"/>
  <c r="E3378" i="1"/>
  <c r="W3377" i="1" a="1"/>
  <c r="W3377" i="1" s="1"/>
  <c r="E3377" i="1"/>
  <c r="W3376" i="1" a="1"/>
  <c r="W3376" i="1" s="1"/>
  <c r="E3376" i="1"/>
  <c r="W3375" i="1" a="1"/>
  <c r="W3375" i="1" s="1"/>
  <c r="E3375" i="1"/>
  <c r="W3374" i="1" a="1"/>
  <c r="W3374" i="1" s="1"/>
  <c r="E3374" i="1"/>
  <c r="W3373" i="1" a="1"/>
  <c r="W3373" i="1" s="1"/>
  <c r="E3373" i="1"/>
  <c r="W3372" i="1" a="1"/>
  <c r="W3372" i="1" s="1"/>
  <c r="E3372" i="1"/>
  <c r="W3371" i="1" a="1"/>
  <c r="W3371" i="1" s="1"/>
  <c r="E3371" i="1"/>
  <c r="W3370" i="1" a="1"/>
  <c r="W3370" i="1" s="1"/>
  <c r="E3370" i="1"/>
  <c r="W3369" i="1" a="1"/>
  <c r="W3369" i="1" s="1"/>
  <c r="E3369" i="1"/>
  <c r="W3368" i="1" a="1"/>
  <c r="W3368" i="1" s="1"/>
  <c r="E3368" i="1"/>
  <c r="W3367" i="1" a="1"/>
  <c r="W3367" i="1" s="1"/>
  <c r="E3367" i="1"/>
  <c r="W3366" i="1" a="1"/>
  <c r="W3366" i="1" s="1"/>
  <c r="E3366" i="1"/>
  <c r="W3365" i="1" a="1"/>
  <c r="W3365" i="1" s="1"/>
  <c r="E3365" i="1"/>
  <c r="W3364" i="1" a="1"/>
  <c r="W3364" i="1" s="1"/>
  <c r="E3364" i="1"/>
  <c r="W3363" i="1" a="1"/>
  <c r="W3363" i="1" s="1"/>
  <c r="E3363" i="1"/>
  <c r="W3362" i="1" a="1"/>
  <c r="W3362" i="1" s="1"/>
  <c r="E3362" i="1"/>
  <c r="W3361" i="1" a="1"/>
  <c r="W3361" i="1" s="1"/>
  <c r="E3361" i="1"/>
  <c r="W3360" i="1" a="1"/>
  <c r="W3360" i="1" s="1"/>
  <c r="E3360" i="1"/>
  <c r="W3359" i="1" a="1"/>
  <c r="W3359" i="1" s="1"/>
  <c r="E3359" i="1"/>
  <c r="W3358" i="1" a="1"/>
  <c r="W3358" i="1" s="1"/>
  <c r="E3358" i="1"/>
  <c r="W3357" i="1" a="1"/>
  <c r="W3357" i="1" s="1"/>
  <c r="E3357" i="1"/>
  <c r="W3356" i="1" a="1"/>
  <c r="W3356" i="1" s="1"/>
  <c r="E3356" i="1"/>
  <c r="W3355" i="1" a="1"/>
  <c r="W3355" i="1" s="1"/>
  <c r="E3355" i="1"/>
  <c r="W3354" i="1" a="1"/>
  <c r="W3354" i="1" s="1"/>
  <c r="E3354" i="1"/>
  <c r="W3353" i="1" a="1"/>
  <c r="W3353" i="1" s="1"/>
  <c r="E3353" i="1"/>
  <c r="W3352" i="1" a="1"/>
  <c r="W3352" i="1" s="1"/>
  <c r="E3352" i="1"/>
  <c r="W3351" i="1" a="1"/>
  <c r="W3351" i="1" s="1"/>
  <c r="E3351" i="1"/>
  <c r="W3350" i="1" a="1"/>
  <c r="W3350" i="1" s="1"/>
  <c r="E3350" i="1"/>
  <c r="W3349" i="1" a="1"/>
  <c r="W3349" i="1" s="1"/>
  <c r="E3349" i="1"/>
  <c r="W3348" i="1" a="1"/>
  <c r="W3348" i="1" s="1"/>
  <c r="E3348" i="1"/>
  <c r="W3347" i="1" a="1"/>
  <c r="W3347" i="1" s="1"/>
  <c r="E3347" i="1"/>
  <c r="W3346" i="1" a="1"/>
  <c r="W3346" i="1" s="1"/>
  <c r="E3346" i="1"/>
  <c r="W3345" i="1" a="1"/>
  <c r="W3345" i="1" s="1"/>
  <c r="E3345" i="1"/>
  <c r="W3344" i="1" a="1"/>
  <c r="W3344" i="1" s="1"/>
  <c r="E3344" i="1"/>
  <c r="W3343" i="1" a="1"/>
  <c r="W3343" i="1" s="1"/>
  <c r="E3343" i="1"/>
  <c r="W3342" i="1" a="1"/>
  <c r="W3342" i="1" s="1"/>
  <c r="E3342" i="1"/>
  <c r="W3341" i="1" a="1"/>
  <c r="W3341" i="1" s="1"/>
  <c r="E3341" i="1"/>
  <c r="W3340" i="1" a="1"/>
  <c r="W3340" i="1" s="1"/>
  <c r="E3340" i="1"/>
  <c r="W3339" i="1" a="1"/>
  <c r="W3339" i="1" s="1"/>
  <c r="E3339" i="1"/>
  <c r="W3338" i="1" a="1"/>
  <c r="W3338" i="1" s="1"/>
  <c r="E3338" i="1"/>
  <c r="W3337" i="1" a="1"/>
  <c r="W3337" i="1" s="1"/>
  <c r="E3337" i="1"/>
  <c r="W3336" i="1" a="1"/>
  <c r="W3336" i="1" s="1"/>
  <c r="E3336" i="1"/>
  <c r="W3335" i="1" a="1"/>
  <c r="W3335" i="1" s="1"/>
  <c r="E3335" i="1"/>
  <c r="W3334" i="1" a="1"/>
  <c r="W3334" i="1" s="1"/>
  <c r="E3334" i="1"/>
  <c r="W3333" i="1" a="1"/>
  <c r="W3333" i="1" s="1"/>
  <c r="E3333" i="1"/>
  <c r="W3332" i="1" a="1"/>
  <c r="W3332" i="1" s="1"/>
  <c r="E3332" i="1"/>
  <c r="W3331" i="1" a="1"/>
  <c r="W3331" i="1" s="1"/>
  <c r="E3331" i="1"/>
  <c r="W3330" i="1" a="1"/>
  <c r="W3330" i="1" s="1"/>
  <c r="E3330" i="1"/>
  <c r="W3329" i="1" a="1"/>
  <c r="W3329" i="1" s="1"/>
  <c r="E3329" i="1"/>
  <c r="W3328" i="1" a="1"/>
  <c r="W3328" i="1" s="1"/>
  <c r="E3328" i="1"/>
  <c r="W3327" i="1" a="1"/>
  <c r="W3327" i="1" s="1"/>
  <c r="E3327" i="1"/>
  <c r="W3326" i="1" a="1"/>
  <c r="W3326" i="1" s="1"/>
  <c r="E3326" i="1"/>
  <c r="W3325" i="1" a="1"/>
  <c r="W3325" i="1" s="1"/>
  <c r="E3325" i="1"/>
  <c r="W3324" i="1" a="1"/>
  <c r="W3324" i="1" s="1"/>
  <c r="E3324" i="1"/>
  <c r="W3323" i="1" a="1"/>
  <c r="W3323" i="1" s="1"/>
  <c r="E3323" i="1"/>
  <c r="W3322" i="1" a="1"/>
  <c r="W3322" i="1" s="1"/>
  <c r="E3322" i="1"/>
  <c r="W3321" i="1" a="1"/>
  <c r="W3321" i="1" s="1"/>
  <c r="E3321" i="1"/>
  <c r="W3320" i="1" a="1"/>
  <c r="W3320" i="1" s="1"/>
  <c r="E3320" i="1"/>
  <c r="W3319" i="1" a="1"/>
  <c r="W3319" i="1" s="1"/>
  <c r="E3319" i="1"/>
  <c r="W3318" i="1" a="1"/>
  <c r="W3318" i="1" s="1"/>
  <c r="E3318" i="1"/>
  <c r="W3317" i="1" a="1"/>
  <c r="W3317" i="1" s="1"/>
  <c r="E3317" i="1"/>
  <c r="W3316" i="1" a="1"/>
  <c r="W3316" i="1" s="1"/>
  <c r="E3316" i="1"/>
  <c r="W3315" i="1" a="1"/>
  <c r="W3315" i="1" s="1"/>
  <c r="E3315" i="1"/>
  <c r="W3314" i="1" a="1"/>
  <c r="W3314" i="1" s="1"/>
  <c r="E3314" i="1"/>
  <c r="W3313" i="1" a="1"/>
  <c r="W3313" i="1" s="1"/>
  <c r="E3313" i="1"/>
  <c r="W3312" i="1" a="1"/>
  <c r="W3312" i="1" s="1"/>
  <c r="E3312" i="1"/>
  <c r="W3311" i="1" a="1"/>
  <c r="W3311" i="1" s="1"/>
  <c r="E3311" i="1"/>
  <c r="W3310" i="1" a="1"/>
  <c r="W3310" i="1" s="1"/>
  <c r="E3310" i="1"/>
  <c r="W3309" i="1" a="1"/>
  <c r="W3309" i="1" s="1"/>
  <c r="E3309" i="1"/>
  <c r="W3308" i="1" a="1"/>
  <c r="W3308" i="1" s="1"/>
  <c r="E3308" i="1"/>
  <c r="W3307" i="1" a="1"/>
  <c r="W3307" i="1" s="1"/>
  <c r="E3307" i="1"/>
  <c r="W3306" i="1" a="1"/>
  <c r="W3306" i="1" s="1"/>
  <c r="E3306" i="1"/>
  <c r="W3305" i="1" a="1"/>
  <c r="W3305" i="1" s="1"/>
  <c r="E3305" i="1"/>
  <c r="W3304" i="1" a="1"/>
  <c r="W3304" i="1" s="1"/>
  <c r="E3304" i="1"/>
  <c r="W3303" i="1" a="1"/>
  <c r="W3303" i="1" s="1"/>
  <c r="E3303" i="1"/>
  <c r="W3302" i="1" a="1"/>
  <c r="W3302" i="1" s="1"/>
  <c r="E3302" i="1"/>
  <c r="W3301" i="1" a="1"/>
  <c r="W3301" i="1" s="1"/>
  <c r="E3301" i="1"/>
  <c r="W3300" i="1" a="1"/>
  <c r="W3300" i="1" s="1"/>
  <c r="E3300" i="1"/>
  <c r="W3299" i="1" a="1"/>
  <c r="W3299" i="1" s="1"/>
  <c r="E3299" i="1"/>
  <c r="W3298" i="1" a="1"/>
  <c r="W3298" i="1" s="1"/>
  <c r="E3298" i="1"/>
  <c r="W3297" i="1" a="1"/>
  <c r="W3297" i="1" s="1"/>
  <c r="E3297" i="1"/>
  <c r="W3296" i="1" a="1"/>
  <c r="W3296" i="1" s="1"/>
  <c r="E3296" i="1"/>
  <c r="W3295" i="1" a="1"/>
  <c r="W3295" i="1" s="1"/>
  <c r="E3295" i="1"/>
  <c r="W3294" i="1" a="1"/>
  <c r="W3294" i="1" s="1"/>
  <c r="E3294" i="1"/>
  <c r="W3293" i="1" a="1"/>
  <c r="W3293" i="1" s="1"/>
  <c r="E3293" i="1"/>
  <c r="W3292" i="1" a="1"/>
  <c r="W3292" i="1" s="1"/>
  <c r="E3292" i="1"/>
  <c r="W3291" i="1" a="1"/>
  <c r="W3291" i="1" s="1"/>
  <c r="E3291" i="1"/>
  <c r="W3290" i="1" a="1"/>
  <c r="W3290" i="1" s="1"/>
  <c r="E3290" i="1"/>
  <c r="W3289" i="1" a="1"/>
  <c r="W3289" i="1" s="1"/>
  <c r="E3289" i="1"/>
  <c r="W3288" i="1" a="1"/>
  <c r="W3288" i="1" s="1"/>
  <c r="E3288" i="1"/>
  <c r="W3287" i="1" a="1"/>
  <c r="W3287" i="1" s="1"/>
  <c r="E3287" i="1"/>
  <c r="W3286" i="1" a="1"/>
  <c r="W3286" i="1" s="1"/>
  <c r="E3286" i="1"/>
  <c r="W3285" i="1" a="1"/>
  <c r="W3285" i="1" s="1"/>
  <c r="E3285" i="1"/>
  <c r="W3284" i="1" a="1"/>
  <c r="W3284" i="1" s="1"/>
  <c r="E3284" i="1"/>
  <c r="W3283" i="1" a="1"/>
  <c r="W3283" i="1" s="1"/>
  <c r="E3283" i="1"/>
  <c r="W3282" i="1" a="1"/>
  <c r="W3282" i="1" s="1"/>
  <c r="E3282" i="1"/>
  <c r="W3281" i="1" a="1"/>
  <c r="W3281" i="1" s="1"/>
  <c r="E3281" i="1"/>
  <c r="W3280" i="1" a="1"/>
  <c r="W3280" i="1" s="1"/>
  <c r="E3280" i="1"/>
  <c r="W3279" i="1" a="1"/>
  <c r="W3279" i="1" s="1"/>
  <c r="E3279" i="1"/>
  <c r="W3278" i="1" a="1"/>
  <c r="W3278" i="1" s="1"/>
  <c r="E3278" i="1"/>
  <c r="W3277" i="1" a="1"/>
  <c r="W3277" i="1" s="1"/>
  <c r="E3277" i="1"/>
  <c r="W3276" i="1" a="1"/>
  <c r="W3276" i="1" s="1"/>
  <c r="E3276" i="1"/>
  <c r="W3275" i="1" a="1"/>
  <c r="W3275" i="1" s="1"/>
  <c r="E3275" i="1"/>
  <c r="W3274" i="1" a="1"/>
  <c r="W3274" i="1" s="1"/>
  <c r="E3274" i="1"/>
  <c r="W3273" i="1" a="1"/>
  <c r="W3273" i="1" s="1"/>
  <c r="E3273" i="1"/>
  <c r="W3272" i="1" a="1"/>
  <c r="W3272" i="1" s="1"/>
  <c r="E3272" i="1"/>
  <c r="W3271" i="1" a="1"/>
  <c r="W3271" i="1" s="1"/>
  <c r="E3271" i="1"/>
  <c r="W3270" i="1" a="1"/>
  <c r="W3270" i="1" s="1"/>
  <c r="E3270" i="1"/>
  <c r="W3269" i="1" a="1"/>
  <c r="W3269" i="1" s="1"/>
  <c r="E3269" i="1"/>
  <c r="W3268" i="1" a="1"/>
  <c r="W3268" i="1" s="1"/>
  <c r="E3268" i="1"/>
  <c r="W3267" i="1" a="1"/>
  <c r="W3267" i="1" s="1"/>
  <c r="E3267" i="1"/>
  <c r="W3266" i="1" a="1"/>
  <c r="W3266" i="1" s="1"/>
  <c r="E3266" i="1"/>
  <c r="W3265" i="1" a="1"/>
  <c r="W3265" i="1" s="1"/>
  <c r="E3265" i="1"/>
  <c r="W3264" i="1" a="1"/>
  <c r="W3264" i="1" s="1"/>
  <c r="E3264" i="1"/>
  <c r="W3263" i="1" a="1"/>
  <c r="W3263" i="1" s="1"/>
  <c r="E3263" i="1"/>
  <c r="W3262" i="1" a="1"/>
  <c r="W3262" i="1" s="1"/>
  <c r="E3262" i="1"/>
  <c r="W3261" i="1" a="1"/>
  <c r="W3261" i="1" s="1"/>
  <c r="E3261" i="1"/>
  <c r="W3260" i="1" a="1"/>
  <c r="W3260" i="1" s="1"/>
  <c r="E3260" i="1"/>
  <c r="W3259" i="1" a="1"/>
  <c r="W3259" i="1" s="1"/>
  <c r="E3259" i="1"/>
  <c r="W3258" i="1" a="1"/>
  <c r="W3258" i="1" s="1"/>
  <c r="E3258" i="1"/>
  <c r="W3257" i="1" a="1"/>
  <c r="W3257" i="1" s="1"/>
  <c r="E3257" i="1"/>
  <c r="W3256" i="1" a="1"/>
  <c r="W3256" i="1" s="1"/>
  <c r="E3256" i="1"/>
  <c r="W3255" i="1" a="1"/>
  <c r="W3255" i="1" s="1"/>
  <c r="E3255" i="1"/>
  <c r="W3254" i="1" a="1"/>
  <c r="W3254" i="1" s="1"/>
  <c r="E3254" i="1"/>
  <c r="W3253" i="1" a="1"/>
  <c r="W3253" i="1" s="1"/>
  <c r="E3253" i="1"/>
  <c r="W3252" i="1" a="1"/>
  <c r="W3252" i="1" s="1"/>
  <c r="E3252" i="1"/>
  <c r="W3251" i="1" a="1"/>
  <c r="W3251" i="1" s="1"/>
  <c r="E3251" i="1"/>
  <c r="W3250" i="1" a="1"/>
  <c r="W3250" i="1" s="1"/>
  <c r="E3250" i="1"/>
  <c r="W3249" i="1" a="1"/>
  <c r="W3249" i="1" s="1"/>
  <c r="E3249" i="1"/>
  <c r="W3248" i="1" a="1"/>
  <c r="W3248" i="1" s="1"/>
  <c r="E3248" i="1"/>
  <c r="W3247" i="1" a="1"/>
  <c r="W3247" i="1" s="1"/>
  <c r="E3247" i="1"/>
  <c r="W3246" i="1" a="1"/>
  <c r="W3246" i="1" s="1"/>
  <c r="E3246" i="1"/>
  <c r="W3245" i="1" a="1"/>
  <c r="W3245" i="1" s="1"/>
  <c r="E3245" i="1"/>
  <c r="W3244" i="1" a="1"/>
  <c r="W3244" i="1" s="1"/>
  <c r="E3244" i="1"/>
  <c r="W3243" i="1" a="1"/>
  <c r="W3243" i="1" s="1"/>
  <c r="E3243" i="1"/>
  <c r="W3242" i="1" a="1"/>
  <c r="W3242" i="1" s="1"/>
  <c r="E3242" i="1"/>
  <c r="W3241" i="1" a="1"/>
  <c r="W3241" i="1" s="1"/>
  <c r="E3241" i="1"/>
  <c r="W3240" i="1" a="1"/>
  <c r="W3240" i="1" s="1"/>
  <c r="E3240" i="1"/>
  <c r="W3239" i="1" a="1"/>
  <c r="W3239" i="1" s="1"/>
  <c r="E3239" i="1"/>
  <c r="W3238" i="1" a="1"/>
  <c r="W3238" i="1" s="1"/>
  <c r="E3238" i="1"/>
  <c r="W3237" i="1" a="1"/>
  <c r="W3237" i="1" s="1"/>
  <c r="E3237" i="1"/>
  <c r="W3236" i="1" a="1"/>
  <c r="W3236" i="1" s="1"/>
  <c r="E3236" i="1"/>
  <c r="W3235" i="1" a="1"/>
  <c r="W3235" i="1" s="1"/>
  <c r="E3235" i="1"/>
  <c r="W3234" i="1" a="1"/>
  <c r="W3234" i="1" s="1"/>
  <c r="E3234" i="1"/>
  <c r="W3233" i="1" a="1"/>
  <c r="W3233" i="1" s="1"/>
  <c r="E3233" i="1"/>
  <c r="W3232" i="1" a="1"/>
  <c r="W3232" i="1" s="1"/>
  <c r="E3232" i="1"/>
  <c r="W3231" i="1" a="1"/>
  <c r="W3231" i="1" s="1"/>
  <c r="E3231" i="1"/>
  <c r="W3230" i="1" a="1"/>
  <c r="W3230" i="1" s="1"/>
  <c r="E3230" i="1"/>
  <c r="W3229" i="1" a="1"/>
  <c r="W3229" i="1" s="1"/>
  <c r="E3229" i="1"/>
  <c r="W3228" i="1" a="1"/>
  <c r="W3228" i="1" s="1"/>
  <c r="E3228" i="1"/>
  <c r="W3227" i="1" a="1"/>
  <c r="W3227" i="1" s="1"/>
  <c r="E3227" i="1"/>
  <c r="W3226" i="1" a="1"/>
  <c r="W3226" i="1" s="1"/>
  <c r="E3226" i="1"/>
  <c r="W3225" i="1" a="1"/>
  <c r="W3225" i="1" s="1"/>
  <c r="E3225" i="1"/>
  <c r="W3224" i="1" a="1"/>
  <c r="W3224" i="1" s="1"/>
  <c r="E3224" i="1"/>
  <c r="W3223" i="1" a="1"/>
  <c r="W3223" i="1" s="1"/>
  <c r="E3223" i="1"/>
  <c r="W3222" i="1" a="1"/>
  <c r="W3222" i="1" s="1"/>
  <c r="E3222" i="1"/>
  <c r="W3221" i="1" a="1"/>
  <c r="W3221" i="1" s="1"/>
  <c r="E3221" i="1"/>
  <c r="W3220" i="1" a="1"/>
  <c r="W3220" i="1" s="1"/>
  <c r="E3220" i="1"/>
  <c r="W3219" i="1" a="1"/>
  <c r="W3219" i="1" s="1"/>
  <c r="E3219" i="1"/>
  <c r="W3218" i="1" a="1"/>
  <c r="W3218" i="1" s="1"/>
  <c r="E3218" i="1"/>
  <c r="W3217" i="1" a="1"/>
  <c r="W3217" i="1" s="1"/>
  <c r="E3217" i="1"/>
  <c r="W3216" i="1" a="1"/>
  <c r="W3216" i="1" s="1"/>
  <c r="E3216" i="1"/>
  <c r="W3215" i="1" a="1"/>
  <c r="W3215" i="1" s="1"/>
  <c r="E3215" i="1"/>
  <c r="W3214" i="1" a="1"/>
  <c r="W3214" i="1" s="1"/>
  <c r="E3214" i="1"/>
  <c r="W3213" i="1" a="1"/>
  <c r="W3213" i="1" s="1"/>
  <c r="E3213" i="1"/>
  <c r="W3212" i="1" a="1"/>
  <c r="W3212" i="1" s="1"/>
  <c r="E3212" i="1"/>
  <c r="W3211" i="1" a="1"/>
  <c r="W3211" i="1" s="1"/>
  <c r="E3211" i="1"/>
  <c r="W3210" i="1" a="1"/>
  <c r="W3210" i="1" s="1"/>
  <c r="E3210" i="1"/>
  <c r="W3209" i="1" a="1"/>
  <c r="W3209" i="1" s="1"/>
  <c r="E3209" i="1"/>
  <c r="W3208" i="1" a="1"/>
  <c r="W3208" i="1" s="1"/>
  <c r="E3208" i="1"/>
  <c r="W3207" i="1" a="1"/>
  <c r="W3207" i="1" s="1"/>
  <c r="E3207" i="1"/>
  <c r="W3206" i="1" a="1"/>
  <c r="W3206" i="1" s="1"/>
  <c r="E3206" i="1"/>
  <c r="W3205" i="1" a="1"/>
  <c r="W3205" i="1" s="1"/>
  <c r="E3205" i="1"/>
  <c r="W3204" i="1" a="1"/>
  <c r="W3204" i="1" s="1"/>
  <c r="E3204" i="1"/>
  <c r="W3203" i="1" a="1"/>
  <c r="W3203" i="1" s="1"/>
  <c r="E3203" i="1"/>
  <c r="W3202" i="1" a="1"/>
  <c r="W3202" i="1" s="1"/>
  <c r="E3202" i="1"/>
  <c r="W3201" i="1" a="1"/>
  <c r="W3201" i="1" s="1"/>
  <c r="E3201" i="1"/>
  <c r="W3200" i="1" a="1"/>
  <c r="W3200" i="1" s="1"/>
  <c r="E3200" i="1"/>
  <c r="W3199" i="1" a="1"/>
  <c r="W3199" i="1" s="1"/>
  <c r="E3199" i="1"/>
  <c r="W3198" i="1" a="1"/>
  <c r="W3198" i="1" s="1"/>
  <c r="E3198" i="1"/>
  <c r="W3197" i="1" a="1"/>
  <c r="W3197" i="1" s="1"/>
  <c r="E3197" i="1"/>
  <c r="W3196" i="1" a="1"/>
  <c r="W3196" i="1" s="1"/>
  <c r="E3196" i="1"/>
  <c r="W3195" i="1" a="1"/>
  <c r="W3195" i="1" s="1"/>
  <c r="E3195" i="1"/>
  <c r="W3194" i="1" a="1"/>
  <c r="W3194" i="1" s="1"/>
  <c r="E3194" i="1"/>
  <c r="W3193" i="1" a="1"/>
  <c r="W3193" i="1" s="1"/>
  <c r="E3193" i="1"/>
  <c r="W3192" i="1" a="1"/>
  <c r="W3192" i="1" s="1"/>
  <c r="E3192" i="1"/>
  <c r="W3191" i="1" a="1"/>
  <c r="W3191" i="1" s="1"/>
  <c r="E3191" i="1"/>
  <c r="W3190" i="1" a="1"/>
  <c r="W3190" i="1" s="1"/>
  <c r="E3190" i="1"/>
  <c r="W3189" i="1" a="1"/>
  <c r="W3189" i="1" s="1"/>
  <c r="E3189" i="1"/>
  <c r="W3188" i="1" a="1"/>
  <c r="W3188" i="1" s="1"/>
  <c r="E3188" i="1"/>
  <c r="W3187" i="1" a="1"/>
  <c r="W3187" i="1" s="1"/>
  <c r="E3187" i="1"/>
  <c r="W3186" i="1" a="1"/>
  <c r="W3186" i="1" s="1"/>
  <c r="E3186" i="1"/>
  <c r="W3185" i="1" a="1"/>
  <c r="W3185" i="1" s="1"/>
  <c r="E3185" i="1"/>
  <c r="W3184" i="1" a="1"/>
  <c r="W3184" i="1" s="1"/>
  <c r="E3184" i="1"/>
  <c r="W3183" i="1" a="1"/>
  <c r="W3183" i="1" s="1"/>
  <c r="E3183" i="1"/>
  <c r="W3182" i="1" a="1"/>
  <c r="W3182" i="1" s="1"/>
  <c r="E3182" i="1"/>
  <c r="W3181" i="1" a="1"/>
  <c r="W3181" i="1" s="1"/>
  <c r="E3181" i="1"/>
  <c r="W3180" i="1" a="1"/>
  <c r="W3180" i="1" s="1"/>
  <c r="E3180" i="1"/>
  <c r="W3179" i="1" a="1"/>
  <c r="W3179" i="1" s="1"/>
  <c r="E3179" i="1"/>
  <c r="W3178" i="1" a="1"/>
  <c r="W3178" i="1" s="1"/>
  <c r="E3178" i="1"/>
  <c r="W3177" i="1" a="1"/>
  <c r="W3177" i="1" s="1"/>
  <c r="E3177" i="1"/>
  <c r="W3176" i="1" a="1"/>
  <c r="W3176" i="1" s="1"/>
  <c r="E3176" i="1"/>
  <c r="W3175" i="1" a="1"/>
  <c r="W3175" i="1" s="1"/>
  <c r="E3175" i="1"/>
  <c r="W3174" i="1" a="1"/>
  <c r="W3174" i="1" s="1"/>
  <c r="E3174" i="1"/>
  <c r="W3173" i="1" a="1"/>
  <c r="W3173" i="1" s="1"/>
  <c r="E3173" i="1"/>
  <c r="W3172" i="1" a="1"/>
  <c r="W3172" i="1" s="1"/>
  <c r="E3172" i="1"/>
  <c r="W3171" i="1" a="1"/>
  <c r="W3171" i="1" s="1"/>
  <c r="E3171" i="1"/>
  <c r="W3170" i="1" a="1"/>
  <c r="W3170" i="1" s="1"/>
  <c r="E3170" i="1"/>
  <c r="W3169" i="1" a="1"/>
  <c r="W3169" i="1" s="1"/>
  <c r="E3169" i="1"/>
  <c r="W3168" i="1" a="1"/>
  <c r="W3168" i="1" s="1"/>
  <c r="E3168" i="1"/>
  <c r="W3167" i="1" a="1"/>
  <c r="W3167" i="1" s="1"/>
  <c r="E3167" i="1"/>
  <c r="W3166" i="1" a="1"/>
  <c r="W3166" i="1" s="1"/>
  <c r="E3166" i="1"/>
  <c r="W3165" i="1" a="1"/>
  <c r="W3165" i="1" s="1"/>
  <c r="E3165" i="1"/>
  <c r="W3164" i="1" a="1"/>
  <c r="W3164" i="1" s="1"/>
  <c r="E3164" i="1"/>
  <c r="W3163" i="1" a="1"/>
  <c r="W3163" i="1" s="1"/>
  <c r="E3163" i="1"/>
  <c r="W3162" i="1" a="1"/>
  <c r="W3162" i="1" s="1"/>
  <c r="E3162" i="1"/>
  <c r="W3161" i="1" a="1"/>
  <c r="W3161" i="1" s="1"/>
  <c r="E3161" i="1"/>
  <c r="W3160" i="1" a="1"/>
  <c r="W3160" i="1" s="1"/>
  <c r="E3160" i="1"/>
  <c r="W3159" i="1" a="1"/>
  <c r="W3159" i="1" s="1"/>
  <c r="E3159" i="1"/>
  <c r="W3158" i="1" a="1"/>
  <c r="W3158" i="1" s="1"/>
  <c r="E3158" i="1"/>
  <c r="W3157" i="1" a="1"/>
  <c r="W3157" i="1" s="1"/>
  <c r="E3157" i="1"/>
  <c r="W3156" i="1" a="1"/>
  <c r="W3156" i="1" s="1"/>
  <c r="E3156" i="1"/>
  <c r="W3155" i="1" a="1"/>
  <c r="W3155" i="1" s="1"/>
  <c r="E3155" i="1"/>
  <c r="W3154" i="1" a="1"/>
  <c r="W3154" i="1" s="1"/>
  <c r="E3154" i="1"/>
  <c r="W3153" i="1" a="1"/>
  <c r="W3153" i="1" s="1"/>
  <c r="E3153" i="1"/>
  <c r="W3152" i="1" a="1"/>
  <c r="W3152" i="1" s="1"/>
  <c r="E3152" i="1"/>
  <c r="W3151" i="1" a="1"/>
  <c r="W3151" i="1" s="1"/>
  <c r="E3151" i="1"/>
  <c r="W3150" i="1" a="1"/>
  <c r="W3150" i="1" s="1"/>
  <c r="E3150" i="1"/>
  <c r="W3149" i="1" a="1"/>
  <c r="W3149" i="1" s="1"/>
  <c r="E3149" i="1"/>
  <c r="W3148" i="1" a="1"/>
  <c r="W3148" i="1" s="1"/>
  <c r="E3148" i="1"/>
  <c r="W3147" i="1" a="1"/>
  <c r="W3147" i="1" s="1"/>
  <c r="E3147" i="1"/>
  <c r="W3146" i="1" a="1"/>
  <c r="W3146" i="1" s="1"/>
  <c r="E3146" i="1"/>
  <c r="W3145" i="1" a="1"/>
  <c r="W3145" i="1" s="1"/>
  <c r="E3145" i="1"/>
  <c r="W3144" i="1" a="1"/>
  <c r="W3144" i="1" s="1"/>
  <c r="E3144" i="1"/>
  <c r="W3143" i="1" a="1"/>
  <c r="W3143" i="1" s="1"/>
  <c r="E3143" i="1"/>
  <c r="W3142" i="1" a="1"/>
  <c r="W3142" i="1" s="1"/>
  <c r="E3142" i="1"/>
  <c r="W3141" i="1" a="1"/>
  <c r="W3141" i="1" s="1"/>
  <c r="E3141" i="1"/>
  <c r="W3140" i="1" a="1"/>
  <c r="W3140" i="1" s="1"/>
  <c r="E3140" i="1"/>
  <c r="W3139" i="1" a="1"/>
  <c r="W3139" i="1" s="1"/>
  <c r="E3139" i="1"/>
  <c r="W3138" i="1" a="1"/>
  <c r="W3138" i="1" s="1"/>
  <c r="E3138" i="1"/>
  <c r="W3137" i="1" a="1"/>
  <c r="W3137" i="1" s="1"/>
  <c r="E3137" i="1"/>
  <c r="W3136" i="1" a="1"/>
  <c r="W3136" i="1" s="1"/>
  <c r="E3136" i="1"/>
  <c r="W3135" i="1" a="1"/>
  <c r="W3135" i="1" s="1"/>
  <c r="E3135" i="1"/>
  <c r="W3134" i="1" a="1"/>
  <c r="W3134" i="1" s="1"/>
  <c r="E3134" i="1"/>
  <c r="W3133" i="1" a="1"/>
  <c r="W3133" i="1" s="1"/>
  <c r="E3133" i="1"/>
  <c r="W3132" i="1" a="1"/>
  <c r="W3132" i="1" s="1"/>
  <c r="E3132" i="1"/>
  <c r="W3131" i="1" a="1"/>
  <c r="W3131" i="1" s="1"/>
  <c r="E3131" i="1"/>
  <c r="W3130" i="1" a="1"/>
  <c r="W3130" i="1" s="1"/>
  <c r="E3130" i="1"/>
  <c r="W3129" i="1" a="1"/>
  <c r="W3129" i="1" s="1"/>
  <c r="E3129" i="1"/>
  <c r="W3128" i="1" a="1"/>
  <c r="W3128" i="1" s="1"/>
  <c r="E3128" i="1"/>
  <c r="W3127" i="1" a="1"/>
  <c r="W3127" i="1" s="1"/>
  <c r="E3127" i="1"/>
  <c r="W3126" i="1" a="1"/>
  <c r="W3126" i="1" s="1"/>
  <c r="E3126" i="1"/>
  <c r="W3125" i="1" a="1"/>
  <c r="W3125" i="1" s="1"/>
  <c r="E3125" i="1"/>
  <c r="W3124" i="1" a="1"/>
  <c r="W3124" i="1" s="1"/>
  <c r="E3124" i="1"/>
  <c r="W3123" i="1" a="1"/>
  <c r="W3123" i="1" s="1"/>
  <c r="E3123" i="1"/>
  <c r="W3122" i="1" a="1"/>
  <c r="W3122" i="1" s="1"/>
  <c r="E3122" i="1"/>
  <c r="W3121" i="1" a="1"/>
  <c r="W3121" i="1" s="1"/>
  <c r="E3121" i="1"/>
  <c r="W3120" i="1" a="1"/>
  <c r="W3120" i="1" s="1"/>
  <c r="E3120" i="1"/>
  <c r="W3119" i="1" a="1"/>
  <c r="W3119" i="1" s="1"/>
  <c r="E3119" i="1"/>
  <c r="W3118" i="1" a="1"/>
  <c r="W3118" i="1" s="1"/>
  <c r="E3118" i="1"/>
  <c r="W3117" i="1" a="1"/>
  <c r="W3117" i="1" s="1"/>
  <c r="E3117" i="1"/>
  <c r="W3116" i="1" a="1"/>
  <c r="W3116" i="1" s="1"/>
  <c r="E3116" i="1"/>
  <c r="W3115" i="1" a="1"/>
  <c r="W3115" i="1" s="1"/>
  <c r="E3115" i="1"/>
  <c r="W3114" i="1" a="1"/>
  <c r="W3114" i="1" s="1"/>
  <c r="E3114" i="1"/>
  <c r="W3113" i="1" a="1"/>
  <c r="W3113" i="1" s="1"/>
  <c r="E3113" i="1"/>
  <c r="W3112" i="1" a="1"/>
  <c r="W3112" i="1" s="1"/>
  <c r="E3112" i="1"/>
  <c r="W3111" i="1" a="1"/>
  <c r="W3111" i="1" s="1"/>
  <c r="E3111" i="1"/>
  <c r="W3110" i="1" a="1"/>
  <c r="W3110" i="1" s="1"/>
  <c r="E3110" i="1"/>
  <c r="W3109" i="1" a="1"/>
  <c r="W3109" i="1" s="1"/>
  <c r="E3109" i="1"/>
  <c r="W3108" i="1" a="1"/>
  <c r="W3108" i="1" s="1"/>
  <c r="E3108" i="1"/>
  <c r="W3107" i="1" a="1"/>
  <c r="W3107" i="1" s="1"/>
  <c r="E3107" i="1"/>
  <c r="W3106" i="1" a="1"/>
  <c r="W3106" i="1" s="1"/>
  <c r="E3106" i="1"/>
  <c r="W3105" i="1" a="1"/>
  <c r="W3105" i="1" s="1"/>
  <c r="E3105" i="1"/>
  <c r="W3104" i="1" a="1"/>
  <c r="W3104" i="1" s="1"/>
  <c r="E3104" i="1"/>
  <c r="W3103" i="1" a="1"/>
  <c r="W3103" i="1" s="1"/>
  <c r="E3103" i="1"/>
  <c r="W3102" i="1" a="1"/>
  <c r="W3102" i="1" s="1"/>
  <c r="E3102" i="1"/>
  <c r="W3101" i="1" a="1"/>
  <c r="W3101" i="1" s="1"/>
  <c r="E3101" i="1"/>
  <c r="W3100" i="1" a="1"/>
  <c r="W3100" i="1" s="1"/>
  <c r="E3100" i="1"/>
  <c r="W3099" i="1" a="1"/>
  <c r="W3099" i="1" s="1"/>
  <c r="E3099" i="1"/>
  <c r="W3098" i="1" a="1"/>
  <c r="W3098" i="1" s="1"/>
  <c r="E3098" i="1"/>
  <c r="W3097" i="1" a="1"/>
  <c r="W3097" i="1" s="1"/>
  <c r="E3097" i="1"/>
  <c r="W3096" i="1" a="1"/>
  <c r="W3096" i="1" s="1"/>
  <c r="E3096" i="1"/>
  <c r="W3095" i="1" a="1"/>
  <c r="W3095" i="1" s="1"/>
  <c r="E3095" i="1"/>
  <c r="W3094" i="1" a="1"/>
  <c r="W3094" i="1" s="1"/>
  <c r="E3094" i="1"/>
  <c r="W3093" i="1" a="1"/>
  <c r="W3093" i="1" s="1"/>
  <c r="E3093" i="1"/>
  <c r="W3092" i="1" a="1"/>
  <c r="W3092" i="1" s="1"/>
  <c r="E3092" i="1"/>
  <c r="W3091" i="1" a="1"/>
  <c r="W3091" i="1" s="1"/>
  <c r="E3091" i="1"/>
  <c r="W3090" i="1" a="1"/>
  <c r="W3090" i="1" s="1"/>
  <c r="E3090" i="1"/>
  <c r="W3089" i="1" a="1"/>
  <c r="W3089" i="1" s="1"/>
  <c r="E3089" i="1"/>
  <c r="W3088" i="1" a="1"/>
  <c r="W3088" i="1" s="1"/>
  <c r="E3088" i="1"/>
  <c r="W3087" i="1" a="1"/>
  <c r="W3087" i="1" s="1"/>
  <c r="E3087" i="1"/>
  <c r="W3086" i="1" a="1"/>
  <c r="W3086" i="1" s="1"/>
  <c r="E3086" i="1"/>
  <c r="W3085" i="1" a="1"/>
  <c r="W3085" i="1" s="1"/>
  <c r="E3085" i="1"/>
  <c r="W3084" i="1" a="1"/>
  <c r="W3084" i="1" s="1"/>
  <c r="E3084" i="1"/>
  <c r="W3083" i="1" a="1"/>
  <c r="W3083" i="1" s="1"/>
  <c r="E3083" i="1"/>
  <c r="W3082" i="1" a="1"/>
  <c r="W3082" i="1" s="1"/>
  <c r="E3082" i="1"/>
  <c r="W3081" i="1" a="1"/>
  <c r="W3081" i="1" s="1"/>
  <c r="E3081" i="1"/>
  <c r="W3080" i="1" a="1"/>
  <c r="W3080" i="1" s="1"/>
  <c r="E3080" i="1"/>
  <c r="W3079" i="1" a="1"/>
  <c r="W3079" i="1" s="1"/>
  <c r="E3079" i="1"/>
  <c r="W3078" i="1" a="1"/>
  <c r="W3078" i="1" s="1"/>
  <c r="E3078" i="1"/>
  <c r="W3077" i="1" a="1"/>
  <c r="W3077" i="1" s="1"/>
  <c r="E3077" i="1"/>
  <c r="W3076" i="1" a="1"/>
  <c r="W3076" i="1" s="1"/>
  <c r="E3076" i="1"/>
  <c r="W3075" i="1" a="1"/>
  <c r="W3075" i="1" s="1"/>
  <c r="E3075" i="1"/>
  <c r="W3074" i="1" a="1"/>
  <c r="W3074" i="1" s="1"/>
  <c r="E3074" i="1"/>
  <c r="W3073" i="1" a="1"/>
  <c r="W3073" i="1" s="1"/>
  <c r="E3073" i="1"/>
  <c r="W3072" i="1" a="1"/>
  <c r="W3072" i="1" s="1"/>
  <c r="E3072" i="1"/>
  <c r="W3071" i="1" a="1"/>
  <c r="W3071" i="1" s="1"/>
  <c r="E3071" i="1"/>
  <c r="W3070" i="1" a="1"/>
  <c r="W3070" i="1" s="1"/>
  <c r="E3070" i="1"/>
  <c r="W3069" i="1" a="1"/>
  <c r="W3069" i="1" s="1"/>
  <c r="E3069" i="1"/>
  <c r="W3068" i="1" a="1"/>
  <c r="W3068" i="1" s="1"/>
  <c r="E3068" i="1"/>
  <c r="W3067" i="1" a="1"/>
  <c r="W3067" i="1" s="1"/>
  <c r="E3067" i="1"/>
  <c r="W3066" i="1" a="1"/>
  <c r="W3066" i="1" s="1"/>
  <c r="E3066" i="1"/>
  <c r="W3065" i="1" a="1"/>
  <c r="W3065" i="1" s="1"/>
  <c r="E3065" i="1"/>
  <c r="W3064" i="1" a="1"/>
  <c r="W3064" i="1" s="1"/>
  <c r="E3064" i="1"/>
  <c r="W3063" i="1" a="1"/>
  <c r="W3063" i="1" s="1"/>
  <c r="E3063" i="1"/>
  <c r="W3062" i="1" a="1"/>
  <c r="W3062" i="1" s="1"/>
  <c r="E3062" i="1"/>
  <c r="W3061" i="1" a="1"/>
  <c r="W3061" i="1" s="1"/>
  <c r="E3061" i="1"/>
  <c r="W3060" i="1" a="1"/>
  <c r="W3060" i="1" s="1"/>
  <c r="E3060" i="1"/>
  <c r="W3059" i="1" a="1"/>
  <c r="W3059" i="1" s="1"/>
  <c r="E3059" i="1"/>
  <c r="W3058" i="1" a="1"/>
  <c r="W3058" i="1" s="1"/>
  <c r="E3058" i="1"/>
  <c r="W3057" i="1" a="1"/>
  <c r="W3057" i="1" s="1"/>
  <c r="E3057" i="1"/>
  <c r="W3056" i="1" a="1"/>
  <c r="W3056" i="1" s="1"/>
  <c r="E3056" i="1"/>
  <c r="W3055" i="1" a="1"/>
  <c r="W3055" i="1" s="1"/>
  <c r="E3055" i="1"/>
  <c r="W3054" i="1" a="1"/>
  <c r="W3054" i="1" s="1"/>
  <c r="E3054" i="1"/>
  <c r="W3053" i="1" a="1"/>
  <c r="W3053" i="1" s="1"/>
  <c r="E3053" i="1"/>
  <c r="W3052" i="1" a="1"/>
  <c r="W3052" i="1" s="1"/>
  <c r="E3052" i="1"/>
  <c r="W3051" i="1" a="1"/>
  <c r="W3051" i="1" s="1"/>
  <c r="E3051" i="1"/>
  <c r="W3050" i="1" a="1"/>
  <c r="W3050" i="1" s="1"/>
  <c r="E3050" i="1"/>
  <c r="W3049" i="1" a="1"/>
  <c r="W3049" i="1" s="1"/>
  <c r="E3049" i="1"/>
  <c r="W3048" i="1" a="1"/>
  <c r="W3048" i="1" s="1"/>
  <c r="E3048" i="1"/>
  <c r="W3047" i="1" a="1"/>
  <c r="W3047" i="1" s="1"/>
  <c r="E3047" i="1"/>
  <c r="W3046" i="1" a="1"/>
  <c r="W3046" i="1" s="1"/>
  <c r="E3046" i="1"/>
  <c r="W3045" i="1" a="1"/>
  <c r="W3045" i="1" s="1"/>
  <c r="E3045" i="1"/>
  <c r="W3044" i="1" a="1"/>
  <c r="W3044" i="1" s="1"/>
  <c r="E3044" i="1"/>
  <c r="W3043" i="1" a="1"/>
  <c r="W3043" i="1" s="1"/>
  <c r="E3043" i="1"/>
  <c r="W3042" i="1" a="1"/>
  <c r="W3042" i="1" s="1"/>
  <c r="E3042" i="1"/>
  <c r="W3041" i="1" a="1"/>
  <c r="W3041" i="1" s="1"/>
  <c r="E3041" i="1"/>
  <c r="W3040" i="1" a="1"/>
  <c r="W3040" i="1" s="1"/>
  <c r="E3040" i="1"/>
  <c r="W3039" i="1" a="1"/>
  <c r="W3039" i="1" s="1"/>
  <c r="E3039" i="1"/>
  <c r="W3038" i="1" a="1"/>
  <c r="W3038" i="1" s="1"/>
  <c r="E3038" i="1"/>
  <c r="W3037" i="1" a="1"/>
  <c r="W3037" i="1" s="1"/>
  <c r="E3037" i="1"/>
  <c r="W3036" i="1" a="1"/>
  <c r="W3036" i="1" s="1"/>
  <c r="E3036" i="1"/>
  <c r="W3035" i="1" a="1"/>
  <c r="W3035" i="1" s="1"/>
  <c r="E3035" i="1"/>
  <c r="W3034" i="1" a="1"/>
  <c r="W3034" i="1" s="1"/>
  <c r="E3034" i="1"/>
  <c r="W3033" i="1" a="1"/>
  <c r="W3033" i="1" s="1"/>
  <c r="E3033" i="1"/>
  <c r="W3032" i="1" a="1"/>
  <c r="W3032" i="1" s="1"/>
  <c r="E3032" i="1"/>
  <c r="W3031" i="1" a="1"/>
  <c r="W3031" i="1" s="1"/>
  <c r="E3031" i="1"/>
  <c r="W3030" i="1" a="1"/>
  <c r="W3030" i="1" s="1"/>
  <c r="E3030" i="1"/>
  <c r="W3029" i="1" a="1"/>
  <c r="W3029" i="1" s="1"/>
  <c r="E3029" i="1"/>
  <c r="W3028" i="1" a="1"/>
  <c r="W3028" i="1" s="1"/>
  <c r="E3028" i="1"/>
  <c r="W3027" i="1" a="1"/>
  <c r="W3027" i="1" s="1"/>
  <c r="E3027" i="1"/>
  <c r="W3026" i="1" a="1"/>
  <c r="W3026" i="1" s="1"/>
  <c r="E3026" i="1"/>
  <c r="W3025" i="1" a="1"/>
  <c r="W3025" i="1" s="1"/>
  <c r="E3025" i="1"/>
  <c r="W3024" i="1" a="1"/>
  <c r="W3024" i="1" s="1"/>
  <c r="E3024" i="1"/>
  <c r="W3023" i="1" a="1"/>
  <c r="W3023" i="1" s="1"/>
  <c r="E3023" i="1"/>
  <c r="W3022" i="1" a="1"/>
  <c r="W3022" i="1" s="1"/>
  <c r="E3022" i="1"/>
  <c r="W3021" i="1" a="1"/>
  <c r="W3021" i="1" s="1"/>
  <c r="E3021" i="1"/>
  <c r="W3020" i="1" a="1"/>
  <c r="W3020" i="1" s="1"/>
  <c r="E3020" i="1"/>
  <c r="W3019" i="1" a="1"/>
  <c r="W3019" i="1" s="1"/>
  <c r="E3019" i="1"/>
  <c r="W3018" i="1" a="1"/>
  <c r="W3018" i="1" s="1"/>
  <c r="E3018" i="1"/>
  <c r="W3017" i="1" a="1"/>
  <c r="W3017" i="1" s="1"/>
  <c r="E3017" i="1"/>
  <c r="W3016" i="1" a="1"/>
  <c r="W3016" i="1" s="1"/>
  <c r="E3016" i="1"/>
  <c r="W3015" i="1" a="1"/>
  <c r="W3015" i="1" s="1"/>
  <c r="E3015" i="1"/>
  <c r="W3014" i="1" a="1"/>
  <c r="W3014" i="1" s="1"/>
  <c r="E3014" i="1"/>
  <c r="W3013" i="1" a="1"/>
  <c r="W3013" i="1" s="1"/>
  <c r="E3013" i="1"/>
  <c r="W3012" i="1" a="1"/>
  <c r="W3012" i="1" s="1"/>
  <c r="E3012" i="1"/>
  <c r="W3011" i="1" a="1"/>
  <c r="W3011" i="1" s="1"/>
  <c r="E3011" i="1"/>
  <c r="W3010" i="1" a="1"/>
  <c r="W3010" i="1" s="1"/>
  <c r="E3010" i="1"/>
  <c r="W3009" i="1" a="1"/>
  <c r="W3009" i="1" s="1"/>
  <c r="E3009" i="1"/>
  <c r="W3008" i="1" a="1"/>
  <c r="W3008" i="1" s="1"/>
  <c r="E3008" i="1"/>
  <c r="W3007" i="1" a="1"/>
  <c r="W3007" i="1" s="1"/>
  <c r="E3007" i="1"/>
  <c r="W3006" i="1" a="1"/>
  <c r="W3006" i="1" s="1"/>
  <c r="E3006" i="1"/>
  <c r="W3005" i="1" a="1"/>
  <c r="W3005" i="1" s="1"/>
  <c r="E3005" i="1"/>
  <c r="W3004" i="1" a="1"/>
  <c r="W3004" i="1" s="1"/>
  <c r="E3004" i="1"/>
  <c r="W3003" i="1" a="1"/>
  <c r="W3003" i="1" s="1"/>
  <c r="E3003" i="1"/>
  <c r="W3002" i="1" a="1"/>
  <c r="W3002" i="1" s="1"/>
  <c r="E3002" i="1"/>
  <c r="W3001" i="1" a="1"/>
  <c r="W3001" i="1" s="1"/>
  <c r="E3001" i="1"/>
  <c r="W3000" i="1" a="1"/>
  <c r="W3000" i="1" s="1"/>
  <c r="E3000" i="1"/>
  <c r="W2999" i="1" a="1"/>
  <c r="W2999" i="1" s="1"/>
  <c r="E2999" i="1"/>
  <c r="W2998" i="1" a="1"/>
  <c r="W2998" i="1" s="1"/>
  <c r="E2998" i="1"/>
  <c r="W2997" i="1" a="1"/>
  <c r="W2997" i="1" s="1"/>
  <c r="E2997" i="1"/>
  <c r="W2996" i="1" a="1"/>
  <c r="W2996" i="1" s="1"/>
  <c r="E2996" i="1"/>
  <c r="W2995" i="1" a="1"/>
  <c r="W2995" i="1" s="1"/>
  <c r="E2995" i="1"/>
  <c r="W2994" i="1" a="1"/>
  <c r="W2994" i="1" s="1"/>
  <c r="E2994" i="1"/>
  <c r="W2993" i="1" a="1"/>
  <c r="W2993" i="1" s="1"/>
  <c r="E2993" i="1"/>
  <c r="W2992" i="1" a="1"/>
  <c r="W2992" i="1" s="1"/>
  <c r="E2992" i="1"/>
  <c r="W2991" i="1" a="1"/>
  <c r="W2991" i="1" s="1"/>
  <c r="E2991" i="1"/>
  <c r="W2990" i="1" a="1"/>
  <c r="W2990" i="1" s="1"/>
  <c r="E2990" i="1"/>
  <c r="W2989" i="1" a="1"/>
  <c r="W2989" i="1" s="1"/>
  <c r="E2989" i="1"/>
  <c r="W2988" i="1" a="1"/>
  <c r="W2988" i="1" s="1"/>
  <c r="E2988" i="1"/>
  <c r="W2987" i="1" a="1"/>
  <c r="W2987" i="1" s="1"/>
  <c r="E2987" i="1"/>
  <c r="W2986" i="1" a="1"/>
  <c r="W2986" i="1" s="1"/>
  <c r="E2986" i="1"/>
  <c r="W2985" i="1" a="1"/>
  <c r="W2985" i="1" s="1"/>
  <c r="E2985" i="1"/>
  <c r="W2984" i="1" a="1"/>
  <c r="W2984" i="1" s="1"/>
  <c r="E2984" i="1"/>
  <c r="W2983" i="1" a="1"/>
  <c r="W2983" i="1" s="1"/>
  <c r="E2983" i="1"/>
  <c r="W2982" i="1" a="1"/>
  <c r="W2982" i="1" s="1"/>
  <c r="E2982" i="1"/>
  <c r="W2981" i="1" a="1"/>
  <c r="W2981" i="1" s="1"/>
  <c r="E2981" i="1"/>
  <c r="W2980" i="1" a="1"/>
  <c r="W2980" i="1" s="1"/>
  <c r="E2980" i="1"/>
  <c r="W2979" i="1" a="1"/>
  <c r="W2979" i="1" s="1"/>
  <c r="E2979" i="1"/>
  <c r="W2978" i="1" a="1"/>
  <c r="W2978" i="1" s="1"/>
  <c r="E2978" i="1"/>
  <c r="W2977" i="1" a="1"/>
  <c r="W2977" i="1" s="1"/>
  <c r="E2977" i="1"/>
  <c r="W2976" i="1" a="1"/>
  <c r="W2976" i="1" s="1"/>
  <c r="E2976" i="1"/>
  <c r="W2975" i="1" a="1"/>
  <c r="W2975" i="1" s="1"/>
  <c r="E2975" i="1"/>
  <c r="W2974" i="1" a="1"/>
  <c r="W2974" i="1" s="1"/>
  <c r="E2974" i="1"/>
  <c r="W2973" i="1" a="1"/>
  <c r="W2973" i="1" s="1"/>
  <c r="E2973" i="1"/>
  <c r="W2972" i="1" a="1"/>
  <c r="W2972" i="1" s="1"/>
  <c r="E2972" i="1"/>
  <c r="W2971" i="1" a="1"/>
  <c r="W2971" i="1" s="1"/>
  <c r="E2971" i="1"/>
  <c r="W2970" i="1" a="1"/>
  <c r="W2970" i="1" s="1"/>
  <c r="E2970" i="1"/>
  <c r="W2969" i="1" a="1"/>
  <c r="W2969" i="1" s="1"/>
  <c r="E2969" i="1"/>
  <c r="W2968" i="1" a="1"/>
  <c r="W2968" i="1" s="1"/>
  <c r="E2968" i="1"/>
  <c r="W2967" i="1" a="1"/>
  <c r="W2967" i="1" s="1"/>
  <c r="E2967" i="1"/>
  <c r="W2966" i="1" a="1"/>
  <c r="W2966" i="1" s="1"/>
  <c r="E2966" i="1"/>
  <c r="W2965" i="1" a="1"/>
  <c r="W2965" i="1" s="1"/>
  <c r="E2965" i="1"/>
  <c r="W2964" i="1" a="1"/>
  <c r="W2964" i="1" s="1"/>
  <c r="E2964" i="1"/>
  <c r="W2963" i="1" a="1"/>
  <c r="W2963" i="1" s="1"/>
  <c r="E2963" i="1"/>
  <c r="W2962" i="1" a="1"/>
  <c r="W2962" i="1" s="1"/>
  <c r="E2962" i="1"/>
  <c r="W2961" i="1" a="1"/>
  <c r="W2961" i="1" s="1"/>
  <c r="E2961" i="1"/>
  <c r="W2960" i="1" a="1"/>
  <c r="W2960" i="1" s="1"/>
  <c r="E2960" i="1"/>
  <c r="W2959" i="1" a="1"/>
  <c r="W2959" i="1" s="1"/>
  <c r="E2959" i="1"/>
  <c r="W2958" i="1" a="1"/>
  <c r="W2958" i="1" s="1"/>
  <c r="E2958" i="1"/>
  <c r="W2957" i="1" a="1"/>
  <c r="W2957" i="1" s="1"/>
  <c r="E2957" i="1"/>
  <c r="W2956" i="1" a="1"/>
  <c r="W2956" i="1" s="1"/>
  <c r="E2956" i="1"/>
  <c r="W2955" i="1" a="1"/>
  <c r="W2955" i="1" s="1"/>
  <c r="E2955" i="1"/>
  <c r="W2954" i="1" a="1"/>
  <c r="W2954" i="1" s="1"/>
  <c r="E2954" i="1"/>
  <c r="W2953" i="1" a="1"/>
  <c r="W2953" i="1" s="1"/>
  <c r="E2953" i="1"/>
  <c r="W2952" i="1" a="1"/>
  <c r="W2952" i="1" s="1"/>
  <c r="E2952" i="1"/>
  <c r="W2951" i="1" a="1"/>
  <c r="W2951" i="1" s="1"/>
  <c r="E2951" i="1"/>
  <c r="W2950" i="1" a="1"/>
  <c r="W2950" i="1" s="1"/>
  <c r="E2950" i="1"/>
  <c r="W2949" i="1" a="1"/>
  <c r="W2949" i="1" s="1"/>
  <c r="E2949" i="1"/>
  <c r="W2948" i="1" a="1"/>
  <c r="W2948" i="1" s="1"/>
  <c r="E2948" i="1"/>
  <c r="W2947" i="1" a="1"/>
  <c r="W2947" i="1" s="1"/>
  <c r="E2947" i="1"/>
  <c r="W2946" i="1" a="1"/>
  <c r="W2946" i="1" s="1"/>
  <c r="E2946" i="1"/>
  <c r="W2945" i="1" a="1"/>
  <c r="W2945" i="1" s="1"/>
  <c r="E2945" i="1"/>
  <c r="W2944" i="1" a="1"/>
  <c r="W2944" i="1" s="1"/>
  <c r="E2944" i="1"/>
  <c r="W2943" i="1" a="1"/>
  <c r="W2943" i="1" s="1"/>
  <c r="E2943" i="1"/>
  <c r="W2942" i="1" a="1"/>
  <c r="W2942" i="1" s="1"/>
  <c r="E2942" i="1"/>
  <c r="W2941" i="1" a="1"/>
  <c r="W2941" i="1" s="1"/>
  <c r="E2941" i="1"/>
  <c r="W2940" i="1" a="1"/>
  <c r="W2940" i="1" s="1"/>
  <c r="E2940" i="1"/>
  <c r="W2939" i="1" a="1"/>
  <c r="W2939" i="1" s="1"/>
  <c r="E2939" i="1"/>
  <c r="W2938" i="1" a="1"/>
  <c r="W2938" i="1" s="1"/>
  <c r="E2938" i="1"/>
  <c r="W2937" i="1" a="1"/>
  <c r="W2937" i="1" s="1"/>
  <c r="E2937" i="1"/>
  <c r="W2936" i="1" a="1"/>
  <c r="W2936" i="1" s="1"/>
  <c r="E2936" i="1"/>
  <c r="W2935" i="1" a="1"/>
  <c r="W2935" i="1" s="1"/>
  <c r="E2935" i="1"/>
  <c r="W2934" i="1" a="1"/>
  <c r="W2934" i="1" s="1"/>
  <c r="E2934" i="1"/>
  <c r="W2933" i="1" a="1"/>
  <c r="W2933" i="1" s="1"/>
  <c r="E2933" i="1"/>
  <c r="W2932" i="1" a="1"/>
  <c r="W2932" i="1" s="1"/>
  <c r="E2932" i="1"/>
  <c r="W2931" i="1" a="1"/>
  <c r="W2931" i="1" s="1"/>
  <c r="E2931" i="1"/>
  <c r="W2930" i="1" a="1"/>
  <c r="W2930" i="1" s="1"/>
  <c r="E2930" i="1"/>
  <c r="W2929" i="1" a="1"/>
  <c r="W2929" i="1" s="1"/>
  <c r="E2929" i="1"/>
  <c r="W2928" i="1" a="1"/>
  <c r="W2928" i="1" s="1"/>
  <c r="E2928" i="1"/>
  <c r="W2927" i="1" a="1"/>
  <c r="W2927" i="1" s="1"/>
  <c r="E2927" i="1"/>
  <c r="W2926" i="1" a="1"/>
  <c r="W2926" i="1" s="1"/>
  <c r="E2926" i="1"/>
  <c r="W2925" i="1" a="1"/>
  <c r="W2925" i="1" s="1"/>
  <c r="E2925" i="1"/>
  <c r="W2924" i="1" a="1"/>
  <c r="W2924" i="1" s="1"/>
  <c r="E2924" i="1"/>
  <c r="W2923" i="1" a="1"/>
  <c r="W2923" i="1" s="1"/>
  <c r="E2923" i="1"/>
  <c r="W2922" i="1" a="1"/>
  <c r="W2922" i="1" s="1"/>
  <c r="E2922" i="1"/>
  <c r="W2921" i="1" a="1"/>
  <c r="W2921" i="1" s="1"/>
  <c r="E2921" i="1"/>
  <c r="W2920" i="1" a="1"/>
  <c r="W2920" i="1" s="1"/>
  <c r="E2920" i="1"/>
  <c r="W2919" i="1" a="1"/>
  <c r="W2919" i="1" s="1"/>
  <c r="E2919" i="1"/>
  <c r="W2918" i="1" a="1"/>
  <c r="W2918" i="1" s="1"/>
  <c r="E2918" i="1"/>
  <c r="W2917" i="1" a="1"/>
  <c r="W2917" i="1" s="1"/>
  <c r="E2917" i="1"/>
  <c r="W2916" i="1" a="1"/>
  <c r="W2916" i="1" s="1"/>
  <c r="E2916" i="1"/>
  <c r="W2915" i="1" a="1"/>
  <c r="W2915" i="1" s="1"/>
  <c r="E2915" i="1"/>
  <c r="W2914" i="1" a="1"/>
  <c r="W2914" i="1" s="1"/>
  <c r="E2914" i="1"/>
  <c r="W2913" i="1" a="1"/>
  <c r="W2913" i="1" s="1"/>
  <c r="E2913" i="1"/>
  <c r="W2912" i="1" a="1"/>
  <c r="W2912" i="1" s="1"/>
  <c r="E2912" i="1"/>
  <c r="W2911" i="1" a="1"/>
  <c r="W2911" i="1" s="1"/>
  <c r="E2911" i="1"/>
  <c r="W2910" i="1" a="1"/>
  <c r="W2910" i="1" s="1"/>
  <c r="E2910" i="1"/>
  <c r="W2909" i="1" a="1"/>
  <c r="W2909" i="1" s="1"/>
  <c r="E2909" i="1"/>
  <c r="W2908" i="1" a="1"/>
  <c r="W2908" i="1" s="1"/>
  <c r="E2908" i="1"/>
  <c r="W2907" i="1" a="1"/>
  <c r="W2907" i="1" s="1"/>
  <c r="E2907" i="1"/>
  <c r="W2906" i="1" a="1"/>
  <c r="W2906" i="1" s="1"/>
  <c r="E2906" i="1"/>
  <c r="W2905" i="1" a="1"/>
  <c r="W2905" i="1" s="1"/>
  <c r="E2905" i="1"/>
  <c r="W2904" i="1" a="1"/>
  <c r="W2904" i="1" s="1"/>
  <c r="E2904" i="1"/>
  <c r="W2903" i="1" a="1"/>
  <c r="W2903" i="1" s="1"/>
  <c r="E2903" i="1"/>
  <c r="W2902" i="1" a="1"/>
  <c r="W2902" i="1" s="1"/>
  <c r="E2902" i="1"/>
  <c r="W2901" i="1" a="1"/>
  <c r="W2901" i="1" s="1"/>
  <c r="E2901" i="1"/>
  <c r="W2900" i="1" a="1"/>
  <c r="W2900" i="1" s="1"/>
  <c r="E2900" i="1"/>
  <c r="W2899" i="1" a="1"/>
  <c r="W2899" i="1" s="1"/>
  <c r="E2899" i="1"/>
  <c r="W2898" i="1" a="1"/>
  <c r="W2898" i="1" s="1"/>
  <c r="E2898" i="1"/>
  <c r="W2897" i="1" a="1"/>
  <c r="W2897" i="1" s="1"/>
  <c r="E2897" i="1"/>
  <c r="W2896" i="1" a="1"/>
  <c r="W2896" i="1" s="1"/>
  <c r="E2896" i="1"/>
  <c r="W2895" i="1" a="1"/>
  <c r="W2895" i="1" s="1"/>
  <c r="E2895" i="1"/>
  <c r="W2894" i="1" a="1"/>
  <c r="W2894" i="1" s="1"/>
  <c r="E2894" i="1"/>
  <c r="W2893" i="1" a="1"/>
  <c r="W2893" i="1" s="1"/>
  <c r="E2893" i="1"/>
  <c r="W2892" i="1" a="1"/>
  <c r="W2892" i="1" s="1"/>
  <c r="E2892" i="1"/>
  <c r="W2891" i="1" a="1"/>
  <c r="W2891" i="1" s="1"/>
  <c r="E2891" i="1"/>
  <c r="W2890" i="1" a="1"/>
  <c r="W2890" i="1" s="1"/>
  <c r="E2890" i="1"/>
  <c r="W2889" i="1" a="1"/>
  <c r="W2889" i="1" s="1"/>
  <c r="E2889" i="1"/>
  <c r="W2888" i="1" a="1"/>
  <c r="W2888" i="1" s="1"/>
  <c r="E2888" i="1"/>
  <c r="W2887" i="1" a="1"/>
  <c r="W2887" i="1" s="1"/>
  <c r="E2887" i="1"/>
  <c r="W2886" i="1" a="1"/>
  <c r="W2886" i="1" s="1"/>
  <c r="E2886" i="1"/>
  <c r="W2885" i="1" a="1"/>
  <c r="W2885" i="1" s="1"/>
  <c r="E2885" i="1"/>
  <c r="W2884" i="1" a="1"/>
  <c r="W2884" i="1" s="1"/>
  <c r="E2884" i="1"/>
  <c r="W2883" i="1" a="1"/>
  <c r="W2883" i="1" s="1"/>
  <c r="E2883" i="1"/>
  <c r="W2882" i="1" a="1"/>
  <c r="W2882" i="1" s="1"/>
  <c r="E2882" i="1"/>
  <c r="W2881" i="1" a="1"/>
  <c r="W2881" i="1" s="1"/>
  <c r="E2881" i="1"/>
  <c r="W2880" i="1" a="1"/>
  <c r="W2880" i="1" s="1"/>
  <c r="E2880" i="1"/>
  <c r="W2879" i="1" a="1"/>
  <c r="W2879" i="1" s="1"/>
  <c r="E2879" i="1"/>
  <c r="W2878" i="1" a="1"/>
  <c r="W2878" i="1" s="1"/>
  <c r="E2878" i="1"/>
  <c r="W2877" i="1" a="1"/>
  <c r="W2877" i="1" s="1"/>
  <c r="E2877" i="1"/>
  <c r="W2876" i="1" a="1"/>
  <c r="W2876" i="1" s="1"/>
  <c r="E2876" i="1"/>
  <c r="W2875" i="1" a="1"/>
  <c r="W2875" i="1" s="1"/>
  <c r="E2875" i="1"/>
  <c r="W2874" i="1" a="1"/>
  <c r="W2874" i="1" s="1"/>
  <c r="E2874" i="1"/>
  <c r="W2873" i="1" a="1"/>
  <c r="W2873" i="1" s="1"/>
  <c r="E2873" i="1"/>
  <c r="W2872" i="1" a="1"/>
  <c r="W2872" i="1" s="1"/>
  <c r="E2872" i="1"/>
  <c r="W2871" i="1" a="1"/>
  <c r="W2871" i="1" s="1"/>
  <c r="E2871" i="1"/>
  <c r="W2870" i="1" a="1"/>
  <c r="W2870" i="1" s="1"/>
  <c r="E2870" i="1"/>
  <c r="W2869" i="1" a="1"/>
  <c r="W2869" i="1" s="1"/>
  <c r="E2869" i="1"/>
  <c r="W2868" i="1" a="1"/>
  <c r="W2868" i="1" s="1"/>
  <c r="E2868" i="1"/>
  <c r="W2867" i="1" a="1"/>
  <c r="W2867" i="1" s="1"/>
  <c r="E2867" i="1"/>
  <c r="W2866" i="1" a="1"/>
  <c r="W2866" i="1" s="1"/>
  <c r="E2866" i="1"/>
  <c r="W2865" i="1" a="1"/>
  <c r="W2865" i="1" s="1"/>
  <c r="E2865" i="1"/>
  <c r="W2864" i="1" a="1"/>
  <c r="W2864" i="1" s="1"/>
  <c r="E2864" i="1"/>
  <c r="W2863" i="1" a="1"/>
  <c r="W2863" i="1" s="1"/>
  <c r="E2863" i="1"/>
  <c r="W2862" i="1" a="1"/>
  <c r="W2862" i="1" s="1"/>
  <c r="E2862" i="1"/>
  <c r="W2861" i="1" a="1"/>
  <c r="W2861" i="1" s="1"/>
  <c r="E2861" i="1"/>
  <c r="W2860" i="1" a="1"/>
  <c r="W2860" i="1" s="1"/>
  <c r="E2860" i="1"/>
  <c r="W2859" i="1" a="1"/>
  <c r="W2859" i="1" s="1"/>
  <c r="E2859" i="1"/>
  <c r="W2858" i="1" a="1"/>
  <c r="W2858" i="1" s="1"/>
  <c r="E2858" i="1"/>
  <c r="W2857" i="1" a="1"/>
  <c r="W2857" i="1" s="1"/>
  <c r="E2857" i="1"/>
  <c r="W2856" i="1" a="1"/>
  <c r="W2856" i="1" s="1"/>
  <c r="E2856" i="1"/>
  <c r="W2855" i="1" a="1"/>
  <c r="W2855" i="1" s="1"/>
  <c r="E2855" i="1"/>
  <c r="W2854" i="1" a="1"/>
  <c r="W2854" i="1" s="1"/>
  <c r="E2854" i="1"/>
  <c r="W2853" i="1" a="1"/>
  <c r="W2853" i="1" s="1"/>
  <c r="E2853" i="1"/>
  <c r="W2852" i="1" a="1"/>
  <c r="W2852" i="1" s="1"/>
  <c r="E2852" i="1"/>
  <c r="W2851" i="1" a="1"/>
  <c r="W2851" i="1" s="1"/>
  <c r="E2851" i="1"/>
  <c r="W2850" i="1" a="1"/>
  <c r="W2850" i="1" s="1"/>
  <c r="E2850" i="1"/>
  <c r="W2849" i="1" a="1"/>
  <c r="W2849" i="1" s="1"/>
  <c r="E2849" i="1"/>
  <c r="W2848" i="1" a="1"/>
  <c r="W2848" i="1" s="1"/>
  <c r="E2848" i="1"/>
  <c r="W2847" i="1" a="1"/>
  <c r="W2847" i="1" s="1"/>
  <c r="E2847" i="1"/>
  <c r="W2846" i="1" a="1"/>
  <c r="W2846" i="1" s="1"/>
  <c r="E2846" i="1"/>
  <c r="W2845" i="1" a="1"/>
  <c r="W2845" i="1" s="1"/>
  <c r="E2845" i="1"/>
  <c r="W2844" i="1" a="1"/>
  <c r="W2844" i="1" s="1"/>
  <c r="E2844" i="1"/>
  <c r="W2843" i="1" a="1"/>
  <c r="W2843" i="1" s="1"/>
  <c r="E2843" i="1"/>
  <c r="W2842" i="1" a="1"/>
  <c r="W2842" i="1" s="1"/>
  <c r="E2842" i="1"/>
  <c r="W2841" i="1" a="1"/>
  <c r="W2841" i="1" s="1"/>
  <c r="E2841" i="1"/>
  <c r="W2840" i="1" a="1"/>
  <c r="W2840" i="1" s="1"/>
  <c r="E2840" i="1"/>
  <c r="W2839" i="1" a="1"/>
  <c r="W2839" i="1" s="1"/>
  <c r="E2839" i="1"/>
  <c r="W2838" i="1" a="1"/>
  <c r="W2838" i="1" s="1"/>
  <c r="E2838" i="1"/>
  <c r="W2837" i="1" a="1"/>
  <c r="W2837" i="1" s="1"/>
  <c r="E2837" i="1"/>
  <c r="W2836" i="1" a="1"/>
  <c r="W2836" i="1" s="1"/>
  <c r="E2836" i="1"/>
  <c r="W2835" i="1" a="1"/>
  <c r="W2835" i="1" s="1"/>
  <c r="E2835" i="1"/>
  <c r="W2834" i="1" a="1"/>
  <c r="W2834" i="1" s="1"/>
  <c r="E2834" i="1"/>
  <c r="W2833" i="1" a="1"/>
  <c r="W2833" i="1" s="1"/>
  <c r="E2833" i="1"/>
  <c r="W2832" i="1" a="1"/>
  <c r="W2832" i="1" s="1"/>
  <c r="E2832" i="1"/>
  <c r="W2831" i="1" a="1"/>
  <c r="W2831" i="1" s="1"/>
  <c r="E2831" i="1"/>
  <c r="W2830" i="1" a="1"/>
  <c r="W2830" i="1" s="1"/>
  <c r="E2830" i="1"/>
  <c r="W2829" i="1" a="1"/>
  <c r="W2829" i="1" s="1"/>
  <c r="E2829" i="1"/>
  <c r="W2828" i="1" a="1"/>
  <c r="W2828" i="1" s="1"/>
  <c r="E2828" i="1"/>
  <c r="W2827" i="1" a="1"/>
  <c r="W2827" i="1" s="1"/>
  <c r="E2827" i="1"/>
  <c r="W2826" i="1" a="1"/>
  <c r="W2826" i="1" s="1"/>
  <c r="E2826" i="1"/>
  <c r="W2825" i="1" a="1"/>
  <c r="W2825" i="1" s="1"/>
  <c r="E2825" i="1"/>
  <c r="W2824" i="1" a="1"/>
  <c r="W2824" i="1" s="1"/>
  <c r="E2824" i="1"/>
  <c r="W2823" i="1" a="1"/>
  <c r="W2823" i="1" s="1"/>
  <c r="E2823" i="1"/>
  <c r="W2822" i="1" a="1"/>
  <c r="W2822" i="1" s="1"/>
  <c r="E2822" i="1"/>
  <c r="W2821" i="1" a="1"/>
  <c r="W2821" i="1" s="1"/>
  <c r="E2821" i="1"/>
  <c r="W2820" i="1" a="1"/>
  <c r="W2820" i="1" s="1"/>
  <c r="E2820" i="1"/>
  <c r="W2819" i="1" a="1"/>
  <c r="W2819" i="1" s="1"/>
  <c r="E2819" i="1"/>
  <c r="W2818" i="1" a="1"/>
  <c r="W2818" i="1" s="1"/>
  <c r="E2818" i="1"/>
  <c r="W2817" i="1" a="1"/>
  <c r="W2817" i="1" s="1"/>
  <c r="E2817" i="1"/>
  <c r="W2816" i="1" a="1"/>
  <c r="W2816" i="1" s="1"/>
  <c r="E2816" i="1"/>
  <c r="W2815" i="1" a="1"/>
  <c r="W2815" i="1" s="1"/>
  <c r="E2815" i="1"/>
  <c r="W2814" i="1" a="1"/>
  <c r="W2814" i="1" s="1"/>
  <c r="E2814" i="1"/>
  <c r="W2813" i="1" a="1"/>
  <c r="W2813" i="1" s="1"/>
  <c r="E2813" i="1"/>
  <c r="W2812" i="1" a="1"/>
  <c r="W2812" i="1" s="1"/>
  <c r="E2812" i="1"/>
  <c r="W2811" i="1" a="1"/>
  <c r="W2811" i="1" s="1"/>
  <c r="E2811" i="1"/>
  <c r="W2810" i="1" a="1"/>
  <c r="W2810" i="1" s="1"/>
  <c r="E2810" i="1"/>
  <c r="W2809" i="1" a="1"/>
  <c r="W2809" i="1" s="1"/>
  <c r="E2809" i="1"/>
  <c r="W2808" i="1" a="1"/>
  <c r="W2808" i="1" s="1"/>
  <c r="E2808" i="1"/>
  <c r="W2807" i="1" a="1"/>
  <c r="W2807" i="1" s="1"/>
  <c r="E2807" i="1"/>
  <c r="W2806" i="1" a="1"/>
  <c r="W2806" i="1" s="1"/>
  <c r="E2806" i="1"/>
  <c r="W2805" i="1" a="1"/>
  <c r="W2805" i="1" s="1"/>
  <c r="E2805" i="1"/>
  <c r="W2804" i="1" a="1"/>
  <c r="W2804" i="1" s="1"/>
  <c r="E2804" i="1"/>
  <c r="W2803" i="1" a="1"/>
  <c r="W2803" i="1" s="1"/>
  <c r="E2803" i="1"/>
  <c r="W2802" i="1" a="1"/>
  <c r="W2802" i="1" s="1"/>
  <c r="E2802" i="1"/>
  <c r="W2801" i="1" a="1"/>
  <c r="W2801" i="1" s="1"/>
  <c r="E2801" i="1"/>
  <c r="W2800" i="1" a="1"/>
  <c r="W2800" i="1" s="1"/>
  <c r="E2800" i="1"/>
  <c r="W2799" i="1" a="1"/>
  <c r="W2799" i="1" s="1"/>
  <c r="E2799" i="1"/>
  <c r="W2798" i="1" a="1"/>
  <c r="W2798" i="1" s="1"/>
  <c r="E2798" i="1"/>
  <c r="W2797" i="1" a="1"/>
  <c r="W2797" i="1" s="1"/>
  <c r="E2797" i="1"/>
  <c r="W2796" i="1" a="1"/>
  <c r="W2796" i="1" s="1"/>
  <c r="E2796" i="1"/>
  <c r="W2795" i="1" a="1"/>
  <c r="W2795" i="1" s="1"/>
  <c r="E2795" i="1"/>
  <c r="W2794" i="1" a="1"/>
  <c r="W2794" i="1" s="1"/>
  <c r="E2794" i="1"/>
  <c r="W2793" i="1" a="1"/>
  <c r="W2793" i="1" s="1"/>
  <c r="E2793" i="1"/>
  <c r="W2792" i="1" a="1"/>
  <c r="W2792" i="1" s="1"/>
  <c r="E2792" i="1"/>
  <c r="W2791" i="1" a="1"/>
  <c r="W2791" i="1" s="1"/>
  <c r="E2791" i="1"/>
  <c r="W2790" i="1" a="1"/>
  <c r="W2790" i="1" s="1"/>
  <c r="E2790" i="1"/>
  <c r="W2789" i="1" a="1"/>
  <c r="W2789" i="1" s="1"/>
  <c r="E2789" i="1"/>
  <c r="W2788" i="1" a="1"/>
  <c r="W2788" i="1" s="1"/>
  <c r="E2788" i="1"/>
  <c r="W2787" i="1" a="1"/>
  <c r="W2787" i="1" s="1"/>
  <c r="E2787" i="1"/>
  <c r="W2786" i="1" a="1"/>
  <c r="W2786" i="1" s="1"/>
  <c r="E2786" i="1"/>
  <c r="W2785" i="1" a="1"/>
  <c r="W2785" i="1" s="1"/>
  <c r="E2785" i="1"/>
  <c r="W2784" i="1" a="1"/>
  <c r="W2784" i="1" s="1"/>
  <c r="E2784" i="1"/>
  <c r="W2783" i="1" a="1"/>
  <c r="W2783" i="1" s="1"/>
  <c r="E2783" i="1"/>
  <c r="W2782" i="1" a="1"/>
  <c r="W2782" i="1" s="1"/>
  <c r="E2782" i="1"/>
  <c r="W2781" i="1" a="1"/>
  <c r="W2781" i="1" s="1"/>
  <c r="E2781" i="1"/>
  <c r="W2780" i="1" a="1"/>
  <c r="W2780" i="1" s="1"/>
  <c r="E2780" i="1"/>
  <c r="W2779" i="1" a="1"/>
  <c r="W2779" i="1" s="1"/>
  <c r="E2779" i="1"/>
  <c r="W2778" i="1" a="1"/>
  <c r="W2778" i="1" s="1"/>
  <c r="E2778" i="1"/>
  <c r="W2777" i="1" a="1"/>
  <c r="W2777" i="1" s="1"/>
  <c r="E2777" i="1"/>
  <c r="W2776" i="1" a="1"/>
  <c r="W2776" i="1" s="1"/>
  <c r="E2776" i="1"/>
  <c r="W2775" i="1" a="1"/>
  <c r="W2775" i="1" s="1"/>
  <c r="E2775" i="1"/>
  <c r="W2774" i="1" a="1"/>
  <c r="W2774" i="1" s="1"/>
  <c r="E2774" i="1"/>
  <c r="W2773" i="1" a="1"/>
  <c r="W2773" i="1" s="1"/>
  <c r="E2773" i="1"/>
  <c r="W2772" i="1" a="1"/>
  <c r="W2772" i="1" s="1"/>
  <c r="E2772" i="1"/>
  <c r="W2771" i="1" a="1"/>
  <c r="W2771" i="1" s="1"/>
  <c r="E2771" i="1"/>
  <c r="W2770" i="1" a="1"/>
  <c r="W2770" i="1" s="1"/>
  <c r="E2770" i="1"/>
  <c r="W2769" i="1" a="1"/>
  <c r="W2769" i="1" s="1"/>
  <c r="E2769" i="1"/>
  <c r="W2768" i="1" a="1"/>
  <c r="W2768" i="1" s="1"/>
  <c r="E2768" i="1"/>
  <c r="W2767" i="1" a="1"/>
  <c r="W2767" i="1" s="1"/>
  <c r="E2767" i="1"/>
  <c r="W2766" i="1" a="1"/>
  <c r="W2766" i="1" s="1"/>
  <c r="E2766" i="1"/>
  <c r="W2765" i="1" a="1"/>
  <c r="W2765" i="1" s="1"/>
  <c r="E2765" i="1"/>
  <c r="W2764" i="1" a="1"/>
  <c r="W2764" i="1" s="1"/>
  <c r="E2764" i="1"/>
  <c r="W2763" i="1" a="1"/>
  <c r="W2763" i="1" s="1"/>
  <c r="E2763" i="1"/>
  <c r="W2762" i="1" a="1"/>
  <c r="W2762" i="1" s="1"/>
  <c r="E2762" i="1"/>
  <c r="W2761" i="1" a="1"/>
  <c r="W2761" i="1" s="1"/>
  <c r="E2761" i="1"/>
  <c r="W2760" i="1" a="1"/>
  <c r="W2760" i="1" s="1"/>
  <c r="E2760" i="1"/>
  <c r="W2759" i="1" a="1"/>
  <c r="W2759" i="1" s="1"/>
  <c r="E2759" i="1"/>
  <c r="W2758" i="1" a="1"/>
  <c r="W2758" i="1" s="1"/>
  <c r="E2758" i="1"/>
  <c r="W2757" i="1" a="1"/>
  <c r="W2757" i="1" s="1"/>
  <c r="E2757" i="1"/>
  <c r="W2756" i="1" a="1"/>
  <c r="W2756" i="1" s="1"/>
  <c r="E2756" i="1"/>
  <c r="W2755" i="1" a="1"/>
  <c r="W2755" i="1" s="1"/>
  <c r="E2755" i="1"/>
  <c r="W2754" i="1" a="1"/>
  <c r="W2754" i="1" s="1"/>
  <c r="E2754" i="1"/>
  <c r="W2753" i="1" a="1"/>
  <c r="W2753" i="1" s="1"/>
  <c r="E2753" i="1"/>
  <c r="W2752" i="1" a="1"/>
  <c r="W2752" i="1" s="1"/>
  <c r="E2752" i="1"/>
  <c r="W2751" i="1" a="1"/>
  <c r="W2751" i="1" s="1"/>
  <c r="E2751" i="1"/>
  <c r="W2750" i="1" a="1"/>
  <c r="W2750" i="1" s="1"/>
  <c r="E2750" i="1"/>
  <c r="W2749" i="1" a="1"/>
  <c r="W2749" i="1" s="1"/>
  <c r="E2749" i="1"/>
  <c r="W2748" i="1" a="1"/>
  <c r="W2748" i="1" s="1"/>
  <c r="E2748" i="1"/>
  <c r="W2747" i="1" a="1"/>
  <c r="W2747" i="1" s="1"/>
  <c r="E2747" i="1"/>
  <c r="W2746" i="1" a="1"/>
  <c r="W2746" i="1" s="1"/>
  <c r="E2746" i="1"/>
  <c r="W2745" i="1" a="1"/>
  <c r="W2745" i="1" s="1"/>
  <c r="E2745" i="1"/>
  <c r="W2744" i="1" a="1"/>
  <c r="W2744" i="1" s="1"/>
  <c r="E2744" i="1"/>
  <c r="W2743" i="1" a="1"/>
  <c r="W2743" i="1" s="1"/>
  <c r="E2743" i="1"/>
  <c r="W2742" i="1" a="1"/>
  <c r="W2742" i="1" s="1"/>
  <c r="E2742" i="1"/>
  <c r="W2741" i="1" a="1"/>
  <c r="W2741" i="1" s="1"/>
  <c r="E2741" i="1"/>
  <c r="W2740" i="1" a="1"/>
  <c r="W2740" i="1" s="1"/>
  <c r="E2740" i="1"/>
  <c r="W2739" i="1" a="1"/>
  <c r="W2739" i="1" s="1"/>
  <c r="E2739" i="1"/>
  <c r="W2738" i="1" a="1"/>
  <c r="W2738" i="1" s="1"/>
  <c r="E2738" i="1"/>
  <c r="W2737" i="1" a="1"/>
  <c r="W2737" i="1" s="1"/>
  <c r="E2737" i="1"/>
  <c r="W2736" i="1" a="1"/>
  <c r="W2736" i="1" s="1"/>
  <c r="E2736" i="1"/>
  <c r="W2735" i="1" a="1"/>
  <c r="W2735" i="1" s="1"/>
  <c r="E2735" i="1"/>
  <c r="W2734" i="1" a="1"/>
  <c r="W2734" i="1" s="1"/>
  <c r="E2734" i="1"/>
  <c r="W2733" i="1" a="1"/>
  <c r="W2733" i="1" s="1"/>
  <c r="E2733" i="1"/>
  <c r="W2732" i="1" a="1"/>
  <c r="W2732" i="1" s="1"/>
  <c r="E2732" i="1"/>
  <c r="W2731" i="1" a="1"/>
  <c r="W2731" i="1" s="1"/>
  <c r="E2731" i="1"/>
  <c r="W2730" i="1" a="1"/>
  <c r="W2730" i="1" s="1"/>
  <c r="E2730" i="1"/>
  <c r="W2729" i="1" a="1"/>
  <c r="W2729" i="1" s="1"/>
  <c r="E2729" i="1"/>
  <c r="W2728" i="1" a="1"/>
  <c r="W2728" i="1" s="1"/>
  <c r="E2728" i="1"/>
  <c r="W2727" i="1" a="1"/>
  <c r="W2727" i="1" s="1"/>
  <c r="E2727" i="1"/>
  <c r="W2726" i="1" a="1"/>
  <c r="W2726" i="1" s="1"/>
  <c r="E2726" i="1"/>
  <c r="W2725" i="1" a="1"/>
  <c r="W2725" i="1" s="1"/>
  <c r="E2725" i="1"/>
  <c r="W2724" i="1" a="1"/>
  <c r="W2724" i="1" s="1"/>
  <c r="E2724" i="1"/>
  <c r="W2723" i="1" a="1"/>
  <c r="W2723" i="1" s="1"/>
  <c r="E2723" i="1"/>
  <c r="W2722" i="1" a="1"/>
  <c r="W2722" i="1" s="1"/>
  <c r="E2722" i="1"/>
  <c r="W2721" i="1" a="1"/>
  <c r="W2721" i="1" s="1"/>
  <c r="E2721" i="1"/>
  <c r="W2720" i="1" a="1"/>
  <c r="W2720" i="1" s="1"/>
  <c r="E2720" i="1"/>
  <c r="W2719" i="1" a="1"/>
  <c r="W2719" i="1" s="1"/>
  <c r="E2719" i="1"/>
  <c r="W2718" i="1" a="1"/>
  <c r="W2718" i="1" s="1"/>
  <c r="E2718" i="1"/>
  <c r="W2717" i="1" a="1"/>
  <c r="W2717" i="1" s="1"/>
  <c r="E2717" i="1"/>
  <c r="W2716" i="1" a="1"/>
  <c r="W2716" i="1" s="1"/>
  <c r="E2716" i="1"/>
  <c r="W2715" i="1" a="1"/>
  <c r="W2715" i="1" s="1"/>
  <c r="E2715" i="1"/>
  <c r="W2714" i="1" a="1"/>
  <c r="W2714" i="1" s="1"/>
  <c r="E2714" i="1"/>
  <c r="W2713" i="1" a="1"/>
  <c r="W2713" i="1" s="1"/>
  <c r="E2713" i="1"/>
  <c r="W2712" i="1" a="1"/>
  <c r="W2712" i="1" s="1"/>
  <c r="E2712" i="1"/>
  <c r="W2711" i="1" a="1"/>
  <c r="W2711" i="1" s="1"/>
  <c r="E2711" i="1"/>
  <c r="W2710" i="1" a="1"/>
  <c r="W2710" i="1" s="1"/>
  <c r="E2710" i="1"/>
  <c r="W2709" i="1" a="1"/>
  <c r="W2709" i="1" s="1"/>
  <c r="E2709" i="1"/>
  <c r="W2708" i="1" a="1"/>
  <c r="W2708" i="1" s="1"/>
  <c r="E2708" i="1"/>
  <c r="W2707" i="1" a="1"/>
  <c r="W2707" i="1" s="1"/>
  <c r="E2707" i="1"/>
  <c r="W2706" i="1" a="1"/>
  <c r="W2706" i="1" s="1"/>
  <c r="E2706" i="1"/>
  <c r="W2705" i="1" a="1"/>
  <c r="W2705" i="1" s="1"/>
  <c r="E2705" i="1"/>
  <c r="W2704" i="1" a="1"/>
  <c r="W2704" i="1" s="1"/>
  <c r="E2704" i="1"/>
  <c r="W2703" i="1" a="1"/>
  <c r="W2703" i="1" s="1"/>
  <c r="E2703" i="1"/>
  <c r="W2702" i="1" a="1"/>
  <c r="W2702" i="1" s="1"/>
  <c r="E2702" i="1"/>
  <c r="W2701" i="1" a="1"/>
  <c r="W2701" i="1" s="1"/>
  <c r="E2701" i="1"/>
  <c r="W2700" i="1" a="1"/>
  <c r="W2700" i="1" s="1"/>
  <c r="E2700" i="1"/>
  <c r="W2699" i="1" a="1"/>
  <c r="W2699" i="1" s="1"/>
  <c r="E2699" i="1"/>
  <c r="W2698" i="1" a="1"/>
  <c r="W2698" i="1" s="1"/>
  <c r="E2698" i="1"/>
  <c r="W2697" i="1" a="1"/>
  <c r="W2697" i="1" s="1"/>
  <c r="E2697" i="1"/>
  <c r="W2696" i="1" a="1"/>
  <c r="W2696" i="1" s="1"/>
  <c r="E2696" i="1"/>
  <c r="W2695" i="1" a="1"/>
  <c r="W2695" i="1" s="1"/>
  <c r="E2695" i="1"/>
  <c r="W2694" i="1" a="1"/>
  <c r="W2694" i="1" s="1"/>
  <c r="E2694" i="1"/>
  <c r="W2693" i="1" a="1"/>
  <c r="W2693" i="1" s="1"/>
  <c r="E2693" i="1"/>
  <c r="W2692" i="1" a="1"/>
  <c r="W2692" i="1" s="1"/>
  <c r="E2692" i="1"/>
  <c r="W2691" i="1" a="1"/>
  <c r="W2691" i="1" s="1"/>
  <c r="E2691" i="1"/>
  <c r="W2690" i="1" a="1"/>
  <c r="W2690" i="1" s="1"/>
  <c r="E2690" i="1"/>
  <c r="W2689" i="1" a="1"/>
  <c r="W2689" i="1" s="1"/>
  <c r="E2689" i="1"/>
  <c r="W2688" i="1" a="1"/>
  <c r="W2688" i="1" s="1"/>
  <c r="E2688" i="1"/>
  <c r="W2687" i="1" a="1"/>
  <c r="W2687" i="1" s="1"/>
  <c r="E2687" i="1"/>
  <c r="W2686" i="1" a="1"/>
  <c r="W2686" i="1" s="1"/>
  <c r="E2686" i="1"/>
  <c r="W2685" i="1" a="1"/>
  <c r="W2685" i="1" s="1"/>
  <c r="E2685" i="1"/>
  <c r="W2684" i="1" a="1"/>
  <c r="W2684" i="1" s="1"/>
  <c r="E2684" i="1"/>
  <c r="W2683" i="1" a="1"/>
  <c r="W2683" i="1" s="1"/>
  <c r="E2683" i="1"/>
  <c r="W2682" i="1" a="1"/>
  <c r="W2682" i="1" s="1"/>
  <c r="E2682" i="1"/>
  <c r="W2681" i="1" a="1"/>
  <c r="W2681" i="1" s="1"/>
  <c r="E2681" i="1"/>
  <c r="W2680" i="1" a="1"/>
  <c r="W2680" i="1" s="1"/>
  <c r="E2680" i="1"/>
  <c r="W2679" i="1" a="1"/>
  <c r="W2679" i="1" s="1"/>
  <c r="E2679" i="1"/>
  <c r="W2678" i="1" a="1"/>
  <c r="W2678" i="1" s="1"/>
  <c r="E2678" i="1"/>
  <c r="W2677" i="1" a="1"/>
  <c r="W2677" i="1" s="1"/>
  <c r="E2677" i="1"/>
  <c r="W2676" i="1" a="1"/>
  <c r="W2676" i="1" s="1"/>
  <c r="E2676" i="1"/>
  <c r="W2675" i="1" a="1"/>
  <c r="W2675" i="1" s="1"/>
  <c r="E2675" i="1"/>
  <c r="W2674" i="1" a="1"/>
  <c r="W2674" i="1" s="1"/>
  <c r="E2674" i="1"/>
  <c r="W2673" i="1" a="1"/>
  <c r="W2673" i="1" s="1"/>
  <c r="E2673" i="1"/>
  <c r="W2672" i="1" a="1"/>
  <c r="W2672" i="1" s="1"/>
  <c r="E2672" i="1"/>
  <c r="W2671" i="1" a="1"/>
  <c r="W2671" i="1" s="1"/>
  <c r="E2671" i="1"/>
  <c r="W2670" i="1" a="1"/>
  <c r="W2670" i="1" s="1"/>
  <c r="E2670" i="1"/>
  <c r="W2669" i="1" a="1"/>
  <c r="W2669" i="1" s="1"/>
  <c r="E2669" i="1"/>
  <c r="W2668" i="1" a="1"/>
  <c r="W2668" i="1" s="1"/>
  <c r="E2668" i="1"/>
  <c r="W2667" i="1" a="1"/>
  <c r="W2667" i="1" s="1"/>
  <c r="E2667" i="1"/>
  <c r="W2666" i="1" a="1"/>
  <c r="W2666" i="1" s="1"/>
  <c r="E2666" i="1"/>
  <c r="W2665" i="1" a="1"/>
  <c r="W2665" i="1" s="1"/>
  <c r="E2665" i="1"/>
  <c r="W2664" i="1" a="1"/>
  <c r="W2664" i="1" s="1"/>
  <c r="E2664" i="1"/>
  <c r="W2663" i="1" a="1"/>
  <c r="W2663" i="1" s="1"/>
  <c r="E2663" i="1"/>
  <c r="W2662" i="1" a="1"/>
  <c r="W2662" i="1" s="1"/>
  <c r="E2662" i="1"/>
  <c r="W2661" i="1" a="1"/>
  <c r="W2661" i="1" s="1"/>
  <c r="E2661" i="1"/>
  <c r="W2660" i="1" a="1"/>
  <c r="W2660" i="1" s="1"/>
  <c r="E2660" i="1"/>
  <c r="W2659" i="1" a="1"/>
  <c r="W2659" i="1" s="1"/>
  <c r="E2659" i="1"/>
  <c r="W2658" i="1" a="1"/>
  <c r="W2658" i="1" s="1"/>
  <c r="E2658" i="1"/>
  <c r="W2657" i="1" a="1"/>
  <c r="W2657" i="1" s="1"/>
  <c r="E2657" i="1"/>
  <c r="W2656" i="1" a="1"/>
  <c r="W2656" i="1" s="1"/>
  <c r="E2656" i="1"/>
  <c r="W2655" i="1" a="1"/>
  <c r="W2655" i="1" s="1"/>
  <c r="E2655" i="1"/>
  <c r="W2654" i="1" a="1"/>
  <c r="W2654" i="1" s="1"/>
  <c r="E2654" i="1"/>
  <c r="W2653" i="1" a="1"/>
  <c r="W2653" i="1" s="1"/>
  <c r="E2653" i="1"/>
  <c r="W2652" i="1" a="1"/>
  <c r="W2652" i="1" s="1"/>
  <c r="E2652" i="1"/>
  <c r="W2651" i="1" a="1"/>
  <c r="W2651" i="1" s="1"/>
  <c r="E2651" i="1"/>
  <c r="W2650" i="1" a="1"/>
  <c r="W2650" i="1" s="1"/>
  <c r="E2650" i="1"/>
  <c r="W2649" i="1" a="1"/>
  <c r="W2649" i="1" s="1"/>
  <c r="E2649" i="1"/>
  <c r="W2648" i="1" a="1"/>
  <c r="W2648" i="1" s="1"/>
  <c r="E2648" i="1"/>
  <c r="W2647" i="1" a="1"/>
  <c r="W2647" i="1" s="1"/>
  <c r="E2647" i="1"/>
  <c r="W2646" i="1" a="1"/>
  <c r="W2646" i="1" s="1"/>
  <c r="E2646" i="1"/>
  <c r="W2645" i="1" a="1"/>
  <c r="W2645" i="1" s="1"/>
  <c r="E2645" i="1"/>
  <c r="W2644" i="1" a="1"/>
  <c r="W2644" i="1" s="1"/>
  <c r="E2644" i="1"/>
  <c r="W2643" i="1" a="1"/>
  <c r="W2643" i="1" s="1"/>
  <c r="E2643" i="1"/>
  <c r="W2642" i="1" a="1"/>
  <c r="W2642" i="1" s="1"/>
  <c r="E2642" i="1"/>
  <c r="W2641" i="1" a="1"/>
  <c r="W2641" i="1" s="1"/>
  <c r="E2641" i="1"/>
  <c r="W2640" i="1" a="1"/>
  <c r="W2640" i="1" s="1"/>
  <c r="E2640" i="1"/>
  <c r="W2639" i="1" a="1"/>
  <c r="W2639" i="1" s="1"/>
  <c r="E2639" i="1"/>
  <c r="W2638" i="1" a="1"/>
  <c r="W2638" i="1" s="1"/>
  <c r="E2638" i="1"/>
  <c r="W2637" i="1" a="1"/>
  <c r="W2637" i="1" s="1"/>
  <c r="E2637" i="1"/>
  <c r="W2636" i="1" a="1"/>
  <c r="W2636" i="1" s="1"/>
  <c r="E2636" i="1"/>
  <c r="W2635" i="1" a="1"/>
  <c r="W2635" i="1" s="1"/>
  <c r="E2635" i="1"/>
  <c r="W2634" i="1" a="1"/>
  <c r="W2634" i="1" s="1"/>
  <c r="E2634" i="1"/>
  <c r="W2633" i="1" a="1"/>
  <c r="W2633" i="1" s="1"/>
  <c r="E2633" i="1"/>
  <c r="W2632" i="1" a="1"/>
  <c r="W2632" i="1" s="1"/>
  <c r="E2632" i="1"/>
  <c r="W2631" i="1" a="1"/>
  <c r="W2631" i="1" s="1"/>
  <c r="E2631" i="1"/>
  <c r="W2630" i="1" a="1"/>
  <c r="W2630" i="1" s="1"/>
  <c r="E2630" i="1"/>
  <c r="W2629" i="1" a="1"/>
  <c r="W2629" i="1" s="1"/>
  <c r="E2629" i="1"/>
  <c r="W2628" i="1" a="1"/>
  <c r="W2628" i="1" s="1"/>
  <c r="E2628" i="1"/>
  <c r="W2627" i="1" a="1"/>
  <c r="W2627" i="1" s="1"/>
  <c r="E2627" i="1"/>
  <c r="W2626" i="1" a="1"/>
  <c r="W2626" i="1" s="1"/>
  <c r="E2626" i="1"/>
  <c r="W2625" i="1" a="1"/>
  <c r="W2625" i="1" s="1"/>
  <c r="E2625" i="1"/>
  <c r="W2624" i="1" a="1"/>
  <c r="W2624" i="1" s="1"/>
  <c r="E2624" i="1"/>
  <c r="W2623" i="1" a="1"/>
  <c r="W2623" i="1" s="1"/>
  <c r="E2623" i="1"/>
  <c r="W2622" i="1" a="1"/>
  <c r="W2622" i="1" s="1"/>
  <c r="E2622" i="1"/>
  <c r="W2621" i="1" a="1"/>
  <c r="W2621" i="1" s="1"/>
  <c r="E2621" i="1"/>
  <c r="W2620" i="1" a="1"/>
  <c r="W2620" i="1" s="1"/>
  <c r="E2620" i="1"/>
  <c r="W2619" i="1" a="1"/>
  <c r="W2619" i="1" s="1"/>
  <c r="E2619" i="1"/>
  <c r="W2618" i="1" a="1"/>
  <c r="W2618" i="1" s="1"/>
  <c r="E2618" i="1"/>
  <c r="W2617" i="1" a="1"/>
  <c r="W2617" i="1" s="1"/>
  <c r="E2617" i="1"/>
  <c r="W2616" i="1" a="1"/>
  <c r="W2616" i="1" s="1"/>
  <c r="E2616" i="1"/>
  <c r="W2615" i="1" a="1"/>
  <c r="W2615" i="1" s="1"/>
  <c r="E2615" i="1"/>
  <c r="W2614" i="1" a="1"/>
  <c r="W2614" i="1" s="1"/>
  <c r="E2614" i="1"/>
  <c r="W2613" i="1" a="1"/>
  <c r="W2613" i="1" s="1"/>
  <c r="E2613" i="1"/>
  <c r="W2612" i="1" a="1"/>
  <c r="W2612" i="1" s="1"/>
  <c r="E2612" i="1"/>
  <c r="W2611" i="1" a="1"/>
  <c r="W2611" i="1" s="1"/>
  <c r="E2611" i="1"/>
  <c r="W2610" i="1" a="1"/>
  <c r="W2610" i="1" s="1"/>
  <c r="E2610" i="1"/>
  <c r="W2609" i="1" a="1"/>
  <c r="W2609" i="1" s="1"/>
  <c r="E2609" i="1"/>
  <c r="W2608" i="1" a="1"/>
  <c r="W2608" i="1" s="1"/>
  <c r="E2608" i="1"/>
  <c r="W2607" i="1" a="1"/>
  <c r="W2607" i="1" s="1"/>
  <c r="E2607" i="1"/>
  <c r="W2606" i="1" a="1"/>
  <c r="W2606" i="1" s="1"/>
  <c r="E2606" i="1"/>
  <c r="W2605" i="1" a="1"/>
  <c r="W2605" i="1" s="1"/>
  <c r="E2605" i="1"/>
  <c r="W2604" i="1" a="1"/>
  <c r="W2604" i="1" s="1"/>
  <c r="E2604" i="1"/>
  <c r="W2603" i="1" a="1"/>
  <c r="W2603" i="1" s="1"/>
  <c r="E2603" i="1"/>
  <c r="W2602" i="1" a="1"/>
  <c r="W2602" i="1" s="1"/>
  <c r="E2602" i="1"/>
  <c r="W2601" i="1" a="1"/>
  <c r="W2601" i="1" s="1"/>
  <c r="E2601" i="1"/>
  <c r="W2600" i="1" a="1"/>
  <c r="W2600" i="1" s="1"/>
  <c r="E2600" i="1"/>
  <c r="W2599" i="1" a="1"/>
  <c r="W2599" i="1" s="1"/>
  <c r="E2599" i="1"/>
  <c r="W2598" i="1" a="1"/>
  <c r="W2598" i="1" s="1"/>
  <c r="E2598" i="1"/>
  <c r="W2597" i="1" a="1"/>
  <c r="W2597" i="1" s="1"/>
  <c r="E2597" i="1"/>
  <c r="W2596" i="1" a="1"/>
  <c r="W2596" i="1" s="1"/>
  <c r="E2596" i="1"/>
  <c r="W2595" i="1" a="1"/>
  <c r="W2595" i="1" s="1"/>
  <c r="E2595" i="1"/>
  <c r="W2594" i="1" a="1"/>
  <c r="W2594" i="1" s="1"/>
  <c r="E2594" i="1"/>
  <c r="W2593" i="1" a="1"/>
  <c r="W2593" i="1" s="1"/>
  <c r="E2593" i="1"/>
  <c r="W2592" i="1" a="1"/>
  <c r="W2592" i="1" s="1"/>
  <c r="E2592" i="1"/>
  <c r="W2591" i="1" a="1"/>
  <c r="W2591" i="1" s="1"/>
  <c r="E2591" i="1"/>
  <c r="W2590" i="1" a="1"/>
  <c r="W2590" i="1" s="1"/>
  <c r="E2590" i="1"/>
  <c r="W2589" i="1" a="1"/>
  <c r="W2589" i="1" s="1"/>
  <c r="E2589" i="1"/>
  <c r="W2588" i="1" a="1"/>
  <c r="W2588" i="1" s="1"/>
  <c r="E2588" i="1"/>
  <c r="W2587" i="1" a="1"/>
  <c r="W2587" i="1" s="1"/>
  <c r="E2587" i="1"/>
  <c r="W2586" i="1" a="1"/>
  <c r="W2586" i="1" s="1"/>
  <c r="E2586" i="1"/>
  <c r="W2585" i="1" a="1"/>
  <c r="W2585" i="1" s="1"/>
  <c r="E2585" i="1"/>
  <c r="W2584" i="1" a="1"/>
  <c r="W2584" i="1" s="1"/>
  <c r="E2584" i="1"/>
  <c r="W2583" i="1" a="1"/>
  <c r="W2583" i="1" s="1"/>
  <c r="E2583" i="1"/>
  <c r="W2582" i="1" a="1"/>
  <c r="W2582" i="1" s="1"/>
  <c r="E2582" i="1"/>
  <c r="W2581" i="1" a="1"/>
  <c r="W2581" i="1" s="1"/>
  <c r="E2581" i="1"/>
  <c r="W2580" i="1" a="1"/>
  <c r="W2580" i="1" s="1"/>
  <c r="E2580" i="1"/>
  <c r="W2579" i="1" a="1"/>
  <c r="W2579" i="1" s="1"/>
  <c r="E2579" i="1"/>
  <c r="W2578" i="1" a="1"/>
  <c r="W2578" i="1" s="1"/>
  <c r="E2578" i="1"/>
  <c r="W2577" i="1" a="1"/>
  <c r="W2577" i="1" s="1"/>
  <c r="E2577" i="1"/>
  <c r="W2576" i="1" a="1"/>
  <c r="W2576" i="1" s="1"/>
  <c r="E2576" i="1"/>
  <c r="W2575" i="1" a="1"/>
  <c r="W2575" i="1" s="1"/>
  <c r="E2575" i="1"/>
  <c r="W2574" i="1" a="1"/>
  <c r="W2574" i="1" s="1"/>
  <c r="E2574" i="1"/>
  <c r="W2573" i="1" a="1"/>
  <c r="W2573" i="1" s="1"/>
  <c r="E2573" i="1"/>
  <c r="W2572" i="1" a="1"/>
  <c r="W2572" i="1" s="1"/>
  <c r="E2572" i="1"/>
  <c r="W2571" i="1" a="1"/>
  <c r="W2571" i="1" s="1"/>
  <c r="E2571" i="1"/>
  <c r="W2570" i="1" a="1"/>
  <c r="W2570" i="1" s="1"/>
  <c r="E2570" i="1"/>
  <c r="W2569" i="1" a="1"/>
  <c r="W2569" i="1" s="1"/>
  <c r="E2569" i="1"/>
  <c r="W2568" i="1" a="1"/>
  <c r="W2568" i="1" s="1"/>
  <c r="E2568" i="1"/>
  <c r="W2567" i="1" a="1"/>
  <c r="W2567" i="1" s="1"/>
  <c r="E2567" i="1"/>
  <c r="W2566" i="1" a="1"/>
  <c r="W2566" i="1" s="1"/>
  <c r="E2566" i="1"/>
  <c r="W2565" i="1" a="1"/>
  <c r="W2565" i="1" s="1"/>
  <c r="E2565" i="1"/>
  <c r="W2564" i="1" a="1"/>
  <c r="W2564" i="1" s="1"/>
  <c r="E2564" i="1"/>
  <c r="W2563" i="1" a="1"/>
  <c r="W2563" i="1" s="1"/>
  <c r="E2563" i="1"/>
  <c r="W2562" i="1" a="1"/>
  <c r="W2562" i="1" s="1"/>
  <c r="E2562" i="1"/>
  <c r="W2561" i="1" a="1"/>
  <c r="W2561" i="1" s="1"/>
  <c r="E2561" i="1"/>
  <c r="W2560" i="1" a="1"/>
  <c r="W2560" i="1" s="1"/>
  <c r="E2560" i="1"/>
  <c r="W2559" i="1" a="1"/>
  <c r="W2559" i="1" s="1"/>
  <c r="E2559" i="1"/>
  <c r="W2558" i="1" a="1"/>
  <c r="W2558" i="1" s="1"/>
  <c r="E2558" i="1"/>
  <c r="W2557" i="1" a="1"/>
  <c r="W2557" i="1" s="1"/>
  <c r="E2557" i="1"/>
  <c r="W2556" i="1" a="1"/>
  <c r="W2556" i="1" s="1"/>
  <c r="E2556" i="1"/>
  <c r="W2555" i="1" a="1"/>
  <c r="W2555" i="1" s="1"/>
  <c r="E2555" i="1"/>
  <c r="W2554" i="1" a="1"/>
  <c r="W2554" i="1" s="1"/>
  <c r="E2554" i="1"/>
  <c r="W2553" i="1" a="1"/>
  <c r="W2553" i="1" s="1"/>
  <c r="E2553" i="1"/>
  <c r="W2552" i="1" a="1"/>
  <c r="W2552" i="1" s="1"/>
  <c r="E2552" i="1"/>
  <c r="W2551" i="1" a="1"/>
  <c r="W2551" i="1" s="1"/>
  <c r="E2551" i="1"/>
  <c r="W2550" i="1" a="1"/>
  <c r="W2550" i="1" s="1"/>
  <c r="E2550" i="1"/>
  <c r="W2549" i="1" a="1"/>
  <c r="W2549" i="1" s="1"/>
  <c r="E2549" i="1"/>
  <c r="W2548" i="1" a="1"/>
  <c r="W2548" i="1" s="1"/>
  <c r="E2548" i="1"/>
  <c r="W2547" i="1" a="1"/>
  <c r="W2547" i="1" s="1"/>
  <c r="E2547" i="1"/>
  <c r="W2546" i="1" a="1"/>
  <c r="W2546" i="1" s="1"/>
  <c r="E2546" i="1"/>
  <c r="W2545" i="1" a="1"/>
  <c r="W2545" i="1" s="1"/>
  <c r="E2545" i="1"/>
  <c r="W2544" i="1" a="1"/>
  <c r="W2544" i="1" s="1"/>
  <c r="E2544" i="1"/>
  <c r="W2543" i="1" a="1"/>
  <c r="W2543" i="1" s="1"/>
  <c r="E2543" i="1"/>
  <c r="W2542" i="1" a="1"/>
  <c r="W2542" i="1" s="1"/>
  <c r="E2542" i="1"/>
  <c r="W2541" i="1" a="1"/>
  <c r="W2541" i="1" s="1"/>
  <c r="E2541" i="1"/>
  <c r="W2540" i="1" a="1"/>
  <c r="W2540" i="1" s="1"/>
  <c r="E2540" i="1"/>
  <c r="W2539" i="1" a="1"/>
  <c r="W2539" i="1" s="1"/>
  <c r="E2539" i="1"/>
  <c r="W2538" i="1" a="1"/>
  <c r="W2538" i="1" s="1"/>
  <c r="E2538" i="1"/>
  <c r="W2537" i="1" a="1"/>
  <c r="W2537" i="1" s="1"/>
  <c r="E2537" i="1"/>
  <c r="W2536" i="1" a="1"/>
  <c r="W2536" i="1" s="1"/>
  <c r="E2536" i="1"/>
  <c r="W2535" i="1" a="1"/>
  <c r="W2535" i="1" s="1"/>
  <c r="E2535" i="1"/>
  <c r="W2534" i="1" a="1"/>
  <c r="W2534" i="1" s="1"/>
  <c r="E2534" i="1"/>
  <c r="W2533" i="1" a="1"/>
  <c r="W2533" i="1" s="1"/>
  <c r="E2533" i="1"/>
  <c r="W2532" i="1" a="1"/>
  <c r="W2532" i="1" s="1"/>
  <c r="E2532" i="1"/>
  <c r="W2531" i="1" a="1"/>
  <c r="W2531" i="1" s="1"/>
  <c r="E2531" i="1"/>
  <c r="W2530" i="1" a="1"/>
  <c r="W2530" i="1" s="1"/>
  <c r="E2530" i="1"/>
  <c r="W2529" i="1" a="1"/>
  <c r="W2529" i="1" s="1"/>
  <c r="E2529" i="1"/>
  <c r="W2528" i="1" a="1"/>
  <c r="W2528" i="1" s="1"/>
  <c r="E2528" i="1"/>
  <c r="W2527" i="1" a="1"/>
  <c r="W2527" i="1" s="1"/>
  <c r="E2527" i="1"/>
  <c r="W2526" i="1" a="1"/>
  <c r="W2526" i="1" s="1"/>
  <c r="E2526" i="1"/>
  <c r="W2525" i="1" a="1"/>
  <c r="W2525" i="1" s="1"/>
  <c r="E2525" i="1"/>
  <c r="W2524" i="1" a="1"/>
  <c r="W2524" i="1" s="1"/>
  <c r="E2524" i="1"/>
  <c r="W2523" i="1" a="1"/>
  <c r="W2523" i="1" s="1"/>
  <c r="E2523" i="1"/>
  <c r="W2522" i="1" a="1"/>
  <c r="W2522" i="1" s="1"/>
  <c r="E2522" i="1"/>
  <c r="W2521" i="1" a="1"/>
  <c r="W2521" i="1" s="1"/>
  <c r="E2521" i="1"/>
  <c r="W2520" i="1" a="1"/>
  <c r="W2520" i="1" s="1"/>
  <c r="E2520" i="1"/>
  <c r="W2519" i="1" a="1"/>
  <c r="W2519" i="1" s="1"/>
  <c r="E2519" i="1"/>
  <c r="W2518" i="1" a="1"/>
  <c r="W2518" i="1" s="1"/>
  <c r="E2518" i="1"/>
  <c r="W2517" i="1" a="1"/>
  <c r="W2517" i="1" s="1"/>
  <c r="E2517" i="1"/>
  <c r="W2516" i="1" a="1"/>
  <c r="W2516" i="1" s="1"/>
  <c r="E2516" i="1"/>
  <c r="W2515" i="1" a="1"/>
  <c r="W2515" i="1" s="1"/>
  <c r="E2515" i="1"/>
  <c r="W2514" i="1" a="1"/>
  <c r="W2514" i="1" s="1"/>
  <c r="E2514" i="1"/>
  <c r="W2513" i="1" a="1"/>
  <c r="W2513" i="1" s="1"/>
  <c r="E2513" i="1"/>
  <c r="W2512" i="1" a="1"/>
  <c r="W2512" i="1" s="1"/>
  <c r="E2512" i="1"/>
  <c r="W2511" i="1" a="1"/>
  <c r="W2511" i="1" s="1"/>
  <c r="E2511" i="1"/>
  <c r="W2510" i="1" a="1"/>
  <c r="W2510" i="1" s="1"/>
  <c r="E2510" i="1"/>
  <c r="W2509" i="1" a="1"/>
  <c r="W2509" i="1" s="1"/>
  <c r="E2509" i="1"/>
  <c r="W2508" i="1" a="1"/>
  <c r="W2508" i="1" s="1"/>
  <c r="E2508" i="1"/>
  <c r="W2507" i="1" a="1"/>
  <c r="W2507" i="1" s="1"/>
  <c r="E2507" i="1"/>
  <c r="W2506" i="1" a="1"/>
  <c r="W2506" i="1" s="1"/>
  <c r="E2506" i="1"/>
  <c r="W2505" i="1" a="1"/>
  <c r="W2505" i="1" s="1"/>
  <c r="E2505" i="1"/>
  <c r="W2504" i="1" a="1"/>
  <c r="W2504" i="1" s="1"/>
  <c r="E2504" i="1"/>
  <c r="W2503" i="1" a="1"/>
  <c r="W2503" i="1" s="1"/>
  <c r="E2503" i="1"/>
  <c r="W2502" i="1" a="1"/>
  <c r="W2502" i="1" s="1"/>
  <c r="E2502" i="1"/>
  <c r="W2501" i="1" a="1"/>
  <c r="W2501" i="1" s="1"/>
  <c r="E2501" i="1"/>
  <c r="W2500" i="1" a="1"/>
  <c r="W2500" i="1" s="1"/>
  <c r="E2500" i="1"/>
  <c r="W2499" i="1" a="1"/>
  <c r="W2499" i="1" s="1"/>
  <c r="E2499" i="1"/>
  <c r="W2498" i="1" a="1"/>
  <c r="W2498" i="1" s="1"/>
  <c r="E2498" i="1"/>
  <c r="W2497" i="1" a="1"/>
  <c r="W2497" i="1" s="1"/>
  <c r="E2497" i="1"/>
  <c r="W2496" i="1" a="1"/>
  <c r="W2496" i="1" s="1"/>
  <c r="E2496" i="1"/>
  <c r="W2495" i="1" a="1"/>
  <c r="W2495" i="1" s="1"/>
  <c r="E2495" i="1"/>
  <c r="W2494" i="1" a="1"/>
  <c r="W2494" i="1" s="1"/>
  <c r="E2494" i="1"/>
  <c r="W2493" i="1" a="1"/>
  <c r="W2493" i="1" s="1"/>
  <c r="E2493" i="1"/>
  <c r="W2492" i="1" a="1"/>
  <c r="W2492" i="1" s="1"/>
  <c r="E2492" i="1"/>
  <c r="W2491" i="1" a="1"/>
  <c r="W2491" i="1" s="1"/>
  <c r="E2491" i="1"/>
  <c r="W2490" i="1" a="1"/>
  <c r="W2490" i="1" s="1"/>
  <c r="E2490" i="1"/>
  <c r="W2489" i="1" a="1"/>
  <c r="W2489" i="1" s="1"/>
  <c r="E2489" i="1"/>
  <c r="W2488" i="1" a="1"/>
  <c r="W2488" i="1" s="1"/>
  <c r="E2488" i="1"/>
  <c r="W2487" i="1" a="1"/>
  <c r="W2487" i="1" s="1"/>
  <c r="E2487" i="1"/>
  <c r="W2486" i="1" a="1"/>
  <c r="W2486" i="1" s="1"/>
  <c r="E2486" i="1"/>
  <c r="W2485" i="1" a="1"/>
  <c r="W2485" i="1" s="1"/>
  <c r="E2485" i="1"/>
  <c r="W2484" i="1" a="1"/>
  <c r="W2484" i="1" s="1"/>
  <c r="E2484" i="1"/>
  <c r="W2483" i="1" a="1"/>
  <c r="W2483" i="1" s="1"/>
  <c r="E2483" i="1"/>
  <c r="W2482" i="1" a="1"/>
  <c r="W2482" i="1" s="1"/>
  <c r="E2482" i="1"/>
  <c r="W2481" i="1" a="1"/>
  <c r="W2481" i="1" s="1"/>
  <c r="E2481" i="1"/>
  <c r="W2480" i="1" a="1"/>
  <c r="W2480" i="1" s="1"/>
  <c r="E2480" i="1"/>
  <c r="W2479" i="1" a="1"/>
  <c r="W2479" i="1" s="1"/>
  <c r="E2479" i="1"/>
  <c r="W2478" i="1" a="1"/>
  <c r="W2478" i="1" s="1"/>
  <c r="E2478" i="1"/>
  <c r="W2477" i="1" a="1"/>
  <c r="W2477" i="1" s="1"/>
  <c r="E2477" i="1"/>
  <c r="W2476" i="1" a="1"/>
  <c r="W2476" i="1" s="1"/>
  <c r="E2476" i="1"/>
  <c r="W2475" i="1" a="1"/>
  <c r="W2475" i="1" s="1"/>
  <c r="E2475" i="1"/>
  <c r="W2474" i="1" a="1"/>
  <c r="W2474" i="1" s="1"/>
  <c r="E2474" i="1"/>
  <c r="W2473" i="1" a="1"/>
  <c r="W2473" i="1" s="1"/>
  <c r="E2473" i="1"/>
  <c r="W2472" i="1" a="1"/>
  <c r="W2472" i="1" s="1"/>
  <c r="E2472" i="1"/>
  <c r="W2471" i="1" a="1"/>
  <c r="W2471" i="1" s="1"/>
  <c r="E2471" i="1"/>
  <c r="W2470" i="1" a="1"/>
  <c r="W2470" i="1" s="1"/>
  <c r="E2470" i="1"/>
  <c r="W2469" i="1" a="1"/>
  <c r="W2469" i="1" s="1"/>
  <c r="E2469" i="1"/>
  <c r="W2468" i="1" a="1"/>
  <c r="W2468" i="1" s="1"/>
  <c r="E2468" i="1"/>
  <c r="W2467" i="1" a="1"/>
  <c r="W2467" i="1" s="1"/>
  <c r="E2467" i="1"/>
  <c r="W2466" i="1" a="1"/>
  <c r="W2466" i="1" s="1"/>
  <c r="E2466" i="1"/>
  <c r="W2465" i="1" a="1"/>
  <c r="W2465" i="1" s="1"/>
  <c r="E2465" i="1"/>
  <c r="W2464" i="1" a="1"/>
  <c r="W2464" i="1" s="1"/>
  <c r="E2464" i="1"/>
  <c r="W2463" i="1" a="1"/>
  <c r="W2463" i="1" s="1"/>
  <c r="E2463" i="1"/>
  <c r="W2462" i="1" a="1"/>
  <c r="W2462" i="1" s="1"/>
  <c r="E2462" i="1"/>
  <c r="W2461" i="1" a="1"/>
  <c r="W2461" i="1" s="1"/>
  <c r="E2461" i="1"/>
  <c r="W2460" i="1" a="1"/>
  <c r="W2460" i="1" s="1"/>
  <c r="E2460" i="1"/>
  <c r="W2459" i="1" a="1"/>
  <c r="W2459" i="1" s="1"/>
  <c r="E2459" i="1"/>
  <c r="W2458" i="1" a="1"/>
  <c r="W2458" i="1" s="1"/>
  <c r="E2458" i="1"/>
  <c r="W2457" i="1" a="1"/>
  <c r="W2457" i="1" s="1"/>
  <c r="E2457" i="1"/>
  <c r="W2456" i="1" a="1"/>
  <c r="W2456" i="1" s="1"/>
  <c r="E2456" i="1"/>
  <c r="W2455" i="1" a="1"/>
  <c r="W2455" i="1" s="1"/>
  <c r="E2455" i="1"/>
  <c r="W2454" i="1" a="1"/>
  <c r="W2454" i="1" s="1"/>
  <c r="E2454" i="1"/>
  <c r="W2453" i="1" a="1"/>
  <c r="W2453" i="1" s="1"/>
  <c r="E2453" i="1"/>
  <c r="W2452" i="1" a="1"/>
  <c r="W2452" i="1" s="1"/>
  <c r="E2452" i="1"/>
  <c r="W2451" i="1" a="1"/>
  <c r="W2451" i="1" s="1"/>
  <c r="E2451" i="1"/>
  <c r="W2450" i="1" a="1"/>
  <c r="W2450" i="1" s="1"/>
  <c r="E2450" i="1"/>
  <c r="W2449" i="1" a="1"/>
  <c r="W2449" i="1" s="1"/>
  <c r="E2449" i="1"/>
  <c r="W2448" i="1" a="1"/>
  <c r="W2448" i="1" s="1"/>
  <c r="E2448" i="1"/>
  <c r="W2447" i="1" a="1"/>
  <c r="W2447" i="1" s="1"/>
  <c r="E2447" i="1"/>
  <c r="W2446" i="1" a="1"/>
  <c r="W2446" i="1" s="1"/>
  <c r="E2446" i="1"/>
  <c r="W2445" i="1" a="1"/>
  <c r="W2445" i="1" s="1"/>
  <c r="E2445" i="1"/>
  <c r="W2444" i="1" a="1"/>
  <c r="W2444" i="1" s="1"/>
  <c r="E2444" i="1"/>
  <c r="W2443" i="1" a="1"/>
  <c r="W2443" i="1" s="1"/>
  <c r="E2443" i="1"/>
  <c r="W2442" i="1" a="1"/>
  <c r="W2442" i="1" s="1"/>
  <c r="E2442" i="1"/>
  <c r="W2441" i="1" a="1"/>
  <c r="W2441" i="1" s="1"/>
  <c r="E2441" i="1"/>
  <c r="W2440" i="1" a="1"/>
  <c r="W2440" i="1" s="1"/>
  <c r="E2440" i="1"/>
  <c r="W2439" i="1" a="1"/>
  <c r="W2439" i="1" s="1"/>
  <c r="E2439" i="1"/>
  <c r="W2438" i="1" a="1"/>
  <c r="W2438" i="1" s="1"/>
  <c r="E2438" i="1"/>
  <c r="W2437" i="1" a="1"/>
  <c r="W2437" i="1" s="1"/>
  <c r="E2437" i="1"/>
  <c r="W2436" i="1" a="1"/>
  <c r="W2436" i="1" s="1"/>
  <c r="E2436" i="1"/>
  <c r="W2435" i="1" a="1"/>
  <c r="W2435" i="1" s="1"/>
  <c r="E2435" i="1"/>
  <c r="W2434" i="1" a="1"/>
  <c r="W2434" i="1" s="1"/>
  <c r="E2434" i="1"/>
  <c r="W2433" i="1" a="1"/>
  <c r="W2433" i="1" s="1"/>
  <c r="E2433" i="1"/>
  <c r="W2432" i="1" a="1"/>
  <c r="W2432" i="1" s="1"/>
  <c r="E2432" i="1"/>
  <c r="W2431" i="1" a="1"/>
  <c r="W2431" i="1" s="1"/>
  <c r="E2431" i="1"/>
  <c r="W2430" i="1" a="1"/>
  <c r="W2430" i="1" s="1"/>
  <c r="E2430" i="1"/>
  <c r="W2429" i="1" a="1"/>
  <c r="W2429" i="1" s="1"/>
  <c r="E2429" i="1"/>
  <c r="W2428" i="1" a="1"/>
  <c r="W2428" i="1" s="1"/>
  <c r="E2428" i="1"/>
  <c r="W2427" i="1" a="1"/>
  <c r="W2427" i="1" s="1"/>
  <c r="E2427" i="1"/>
  <c r="W2426" i="1" a="1"/>
  <c r="W2426" i="1" s="1"/>
  <c r="E2426" i="1"/>
  <c r="W2425" i="1" a="1"/>
  <c r="W2425" i="1" s="1"/>
  <c r="E2425" i="1"/>
  <c r="W2424" i="1" a="1"/>
  <c r="W2424" i="1" s="1"/>
  <c r="E2424" i="1"/>
  <c r="W2423" i="1" a="1"/>
  <c r="W2423" i="1" s="1"/>
  <c r="E2423" i="1"/>
  <c r="W2422" i="1" a="1"/>
  <c r="W2422" i="1" s="1"/>
  <c r="E2422" i="1"/>
  <c r="W2421" i="1" a="1"/>
  <c r="W2421" i="1" s="1"/>
  <c r="E2421" i="1"/>
  <c r="W2420" i="1" a="1"/>
  <c r="W2420" i="1" s="1"/>
  <c r="E2420" i="1"/>
  <c r="W2419" i="1" a="1"/>
  <c r="W2419" i="1" s="1"/>
  <c r="E2419" i="1"/>
  <c r="W2418" i="1" a="1"/>
  <c r="W2418" i="1" s="1"/>
  <c r="E2418" i="1"/>
  <c r="W2417" i="1" a="1"/>
  <c r="W2417" i="1" s="1"/>
  <c r="E2417" i="1"/>
  <c r="W2416" i="1" a="1"/>
  <c r="W2416" i="1" s="1"/>
  <c r="E2416" i="1"/>
  <c r="W2415" i="1" a="1"/>
  <c r="W2415" i="1" s="1"/>
  <c r="E2415" i="1"/>
  <c r="W2414" i="1" a="1"/>
  <c r="W2414" i="1" s="1"/>
  <c r="E2414" i="1"/>
  <c r="W2413" i="1" a="1"/>
  <c r="W2413" i="1" s="1"/>
  <c r="E2413" i="1"/>
  <c r="W2412" i="1" a="1"/>
  <c r="W2412" i="1" s="1"/>
  <c r="E2412" i="1"/>
  <c r="W2411" i="1" a="1"/>
  <c r="W2411" i="1" s="1"/>
  <c r="E2411" i="1"/>
  <c r="W2410" i="1" a="1"/>
  <c r="W2410" i="1" s="1"/>
  <c r="E2410" i="1"/>
  <c r="W2409" i="1" a="1"/>
  <c r="W2409" i="1" s="1"/>
  <c r="E2409" i="1"/>
  <c r="W2408" i="1" a="1"/>
  <c r="W2408" i="1" s="1"/>
  <c r="E2408" i="1"/>
  <c r="W2407" i="1" a="1"/>
  <c r="W2407" i="1" s="1"/>
  <c r="E2407" i="1"/>
  <c r="W2406" i="1" a="1"/>
  <c r="W2406" i="1" s="1"/>
  <c r="E2406" i="1"/>
  <c r="W2405" i="1" a="1"/>
  <c r="W2405" i="1" s="1"/>
  <c r="E2405" i="1"/>
  <c r="W2404" i="1" a="1"/>
  <c r="W2404" i="1" s="1"/>
  <c r="E2404" i="1"/>
  <c r="W2403" i="1" a="1"/>
  <c r="W2403" i="1" s="1"/>
  <c r="E2403" i="1"/>
  <c r="W2402" i="1" a="1"/>
  <c r="W2402" i="1" s="1"/>
  <c r="E2402" i="1"/>
  <c r="W2401" i="1" a="1"/>
  <c r="W2401" i="1" s="1"/>
  <c r="E2401" i="1"/>
  <c r="W2400" i="1" a="1"/>
  <c r="W2400" i="1" s="1"/>
  <c r="E2400" i="1"/>
  <c r="W2399" i="1" a="1"/>
  <c r="W2399" i="1" s="1"/>
  <c r="E2399" i="1"/>
  <c r="W2398" i="1" a="1"/>
  <c r="W2398" i="1" s="1"/>
  <c r="E2398" i="1"/>
  <c r="W2397" i="1" a="1"/>
  <c r="W2397" i="1" s="1"/>
  <c r="E2397" i="1"/>
  <c r="W2396" i="1" a="1"/>
  <c r="W2396" i="1" s="1"/>
  <c r="E2396" i="1"/>
  <c r="W2395" i="1" a="1"/>
  <c r="W2395" i="1" s="1"/>
  <c r="E2395" i="1"/>
  <c r="W2394" i="1" a="1"/>
  <c r="W2394" i="1" s="1"/>
  <c r="E2394" i="1"/>
  <c r="W2393" i="1" a="1"/>
  <c r="W2393" i="1" s="1"/>
  <c r="E2393" i="1"/>
  <c r="W2392" i="1" a="1"/>
  <c r="W2392" i="1" s="1"/>
  <c r="E2392" i="1"/>
  <c r="W2391" i="1" a="1"/>
  <c r="W2391" i="1" s="1"/>
  <c r="E2391" i="1"/>
  <c r="W2390" i="1" a="1"/>
  <c r="W2390" i="1" s="1"/>
  <c r="E2390" i="1"/>
  <c r="W2389" i="1" a="1"/>
  <c r="W2389" i="1" s="1"/>
  <c r="E2389" i="1"/>
  <c r="W2388" i="1" a="1"/>
  <c r="W2388" i="1" s="1"/>
  <c r="E2388" i="1"/>
  <c r="W2387" i="1" a="1"/>
  <c r="W2387" i="1" s="1"/>
  <c r="E2387" i="1"/>
  <c r="W2386" i="1" a="1"/>
  <c r="W2386" i="1" s="1"/>
  <c r="E2386" i="1"/>
  <c r="W2385" i="1" a="1"/>
  <c r="W2385" i="1" s="1"/>
  <c r="E2385" i="1"/>
  <c r="W2384" i="1" a="1"/>
  <c r="W2384" i="1" s="1"/>
  <c r="E2384" i="1"/>
  <c r="W2383" i="1" a="1"/>
  <c r="W2383" i="1" s="1"/>
  <c r="E2383" i="1"/>
  <c r="W2382" i="1" a="1"/>
  <c r="W2382" i="1" s="1"/>
  <c r="E2382" i="1"/>
  <c r="W2381" i="1" a="1"/>
  <c r="W2381" i="1" s="1"/>
  <c r="E2381" i="1"/>
  <c r="W2380" i="1" a="1"/>
  <c r="W2380" i="1" s="1"/>
  <c r="E2380" i="1"/>
  <c r="W2379" i="1" a="1"/>
  <c r="W2379" i="1" s="1"/>
  <c r="E2379" i="1"/>
  <c r="W2378" i="1" a="1"/>
  <c r="W2378" i="1" s="1"/>
  <c r="E2378" i="1"/>
  <c r="W2377" i="1" a="1"/>
  <c r="W2377" i="1" s="1"/>
  <c r="E2377" i="1"/>
  <c r="W2376" i="1" a="1"/>
  <c r="W2376" i="1" s="1"/>
  <c r="E2376" i="1"/>
  <c r="W2375" i="1" a="1"/>
  <c r="W2375" i="1" s="1"/>
  <c r="E2375" i="1"/>
  <c r="W2374" i="1" a="1"/>
  <c r="W2374" i="1" s="1"/>
  <c r="E2374" i="1"/>
  <c r="W2373" i="1" a="1"/>
  <c r="W2373" i="1" s="1"/>
  <c r="E2373" i="1"/>
  <c r="W2372" i="1" a="1"/>
  <c r="W2372" i="1" s="1"/>
  <c r="E2372" i="1"/>
  <c r="W2371" i="1" a="1"/>
  <c r="W2371" i="1" s="1"/>
  <c r="E2371" i="1"/>
  <c r="W2370" i="1" a="1"/>
  <c r="W2370" i="1" s="1"/>
  <c r="E2370" i="1"/>
  <c r="W2369" i="1" a="1"/>
  <c r="W2369" i="1" s="1"/>
  <c r="E2369" i="1"/>
  <c r="W2368" i="1" a="1"/>
  <c r="W2368" i="1" s="1"/>
  <c r="E2368" i="1"/>
  <c r="W2367" i="1" a="1"/>
  <c r="W2367" i="1" s="1"/>
  <c r="E2367" i="1"/>
  <c r="W2366" i="1" a="1"/>
  <c r="W2366" i="1" s="1"/>
  <c r="E2366" i="1"/>
  <c r="W2365" i="1" a="1"/>
  <c r="W2365" i="1" s="1"/>
  <c r="E2365" i="1"/>
  <c r="W2364" i="1" a="1"/>
  <c r="W2364" i="1" s="1"/>
  <c r="E2364" i="1"/>
  <c r="W2363" i="1" a="1"/>
  <c r="W2363" i="1" s="1"/>
  <c r="E2363" i="1"/>
  <c r="W2362" i="1" a="1"/>
  <c r="W2362" i="1" s="1"/>
  <c r="E2362" i="1"/>
  <c r="W2361" i="1" a="1"/>
  <c r="W2361" i="1" s="1"/>
  <c r="E2361" i="1"/>
  <c r="W2360" i="1" a="1"/>
  <c r="W2360" i="1" s="1"/>
  <c r="E2360" i="1"/>
  <c r="W2359" i="1" a="1"/>
  <c r="W2359" i="1" s="1"/>
  <c r="E2359" i="1"/>
  <c r="W2358" i="1" a="1"/>
  <c r="W2358" i="1" s="1"/>
  <c r="E2358" i="1"/>
  <c r="W2357" i="1" a="1"/>
  <c r="W2357" i="1" s="1"/>
  <c r="E2357" i="1"/>
  <c r="W2356" i="1" a="1"/>
  <c r="W2356" i="1" s="1"/>
  <c r="E2356" i="1"/>
  <c r="W2355" i="1" a="1"/>
  <c r="W2355" i="1" s="1"/>
  <c r="E2355" i="1"/>
  <c r="W2354" i="1" a="1"/>
  <c r="W2354" i="1" s="1"/>
  <c r="E2354" i="1"/>
  <c r="W2353" i="1" a="1"/>
  <c r="W2353" i="1" s="1"/>
  <c r="E2353" i="1"/>
  <c r="W2352" i="1" a="1"/>
  <c r="W2352" i="1" s="1"/>
  <c r="E2352" i="1"/>
  <c r="W2351" i="1" a="1"/>
  <c r="W2351" i="1" s="1"/>
  <c r="E2351" i="1"/>
  <c r="W2350" i="1" a="1"/>
  <c r="W2350" i="1" s="1"/>
  <c r="E2350" i="1"/>
  <c r="W2349" i="1" a="1"/>
  <c r="W2349" i="1" s="1"/>
  <c r="E2349" i="1"/>
  <c r="W2348" i="1" a="1"/>
  <c r="W2348" i="1" s="1"/>
  <c r="E2348" i="1"/>
  <c r="W2347" i="1" a="1"/>
  <c r="W2347" i="1" s="1"/>
  <c r="E2347" i="1"/>
  <c r="W2346" i="1" a="1"/>
  <c r="W2346" i="1" s="1"/>
  <c r="E2346" i="1"/>
  <c r="W2345" i="1" a="1"/>
  <c r="W2345" i="1" s="1"/>
  <c r="E2345" i="1"/>
  <c r="W2344" i="1" a="1"/>
  <c r="W2344" i="1" s="1"/>
  <c r="E2344" i="1"/>
  <c r="W2343" i="1" a="1"/>
  <c r="W2343" i="1" s="1"/>
  <c r="E2343" i="1"/>
  <c r="W2342" i="1" a="1"/>
  <c r="W2342" i="1" s="1"/>
  <c r="E2342" i="1"/>
  <c r="W2341" i="1" a="1"/>
  <c r="W2341" i="1" s="1"/>
  <c r="E2341" i="1"/>
  <c r="W2340" i="1" a="1"/>
  <c r="W2340" i="1" s="1"/>
  <c r="E2340" i="1"/>
  <c r="W2339" i="1" a="1"/>
  <c r="W2339" i="1" s="1"/>
  <c r="E2339" i="1"/>
  <c r="W2338" i="1" a="1"/>
  <c r="W2338" i="1" s="1"/>
  <c r="E2338" i="1"/>
  <c r="W2337" i="1" a="1"/>
  <c r="W2337" i="1" s="1"/>
  <c r="E2337" i="1"/>
  <c r="W2336" i="1" a="1"/>
  <c r="W2336" i="1" s="1"/>
  <c r="E2336" i="1"/>
  <c r="W2335" i="1" a="1"/>
  <c r="W2335" i="1" s="1"/>
  <c r="E2335" i="1"/>
  <c r="W2334" i="1" a="1"/>
  <c r="W2334" i="1" s="1"/>
  <c r="E2334" i="1"/>
  <c r="W2333" i="1" a="1"/>
  <c r="W2333" i="1" s="1"/>
  <c r="E2333" i="1"/>
  <c r="W2332" i="1" a="1"/>
  <c r="W2332" i="1" s="1"/>
  <c r="E2332" i="1"/>
  <c r="W2331" i="1" a="1"/>
  <c r="W2331" i="1" s="1"/>
  <c r="E2331" i="1"/>
  <c r="W2330" i="1" a="1"/>
  <c r="W2330" i="1" s="1"/>
  <c r="E2330" i="1"/>
  <c r="W2329" i="1" a="1"/>
  <c r="W2329" i="1" s="1"/>
  <c r="E2329" i="1"/>
  <c r="W2328" i="1" a="1"/>
  <c r="W2328" i="1" s="1"/>
  <c r="E2328" i="1"/>
  <c r="W2327" i="1" a="1"/>
  <c r="W2327" i="1" s="1"/>
  <c r="E2327" i="1"/>
  <c r="W2326" i="1" a="1"/>
  <c r="W2326" i="1" s="1"/>
  <c r="E2326" i="1"/>
  <c r="W2325" i="1" a="1"/>
  <c r="W2325" i="1" s="1"/>
  <c r="E2325" i="1"/>
  <c r="W2324" i="1" a="1"/>
  <c r="W2324" i="1" s="1"/>
  <c r="E2324" i="1"/>
  <c r="W2323" i="1" a="1"/>
  <c r="W2323" i="1" s="1"/>
  <c r="E2323" i="1"/>
  <c r="W2322" i="1" a="1"/>
  <c r="W2322" i="1" s="1"/>
  <c r="E2322" i="1"/>
  <c r="W2321" i="1" a="1"/>
  <c r="W2321" i="1" s="1"/>
  <c r="E2321" i="1"/>
  <c r="W2320" i="1" a="1"/>
  <c r="W2320" i="1" s="1"/>
  <c r="E2320" i="1"/>
  <c r="W2319" i="1" a="1"/>
  <c r="W2319" i="1" s="1"/>
  <c r="E2319" i="1"/>
  <c r="W2318" i="1" a="1"/>
  <c r="W2318" i="1" s="1"/>
  <c r="E2318" i="1"/>
  <c r="W2317" i="1" a="1"/>
  <c r="W2317" i="1" s="1"/>
  <c r="E2317" i="1"/>
  <c r="W2316" i="1" a="1"/>
  <c r="W2316" i="1" s="1"/>
  <c r="E2316" i="1"/>
  <c r="W2315" i="1" a="1"/>
  <c r="W2315" i="1" s="1"/>
  <c r="E2315" i="1"/>
  <c r="W2314" i="1" a="1"/>
  <c r="W2314" i="1" s="1"/>
  <c r="E2314" i="1"/>
  <c r="W2313" i="1" a="1"/>
  <c r="W2313" i="1" s="1"/>
  <c r="E2313" i="1"/>
  <c r="W2312" i="1" a="1"/>
  <c r="W2312" i="1" s="1"/>
  <c r="E2312" i="1"/>
  <c r="W2311" i="1" a="1"/>
  <c r="W2311" i="1" s="1"/>
  <c r="E2311" i="1"/>
  <c r="W2310" i="1" a="1"/>
  <c r="W2310" i="1" s="1"/>
  <c r="E2310" i="1"/>
  <c r="W2309" i="1" a="1"/>
  <c r="W2309" i="1" s="1"/>
  <c r="E2309" i="1"/>
  <c r="W2308" i="1" a="1"/>
  <c r="W2308" i="1" s="1"/>
  <c r="E2308" i="1"/>
  <c r="W2307" i="1" a="1"/>
  <c r="W2307" i="1" s="1"/>
  <c r="E2307" i="1"/>
  <c r="W2306" i="1" a="1"/>
  <c r="W2306" i="1" s="1"/>
  <c r="E2306" i="1"/>
  <c r="W2305" i="1" a="1"/>
  <c r="W2305" i="1" s="1"/>
  <c r="E2305" i="1"/>
  <c r="W2304" i="1" a="1"/>
  <c r="W2304" i="1" s="1"/>
  <c r="E2304" i="1"/>
  <c r="W2303" i="1" a="1"/>
  <c r="W2303" i="1" s="1"/>
  <c r="E2303" i="1"/>
  <c r="W2302" i="1" a="1"/>
  <c r="W2302" i="1" s="1"/>
  <c r="E2302" i="1"/>
  <c r="W2301" i="1" a="1"/>
  <c r="W2301" i="1" s="1"/>
  <c r="E2301" i="1"/>
  <c r="W2300" i="1" a="1"/>
  <c r="W2300" i="1" s="1"/>
  <c r="E2300" i="1"/>
  <c r="W2299" i="1" a="1"/>
  <c r="W2299" i="1" s="1"/>
  <c r="E2299" i="1"/>
  <c r="W2298" i="1" a="1"/>
  <c r="W2298" i="1" s="1"/>
  <c r="E2298" i="1"/>
  <c r="W2297" i="1" a="1"/>
  <c r="W2297" i="1" s="1"/>
  <c r="E2297" i="1"/>
  <c r="W2296" i="1" a="1"/>
  <c r="W2296" i="1" s="1"/>
  <c r="E2296" i="1"/>
  <c r="W2295" i="1" a="1"/>
  <c r="W2295" i="1" s="1"/>
  <c r="E2295" i="1"/>
  <c r="W2294" i="1" a="1"/>
  <c r="W2294" i="1" s="1"/>
  <c r="E2294" i="1"/>
  <c r="W2293" i="1" a="1"/>
  <c r="W2293" i="1" s="1"/>
  <c r="E2293" i="1"/>
  <c r="W2292" i="1" a="1"/>
  <c r="W2292" i="1" s="1"/>
  <c r="E2292" i="1"/>
  <c r="W2291" i="1" a="1"/>
  <c r="W2291" i="1" s="1"/>
  <c r="E2291" i="1"/>
  <c r="W2290" i="1" a="1"/>
  <c r="W2290" i="1" s="1"/>
  <c r="E2290" i="1"/>
  <c r="W2289" i="1" a="1"/>
  <c r="W2289" i="1" s="1"/>
  <c r="E2289" i="1"/>
  <c r="W2288" i="1" a="1"/>
  <c r="W2288" i="1" s="1"/>
  <c r="E2288" i="1"/>
  <c r="W2287" i="1" a="1"/>
  <c r="W2287" i="1" s="1"/>
  <c r="E2287" i="1"/>
  <c r="W2286" i="1" a="1"/>
  <c r="W2286" i="1" s="1"/>
  <c r="E2286" i="1"/>
  <c r="W2285" i="1" a="1"/>
  <c r="W2285" i="1" s="1"/>
  <c r="E2285" i="1"/>
  <c r="W2284" i="1" a="1"/>
  <c r="W2284" i="1" s="1"/>
  <c r="E2284" i="1"/>
  <c r="W2283" i="1" a="1"/>
  <c r="W2283" i="1" s="1"/>
  <c r="E2283" i="1"/>
  <c r="W2282" i="1" a="1"/>
  <c r="W2282" i="1" s="1"/>
  <c r="E2282" i="1"/>
  <c r="W2281" i="1" a="1"/>
  <c r="W2281" i="1" s="1"/>
  <c r="E2281" i="1"/>
  <c r="W2280" i="1" a="1"/>
  <c r="W2280" i="1" s="1"/>
  <c r="E2280" i="1"/>
  <c r="W2279" i="1" a="1"/>
  <c r="W2279" i="1" s="1"/>
  <c r="E2279" i="1"/>
  <c r="W2278" i="1" a="1"/>
  <c r="W2278" i="1" s="1"/>
  <c r="E2278" i="1"/>
  <c r="W2277" i="1" a="1"/>
  <c r="W2277" i="1" s="1"/>
  <c r="E2277" i="1"/>
  <c r="W2276" i="1" a="1"/>
  <c r="W2276" i="1" s="1"/>
  <c r="E2276" i="1"/>
  <c r="W2275" i="1" a="1"/>
  <c r="W2275" i="1" s="1"/>
  <c r="E2275" i="1"/>
  <c r="W2274" i="1" a="1"/>
  <c r="W2274" i="1" s="1"/>
  <c r="E2274" i="1"/>
  <c r="W2273" i="1" a="1"/>
  <c r="W2273" i="1" s="1"/>
  <c r="E2273" i="1"/>
  <c r="W2272" i="1" a="1"/>
  <c r="W2272" i="1" s="1"/>
  <c r="E2272" i="1"/>
  <c r="W2271" i="1" a="1"/>
  <c r="W2271" i="1" s="1"/>
  <c r="E2271" i="1"/>
  <c r="W2270" i="1" a="1"/>
  <c r="W2270" i="1" s="1"/>
  <c r="E2270" i="1"/>
  <c r="W2269" i="1" a="1"/>
  <c r="W2269" i="1" s="1"/>
  <c r="E2269" i="1"/>
  <c r="W2268" i="1" a="1"/>
  <c r="W2268" i="1" s="1"/>
  <c r="E2268" i="1"/>
  <c r="W2267" i="1" a="1"/>
  <c r="W2267" i="1" s="1"/>
  <c r="E2267" i="1"/>
  <c r="W2266" i="1" a="1"/>
  <c r="W2266" i="1" s="1"/>
  <c r="E2266" i="1"/>
  <c r="W2265" i="1" a="1"/>
  <c r="W2265" i="1" s="1"/>
  <c r="E2265" i="1"/>
  <c r="W2264" i="1" a="1"/>
  <c r="W2264" i="1" s="1"/>
  <c r="E2264" i="1"/>
  <c r="W2263" i="1" a="1"/>
  <c r="W2263" i="1" s="1"/>
  <c r="E2263" i="1"/>
  <c r="W2262" i="1" a="1"/>
  <c r="W2262" i="1" s="1"/>
  <c r="E2262" i="1"/>
  <c r="W2261" i="1" a="1"/>
  <c r="W2261" i="1" s="1"/>
  <c r="E2261" i="1"/>
  <c r="W2260" i="1" a="1"/>
  <c r="W2260" i="1" s="1"/>
  <c r="E2260" i="1"/>
  <c r="W2259" i="1" a="1"/>
  <c r="W2259" i="1" s="1"/>
  <c r="E2259" i="1"/>
  <c r="W2258" i="1" a="1"/>
  <c r="W2258" i="1" s="1"/>
  <c r="E2258" i="1"/>
  <c r="W2257" i="1" a="1"/>
  <c r="W2257" i="1" s="1"/>
  <c r="E2257" i="1"/>
  <c r="W2256" i="1" a="1"/>
  <c r="W2256" i="1" s="1"/>
  <c r="E2256" i="1"/>
  <c r="W2255" i="1" a="1"/>
  <c r="W2255" i="1" s="1"/>
  <c r="E2255" i="1"/>
  <c r="W2254" i="1" a="1"/>
  <c r="W2254" i="1" s="1"/>
  <c r="E2254" i="1"/>
  <c r="W2253" i="1" a="1"/>
  <c r="W2253" i="1" s="1"/>
  <c r="E2253" i="1"/>
  <c r="W2252" i="1" a="1"/>
  <c r="W2252" i="1" s="1"/>
  <c r="E2252" i="1"/>
  <c r="W2251" i="1" a="1"/>
  <c r="W2251" i="1" s="1"/>
  <c r="E2251" i="1"/>
  <c r="W2250" i="1" a="1"/>
  <c r="W2250" i="1" s="1"/>
  <c r="E2250" i="1"/>
  <c r="W2249" i="1" a="1"/>
  <c r="W2249" i="1" s="1"/>
  <c r="E2249" i="1"/>
  <c r="W2248" i="1" a="1"/>
  <c r="W2248" i="1" s="1"/>
  <c r="E2248" i="1"/>
  <c r="W2247" i="1" a="1"/>
  <c r="W2247" i="1" s="1"/>
  <c r="E2247" i="1"/>
  <c r="W2246" i="1" a="1"/>
  <c r="W2246" i="1" s="1"/>
  <c r="E2246" i="1"/>
  <c r="W2245" i="1" a="1"/>
  <c r="W2245" i="1" s="1"/>
  <c r="E2245" i="1"/>
  <c r="W2244" i="1" a="1"/>
  <c r="W2244" i="1" s="1"/>
  <c r="E2244" i="1"/>
  <c r="W2243" i="1" a="1"/>
  <c r="W2243" i="1" s="1"/>
  <c r="E2243" i="1"/>
  <c r="W2242" i="1" a="1"/>
  <c r="W2242" i="1" s="1"/>
  <c r="E2242" i="1"/>
  <c r="W2241" i="1" a="1"/>
  <c r="W2241" i="1" s="1"/>
  <c r="E2241" i="1"/>
  <c r="W2240" i="1" a="1"/>
  <c r="W2240" i="1" s="1"/>
  <c r="E2240" i="1"/>
  <c r="W2239" i="1" a="1"/>
  <c r="W2239" i="1" s="1"/>
  <c r="E2239" i="1"/>
  <c r="W2238" i="1" a="1"/>
  <c r="W2238" i="1" s="1"/>
  <c r="E2238" i="1"/>
  <c r="W2237" i="1" a="1"/>
  <c r="W2237" i="1" s="1"/>
  <c r="E2237" i="1"/>
  <c r="W2236" i="1" a="1"/>
  <c r="W2236" i="1" s="1"/>
  <c r="E2236" i="1"/>
  <c r="W2235" i="1" a="1"/>
  <c r="W2235" i="1" s="1"/>
  <c r="E2235" i="1"/>
  <c r="W2234" i="1" a="1"/>
  <c r="W2234" i="1" s="1"/>
  <c r="E2234" i="1"/>
  <c r="W2233" i="1" a="1"/>
  <c r="W2233" i="1" s="1"/>
  <c r="E2233" i="1"/>
  <c r="W2232" i="1" a="1"/>
  <c r="W2232" i="1" s="1"/>
  <c r="E2232" i="1"/>
  <c r="W2231" i="1" a="1"/>
  <c r="W2231" i="1" s="1"/>
  <c r="E2231" i="1"/>
  <c r="W2230" i="1" a="1"/>
  <c r="W2230" i="1" s="1"/>
  <c r="E2230" i="1"/>
  <c r="W2229" i="1" a="1"/>
  <c r="W2229" i="1" s="1"/>
  <c r="E2229" i="1"/>
  <c r="W2228" i="1" a="1"/>
  <c r="W2228" i="1" s="1"/>
  <c r="E2228" i="1"/>
  <c r="W2227" i="1" a="1"/>
  <c r="W2227" i="1" s="1"/>
  <c r="E2227" i="1"/>
  <c r="W2226" i="1" a="1"/>
  <c r="W2226" i="1" s="1"/>
  <c r="E2226" i="1"/>
  <c r="W2225" i="1" a="1"/>
  <c r="W2225" i="1" s="1"/>
  <c r="E2225" i="1"/>
  <c r="W2224" i="1" a="1"/>
  <c r="W2224" i="1" s="1"/>
  <c r="E2224" i="1"/>
  <c r="W2223" i="1" a="1"/>
  <c r="W2223" i="1" s="1"/>
  <c r="E2223" i="1"/>
  <c r="W2222" i="1" a="1"/>
  <c r="W2222" i="1" s="1"/>
  <c r="E2222" i="1"/>
  <c r="W2221" i="1" a="1"/>
  <c r="W2221" i="1" s="1"/>
  <c r="E2221" i="1"/>
  <c r="W2220" i="1" a="1"/>
  <c r="W2220" i="1" s="1"/>
  <c r="E2220" i="1"/>
  <c r="W2219" i="1" a="1"/>
  <c r="W2219" i="1" s="1"/>
  <c r="E2219" i="1"/>
  <c r="W2218" i="1" a="1"/>
  <c r="W2218" i="1" s="1"/>
  <c r="E2218" i="1"/>
  <c r="W2217" i="1" a="1"/>
  <c r="W2217" i="1" s="1"/>
  <c r="E2217" i="1"/>
  <c r="W2216" i="1" a="1"/>
  <c r="W2216" i="1" s="1"/>
  <c r="E2216" i="1"/>
  <c r="W2215" i="1" a="1"/>
  <c r="W2215" i="1" s="1"/>
  <c r="E2215" i="1"/>
  <c r="W2214" i="1" a="1"/>
  <c r="W2214" i="1" s="1"/>
  <c r="E2214" i="1"/>
  <c r="W2213" i="1" a="1"/>
  <c r="W2213" i="1" s="1"/>
  <c r="E2213" i="1"/>
  <c r="W2212" i="1" a="1"/>
  <c r="W2212" i="1" s="1"/>
  <c r="E2212" i="1"/>
  <c r="W2211" i="1" a="1"/>
  <c r="W2211" i="1" s="1"/>
  <c r="E2211" i="1"/>
  <c r="W2210" i="1" a="1"/>
  <c r="W2210" i="1" s="1"/>
  <c r="E2210" i="1"/>
  <c r="W2209" i="1" a="1"/>
  <c r="W2209" i="1" s="1"/>
  <c r="E2209" i="1"/>
  <c r="W2208" i="1" a="1"/>
  <c r="W2208" i="1" s="1"/>
  <c r="E2208" i="1"/>
  <c r="W2207" i="1" a="1"/>
  <c r="W2207" i="1" s="1"/>
  <c r="E2207" i="1"/>
  <c r="W2206" i="1" a="1"/>
  <c r="W2206" i="1" s="1"/>
  <c r="E2206" i="1"/>
  <c r="W2205" i="1" a="1"/>
  <c r="W2205" i="1" s="1"/>
  <c r="E2205" i="1"/>
  <c r="W2204" i="1" a="1"/>
  <c r="W2204" i="1" s="1"/>
  <c r="E2204" i="1"/>
  <c r="W2203" i="1" a="1"/>
  <c r="W2203" i="1" s="1"/>
  <c r="E2203" i="1"/>
  <c r="W2202" i="1" a="1"/>
  <c r="W2202" i="1" s="1"/>
  <c r="E2202" i="1"/>
  <c r="W2201" i="1" a="1"/>
  <c r="W2201" i="1" s="1"/>
  <c r="E2201" i="1"/>
  <c r="W2200" i="1" a="1"/>
  <c r="W2200" i="1" s="1"/>
  <c r="E2200" i="1"/>
  <c r="W2199" i="1" a="1"/>
  <c r="W2199" i="1" s="1"/>
  <c r="E2199" i="1"/>
  <c r="W2198" i="1" a="1"/>
  <c r="W2198" i="1" s="1"/>
  <c r="E2198" i="1"/>
  <c r="W2197" i="1" a="1"/>
  <c r="W2197" i="1" s="1"/>
  <c r="E2197" i="1"/>
  <c r="W2196" i="1" a="1"/>
  <c r="W2196" i="1" s="1"/>
  <c r="E2196" i="1"/>
  <c r="W2195" i="1" a="1"/>
  <c r="W2195" i="1" s="1"/>
  <c r="E2195" i="1"/>
  <c r="W2194" i="1" a="1"/>
  <c r="W2194" i="1" s="1"/>
  <c r="E2194" i="1"/>
  <c r="W2193" i="1" a="1"/>
  <c r="W2193" i="1" s="1"/>
  <c r="E2193" i="1"/>
  <c r="W2192" i="1" a="1"/>
  <c r="W2192" i="1" s="1"/>
  <c r="E2192" i="1"/>
  <c r="W2191" i="1" a="1"/>
  <c r="W2191" i="1" s="1"/>
  <c r="E2191" i="1"/>
  <c r="W2190" i="1" a="1"/>
  <c r="W2190" i="1" s="1"/>
  <c r="E2190" i="1"/>
  <c r="W2189" i="1" a="1"/>
  <c r="W2189" i="1" s="1"/>
  <c r="E2189" i="1"/>
  <c r="W2188" i="1" a="1"/>
  <c r="W2188" i="1" s="1"/>
  <c r="E2188" i="1"/>
  <c r="W2187" i="1" a="1"/>
  <c r="W2187" i="1" s="1"/>
  <c r="E2187" i="1"/>
  <c r="W2186" i="1" a="1"/>
  <c r="W2186" i="1" s="1"/>
  <c r="E2186" i="1"/>
  <c r="W2185" i="1" a="1"/>
  <c r="W2185" i="1" s="1"/>
  <c r="E2185" i="1"/>
  <c r="W2184" i="1" a="1"/>
  <c r="W2184" i="1" s="1"/>
  <c r="E2184" i="1"/>
  <c r="W2183" i="1" a="1"/>
  <c r="W2183" i="1" s="1"/>
  <c r="E2183" i="1"/>
  <c r="W2182" i="1" a="1"/>
  <c r="W2182" i="1" s="1"/>
  <c r="E2182" i="1"/>
  <c r="W2181" i="1" a="1"/>
  <c r="W2181" i="1" s="1"/>
  <c r="E2181" i="1"/>
  <c r="W2180" i="1" a="1"/>
  <c r="W2180" i="1" s="1"/>
  <c r="E2180" i="1"/>
  <c r="W2179" i="1" a="1"/>
  <c r="W2179" i="1" s="1"/>
  <c r="E2179" i="1"/>
  <c r="W2178" i="1" a="1"/>
  <c r="W2178" i="1" s="1"/>
  <c r="E2178" i="1"/>
  <c r="W2177" i="1" a="1"/>
  <c r="W2177" i="1" s="1"/>
  <c r="E2177" i="1"/>
  <c r="W2176" i="1" a="1"/>
  <c r="W2176" i="1" s="1"/>
  <c r="E2176" i="1"/>
  <c r="W2175" i="1" a="1"/>
  <c r="W2175" i="1" s="1"/>
  <c r="E2175" i="1"/>
  <c r="W2174" i="1" a="1"/>
  <c r="W2174" i="1" s="1"/>
  <c r="E2174" i="1"/>
  <c r="W2173" i="1" a="1"/>
  <c r="W2173" i="1" s="1"/>
  <c r="E2173" i="1"/>
  <c r="W2172" i="1" a="1"/>
  <c r="W2172" i="1" s="1"/>
  <c r="E2172" i="1"/>
  <c r="W2171" i="1" a="1"/>
  <c r="W2171" i="1" s="1"/>
  <c r="E2171" i="1"/>
  <c r="W2170" i="1" a="1"/>
  <c r="W2170" i="1" s="1"/>
  <c r="E2170" i="1"/>
  <c r="W2169" i="1" a="1"/>
  <c r="W2169" i="1" s="1"/>
  <c r="E2169" i="1"/>
  <c r="W2168" i="1" a="1"/>
  <c r="W2168" i="1" s="1"/>
  <c r="E2168" i="1"/>
  <c r="W2167" i="1" a="1"/>
  <c r="W2167" i="1" s="1"/>
  <c r="E2167" i="1"/>
  <c r="W2166" i="1" a="1"/>
  <c r="W2166" i="1" s="1"/>
  <c r="E2166" i="1"/>
  <c r="W2165" i="1" a="1"/>
  <c r="W2165" i="1" s="1"/>
  <c r="E2165" i="1"/>
  <c r="W2164" i="1" a="1"/>
  <c r="W2164" i="1" s="1"/>
  <c r="E2164" i="1"/>
  <c r="W2163" i="1" a="1"/>
  <c r="W2163" i="1" s="1"/>
  <c r="E2163" i="1"/>
  <c r="W2162" i="1" a="1"/>
  <c r="W2162" i="1" s="1"/>
  <c r="E2162" i="1"/>
  <c r="W2161" i="1" a="1"/>
  <c r="W2161" i="1" s="1"/>
  <c r="E2161" i="1"/>
  <c r="W2160" i="1" a="1"/>
  <c r="W2160" i="1" s="1"/>
  <c r="E2160" i="1"/>
  <c r="W2159" i="1" a="1"/>
  <c r="W2159" i="1" s="1"/>
  <c r="E2159" i="1"/>
  <c r="W2158" i="1" a="1"/>
  <c r="W2158" i="1" s="1"/>
  <c r="E2158" i="1"/>
  <c r="W2157" i="1" a="1"/>
  <c r="W2157" i="1" s="1"/>
  <c r="E2157" i="1"/>
  <c r="W2156" i="1" a="1"/>
  <c r="W2156" i="1" s="1"/>
  <c r="E2156" i="1"/>
  <c r="W2155" i="1" a="1"/>
  <c r="W2155" i="1" s="1"/>
  <c r="E2155" i="1"/>
  <c r="W2154" i="1" a="1"/>
  <c r="W2154" i="1" s="1"/>
  <c r="E2154" i="1"/>
  <c r="W2153" i="1" a="1"/>
  <c r="W2153" i="1" s="1"/>
  <c r="E2153" i="1"/>
  <c r="W2152" i="1" a="1"/>
  <c r="W2152" i="1" s="1"/>
  <c r="E2152" i="1"/>
  <c r="W2151" i="1" a="1"/>
  <c r="W2151" i="1" s="1"/>
  <c r="E2151" i="1"/>
  <c r="W2150" i="1" a="1"/>
  <c r="W2150" i="1" s="1"/>
  <c r="E2150" i="1"/>
  <c r="W2149" i="1" a="1"/>
  <c r="W2149" i="1" s="1"/>
  <c r="E2149" i="1"/>
  <c r="W2148" i="1" a="1"/>
  <c r="W2148" i="1" s="1"/>
  <c r="E2148" i="1"/>
  <c r="W2147" i="1" a="1"/>
  <c r="W2147" i="1" s="1"/>
  <c r="E2147" i="1"/>
  <c r="W2146" i="1" a="1"/>
  <c r="W2146" i="1" s="1"/>
  <c r="E2146" i="1"/>
  <c r="W2145" i="1" a="1"/>
  <c r="W2145" i="1" s="1"/>
  <c r="E2145" i="1"/>
  <c r="W2144" i="1" a="1"/>
  <c r="W2144" i="1" s="1"/>
  <c r="E2144" i="1"/>
  <c r="W2143" i="1" a="1"/>
  <c r="W2143" i="1" s="1"/>
  <c r="E2143" i="1"/>
  <c r="W2142" i="1" a="1"/>
  <c r="W2142" i="1" s="1"/>
  <c r="E2142" i="1"/>
  <c r="W2141" i="1" a="1"/>
  <c r="W2141" i="1" s="1"/>
  <c r="E2141" i="1"/>
  <c r="W2140" i="1" a="1"/>
  <c r="W2140" i="1" s="1"/>
  <c r="E2140" i="1"/>
  <c r="W2139" i="1" a="1"/>
  <c r="W2139" i="1" s="1"/>
  <c r="E2139" i="1"/>
  <c r="W2138" i="1" a="1"/>
  <c r="W2138" i="1" s="1"/>
  <c r="E2138" i="1"/>
  <c r="W2137" i="1" a="1"/>
  <c r="W2137" i="1" s="1"/>
  <c r="E2137" i="1"/>
  <c r="W2136" i="1" a="1"/>
  <c r="W2136" i="1" s="1"/>
  <c r="E2136" i="1"/>
  <c r="W2135" i="1" a="1"/>
  <c r="W2135" i="1" s="1"/>
  <c r="E2135" i="1"/>
  <c r="W2134" i="1" a="1"/>
  <c r="W2134" i="1" s="1"/>
  <c r="E2134" i="1"/>
  <c r="W2133" i="1" a="1"/>
  <c r="W2133" i="1" s="1"/>
  <c r="E2133" i="1"/>
  <c r="W2132" i="1" a="1"/>
  <c r="W2132" i="1" s="1"/>
  <c r="E2132" i="1"/>
  <c r="W2131" i="1" a="1"/>
  <c r="W2131" i="1" s="1"/>
  <c r="E2131" i="1"/>
  <c r="W2130" i="1" a="1"/>
  <c r="W2130" i="1" s="1"/>
  <c r="E2130" i="1"/>
  <c r="W2129" i="1" a="1"/>
  <c r="W2129" i="1" s="1"/>
  <c r="E2129" i="1"/>
  <c r="W2128" i="1" a="1"/>
  <c r="W2128" i="1" s="1"/>
  <c r="E2128" i="1"/>
  <c r="W2127" i="1" a="1"/>
  <c r="W2127" i="1" s="1"/>
  <c r="E2127" i="1"/>
  <c r="W2126" i="1" a="1"/>
  <c r="W2126" i="1" s="1"/>
  <c r="E2126" i="1"/>
  <c r="W2125" i="1" a="1"/>
  <c r="W2125" i="1" s="1"/>
  <c r="E2125" i="1"/>
  <c r="W2124" i="1" a="1"/>
  <c r="W2124" i="1" s="1"/>
  <c r="E2124" i="1"/>
  <c r="W2123" i="1" a="1"/>
  <c r="W2123" i="1" s="1"/>
  <c r="E2123" i="1"/>
  <c r="W2122" i="1" a="1"/>
  <c r="W2122" i="1" s="1"/>
  <c r="E2122" i="1"/>
  <c r="W2121" i="1" a="1"/>
  <c r="W2121" i="1" s="1"/>
  <c r="E2121" i="1"/>
  <c r="W2120" i="1" a="1"/>
  <c r="W2120" i="1" s="1"/>
  <c r="E2120" i="1"/>
  <c r="W2119" i="1" a="1"/>
  <c r="W2119" i="1" s="1"/>
  <c r="E2119" i="1"/>
  <c r="W2118" i="1" a="1"/>
  <c r="W2118" i="1" s="1"/>
  <c r="E2118" i="1"/>
  <c r="W2117" i="1" a="1"/>
  <c r="W2117" i="1" s="1"/>
  <c r="E2117" i="1"/>
  <c r="W2116" i="1" a="1"/>
  <c r="W2116" i="1" s="1"/>
  <c r="E2116" i="1"/>
  <c r="W2115" i="1" a="1"/>
  <c r="W2115" i="1" s="1"/>
  <c r="E2115" i="1"/>
  <c r="W2114" i="1" a="1"/>
  <c r="W2114" i="1" s="1"/>
  <c r="E2114" i="1"/>
  <c r="W2113" i="1" a="1"/>
  <c r="W2113" i="1" s="1"/>
  <c r="E2113" i="1"/>
  <c r="W2112" i="1" a="1"/>
  <c r="W2112" i="1" s="1"/>
  <c r="E2112" i="1"/>
  <c r="W2111" i="1" a="1"/>
  <c r="W2111" i="1" s="1"/>
  <c r="E2111" i="1"/>
  <c r="W2110" i="1" a="1"/>
  <c r="W2110" i="1" s="1"/>
  <c r="E2110" i="1"/>
  <c r="W2109" i="1" a="1"/>
  <c r="W2109" i="1" s="1"/>
  <c r="E2109" i="1"/>
  <c r="W2108" i="1" a="1"/>
  <c r="W2108" i="1" s="1"/>
  <c r="E2108" i="1"/>
  <c r="W2107" i="1" a="1"/>
  <c r="W2107" i="1" s="1"/>
  <c r="E2107" i="1"/>
  <c r="W2106" i="1" a="1"/>
  <c r="W2106" i="1" s="1"/>
  <c r="E2106" i="1"/>
  <c r="W2105" i="1" a="1"/>
  <c r="W2105" i="1" s="1"/>
  <c r="E2105" i="1"/>
  <c r="W2104" i="1" a="1"/>
  <c r="W2104" i="1" s="1"/>
  <c r="E2104" i="1"/>
  <c r="W2103" i="1" a="1"/>
  <c r="W2103" i="1" s="1"/>
  <c r="E2103" i="1"/>
  <c r="W2102" i="1" a="1"/>
  <c r="W2102" i="1" s="1"/>
  <c r="E2102" i="1"/>
  <c r="W2101" i="1" a="1"/>
  <c r="W2101" i="1" s="1"/>
  <c r="E2101" i="1"/>
  <c r="W2100" i="1" a="1"/>
  <c r="W2100" i="1" s="1"/>
  <c r="E2100" i="1"/>
  <c r="W2099" i="1" a="1"/>
  <c r="W2099" i="1" s="1"/>
  <c r="E2099" i="1"/>
  <c r="W2098" i="1" a="1"/>
  <c r="W2098" i="1" s="1"/>
  <c r="E2098" i="1"/>
  <c r="W2097" i="1" a="1"/>
  <c r="W2097" i="1" s="1"/>
  <c r="E2097" i="1"/>
  <c r="W2096" i="1" a="1"/>
  <c r="W2096" i="1" s="1"/>
  <c r="E2096" i="1"/>
  <c r="W2095" i="1" a="1"/>
  <c r="W2095" i="1" s="1"/>
  <c r="E2095" i="1"/>
  <c r="W2094" i="1" a="1"/>
  <c r="W2094" i="1" s="1"/>
  <c r="E2094" i="1"/>
  <c r="W2093" i="1" a="1"/>
  <c r="W2093" i="1" s="1"/>
  <c r="E2093" i="1"/>
  <c r="W2092" i="1" a="1"/>
  <c r="W2092" i="1" s="1"/>
  <c r="E2092" i="1"/>
  <c r="W2091" i="1" a="1"/>
  <c r="W2091" i="1" s="1"/>
  <c r="E2091" i="1"/>
  <c r="W2090" i="1" a="1"/>
  <c r="W2090" i="1" s="1"/>
  <c r="E2090" i="1"/>
  <c r="W2089" i="1" a="1"/>
  <c r="W2089" i="1" s="1"/>
  <c r="E2089" i="1"/>
  <c r="W2088" i="1" a="1"/>
  <c r="W2088" i="1" s="1"/>
  <c r="E2088" i="1"/>
  <c r="W2087" i="1" a="1"/>
  <c r="W2087" i="1" s="1"/>
  <c r="E2087" i="1"/>
  <c r="W2086" i="1" a="1"/>
  <c r="W2086" i="1" s="1"/>
  <c r="E2086" i="1"/>
  <c r="W2085" i="1" a="1"/>
  <c r="W2085" i="1" s="1"/>
  <c r="E2085" i="1"/>
  <c r="W2084" i="1" a="1"/>
  <c r="W2084" i="1" s="1"/>
  <c r="E2084" i="1"/>
  <c r="W2083" i="1" a="1"/>
  <c r="W2083" i="1" s="1"/>
  <c r="E2083" i="1"/>
  <c r="W2082" i="1" a="1"/>
  <c r="W2082" i="1" s="1"/>
  <c r="E2082" i="1"/>
  <c r="W2081" i="1" a="1"/>
  <c r="W2081" i="1" s="1"/>
  <c r="E2081" i="1"/>
  <c r="W2080" i="1" a="1"/>
  <c r="W2080" i="1" s="1"/>
  <c r="E2080" i="1"/>
  <c r="W2079" i="1" a="1"/>
  <c r="W2079" i="1" s="1"/>
  <c r="E2079" i="1"/>
  <c r="W2078" i="1" a="1"/>
  <c r="W2078" i="1" s="1"/>
  <c r="E2078" i="1"/>
  <c r="W2077" i="1" a="1"/>
  <c r="W2077" i="1" s="1"/>
  <c r="E2077" i="1"/>
  <c r="W2076" i="1" a="1"/>
  <c r="W2076" i="1" s="1"/>
  <c r="E2076" i="1"/>
  <c r="W2075" i="1" a="1"/>
  <c r="W2075" i="1" s="1"/>
  <c r="E2075" i="1"/>
  <c r="W2074" i="1" a="1"/>
  <c r="W2074" i="1" s="1"/>
  <c r="E2074" i="1"/>
  <c r="W2073" i="1" a="1"/>
  <c r="W2073" i="1" s="1"/>
  <c r="E2073" i="1"/>
  <c r="W2072" i="1" a="1"/>
  <c r="W2072" i="1" s="1"/>
  <c r="E2072" i="1"/>
  <c r="W2071" i="1" a="1"/>
  <c r="W2071" i="1" s="1"/>
  <c r="E2071" i="1"/>
  <c r="W2070" i="1" a="1"/>
  <c r="W2070" i="1" s="1"/>
  <c r="E2070" i="1"/>
  <c r="W2069" i="1" a="1"/>
  <c r="W2069" i="1" s="1"/>
  <c r="E2069" i="1"/>
  <c r="W2068" i="1" a="1"/>
  <c r="W2068" i="1" s="1"/>
  <c r="E2068" i="1"/>
  <c r="W2067" i="1" a="1"/>
  <c r="W2067" i="1" s="1"/>
  <c r="E2067" i="1"/>
  <c r="W2066" i="1" a="1"/>
  <c r="W2066" i="1" s="1"/>
  <c r="E2066" i="1"/>
  <c r="W2065" i="1" a="1"/>
  <c r="W2065" i="1" s="1"/>
  <c r="E2065" i="1"/>
  <c r="W2064" i="1" a="1"/>
  <c r="W2064" i="1" s="1"/>
  <c r="E2064" i="1"/>
  <c r="W2063" i="1" a="1"/>
  <c r="W2063" i="1" s="1"/>
  <c r="E2063" i="1"/>
  <c r="W2062" i="1" a="1"/>
  <c r="W2062" i="1" s="1"/>
  <c r="E2062" i="1"/>
  <c r="W2061" i="1" a="1"/>
  <c r="W2061" i="1" s="1"/>
  <c r="E2061" i="1"/>
  <c r="W2060" i="1" a="1"/>
  <c r="W2060" i="1" s="1"/>
  <c r="E2060" i="1"/>
  <c r="W2059" i="1" a="1"/>
  <c r="W2059" i="1" s="1"/>
  <c r="E2059" i="1"/>
  <c r="W2058" i="1" a="1"/>
  <c r="W2058" i="1" s="1"/>
  <c r="E2058" i="1"/>
  <c r="W2057" i="1" a="1"/>
  <c r="W2057" i="1" s="1"/>
  <c r="E2057" i="1"/>
  <c r="W2056" i="1" a="1"/>
  <c r="W2056" i="1" s="1"/>
  <c r="E2056" i="1"/>
  <c r="W2055" i="1" a="1"/>
  <c r="W2055" i="1" s="1"/>
  <c r="E2055" i="1"/>
  <c r="W2054" i="1" a="1"/>
  <c r="W2054" i="1" s="1"/>
  <c r="E2054" i="1"/>
  <c r="W2053" i="1" a="1"/>
  <c r="W2053" i="1" s="1"/>
  <c r="E2053" i="1"/>
  <c r="W2052" i="1" a="1"/>
  <c r="W2052" i="1" s="1"/>
  <c r="E2052" i="1"/>
  <c r="W2051" i="1" a="1"/>
  <c r="W2051" i="1" s="1"/>
  <c r="E2051" i="1"/>
  <c r="W2050" i="1" a="1"/>
  <c r="W2050" i="1" s="1"/>
  <c r="E2050" i="1"/>
  <c r="W2049" i="1" a="1"/>
  <c r="W2049" i="1" s="1"/>
  <c r="E2049" i="1"/>
  <c r="W2048" i="1" a="1"/>
  <c r="W2048" i="1" s="1"/>
  <c r="E2048" i="1"/>
  <c r="W2047" i="1" a="1"/>
  <c r="W2047" i="1" s="1"/>
  <c r="E2047" i="1"/>
  <c r="W2046" i="1" a="1"/>
  <c r="W2046" i="1" s="1"/>
  <c r="E2046" i="1"/>
  <c r="W2045" i="1" a="1"/>
  <c r="W2045" i="1" s="1"/>
  <c r="E2045" i="1"/>
  <c r="W2044" i="1" a="1"/>
  <c r="W2044" i="1" s="1"/>
  <c r="E2044" i="1"/>
  <c r="W2043" i="1" a="1"/>
  <c r="W2043" i="1" s="1"/>
  <c r="E2043" i="1"/>
  <c r="W2042" i="1" a="1"/>
  <c r="W2042" i="1" s="1"/>
  <c r="E2042" i="1"/>
  <c r="W2041" i="1" a="1"/>
  <c r="W2041" i="1" s="1"/>
  <c r="E2041" i="1"/>
  <c r="W2040" i="1" a="1"/>
  <c r="W2040" i="1" s="1"/>
  <c r="E2040" i="1"/>
  <c r="W2039" i="1" a="1"/>
  <c r="W2039" i="1" s="1"/>
  <c r="E2039" i="1"/>
  <c r="W2038" i="1" a="1"/>
  <c r="W2038" i="1" s="1"/>
  <c r="E2038" i="1"/>
  <c r="W2037" i="1" a="1"/>
  <c r="W2037" i="1" s="1"/>
  <c r="E2037" i="1"/>
  <c r="W2036" i="1" a="1"/>
  <c r="W2036" i="1" s="1"/>
  <c r="E2036" i="1"/>
  <c r="W2035" i="1" a="1"/>
  <c r="W2035" i="1" s="1"/>
  <c r="E2035" i="1"/>
  <c r="W2034" i="1" a="1"/>
  <c r="W2034" i="1" s="1"/>
  <c r="E2034" i="1"/>
  <c r="W2033" i="1" a="1"/>
  <c r="W2033" i="1" s="1"/>
  <c r="E2033" i="1"/>
  <c r="W2032" i="1" a="1"/>
  <c r="W2032" i="1" s="1"/>
  <c r="E2032" i="1"/>
  <c r="W2031" i="1" a="1"/>
  <c r="W2031" i="1" s="1"/>
  <c r="E2031" i="1"/>
  <c r="W2030" i="1" a="1"/>
  <c r="W2030" i="1" s="1"/>
  <c r="E2030" i="1"/>
  <c r="W2029" i="1" a="1"/>
  <c r="W2029" i="1" s="1"/>
  <c r="E2029" i="1"/>
  <c r="W2028" i="1" a="1"/>
  <c r="W2028" i="1" s="1"/>
  <c r="E2028" i="1"/>
  <c r="W2027" i="1" a="1"/>
  <c r="W2027" i="1" s="1"/>
  <c r="E2027" i="1"/>
  <c r="W2026" i="1" a="1"/>
  <c r="W2026" i="1" s="1"/>
  <c r="E2026" i="1"/>
  <c r="W2025" i="1" a="1"/>
  <c r="W2025" i="1" s="1"/>
  <c r="E2025" i="1"/>
  <c r="W2024" i="1" a="1"/>
  <c r="W2024" i="1" s="1"/>
  <c r="E2024" i="1"/>
  <c r="W2023" i="1" a="1"/>
  <c r="W2023" i="1" s="1"/>
  <c r="E2023" i="1"/>
  <c r="W2022" i="1" a="1"/>
  <c r="W2022" i="1" s="1"/>
  <c r="E2022" i="1"/>
  <c r="W2021" i="1" a="1"/>
  <c r="W2021" i="1" s="1"/>
  <c r="E2021" i="1"/>
  <c r="W2020" i="1" a="1"/>
  <c r="W2020" i="1" s="1"/>
  <c r="E2020" i="1"/>
  <c r="W2019" i="1" a="1"/>
  <c r="W2019" i="1" s="1"/>
  <c r="E2019" i="1"/>
  <c r="W2018" i="1" a="1"/>
  <c r="W2018" i="1" s="1"/>
  <c r="E2018" i="1"/>
  <c r="W2017" i="1" a="1"/>
  <c r="W2017" i="1" s="1"/>
  <c r="E2017" i="1"/>
  <c r="W2016" i="1" a="1"/>
  <c r="W2016" i="1" s="1"/>
  <c r="E2016" i="1"/>
  <c r="W2015" i="1" a="1"/>
  <c r="W2015" i="1" s="1"/>
  <c r="E2015" i="1"/>
  <c r="W2014" i="1" a="1"/>
  <c r="W2014" i="1" s="1"/>
  <c r="E2014" i="1"/>
  <c r="W2013" i="1" a="1"/>
  <c r="W2013" i="1" s="1"/>
  <c r="E2013" i="1"/>
  <c r="W2012" i="1" a="1"/>
  <c r="W2012" i="1" s="1"/>
  <c r="E2012" i="1"/>
  <c r="W2011" i="1" a="1"/>
  <c r="W2011" i="1" s="1"/>
  <c r="E2011" i="1"/>
  <c r="W2010" i="1" a="1"/>
  <c r="W2010" i="1" s="1"/>
  <c r="E2010" i="1"/>
  <c r="W2009" i="1" a="1"/>
  <c r="W2009" i="1" s="1"/>
  <c r="E2009" i="1"/>
  <c r="W2008" i="1" a="1"/>
  <c r="W2008" i="1" s="1"/>
  <c r="E2008" i="1"/>
  <c r="W2007" i="1" a="1"/>
  <c r="W2007" i="1" s="1"/>
  <c r="E2007" i="1"/>
  <c r="W2006" i="1" a="1"/>
  <c r="W2006" i="1" s="1"/>
  <c r="E2006" i="1"/>
  <c r="W2005" i="1" a="1"/>
  <c r="W2005" i="1" s="1"/>
  <c r="E2005" i="1"/>
  <c r="W2004" i="1" a="1"/>
  <c r="W2004" i="1" s="1"/>
  <c r="E2004" i="1"/>
  <c r="W2003" i="1" a="1"/>
  <c r="W2003" i="1" s="1"/>
  <c r="E2003" i="1"/>
  <c r="W2002" i="1" a="1"/>
  <c r="W2002" i="1" s="1"/>
  <c r="E2002" i="1"/>
  <c r="W2001" i="1" a="1"/>
  <c r="W2001" i="1" s="1"/>
  <c r="E2001" i="1"/>
  <c r="W2000" i="1" a="1"/>
  <c r="W2000" i="1" s="1"/>
  <c r="E2000" i="1"/>
  <c r="W1999" i="1" a="1"/>
  <c r="W1999" i="1" s="1"/>
  <c r="E1999" i="1"/>
  <c r="W1998" i="1" a="1"/>
  <c r="W1998" i="1" s="1"/>
  <c r="E1998" i="1"/>
  <c r="W1997" i="1" a="1"/>
  <c r="W1997" i="1" s="1"/>
  <c r="E1997" i="1"/>
  <c r="W1996" i="1" a="1"/>
  <c r="W1996" i="1" s="1"/>
  <c r="E1996" i="1"/>
  <c r="W1995" i="1" a="1"/>
  <c r="W1995" i="1" s="1"/>
  <c r="E1995" i="1"/>
  <c r="W1994" i="1" a="1"/>
  <c r="W1994" i="1" s="1"/>
  <c r="E1994" i="1"/>
  <c r="W1993" i="1" a="1"/>
  <c r="W1993" i="1" s="1"/>
  <c r="E1993" i="1"/>
  <c r="W1992" i="1" a="1"/>
  <c r="W1992" i="1" s="1"/>
  <c r="E1992" i="1"/>
  <c r="W1991" i="1" a="1"/>
  <c r="W1991" i="1" s="1"/>
  <c r="E1991" i="1"/>
  <c r="W1990" i="1" a="1"/>
  <c r="W1990" i="1" s="1"/>
  <c r="E1990" i="1"/>
  <c r="W1989" i="1" a="1"/>
  <c r="W1989" i="1" s="1"/>
  <c r="E1989" i="1"/>
  <c r="W1988" i="1" a="1"/>
  <c r="W1988" i="1" s="1"/>
  <c r="E1988" i="1"/>
  <c r="W1987" i="1" a="1"/>
  <c r="W1987" i="1" s="1"/>
  <c r="E1987" i="1"/>
  <c r="W1986" i="1" a="1"/>
  <c r="W1986" i="1" s="1"/>
  <c r="E1986" i="1"/>
  <c r="W1985" i="1" a="1"/>
  <c r="W1985" i="1" s="1"/>
  <c r="E1985" i="1"/>
  <c r="W1984" i="1" a="1"/>
  <c r="W1984" i="1" s="1"/>
  <c r="E1984" i="1"/>
  <c r="W1983" i="1" a="1"/>
  <c r="W1983" i="1" s="1"/>
  <c r="E1983" i="1"/>
  <c r="W1982" i="1" a="1"/>
  <c r="W1982" i="1" s="1"/>
  <c r="E1982" i="1"/>
  <c r="W1981" i="1" a="1"/>
  <c r="W1981" i="1" s="1"/>
  <c r="E1981" i="1"/>
  <c r="W1980" i="1" a="1"/>
  <c r="W1980" i="1" s="1"/>
  <c r="E1980" i="1"/>
  <c r="W1979" i="1" a="1"/>
  <c r="W1979" i="1" s="1"/>
  <c r="E1979" i="1"/>
  <c r="W1978" i="1" a="1"/>
  <c r="W1978" i="1" s="1"/>
  <c r="E1978" i="1"/>
  <c r="W1977" i="1" a="1"/>
  <c r="W1977" i="1" s="1"/>
  <c r="E1977" i="1"/>
  <c r="W1976" i="1" a="1"/>
  <c r="W1976" i="1" s="1"/>
  <c r="E1976" i="1"/>
  <c r="W1975" i="1" a="1"/>
  <c r="W1975" i="1" s="1"/>
  <c r="E1975" i="1"/>
  <c r="W1974" i="1" a="1"/>
  <c r="W1974" i="1" s="1"/>
  <c r="E1974" i="1"/>
  <c r="W1973" i="1" a="1"/>
  <c r="W1973" i="1" s="1"/>
  <c r="E1973" i="1"/>
  <c r="W1972" i="1" a="1"/>
  <c r="W1972" i="1" s="1"/>
  <c r="E1972" i="1"/>
  <c r="W1971" i="1" a="1"/>
  <c r="W1971" i="1" s="1"/>
  <c r="E1971" i="1"/>
  <c r="W1970" i="1" a="1"/>
  <c r="W1970" i="1" s="1"/>
  <c r="E1970" i="1"/>
  <c r="W1969" i="1" a="1"/>
  <c r="W1969" i="1" s="1"/>
  <c r="E1969" i="1"/>
  <c r="W1968" i="1" a="1"/>
  <c r="W1968" i="1" s="1"/>
  <c r="E1968" i="1"/>
  <c r="W1967" i="1" a="1"/>
  <c r="W1967" i="1" s="1"/>
  <c r="E1967" i="1"/>
  <c r="W1966" i="1" a="1"/>
  <c r="W1966" i="1" s="1"/>
  <c r="E1966" i="1"/>
  <c r="W1965" i="1" a="1"/>
  <c r="W1965" i="1" s="1"/>
  <c r="E1965" i="1"/>
  <c r="W1964" i="1" a="1"/>
  <c r="W1964" i="1" s="1"/>
  <c r="E1964" i="1"/>
  <c r="W1963" i="1" a="1"/>
  <c r="W1963" i="1" s="1"/>
  <c r="E1963" i="1"/>
  <c r="W1962" i="1" a="1"/>
  <c r="W1962" i="1" s="1"/>
  <c r="E1962" i="1"/>
  <c r="W1961" i="1" a="1"/>
  <c r="W1961" i="1" s="1"/>
  <c r="E1961" i="1"/>
  <c r="W1960" i="1" a="1"/>
  <c r="W1960" i="1" s="1"/>
  <c r="E1960" i="1"/>
  <c r="W1959" i="1" a="1"/>
  <c r="W1959" i="1" s="1"/>
  <c r="E1959" i="1"/>
  <c r="W1958" i="1" a="1"/>
  <c r="W1958" i="1" s="1"/>
  <c r="E1958" i="1"/>
  <c r="W1957" i="1" a="1"/>
  <c r="W1957" i="1" s="1"/>
  <c r="E1957" i="1"/>
  <c r="W1956" i="1" a="1"/>
  <c r="W1956" i="1" s="1"/>
  <c r="E1956" i="1"/>
  <c r="W1955" i="1" a="1"/>
  <c r="W1955" i="1" s="1"/>
  <c r="E1955" i="1"/>
  <c r="W1954" i="1" a="1"/>
  <c r="W1954" i="1" s="1"/>
  <c r="E1954" i="1"/>
  <c r="W1953" i="1" a="1"/>
  <c r="W1953" i="1" s="1"/>
  <c r="E1953" i="1"/>
  <c r="W1952" i="1" a="1"/>
  <c r="W1952" i="1" s="1"/>
  <c r="E1952" i="1"/>
  <c r="W1951" i="1" a="1"/>
  <c r="W1951" i="1" s="1"/>
  <c r="E1951" i="1"/>
  <c r="W1950" i="1" a="1"/>
  <c r="W1950" i="1" s="1"/>
  <c r="E1950" i="1"/>
  <c r="W1949" i="1" a="1"/>
  <c r="W1949" i="1" s="1"/>
  <c r="E1949" i="1"/>
  <c r="W1948" i="1" a="1"/>
  <c r="W1948" i="1" s="1"/>
  <c r="E1948" i="1"/>
  <c r="W1947" i="1" a="1"/>
  <c r="W1947" i="1" s="1"/>
  <c r="E1947" i="1"/>
  <c r="W1946" i="1" a="1"/>
  <c r="W1946" i="1" s="1"/>
  <c r="E1946" i="1"/>
  <c r="W1945" i="1" a="1"/>
  <c r="W1945" i="1" s="1"/>
  <c r="E1945" i="1"/>
  <c r="W1944" i="1" a="1"/>
  <c r="W1944" i="1" s="1"/>
  <c r="E1944" i="1"/>
  <c r="W1943" i="1" a="1"/>
  <c r="W1943" i="1" s="1"/>
  <c r="E1943" i="1"/>
  <c r="W1942" i="1" a="1"/>
  <c r="W1942" i="1" s="1"/>
  <c r="E1942" i="1"/>
  <c r="W1941" i="1" a="1"/>
  <c r="W1941" i="1" s="1"/>
  <c r="E1941" i="1"/>
  <c r="W1940" i="1" a="1"/>
  <c r="W1940" i="1" s="1"/>
  <c r="E1940" i="1"/>
  <c r="W1939" i="1" a="1"/>
  <c r="W1939" i="1" s="1"/>
  <c r="E1939" i="1"/>
  <c r="W1938" i="1" a="1"/>
  <c r="W1938" i="1" s="1"/>
  <c r="E1938" i="1"/>
  <c r="W1937" i="1" a="1"/>
  <c r="W1937" i="1" s="1"/>
  <c r="E1937" i="1"/>
  <c r="W1936" i="1" a="1"/>
  <c r="W1936" i="1" s="1"/>
  <c r="E1936" i="1"/>
  <c r="W1935" i="1" a="1"/>
  <c r="W1935" i="1" s="1"/>
  <c r="E1935" i="1"/>
  <c r="W1934" i="1" a="1"/>
  <c r="W1934" i="1" s="1"/>
  <c r="E1934" i="1"/>
  <c r="W1933" i="1" a="1"/>
  <c r="W1933" i="1" s="1"/>
  <c r="E1933" i="1"/>
  <c r="W1932" i="1" a="1"/>
  <c r="W1932" i="1" s="1"/>
  <c r="E1932" i="1"/>
  <c r="W1931" i="1" a="1"/>
  <c r="W1931" i="1" s="1"/>
  <c r="E1931" i="1"/>
  <c r="W1930" i="1" a="1"/>
  <c r="W1930" i="1" s="1"/>
  <c r="E1930" i="1"/>
  <c r="W1929" i="1" a="1"/>
  <c r="W1929" i="1" s="1"/>
  <c r="E1929" i="1"/>
  <c r="W1928" i="1" a="1"/>
  <c r="W1928" i="1" s="1"/>
  <c r="E1928" i="1"/>
  <c r="W1927" i="1" a="1"/>
  <c r="W1927" i="1" s="1"/>
  <c r="E1927" i="1"/>
  <c r="W1926" i="1" a="1"/>
  <c r="W1926" i="1" s="1"/>
  <c r="E1926" i="1"/>
  <c r="W1925" i="1" a="1"/>
  <c r="W1925" i="1" s="1"/>
  <c r="E1925" i="1"/>
  <c r="W1924" i="1" a="1"/>
  <c r="W1924" i="1" s="1"/>
  <c r="E1924" i="1"/>
  <c r="W1923" i="1" a="1"/>
  <c r="W1923" i="1" s="1"/>
  <c r="E1923" i="1"/>
  <c r="W1922" i="1" a="1"/>
  <c r="W1922" i="1" s="1"/>
  <c r="E1922" i="1"/>
  <c r="W1921" i="1" a="1"/>
  <c r="W1921" i="1" s="1"/>
  <c r="E1921" i="1"/>
  <c r="W1920" i="1" a="1"/>
  <c r="W1920" i="1" s="1"/>
  <c r="E1920" i="1"/>
  <c r="W1919" i="1" a="1"/>
  <c r="W1919" i="1" s="1"/>
  <c r="E1919" i="1"/>
  <c r="W1918" i="1" a="1"/>
  <c r="W1918" i="1" s="1"/>
  <c r="E1918" i="1"/>
  <c r="W1917" i="1" a="1"/>
  <c r="W1917" i="1" s="1"/>
  <c r="E1917" i="1"/>
  <c r="W1916" i="1" a="1"/>
  <c r="W1916" i="1" s="1"/>
  <c r="E1916" i="1"/>
  <c r="W1915" i="1" a="1"/>
  <c r="W1915" i="1" s="1"/>
  <c r="E1915" i="1"/>
  <c r="W1914" i="1" a="1"/>
  <c r="W1914" i="1" s="1"/>
  <c r="E1914" i="1"/>
  <c r="W1913" i="1" a="1"/>
  <c r="W1913" i="1" s="1"/>
  <c r="E1913" i="1"/>
  <c r="W1912" i="1" a="1"/>
  <c r="W1912" i="1" s="1"/>
  <c r="E1912" i="1"/>
  <c r="W1911" i="1" a="1"/>
  <c r="W1911" i="1" s="1"/>
  <c r="E1911" i="1"/>
  <c r="W1910" i="1" a="1"/>
  <c r="W1910" i="1" s="1"/>
  <c r="E1910" i="1"/>
  <c r="W1909" i="1" a="1"/>
  <c r="W1909" i="1" s="1"/>
  <c r="E1909" i="1"/>
  <c r="W1908" i="1" a="1"/>
  <c r="W1908" i="1" s="1"/>
  <c r="E1908" i="1"/>
  <c r="W1907" i="1" a="1"/>
  <c r="W1907" i="1" s="1"/>
  <c r="E1907" i="1"/>
  <c r="W1906" i="1" a="1"/>
  <c r="W1906" i="1" s="1"/>
  <c r="E1906" i="1"/>
  <c r="W1905" i="1" a="1"/>
  <c r="W1905" i="1" s="1"/>
  <c r="E1905" i="1"/>
  <c r="W1904" i="1" a="1"/>
  <c r="W1904" i="1" s="1"/>
  <c r="E1904" i="1"/>
  <c r="W1903" i="1" a="1"/>
  <c r="W1903" i="1" s="1"/>
  <c r="E1903" i="1"/>
  <c r="W1902" i="1" a="1"/>
  <c r="W1902" i="1" s="1"/>
  <c r="E1902" i="1"/>
  <c r="W1901" i="1" a="1"/>
  <c r="W1901" i="1" s="1"/>
  <c r="E1901" i="1"/>
  <c r="W1900" i="1" a="1"/>
  <c r="W1900" i="1" s="1"/>
  <c r="E1900" i="1"/>
  <c r="W1899" i="1" a="1"/>
  <c r="W1899" i="1" s="1"/>
  <c r="E1899" i="1"/>
  <c r="W1898" i="1" a="1"/>
  <c r="W1898" i="1" s="1"/>
  <c r="E1898" i="1"/>
  <c r="W1897" i="1" a="1"/>
  <c r="W1897" i="1" s="1"/>
  <c r="E1897" i="1"/>
  <c r="W1896" i="1" a="1"/>
  <c r="W1896" i="1" s="1"/>
  <c r="E1896" i="1"/>
  <c r="W1895" i="1" a="1"/>
  <c r="W1895" i="1" s="1"/>
  <c r="E1895" i="1"/>
  <c r="W1894" i="1" a="1"/>
  <c r="W1894" i="1" s="1"/>
  <c r="E1894" i="1"/>
  <c r="W1893" i="1" a="1"/>
  <c r="W1893" i="1" s="1"/>
  <c r="E1893" i="1"/>
  <c r="W1892" i="1" a="1"/>
  <c r="W1892" i="1" s="1"/>
  <c r="E1892" i="1"/>
  <c r="W1891" i="1" a="1"/>
  <c r="W1891" i="1" s="1"/>
  <c r="E1891" i="1"/>
  <c r="W1890" i="1" a="1"/>
  <c r="W1890" i="1" s="1"/>
  <c r="E1890" i="1"/>
  <c r="W1889" i="1" a="1"/>
  <c r="W1889" i="1" s="1"/>
  <c r="E1889" i="1"/>
  <c r="W1888" i="1" a="1"/>
  <c r="W1888" i="1" s="1"/>
  <c r="E1888" i="1"/>
  <c r="W1887" i="1" a="1"/>
  <c r="W1887" i="1" s="1"/>
  <c r="E1887" i="1"/>
  <c r="W1886" i="1" a="1"/>
  <c r="W1886" i="1" s="1"/>
  <c r="E1886" i="1"/>
  <c r="W1885" i="1" a="1"/>
  <c r="W1885" i="1" s="1"/>
  <c r="E1885" i="1"/>
  <c r="W1884" i="1" a="1"/>
  <c r="W1884" i="1" s="1"/>
  <c r="E1884" i="1"/>
  <c r="W1883" i="1" a="1"/>
  <c r="W1883" i="1" s="1"/>
  <c r="E1883" i="1"/>
  <c r="W1882" i="1" a="1"/>
  <c r="W1882" i="1" s="1"/>
  <c r="E1882" i="1"/>
  <c r="W1881" i="1" a="1"/>
  <c r="W1881" i="1" s="1"/>
  <c r="E1881" i="1"/>
  <c r="W1880" i="1" a="1"/>
  <c r="W1880" i="1" s="1"/>
  <c r="E1880" i="1"/>
  <c r="W1879" i="1" a="1"/>
  <c r="W1879" i="1" s="1"/>
  <c r="E1879" i="1"/>
  <c r="W1878" i="1" a="1"/>
  <c r="W1878" i="1" s="1"/>
  <c r="E1878" i="1"/>
  <c r="W1877" i="1" a="1"/>
  <c r="W1877" i="1" s="1"/>
  <c r="E1877" i="1"/>
  <c r="W1876" i="1" a="1"/>
  <c r="W1876" i="1" s="1"/>
  <c r="E1876" i="1"/>
  <c r="W1875" i="1" a="1"/>
  <c r="W1875" i="1" s="1"/>
  <c r="E1875" i="1"/>
  <c r="W1874" i="1" a="1"/>
  <c r="W1874" i="1" s="1"/>
  <c r="E1874" i="1"/>
  <c r="W1873" i="1" a="1"/>
  <c r="W1873" i="1" s="1"/>
  <c r="E1873" i="1"/>
  <c r="W1872" i="1" a="1"/>
  <c r="W1872" i="1" s="1"/>
  <c r="E1872" i="1"/>
  <c r="W1871" i="1" a="1"/>
  <c r="W1871" i="1" s="1"/>
  <c r="E1871" i="1"/>
  <c r="W1870" i="1" a="1"/>
  <c r="W1870" i="1" s="1"/>
  <c r="E1870" i="1"/>
  <c r="W1869" i="1" a="1"/>
  <c r="W1869" i="1" s="1"/>
  <c r="E1869" i="1"/>
  <c r="W1868" i="1" a="1"/>
  <c r="W1868" i="1" s="1"/>
  <c r="E1868" i="1"/>
  <c r="W1867" i="1" a="1"/>
  <c r="W1867" i="1" s="1"/>
  <c r="E1867" i="1"/>
  <c r="W1866" i="1" a="1"/>
  <c r="W1866" i="1" s="1"/>
  <c r="E1866" i="1"/>
  <c r="W1865" i="1" a="1"/>
  <c r="W1865" i="1" s="1"/>
  <c r="E1865" i="1"/>
  <c r="W1864" i="1" a="1"/>
  <c r="W1864" i="1" s="1"/>
  <c r="E1864" i="1"/>
  <c r="W1863" i="1" a="1"/>
  <c r="W1863" i="1" s="1"/>
  <c r="E1863" i="1"/>
  <c r="W1862" i="1" a="1"/>
  <c r="W1862" i="1" s="1"/>
  <c r="E1862" i="1"/>
  <c r="W1861" i="1" a="1"/>
  <c r="W1861" i="1" s="1"/>
  <c r="E1861" i="1"/>
  <c r="W1860" i="1" a="1"/>
  <c r="W1860" i="1" s="1"/>
  <c r="E1860" i="1"/>
  <c r="W1859" i="1" a="1"/>
  <c r="W1859" i="1" s="1"/>
  <c r="E1859" i="1"/>
  <c r="W1858" i="1" a="1"/>
  <c r="W1858" i="1" s="1"/>
  <c r="E1858" i="1"/>
  <c r="W1857" i="1" a="1"/>
  <c r="W1857" i="1" s="1"/>
  <c r="E1857" i="1"/>
  <c r="W1856" i="1" a="1"/>
  <c r="W1856" i="1" s="1"/>
  <c r="E1856" i="1"/>
  <c r="W1855" i="1" a="1"/>
  <c r="W1855" i="1" s="1"/>
  <c r="E1855" i="1"/>
  <c r="W1854" i="1" a="1"/>
  <c r="W1854" i="1" s="1"/>
  <c r="E1854" i="1"/>
  <c r="W1853" i="1" a="1"/>
  <c r="W1853" i="1" s="1"/>
  <c r="E1853" i="1"/>
  <c r="W1852" i="1" a="1"/>
  <c r="W1852" i="1" s="1"/>
  <c r="E1852" i="1"/>
  <c r="W1851" i="1" a="1"/>
  <c r="W1851" i="1" s="1"/>
  <c r="E1851" i="1"/>
  <c r="W1850" i="1" a="1"/>
  <c r="W1850" i="1" s="1"/>
  <c r="E1850" i="1"/>
  <c r="W1849" i="1" a="1"/>
  <c r="W1849" i="1" s="1"/>
  <c r="E1849" i="1"/>
  <c r="W1848" i="1" a="1"/>
  <c r="W1848" i="1" s="1"/>
  <c r="E1848" i="1"/>
  <c r="W1847" i="1" a="1"/>
  <c r="W1847" i="1" s="1"/>
  <c r="E1847" i="1"/>
  <c r="W1846" i="1" a="1"/>
  <c r="W1846" i="1" s="1"/>
  <c r="E1846" i="1"/>
  <c r="W1845" i="1" a="1"/>
  <c r="W1845" i="1" s="1"/>
  <c r="E1845" i="1"/>
  <c r="W1844" i="1" a="1"/>
  <c r="W1844" i="1" s="1"/>
  <c r="E1844" i="1"/>
  <c r="W1843" i="1" a="1"/>
  <c r="W1843" i="1" s="1"/>
  <c r="E1843" i="1"/>
  <c r="W1842" i="1" a="1"/>
  <c r="W1842" i="1" s="1"/>
  <c r="E1842" i="1"/>
  <c r="W1841" i="1" a="1"/>
  <c r="W1841" i="1" s="1"/>
  <c r="E1841" i="1"/>
  <c r="W1840" i="1" a="1"/>
  <c r="W1840" i="1" s="1"/>
  <c r="E1840" i="1"/>
  <c r="W1839" i="1" a="1"/>
  <c r="W1839" i="1" s="1"/>
  <c r="E1839" i="1"/>
  <c r="W1838" i="1" a="1"/>
  <c r="W1838" i="1" s="1"/>
  <c r="E1838" i="1"/>
  <c r="W1837" i="1" a="1"/>
  <c r="W1837" i="1" s="1"/>
  <c r="E1837" i="1"/>
  <c r="W1836" i="1" a="1"/>
  <c r="W1836" i="1" s="1"/>
  <c r="E1836" i="1"/>
  <c r="W1835" i="1" a="1"/>
  <c r="W1835" i="1" s="1"/>
  <c r="E1835" i="1"/>
  <c r="W1834" i="1" a="1"/>
  <c r="W1834" i="1" s="1"/>
  <c r="E1834" i="1"/>
  <c r="W1833" i="1" a="1"/>
  <c r="W1833" i="1" s="1"/>
  <c r="E1833" i="1"/>
  <c r="W1832" i="1" a="1"/>
  <c r="W1832" i="1" s="1"/>
  <c r="E1832" i="1"/>
  <c r="W1831" i="1" a="1"/>
  <c r="W1831" i="1" s="1"/>
  <c r="E1831" i="1"/>
  <c r="W1830" i="1" a="1"/>
  <c r="W1830" i="1" s="1"/>
  <c r="E1830" i="1"/>
  <c r="W1829" i="1" a="1"/>
  <c r="W1829" i="1" s="1"/>
  <c r="E1829" i="1"/>
  <c r="W1828" i="1" a="1"/>
  <c r="W1828" i="1" s="1"/>
  <c r="E1828" i="1"/>
  <c r="W1827" i="1" a="1"/>
  <c r="W1827" i="1" s="1"/>
  <c r="E1827" i="1"/>
  <c r="W1826" i="1" a="1"/>
  <c r="W1826" i="1" s="1"/>
  <c r="E1826" i="1"/>
  <c r="W1825" i="1" a="1"/>
  <c r="W1825" i="1" s="1"/>
  <c r="E1825" i="1"/>
  <c r="W1824" i="1" a="1"/>
  <c r="W1824" i="1" s="1"/>
  <c r="E1824" i="1"/>
  <c r="W1823" i="1" a="1"/>
  <c r="W1823" i="1" s="1"/>
  <c r="E1823" i="1"/>
  <c r="W1822" i="1" a="1"/>
  <c r="W1822" i="1" s="1"/>
  <c r="E1822" i="1"/>
  <c r="W1821" i="1" a="1"/>
  <c r="W1821" i="1" s="1"/>
  <c r="E1821" i="1"/>
  <c r="W1820" i="1" a="1"/>
  <c r="W1820" i="1" s="1"/>
  <c r="E1820" i="1"/>
  <c r="W1819" i="1" a="1"/>
  <c r="W1819" i="1" s="1"/>
  <c r="E1819" i="1"/>
  <c r="W1818" i="1" a="1"/>
  <c r="W1818" i="1" s="1"/>
  <c r="E1818" i="1"/>
  <c r="W1817" i="1" a="1"/>
  <c r="W1817" i="1" s="1"/>
  <c r="E1817" i="1"/>
  <c r="W1816" i="1" a="1"/>
  <c r="W1816" i="1" s="1"/>
  <c r="E1816" i="1"/>
  <c r="W1815" i="1" a="1"/>
  <c r="W1815" i="1" s="1"/>
  <c r="E1815" i="1"/>
  <c r="W1814" i="1" a="1"/>
  <c r="W1814" i="1" s="1"/>
  <c r="E1814" i="1"/>
  <c r="W1813" i="1" a="1"/>
  <c r="W1813" i="1" s="1"/>
  <c r="E1813" i="1"/>
  <c r="W1812" i="1" a="1"/>
  <c r="W1812" i="1" s="1"/>
  <c r="E1812" i="1"/>
  <c r="W1811" i="1" a="1"/>
  <c r="W1811" i="1" s="1"/>
  <c r="E1811" i="1"/>
  <c r="W1810" i="1" a="1"/>
  <c r="W1810" i="1" s="1"/>
  <c r="E1810" i="1"/>
  <c r="W1809" i="1" a="1"/>
  <c r="W1809" i="1" s="1"/>
  <c r="E1809" i="1"/>
  <c r="W1808" i="1" a="1"/>
  <c r="W1808" i="1" s="1"/>
  <c r="E1808" i="1"/>
  <c r="W1807" i="1" a="1"/>
  <c r="W1807" i="1" s="1"/>
  <c r="E1807" i="1"/>
  <c r="W1806" i="1" a="1"/>
  <c r="W1806" i="1" s="1"/>
  <c r="E1806" i="1"/>
  <c r="W1805" i="1" a="1"/>
  <c r="W1805" i="1" s="1"/>
  <c r="E1805" i="1"/>
  <c r="W1804" i="1" a="1"/>
  <c r="W1804" i="1" s="1"/>
  <c r="E1804" i="1"/>
  <c r="W1803" i="1" a="1"/>
  <c r="W1803" i="1" s="1"/>
  <c r="E1803" i="1"/>
  <c r="W1802" i="1" a="1"/>
  <c r="W1802" i="1" s="1"/>
  <c r="E1802" i="1"/>
  <c r="W1801" i="1" a="1"/>
  <c r="W1801" i="1" s="1"/>
  <c r="E1801" i="1"/>
  <c r="W1800" i="1" a="1"/>
  <c r="W1800" i="1" s="1"/>
  <c r="E1800" i="1"/>
  <c r="W1799" i="1" a="1"/>
  <c r="W1799" i="1" s="1"/>
  <c r="E1799" i="1"/>
  <c r="W1798" i="1" a="1"/>
  <c r="W1798" i="1" s="1"/>
  <c r="E1798" i="1"/>
  <c r="W1797" i="1" a="1"/>
  <c r="W1797" i="1" s="1"/>
  <c r="E1797" i="1"/>
  <c r="W1796" i="1" a="1"/>
  <c r="W1796" i="1" s="1"/>
  <c r="E1796" i="1"/>
  <c r="W1795" i="1" a="1"/>
  <c r="W1795" i="1" s="1"/>
  <c r="E1795" i="1"/>
  <c r="W1794" i="1" a="1"/>
  <c r="W1794" i="1" s="1"/>
  <c r="E1794" i="1"/>
  <c r="W1793" i="1" a="1"/>
  <c r="W1793" i="1" s="1"/>
  <c r="E1793" i="1"/>
  <c r="W1792" i="1" a="1"/>
  <c r="W1792" i="1" s="1"/>
  <c r="E1792" i="1"/>
  <c r="W1791" i="1" a="1"/>
  <c r="W1791" i="1" s="1"/>
  <c r="E1791" i="1"/>
  <c r="W1790" i="1" a="1"/>
  <c r="W1790" i="1" s="1"/>
  <c r="E1790" i="1"/>
  <c r="W1789" i="1" a="1"/>
  <c r="W1789" i="1" s="1"/>
  <c r="E1789" i="1"/>
  <c r="W1788" i="1" a="1"/>
  <c r="W1788" i="1" s="1"/>
  <c r="E1788" i="1"/>
  <c r="W1787" i="1" a="1"/>
  <c r="W1787" i="1" s="1"/>
  <c r="E1787" i="1"/>
  <c r="W1786" i="1" a="1"/>
  <c r="W1786" i="1" s="1"/>
  <c r="E1786" i="1"/>
  <c r="W1785" i="1" a="1"/>
  <c r="W1785" i="1" s="1"/>
  <c r="E1785" i="1"/>
  <c r="W1784" i="1" a="1"/>
  <c r="W1784" i="1" s="1"/>
  <c r="E1784" i="1"/>
  <c r="W1783" i="1" a="1"/>
  <c r="W1783" i="1" s="1"/>
  <c r="E1783" i="1"/>
  <c r="W1782" i="1" a="1"/>
  <c r="W1782" i="1" s="1"/>
  <c r="E1782" i="1"/>
  <c r="W1781" i="1" a="1"/>
  <c r="W1781" i="1" s="1"/>
  <c r="E1781" i="1"/>
  <c r="W1780" i="1" a="1"/>
  <c r="W1780" i="1" s="1"/>
  <c r="E1780" i="1"/>
  <c r="W1779" i="1" a="1"/>
  <c r="W1779" i="1" s="1"/>
  <c r="E1779" i="1"/>
  <c r="W1778" i="1" a="1"/>
  <c r="W1778" i="1" s="1"/>
  <c r="E1778" i="1"/>
  <c r="W1777" i="1" a="1"/>
  <c r="W1777" i="1" s="1"/>
  <c r="E1777" i="1"/>
  <c r="W1776" i="1" a="1"/>
  <c r="W1776" i="1" s="1"/>
  <c r="E1776" i="1"/>
  <c r="W1775" i="1" a="1"/>
  <c r="W1775" i="1" s="1"/>
  <c r="E1775" i="1"/>
  <c r="W1774" i="1" a="1"/>
  <c r="W1774" i="1" s="1"/>
  <c r="E1774" i="1"/>
  <c r="W1773" i="1" a="1"/>
  <c r="W1773" i="1" s="1"/>
  <c r="E1773" i="1"/>
  <c r="W1772" i="1" a="1"/>
  <c r="W1772" i="1" s="1"/>
  <c r="E1772" i="1"/>
  <c r="W1771" i="1" a="1"/>
  <c r="W1771" i="1" s="1"/>
  <c r="E1771" i="1"/>
  <c r="W1770" i="1" a="1"/>
  <c r="W1770" i="1" s="1"/>
  <c r="E1770" i="1"/>
  <c r="W1769" i="1" a="1"/>
  <c r="W1769" i="1" s="1"/>
  <c r="E1769" i="1"/>
  <c r="W1768" i="1" a="1"/>
  <c r="W1768" i="1" s="1"/>
  <c r="E1768" i="1"/>
  <c r="W1767" i="1" a="1"/>
  <c r="W1767" i="1" s="1"/>
  <c r="E1767" i="1"/>
  <c r="W1766" i="1" a="1"/>
  <c r="W1766" i="1" s="1"/>
  <c r="E1766" i="1"/>
  <c r="W1765" i="1" a="1"/>
  <c r="W1765" i="1" s="1"/>
  <c r="E1765" i="1"/>
  <c r="W1764" i="1" a="1"/>
  <c r="W1764" i="1" s="1"/>
  <c r="E1764" i="1"/>
  <c r="W1763" i="1" a="1"/>
  <c r="W1763" i="1" s="1"/>
  <c r="E1763" i="1"/>
  <c r="W1762" i="1" a="1"/>
  <c r="W1762" i="1" s="1"/>
  <c r="E1762" i="1"/>
  <c r="W1761" i="1" a="1"/>
  <c r="W1761" i="1" s="1"/>
  <c r="E1761" i="1"/>
  <c r="W1760" i="1" a="1"/>
  <c r="W1760" i="1" s="1"/>
  <c r="E1760" i="1"/>
  <c r="W1759" i="1" a="1"/>
  <c r="W1759" i="1" s="1"/>
  <c r="E1759" i="1"/>
  <c r="W1758" i="1" a="1"/>
  <c r="W1758" i="1" s="1"/>
  <c r="E1758" i="1"/>
  <c r="W1757" i="1" a="1"/>
  <c r="W1757" i="1" s="1"/>
  <c r="E1757" i="1"/>
  <c r="W1756" i="1" a="1"/>
  <c r="W1756" i="1" s="1"/>
  <c r="E1756" i="1"/>
  <c r="W1755" i="1" a="1"/>
  <c r="W1755" i="1" s="1"/>
  <c r="E1755" i="1"/>
  <c r="W1754" i="1" a="1"/>
  <c r="W1754" i="1" s="1"/>
  <c r="E1754" i="1"/>
  <c r="W1753" i="1" a="1"/>
  <c r="W1753" i="1" s="1"/>
  <c r="E1753" i="1"/>
  <c r="W1752" i="1" a="1"/>
  <c r="W1752" i="1" s="1"/>
  <c r="E1752" i="1"/>
  <c r="W1751" i="1" a="1"/>
  <c r="W1751" i="1" s="1"/>
  <c r="E1751" i="1"/>
  <c r="W1750" i="1" a="1"/>
  <c r="W1750" i="1" s="1"/>
  <c r="E1750" i="1"/>
  <c r="W1749" i="1" a="1"/>
  <c r="W1749" i="1" s="1"/>
  <c r="E1749" i="1"/>
  <c r="W1748" i="1" a="1"/>
  <c r="W1748" i="1" s="1"/>
  <c r="E1748" i="1"/>
  <c r="W1747" i="1" a="1"/>
  <c r="W1747" i="1" s="1"/>
  <c r="E1747" i="1"/>
  <c r="W1746" i="1" a="1"/>
  <c r="W1746" i="1" s="1"/>
  <c r="E1746" i="1"/>
  <c r="W1745" i="1" a="1"/>
  <c r="W1745" i="1" s="1"/>
  <c r="E1745" i="1"/>
  <c r="W1744" i="1" a="1"/>
  <c r="W1744" i="1" s="1"/>
  <c r="E1744" i="1"/>
  <c r="W1743" i="1" a="1"/>
  <c r="W1743" i="1" s="1"/>
  <c r="E1743" i="1"/>
  <c r="W1742" i="1" a="1"/>
  <c r="W1742" i="1" s="1"/>
  <c r="E1742" i="1"/>
  <c r="W1741" i="1" a="1"/>
  <c r="W1741" i="1" s="1"/>
  <c r="E1741" i="1"/>
  <c r="W1740" i="1" a="1"/>
  <c r="W1740" i="1" s="1"/>
  <c r="E1740" i="1"/>
  <c r="W1739" i="1" a="1"/>
  <c r="W1739" i="1" s="1"/>
  <c r="E1739" i="1"/>
  <c r="W1738" i="1" a="1"/>
  <c r="W1738" i="1" s="1"/>
  <c r="E1738" i="1"/>
  <c r="W1737" i="1" a="1"/>
  <c r="W1737" i="1" s="1"/>
  <c r="E1737" i="1"/>
  <c r="W1736" i="1" a="1"/>
  <c r="W1736" i="1" s="1"/>
  <c r="E1736" i="1"/>
  <c r="W1735" i="1" a="1"/>
  <c r="W1735" i="1" s="1"/>
  <c r="E1735" i="1"/>
  <c r="W1734" i="1" a="1"/>
  <c r="W1734" i="1" s="1"/>
  <c r="E1734" i="1"/>
  <c r="W1733" i="1" a="1"/>
  <c r="W1733" i="1" s="1"/>
  <c r="E1733" i="1"/>
  <c r="W1732" i="1" a="1"/>
  <c r="W1732" i="1" s="1"/>
  <c r="E1732" i="1"/>
  <c r="W1731" i="1" a="1"/>
  <c r="W1731" i="1" s="1"/>
  <c r="E1731" i="1"/>
  <c r="W1730" i="1" a="1"/>
  <c r="W1730" i="1" s="1"/>
  <c r="E1730" i="1"/>
  <c r="W1729" i="1" a="1"/>
  <c r="W1729" i="1" s="1"/>
  <c r="E1729" i="1"/>
  <c r="W1728" i="1" a="1"/>
  <c r="W1728" i="1" s="1"/>
  <c r="E1728" i="1"/>
  <c r="W1727" i="1" a="1"/>
  <c r="W1727" i="1" s="1"/>
  <c r="E1727" i="1"/>
  <c r="W1726" i="1" a="1"/>
  <c r="W1726" i="1" s="1"/>
  <c r="E1726" i="1"/>
  <c r="W1725" i="1" a="1"/>
  <c r="W1725" i="1" s="1"/>
  <c r="E1725" i="1"/>
  <c r="W1724" i="1" a="1"/>
  <c r="W1724" i="1" s="1"/>
  <c r="E1724" i="1"/>
  <c r="W1723" i="1" a="1"/>
  <c r="W1723" i="1" s="1"/>
  <c r="E1723" i="1"/>
  <c r="W1722" i="1" a="1"/>
  <c r="W1722" i="1" s="1"/>
  <c r="E1722" i="1"/>
  <c r="W1721" i="1" a="1"/>
  <c r="W1721" i="1" s="1"/>
  <c r="E1721" i="1"/>
  <c r="W1720" i="1" a="1"/>
  <c r="W1720" i="1" s="1"/>
  <c r="E1720" i="1"/>
  <c r="W1719" i="1" a="1"/>
  <c r="W1719" i="1" s="1"/>
  <c r="E1719" i="1"/>
  <c r="W1718" i="1" a="1"/>
  <c r="W1718" i="1" s="1"/>
  <c r="E1718" i="1"/>
  <c r="W1717" i="1" a="1"/>
  <c r="W1717" i="1" s="1"/>
  <c r="E1717" i="1"/>
  <c r="W1716" i="1" a="1"/>
  <c r="W1716" i="1" s="1"/>
  <c r="E1716" i="1"/>
  <c r="W1715" i="1" a="1"/>
  <c r="W1715" i="1" s="1"/>
  <c r="E1715" i="1"/>
  <c r="W1714" i="1" a="1"/>
  <c r="W1714" i="1" s="1"/>
  <c r="E1714" i="1"/>
  <c r="W1713" i="1" a="1"/>
  <c r="W1713" i="1" s="1"/>
  <c r="E1713" i="1"/>
  <c r="W1712" i="1" a="1"/>
  <c r="W1712" i="1" s="1"/>
  <c r="E1712" i="1"/>
  <c r="W1711" i="1" a="1"/>
  <c r="W1711" i="1" s="1"/>
  <c r="E1711" i="1"/>
  <c r="W1710" i="1" a="1"/>
  <c r="W1710" i="1" s="1"/>
  <c r="E1710" i="1"/>
  <c r="W1709" i="1" a="1"/>
  <c r="W1709" i="1" s="1"/>
  <c r="E1709" i="1"/>
  <c r="W1708" i="1" a="1"/>
  <c r="W1708" i="1" s="1"/>
  <c r="E1708" i="1"/>
  <c r="W1707" i="1" a="1"/>
  <c r="W1707" i="1" s="1"/>
  <c r="E1707" i="1"/>
  <c r="W1706" i="1" a="1"/>
  <c r="W1706" i="1" s="1"/>
  <c r="E1706" i="1"/>
  <c r="W1705" i="1" a="1"/>
  <c r="W1705" i="1" s="1"/>
  <c r="E1705" i="1"/>
  <c r="W1704" i="1" a="1"/>
  <c r="W1704" i="1" s="1"/>
  <c r="E1704" i="1"/>
  <c r="W1703" i="1" a="1"/>
  <c r="W1703" i="1" s="1"/>
  <c r="E1703" i="1"/>
  <c r="W1702" i="1" a="1"/>
  <c r="W1702" i="1" s="1"/>
  <c r="E1702" i="1"/>
  <c r="W1701" i="1" a="1"/>
  <c r="W1701" i="1" s="1"/>
  <c r="E1701" i="1"/>
  <c r="W1700" i="1" a="1"/>
  <c r="W1700" i="1" s="1"/>
  <c r="E1700" i="1"/>
  <c r="W1699" i="1" a="1"/>
  <c r="W1699" i="1" s="1"/>
  <c r="E1699" i="1"/>
  <c r="W1698" i="1" a="1"/>
  <c r="W1698" i="1" s="1"/>
  <c r="E1698" i="1"/>
  <c r="W1697" i="1" a="1"/>
  <c r="W1697" i="1" s="1"/>
  <c r="E1697" i="1"/>
  <c r="W1696" i="1" a="1"/>
  <c r="W1696" i="1" s="1"/>
  <c r="E1696" i="1"/>
  <c r="W1695" i="1" a="1"/>
  <c r="W1695" i="1" s="1"/>
  <c r="E1695" i="1"/>
  <c r="W1694" i="1" a="1"/>
  <c r="W1694" i="1" s="1"/>
  <c r="E1694" i="1"/>
  <c r="W1693" i="1" a="1"/>
  <c r="W1693" i="1" s="1"/>
  <c r="E1693" i="1"/>
  <c r="W1692" i="1" a="1"/>
  <c r="W1692" i="1" s="1"/>
  <c r="E1692" i="1"/>
  <c r="W1691" i="1" a="1"/>
  <c r="W1691" i="1" s="1"/>
  <c r="E1691" i="1"/>
  <c r="W1690" i="1" a="1"/>
  <c r="W1690" i="1" s="1"/>
  <c r="E1690" i="1"/>
  <c r="W1689" i="1" a="1"/>
  <c r="W1689" i="1" s="1"/>
  <c r="E1689" i="1"/>
  <c r="W1688" i="1" a="1"/>
  <c r="W1688" i="1" s="1"/>
  <c r="E1688" i="1"/>
  <c r="W1687" i="1" a="1"/>
  <c r="W1687" i="1" s="1"/>
  <c r="E1687" i="1"/>
  <c r="W1686" i="1" a="1"/>
  <c r="W1686" i="1" s="1"/>
  <c r="E1686" i="1"/>
  <c r="W1685" i="1" a="1"/>
  <c r="W1685" i="1" s="1"/>
  <c r="E1685" i="1"/>
  <c r="W1684" i="1" a="1"/>
  <c r="W1684" i="1" s="1"/>
  <c r="E1684" i="1"/>
  <c r="W1683" i="1" a="1"/>
  <c r="W1683" i="1" s="1"/>
  <c r="E1683" i="1"/>
  <c r="W1682" i="1" a="1"/>
  <c r="W1682" i="1" s="1"/>
  <c r="E1682" i="1"/>
  <c r="W1681" i="1" a="1"/>
  <c r="W1681" i="1" s="1"/>
  <c r="E1681" i="1"/>
  <c r="W1680" i="1" a="1"/>
  <c r="W1680" i="1" s="1"/>
  <c r="E1680" i="1"/>
  <c r="W1679" i="1" a="1"/>
  <c r="W1679" i="1" s="1"/>
  <c r="E1679" i="1"/>
  <c r="W1678" i="1" a="1"/>
  <c r="W1678" i="1" s="1"/>
  <c r="E1678" i="1"/>
  <c r="W1677" i="1" a="1"/>
  <c r="W1677" i="1" s="1"/>
  <c r="E1677" i="1"/>
  <c r="W1676" i="1" a="1"/>
  <c r="W1676" i="1" s="1"/>
  <c r="E1676" i="1"/>
  <c r="W1675" i="1" a="1"/>
  <c r="W1675" i="1" s="1"/>
  <c r="E1675" i="1"/>
  <c r="W1674" i="1" a="1"/>
  <c r="W1674" i="1" s="1"/>
  <c r="E1674" i="1"/>
  <c r="W1673" i="1" a="1"/>
  <c r="W1673" i="1" s="1"/>
  <c r="E1673" i="1"/>
  <c r="W1672" i="1" a="1"/>
  <c r="W1672" i="1" s="1"/>
  <c r="E1672" i="1"/>
  <c r="W1671" i="1" a="1"/>
  <c r="W1671" i="1" s="1"/>
  <c r="E1671" i="1"/>
  <c r="W1670" i="1" a="1"/>
  <c r="W1670" i="1" s="1"/>
  <c r="E1670" i="1"/>
  <c r="W1669" i="1" a="1"/>
  <c r="W1669" i="1" s="1"/>
  <c r="E1669" i="1"/>
  <c r="W1668" i="1" a="1"/>
  <c r="W1668" i="1" s="1"/>
  <c r="E1668" i="1"/>
  <c r="W1667" i="1" a="1"/>
  <c r="W1667" i="1" s="1"/>
  <c r="E1667" i="1"/>
  <c r="W1666" i="1" a="1"/>
  <c r="W1666" i="1" s="1"/>
  <c r="E1666" i="1"/>
  <c r="W1665" i="1" a="1"/>
  <c r="W1665" i="1" s="1"/>
  <c r="E1665" i="1"/>
  <c r="W1664" i="1" a="1"/>
  <c r="W1664" i="1" s="1"/>
  <c r="E1664" i="1"/>
  <c r="W1663" i="1" a="1"/>
  <c r="W1663" i="1" s="1"/>
  <c r="E1663" i="1"/>
  <c r="W1662" i="1" a="1"/>
  <c r="W1662" i="1" s="1"/>
  <c r="E1662" i="1"/>
  <c r="W1661" i="1" a="1"/>
  <c r="W1661" i="1" s="1"/>
  <c r="E1661" i="1"/>
  <c r="W1660" i="1" a="1"/>
  <c r="W1660" i="1" s="1"/>
  <c r="E1660" i="1"/>
  <c r="W1659" i="1" a="1"/>
  <c r="W1659" i="1" s="1"/>
  <c r="E1659" i="1"/>
  <c r="W1658" i="1" a="1"/>
  <c r="W1658" i="1" s="1"/>
  <c r="E1658" i="1"/>
  <c r="W1657" i="1" a="1"/>
  <c r="W1657" i="1" s="1"/>
  <c r="E1657" i="1"/>
  <c r="W1656" i="1" a="1"/>
  <c r="W1656" i="1" s="1"/>
  <c r="E1656" i="1"/>
  <c r="W1655" i="1" a="1"/>
  <c r="W1655" i="1" s="1"/>
  <c r="E1655" i="1"/>
  <c r="W1654" i="1" a="1"/>
  <c r="W1654" i="1" s="1"/>
  <c r="E1654" i="1"/>
  <c r="W1653" i="1" a="1"/>
  <c r="W1653" i="1" s="1"/>
  <c r="E1653" i="1"/>
  <c r="W1652" i="1" a="1"/>
  <c r="W1652" i="1" s="1"/>
  <c r="E1652" i="1"/>
  <c r="W1651" i="1" a="1"/>
  <c r="W1651" i="1" s="1"/>
  <c r="E1651" i="1"/>
  <c r="W1650" i="1" a="1"/>
  <c r="W1650" i="1" s="1"/>
  <c r="E1650" i="1"/>
  <c r="W1649" i="1" a="1"/>
  <c r="W1649" i="1" s="1"/>
  <c r="E1649" i="1"/>
  <c r="W1648" i="1" a="1"/>
  <c r="W1648" i="1" s="1"/>
  <c r="E1648" i="1"/>
  <c r="W1647" i="1" a="1"/>
  <c r="W1647" i="1" s="1"/>
  <c r="E1647" i="1"/>
  <c r="W1646" i="1" a="1"/>
  <c r="W1646" i="1" s="1"/>
  <c r="E1646" i="1"/>
  <c r="W1645" i="1" a="1"/>
  <c r="W1645" i="1" s="1"/>
  <c r="E1645" i="1"/>
  <c r="W1644" i="1" a="1"/>
  <c r="W1644" i="1" s="1"/>
  <c r="E1644" i="1"/>
  <c r="W1643" i="1" a="1"/>
  <c r="W1643" i="1" s="1"/>
  <c r="E1643" i="1"/>
  <c r="W1642" i="1" a="1"/>
  <c r="W1642" i="1" s="1"/>
  <c r="E1642" i="1"/>
  <c r="W1641" i="1" a="1"/>
  <c r="W1641" i="1" s="1"/>
  <c r="E1641" i="1"/>
  <c r="W1640" i="1" a="1"/>
  <c r="W1640" i="1" s="1"/>
  <c r="E1640" i="1"/>
  <c r="W1639" i="1" a="1"/>
  <c r="W1639" i="1" s="1"/>
  <c r="E1639" i="1"/>
  <c r="W1638" i="1" a="1"/>
  <c r="W1638" i="1" s="1"/>
  <c r="E1638" i="1"/>
  <c r="W1637" i="1" a="1"/>
  <c r="W1637" i="1" s="1"/>
  <c r="E1637" i="1"/>
  <c r="W1636" i="1" a="1"/>
  <c r="W1636" i="1" s="1"/>
  <c r="E1636" i="1"/>
  <c r="W1635" i="1" a="1"/>
  <c r="W1635" i="1" s="1"/>
  <c r="E1635" i="1"/>
  <c r="W1634" i="1" a="1"/>
  <c r="W1634" i="1" s="1"/>
  <c r="E1634" i="1"/>
  <c r="W1633" i="1" a="1"/>
  <c r="W1633" i="1" s="1"/>
  <c r="E1633" i="1"/>
  <c r="W1632" i="1" a="1"/>
  <c r="W1632" i="1" s="1"/>
  <c r="E1632" i="1"/>
  <c r="W1631" i="1" a="1"/>
  <c r="W1631" i="1" s="1"/>
  <c r="E1631" i="1"/>
  <c r="W1630" i="1" a="1"/>
  <c r="W1630" i="1" s="1"/>
  <c r="E1630" i="1"/>
  <c r="W1629" i="1" a="1"/>
  <c r="W1629" i="1" s="1"/>
  <c r="E1629" i="1"/>
  <c r="W1628" i="1" a="1"/>
  <c r="W1628" i="1" s="1"/>
  <c r="E1628" i="1"/>
  <c r="W1627" i="1" a="1"/>
  <c r="W1627" i="1" s="1"/>
  <c r="E1627" i="1"/>
  <c r="W1626" i="1" a="1"/>
  <c r="W1626" i="1" s="1"/>
  <c r="E1626" i="1"/>
  <c r="W1625" i="1" a="1"/>
  <c r="W1625" i="1" s="1"/>
  <c r="E1625" i="1"/>
  <c r="W1624" i="1" a="1"/>
  <c r="W1624" i="1" s="1"/>
  <c r="E1624" i="1"/>
  <c r="W1623" i="1" a="1"/>
  <c r="W1623" i="1" s="1"/>
  <c r="E1623" i="1"/>
  <c r="W1622" i="1" a="1"/>
  <c r="W1622" i="1" s="1"/>
  <c r="E1622" i="1"/>
  <c r="W1621" i="1" a="1"/>
  <c r="W1621" i="1" s="1"/>
  <c r="E1621" i="1"/>
  <c r="W1620" i="1" a="1"/>
  <c r="W1620" i="1" s="1"/>
  <c r="E1620" i="1"/>
  <c r="W1619" i="1" a="1"/>
  <c r="W1619" i="1" s="1"/>
  <c r="E1619" i="1"/>
  <c r="W1618" i="1" a="1"/>
  <c r="W1618" i="1" s="1"/>
  <c r="E1618" i="1"/>
  <c r="W1617" i="1" a="1"/>
  <c r="W1617" i="1" s="1"/>
  <c r="E1617" i="1"/>
  <c r="W1616" i="1" a="1"/>
  <c r="W1616" i="1" s="1"/>
  <c r="E1616" i="1"/>
  <c r="W1615" i="1" a="1"/>
  <c r="W1615" i="1" s="1"/>
  <c r="E1615" i="1"/>
  <c r="W1614" i="1" a="1"/>
  <c r="W1614" i="1" s="1"/>
  <c r="E1614" i="1"/>
  <c r="W1613" i="1" a="1"/>
  <c r="W1613" i="1" s="1"/>
  <c r="E1613" i="1"/>
  <c r="W1612" i="1" a="1"/>
  <c r="W1612" i="1" s="1"/>
  <c r="E1612" i="1"/>
  <c r="W1611" i="1" a="1"/>
  <c r="W1611" i="1" s="1"/>
  <c r="E1611" i="1"/>
  <c r="W1610" i="1" a="1"/>
  <c r="W1610" i="1" s="1"/>
  <c r="E1610" i="1"/>
  <c r="W1609" i="1" a="1"/>
  <c r="W1609" i="1" s="1"/>
  <c r="E1609" i="1"/>
  <c r="W1608" i="1" a="1"/>
  <c r="W1608" i="1" s="1"/>
  <c r="E1608" i="1"/>
  <c r="W1607" i="1" a="1"/>
  <c r="W1607" i="1" s="1"/>
  <c r="E1607" i="1"/>
  <c r="W1606" i="1" a="1"/>
  <c r="W1606" i="1" s="1"/>
  <c r="E1606" i="1"/>
  <c r="W1605" i="1" a="1"/>
  <c r="W1605" i="1" s="1"/>
  <c r="E1605" i="1"/>
  <c r="W1604" i="1" a="1"/>
  <c r="W1604" i="1" s="1"/>
  <c r="E1604" i="1"/>
  <c r="W1603" i="1" a="1"/>
  <c r="W1603" i="1" s="1"/>
  <c r="E1603" i="1"/>
  <c r="W1602" i="1" a="1"/>
  <c r="W1602" i="1" s="1"/>
  <c r="E1602" i="1"/>
  <c r="W1601" i="1" a="1"/>
  <c r="W1601" i="1" s="1"/>
  <c r="E1601" i="1"/>
  <c r="W1600" i="1" a="1"/>
  <c r="W1600" i="1" s="1"/>
  <c r="E1600" i="1"/>
  <c r="W1599" i="1" a="1"/>
  <c r="W1599" i="1" s="1"/>
  <c r="E1599" i="1"/>
  <c r="W1598" i="1" a="1"/>
  <c r="W1598" i="1" s="1"/>
  <c r="E1598" i="1"/>
  <c r="W1597" i="1" a="1"/>
  <c r="W1597" i="1" s="1"/>
  <c r="E1597" i="1"/>
  <c r="W1596" i="1" a="1"/>
  <c r="W1596" i="1" s="1"/>
  <c r="E1596" i="1"/>
  <c r="W1595" i="1" a="1"/>
  <c r="W1595" i="1" s="1"/>
  <c r="E1595" i="1"/>
  <c r="W1594" i="1" a="1"/>
  <c r="W1594" i="1" s="1"/>
  <c r="E1594" i="1"/>
  <c r="W1593" i="1" a="1"/>
  <c r="W1593" i="1" s="1"/>
  <c r="E1593" i="1"/>
  <c r="W1592" i="1" a="1"/>
  <c r="W1592" i="1" s="1"/>
  <c r="E1592" i="1"/>
  <c r="W1591" i="1" a="1"/>
  <c r="W1591" i="1" s="1"/>
  <c r="E1591" i="1"/>
  <c r="W1590" i="1" a="1"/>
  <c r="W1590" i="1" s="1"/>
  <c r="E1590" i="1"/>
  <c r="W1589" i="1" a="1"/>
  <c r="W1589" i="1" s="1"/>
  <c r="E1589" i="1"/>
  <c r="W1588" i="1" a="1"/>
  <c r="W1588" i="1" s="1"/>
  <c r="E1588" i="1"/>
  <c r="W1587" i="1" a="1"/>
  <c r="W1587" i="1" s="1"/>
  <c r="E1587" i="1"/>
  <c r="W1586" i="1" a="1"/>
  <c r="W1586" i="1" s="1"/>
  <c r="E1586" i="1"/>
  <c r="W1585" i="1" a="1"/>
  <c r="W1585" i="1" s="1"/>
  <c r="E1585" i="1"/>
  <c r="W1584" i="1" a="1"/>
  <c r="W1584" i="1" s="1"/>
  <c r="E1584" i="1"/>
  <c r="W1583" i="1" a="1"/>
  <c r="W1583" i="1" s="1"/>
  <c r="E1583" i="1"/>
  <c r="W1582" i="1" a="1"/>
  <c r="W1582" i="1" s="1"/>
  <c r="E1582" i="1"/>
  <c r="W1581" i="1" a="1"/>
  <c r="W1581" i="1" s="1"/>
  <c r="E1581" i="1"/>
  <c r="W1580" i="1" a="1"/>
  <c r="W1580" i="1" s="1"/>
  <c r="E1580" i="1"/>
  <c r="W1579" i="1" a="1"/>
  <c r="W1579" i="1" s="1"/>
  <c r="E1579" i="1"/>
  <c r="W1578" i="1" a="1"/>
  <c r="W1578" i="1" s="1"/>
  <c r="E1578" i="1"/>
  <c r="W1577" i="1" a="1"/>
  <c r="W1577" i="1" s="1"/>
  <c r="E1577" i="1"/>
  <c r="W1576" i="1" a="1"/>
  <c r="W1576" i="1" s="1"/>
  <c r="E1576" i="1"/>
  <c r="W1575" i="1" a="1"/>
  <c r="W1575" i="1" s="1"/>
  <c r="E1575" i="1"/>
  <c r="W1574" i="1" a="1"/>
  <c r="W1574" i="1" s="1"/>
  <c r="E1574" i="1"/>
  <c r="W1573" i="1" a="1"/>
  <c r="W1573" i="1" s="1"/>
  <c r="E1573" i="1"/>
  <c r="W1572" i="1" a="1"/>
  <c r="W1572" i="1" s="1"/>
  <c r="E1572" i="1"/>
  <c r="W1571" i="1" a="1"/>
  <c r="W1571" i="1" s="1"/>
  <c r="E1571" i="1"/>
  <c r="W1570" i="1" a="1"/>
  <c r="W1570" i="1" s="1"/>
  <c r="E1570" i="1"/>
  <c r="W1569" i="1" a="1"/>
  <c r="W1569" i="1" s="1"/>
  <c r="E1569" i="1"/>
  <c r="W1568" i="1" a="1"/>
  <c r="W1568" i="1" s="1"/>
  <c r="E1568" i="1"/>
  <c r="W1567" i="1" a="1"/>
  <c r="W1567" i="1" s="1"/>
  <c r="E1567" i="1"/>
  <c r="W1566" i="1" a="1"/>
  <c r="W1566" i="1" s="1"/>
  <c r="E1566" i="1"/>
  <c r="W1565" i="1" a="1"/>
  <c r="W1565" i="1" s="1"/>
  <c r="E1565" i="1"/>
  <c r="W1564" i="1" a="1"/>
  <c r="W1564" i="1" s="1"/>
  <c r="E1564" i="1"/>
  <c r="W1563" i="1" a="1"/>
  <c r="W1563" i="1" s="1"/>
  <c r="E1563" i="1"/>
  <c r="W1562" i="1" a="1"/>
  <c r="W1562" i="1" s="1"/>
  <c r="E1562" i="1"/>
  <c r="W1561" i="1" a="1"/>
  <c r="W1561" i="1" s="1"/>
  <c r="E1561" i="1"/>
  <c r="W1560" i="1" a="1"/>
  <c r="W1560" i="1" s="1"/>
  <c r="E1560" i="1"/>
  <c r="W1559" i="1" a="1"/>
  <c r="W1559" i="1" s="1"/>
  <c r="E1559" i="1"/>
  <c r="W1558" i="1" a="1"/>
  <c r="W1558" i="1" s="1"/>
  <c r="E1558" i="1"/>
  <c r="W1557" i="1" a="1"/>
  <c r="W1557" i="1" s="1"/>
  <c r="E1557" i="1"/>
  <c r="W1556" i="1" a="1"/>
  <c r="W1556" i="1" s="1"/>
  <c r="E1556" i="1"/>
  <c r="W1555" i="1" a="1"/>
  <c r="W1555" i="1" s="1"/>
  <c r="E1555" i="1"/>
  <c r="W1554" i="1" a="1"/>
  <c r="W1554" i="1" s="1"/>
  <c r="E1554" i="1"/>
  <c r="W1553" i="1" a="1"/>
  <c r="W1553" i="1" s="1"/>
  <c r="E1553" i="1"/>
  <c r="W1552" i="1" a="1"/>
  <c r="W1552" i="1" s="1"/>
  <c r="E1552" i="1"/>
  <c r="W1551" i="1" a="1"/>
  <c r="W1551" i="1" s="1"/>
  <c r="E1551" i="1"/>
  <c r="W1550" i="1" a="1"/>
  <c r="W1550" i="1" s="1"/>
  <c r="E1550" i="1"/>
  <c r="W1549" i="1" a="1"/>
  <c r="W1549" i="1" s="1"/>
  <c r="E1549" i="1"/>
  <c r="W1548" i="1" a="1"/>
  <c r="W1548" i="1" s="1"/>
  <c r="E1548" i="1"/>
  <c r="W1547" i="1" a="1"/>
  <c r="W1547" i="1" s="1"/>
  <c r="E1547" i="1"/>
  <c r="W1546" i="1" a="1"/>
  <c r="W1546" i="1" s="1"/>
  <c r="E1546" i="1"/>
  <c r="W1545" i="1" a="1"/>
  <c r="W1545" i="1" s="1"/>
  <c r="E1545" i="1"/>
  <c r="W1544" i="1" a="1"/>
  <c r="W1544" i="1" s="1"/>
  <c r="E1544" i="1"/>
  <c r="W1543" i="1" a="1"/>
  <c r="W1543" i="1" s="1"/>
  <c r="E1543" i="1"/>
  <c r="W1542" i="1" a="1"/>
  <c r="W1542" i="1" s="1"/>
  <c r="E1542" i="1"/>
  <c r="W1541" i="1" a="1"/>
  <c r="W1541" i="1" s="1"/>
  <c r="E1541" i="1"/>
  <c r="W1540" i="1" a="1"/>
  <c r="W1540" i="1" s="1"/>
  <c r="E1540" i="1"/>
  <c r="W1539" i="1" a="1"/>
  <c r="W1539" i="1" s="1"/>
  <c r="E1539" i="1"/>
  <c r="W1538" i="1" a="1"/>
  <c r="W1538" i="1" s="1"/>
  <c r="E1538" i="1"/>
  <c r="W1537" i="1" a="1"/>
  <c r="W1537" i="1" s="1"/>
  <c r="E1537" i="1"/>
  <c r="W1536" i="1" a="1"/>
  <c r="W1536" i="1" s="1"/>
  <c r="E1536" i="1"/>
  <c r="W1535" i="1" a="1"/>
  <c r="W1535" i="1" s="1"/>
  <c r="E1535" i="1"/>
  <c r="W1534" i="1" a="1"/>
  <c r="W1534" i="1" s="1"/>
  <c r="E1534" i="1"/>
  <c r="W1533" i="1" a="1"/>
  <c r="W1533" i="1" s="1"/>
  <c r="E1533" i="1"/>
  <c r="W1532" i="1" a="1"/>
  <c r="W1532" i="1" s="1"/>
  <c r="E1532" i="1"/>
  <c r="W1531" i="1" a="1"/>
  <c r="W1531" i="1" s="1"/>
  <c r="E1531" i="1"/>
  <c r="W1530" i="1" a="1"/>
  <c r="W1530" i="1" s="1"/>
  <c r="E1530" i="1"/>
  <c r="W1529" i="1" a="1"/>
  <c r="W1529" i="1" s="1"/>
  <c r="E1529" i="1"/>
  <c r="W1528" i="1" a="1"/>
  <c r="W1528" i="1" s="1"/>
  <c r="E1528" i="1"/>
  <c r="W1527" i="1" a="1"/>
  <c r="W1527" i="1" s="1"/>
  <c r="E1527" i="1"/>
  <c r="W1526" i="1" a="1"/>
  <c r="W1526" i="1" s="1"/>
  <c r="E1526" i="1"/>
  <c r="W1525" i="1" a="1"/>
  <c r="W1525" i="1" s="1"/>
  <c r="E1525" i="1"/>
  <c r="W1524" i="1" a="1"/>
  <c r="W1524" i="1" s="1"/>
  <c r="E1524" i="1"/>
  <c r="W1523" i="1" a="1"/>
  <c r="W1523" i="1" s="1"/>
  <c r="E1523" i="1"/>
  <c r="W1522" i="1" a="1"/>
  <c r="W1522" i="1" s="1"/>
  <c r="E1522" i="1"/>
  <c r="W1521" i="1" a="1"/>
  <c r="W1521" i="1" s="1"/>
  <c r="E1521" i="1"/>
  <c r="W1520" i="1" a="1"/>
  <c r="W1520" i="1" s="1"/>
  <c r="E1520" i="1"/>
  <c r="W1519" i="1" a="1"/>
  <c r="W1519" i="1" s="1"/>
  <c r="E1519" i="1"/>
  <c r="W1518" i="1" a="1"/>
  <c r="W1518" i="1" s="1"/>
  <c r="E1518" i="1"/>
  <c r="W1517" i="1" a="1"/>
  <c r="W1517" i="1" s="1"/>
  <c r="E1517" i="1"/>
  <c r="W1516" i="1" a="1"/>
  <c r="W1516" i="1" s="1"/>
  <c r="E1516" i="1"/>
  <c r="W1515" i="1" a="1"/>
  <c r="W1515" i="1" s="1"/>
  <c r="E1515" i="1"/>
  <c r="W1514" i="1" a="1"/>
  <c r="W1514" i="1" s="1"/>
  <c r="E1514" i="1"/>
  <c r="W1513" i="1" a="1"/>
  <c r="W1513" i="1" s="1"/>
  <c r="E1513" i="1"/>
  <c r="W1512" i="1" a="1"/>
  <c r="W1512" i="1" s="1"/>
  <c r="E1512" i="1"/>
  <c r="W1511" i="1" a="1"/>
  <c r="W1511" i="1" s="1"/>
  <c r="E1511" i="1"/>
  <c r="W1510" i="1" a="1"/>
  <c r="W1510" i="1" s="1"/>
  <c r="E1510" i="1"/>
  <c r="W1509" i="1" a="1"/>
  <c r="W1509" i="1" s="1"/>
  <c r="E1509" i="1"/>
  <c r="W1508" i="1" a="1"/>
  <c r="W1508" i="1" s="1"/>
  <c r="E1508" i="1"/>
  <c r="W1507" i="1" a="1"/>
  <c r="W1507" i="1" s="1"/>
  <c r="E1507" i="1"/>
  <c r="W1506" i="1" a="1"/>
  <c r="W1506" i="1" s="1"/>
  <c r="E1506" i="1"/>
  <c r="W1505" i="1" a="1"/>
  <c r="W1505" i="1" s="1"/>
  <c r="E1505" i="1"/>
  <c r="W1504" i="1" a="1"/>
  <c r="W1504" i="1" s="1"/>
  <c r="E1504" i="1"/>
  <c r="W1503" i="1" a="1"/>
  <c r="W1503" i="1" s="1"/>
  <c r="E1503" i="1"/>
  <c r="W1502" i="1" a="1"/>
  <c r="W1502" i="1" s="1"/>
  <c r="E1502" i="1"/>
  <c r="W1501" i="1" a="1"/>
  <c r="W1501" i="1" s="1"/>
  <c r="E1501" i="1"/>
  <c r="W1500" i="1" a="1"/>
  <c r="W1500" i="1" s="1"/>
  <c r="E1500" i="1"/>
  <c r="W1499" i="1" a="1"/>
  <c r="W1499" i="1" s="1"/>
  <c r="E1499" i="1"/>
  <c r="W1498" i="1" a="1"/>
  <c r="W1498" i="1" s="1"/>
  <c r="E1498" i="1"/>
  <c r="W1497" i="1" a="1"/>
  <c r="W1497" i="1" s="1"/>
  <c r="E1497" i="1"/>
  <c r="W1496" i="1" a="1"/>
  <c r="W1496" i="1" s="1"/>
  <c r="E1496" i="1"/>
  <c r="W1495" i="1" a="1"/>
  <c r="W1495" i="1" s="1"/>
  <c r="E1495" i="1"/>
  <c r="W1494" i="1" a="1"/>
  <c r="W1494" i="1" s="1"/>
  <c r="E1494" i="1"/>
  <c r="W1493" i="1" a="1"/>
  <c r="W1493" i="1" s="1"/>
  <c r="E1493" i="1"/>
  <c r="W1492" i="1" a="1"/>
  <c r="W1492" i="1" s="1"/>
  <c r="E1492" i="1"/>
  <c r="W1491" i="1" a="1"/>
  <c r="W1491" i="1" s="1"/>
  <c r="E1491" i="1"/>
  <c r="W1490" i="1" a="1"/>
  <c r="W1490" i="1" s="1"/>
  <c r="E1490" i="1"/>
  <c r="W1489" i="1" a="1"/>
  <c r="W1489" i="1" s="1"/>
  <c r="E1489" i="1"/>
  <c r="W1488" i="1" a="1"/>
  <c r="W1488" i="1" s="1"/>
  <c r="E1488" i="1"/>
  <c r="W1487" i="1" a="1"/>
  <c r="W1487" i="1" s="1"/>
  <c r="E1487" i="1"/>
  <c r="W1486" i="1" a="1"/>
  <c r="W1486" i="1" s="1"/>
  <c r="E1486" i="1"/>
  <c r="W1485" i="1" a="1"/>
  <c r="W1485" i="1" s="1"/>
  <c r="E1485" i="1"/>
  <c r="W1484" i="1" a="1"/>
  <c r="W1484" i="1" s="1"/>
  <c r="E1484" i="1"/>
  <c r="W1483" i="1" a="1"/>
  <c r="W1483" i="1" s="1"/>
  <c r="E1483" i="1"/>
  <c r="W1482" i="1" a="1"/>
  <c r="W1482" i="1" s="1"/>
  <c r="E1482" i="1"/>
  <c r="W1481" i="1" a="1"/>
  <c r="W1481" i="1" s="1"/>
  <c r="E1481" i="1"/>
  <c r="W1480" i="1" a="1"/>
  <c r="W1480" i="1" s="1"/>
  <c r="E1480" i="1"/>
  <c r="W1479" i="1" a="1"/>
  <c r="W1479" i="1" s="1"/>
  <c r="E1479" i="1"/>
  <c r="W1478" i="1" a="1"/>
  <c r="W1478" i="1" s="1"/>
  <c r="E1478" i="1"/>
  <c r="W1477" i="1" a="1"/>
  <c r="W1477" i="1" s="1"/>
  <c r="E1477" i="1"/>
  <c r="W1476" i="1" a="1"/>
  <c r="W1476" i="1" s="1"/>
  <c r="E1476" i="1"/>
  <c r="W1475" i="1" a="1"/>
  <c r="W1475" i="1" s="1"/>
  <c r="E1475" i="1"/>
  <c r="W1474" i="1" a="1"/>
  <c r="W1474" i="1" s="1"/>
  <c r="E1474" i="1"/>
  <c r="W1473" i="1" a="1"/>
  <c r="W1473" i="1" s="1"/>
  <c r="E1473" i="1"/>
  <c r="W1472" i="1" a="1"/>
  <c r="W1472" i="1" s="1"/>
  <c r="E1472" i="1"/>
  <c r="W1471" i="1" a="1"/>
  <c r="W1471" i="1" s="1"/>
  <c r="E1471" i="1"/>
  <c r="W1470" i="1" a="1"/>
  <c r="W1470" i="1" s="1"/>
  <c r="E1470" i="1"/>
  <c r="W1469" i="1" a="1"/>
  <c r="W1469" i="1" s="1"/>
  <c r="E1469" i="1"/>
  <c r="W1468" i="1" a="1"/>
  <c r="W1468" i="1" s="1"/>
  <c r="E1468" i="1"/>
  <c r="W1467" i="1" a="1"/>
  <c r="W1467" i="1" s="1"/>
  <c r="E1467" i="1"/>
  <c r="W1466" i="1" a="1"/>
  <c r="W1466" i="1" s="1"/>
  <c r="E1466" i="1"/>
  <c r="W1465" i="1" a="1"/>
  <c r="W1465" i="1" s="1"/>
  <c r="E1465" i="1"/>
  <c r="W1464" i="1" a="1"/>
  <c r="W1464" i="1" s="1"/>
  <c r="E1464" i="1"/>
  <c r="W1463" i="1" a="1"/>
  <c r="W1463" i="1" s="1"/>
  <c r="E1463" i="1"/>
  <c r="W1462" i="1" a="1"/>
  <c r="W1462" i="1" s="1"/>
  <c r="E1462" i="1"/>
  <c r="W1461" i="1" a="1"/>
  <c r="W1461" i="1" s="1"/>
  <c r="E1461" i="1"/>
  <c r="W1460" i="1" a="1"/>
  <c r="W1460" i="1" s="1"/>
  <c r="E1460" i="1"/>
  <c r="W1459" i="1" a="1"/>
  <c r="W1459" i="1" s="1"/>
  <c r="E1459" i="1"/>
  <c r="W1458" i="1" a="1"/>
  <c r="W1458" i="1" s="1"/>
  <c r="E1458" i="1"/>
  <c r="W1457" i="1" a="1"/>
  <c r="W1457" i="1" s="1"/>
  <c r="E1457" i="1"/>
  <c r="W1456" i="1" a="1"/>
  <c r="W1456" i="1" s="1"/>
  <c r="E1456" i="1"/>
  <c r="W1455" i="1" a="1"/>
  <c r="W1455" i="1" s="1"/>
  <c r="E1455" i="1"/>
  <c r="W1454" i="1" a="1"/>
  <c r="W1454" i="1" s="1"/>
  <c r="E1454" i="1"/>
  <c r="W1453" i="1" a="1"/>
  <c r="W1453" i="1" s="1"/>
  <c r="E1453" i="1"/>
  <c r="W1452" i="1" a="1"/>
  <c r="W1452" i="1" s="1"/>
  <c r="E1452" i="1"/>
  <c r="W1451" i="1" a="1"/>
  <c r="W1451" i="1" s="1"/>
  <c r="E1451" i="1"/>
  <c r="W1450" i="1" a="1"/>
  <c r="W1450" i="1" s="1"/>
  <c r="E1450" i="1"/>
  <c r="W1449" i="1" a="1"/>
  <c r="W1449" i="1" s="1"/>
  <c r="E1449" i="1"/>
  <c r="W1448" i="1" a="1"/>
  <c r="W1448" i="1" s="1"/>
  <c r="E1448" i="1"/>
  <c r="W1447" i="1" a="1"/>
  <c r="W1447" i="1" s="1"/>
  <c r="E1447" i="1"/>
  <c r="W1446" i="1" a="1"/>
  <c r="W1446" i="1" s="1"/>
  <c r="E1446" i="1"/>
  <c r="W1445" i="1" a="1"/>
  <c r="W1445" i="1" s="1"/>
  <c r="E1445" i="1"/>
  <c r="W1444" i="1" a="1"/>
  <c r="W1444" i="1" s="1"/>
  <c r="E1444" i="1"/>
  <c r="W1443" i="1" a="1"/>
  <c r="W1443" i="1" s="1"/>
  <c r="E1443" i="1"/>
  <c r="W1442" i="1" a="1"/>
  <c r="W1442" i="1" s="1"/>
  <c r="E1442" i="1"/>
  <c r="W1441" i="1" a="1"/>
  <c r="W1441" i="1" s="1"/>
  <c r="E1441" i="1"/>
  <c r="W1440" i="1" a="1"/>
  <c r="W1440" i="1" s="1"/>
  <c r="E1440" i="1"/>
  <c r="W1439" i="1" a="1"/>
  <c r="W1439" i="1" s="1"/>
  <c r="E1439" i="1"/>
  <c r="W1438" i="1" a="1"/>
  <c r="W1438" i="1" s="1"/>
  <c r="E1438" i="1"/>
  <c r="W1437" i="1" a="1"/>
  <c r="W1437" i="1" s="1"/>
  <c r="E1437" i="1"/>
  <c r="W1436" i="1" a="1"/>
  <c r="W1436" i="1" s="1"/>
  <c r="E1436" i="1"/>
  <c r="W1435" i="1" a="1"/>
  <c r="W1435" i="1" s="1"/>
  <c r="E1435" i="1"/>
  <c r="W1434" i="1" a="1"/>
  <c r="W1434" i="1" s="1"/>
  <c r="E1434" i="1"/>
  <c r="W1433" i="1" a="1"/>
  <c r="W1433" i="1" s="1"/>
  <c r="E1433" i="1"/>
  <c r="W1432" i="1" a="1"/>
  <c r="W1432" i="1" s="1"/>
  <c r="E1432" i="1"/>
  <c r="W1431" i="1" a="1"/>
  <c r="W1431" i="1" s="1"/>
  <c r="E1431" i="1"/>
  <c r="W1430" i="1" a="1"/>
  <c r="W1430" i="1" s="1"/>
  <c r="E1430" i="1"/>
  <c r="W1429" i="1" a="1"/>
  <c r="W1429" i="1" s="1"/>
  <c r="E1429" i="1"/>
  <c r="W1428" i="1" a="1"/>
  <c r="W1428" i="1" s="1"/>
  <c r="E1428" i="1"/>
  <c r="W1427" i="1" a="1"/>
  <c r="W1427" i="1" s="1"/>
  <c r="E1427" i="1"/>
  <c r="W1426" i="1" a="1"/>
  <c r="W1426" i="1" s="1"/>
  <c r="E1426" i="1"/>
  <c r="W1425" i="1" a="1"/>
  <c r="W1425" i="1" s="1"/>
  <c r="E1425" i="1"/>
  <c r="W1424" i="1" a="1"/>
  <c r="W1424" i="1" s="1"/>
  <c r="E1424" i="1"/>
  <c r="W1423" i="1" a="1"/>
  <c r="W1423" i="1" s="1"/>
  <c r="E1423" i="1"/>
  <c r="W1422" i="1" a="1"/>
  <c r="W1422" i="1" s="1"/>
  <c r="E1422" i="1"/>
  <c r="W1421" i="1" a="1"/>
  <c r="W1421" i="1" s="1"/>
  <c r="E1421" i="1"/>
  <c r="W1420" i="1" a="1"/>
  <c r="W1420" i="1" s="1"/>
  <c r="E1420" i="1"/>
  <c r="W1419" i="1" a="1"/>
  <c r="W1419" i="1" s="1"/>
  <c r="E1419" i="1"/>
  <c r="W1418" i="1" a="1"/>
  <c r="W1418" i="1" s="1"/>
  <c r="E1418" i="1"/>
  <c r="W1417" i="1" a="1"/>
  <c r="W1417" i="1" s="1"/>
  <c r="E1417" i="1"/>
  <c r="W1416" i="1" a="1"/>
  <c r="W1416" i="1" s="1"/>
  <c r="E1416" i="1"/>
  <c r="W1415" i="1" a="1"/>
  <c r="W1415" i="1" s="1"/>
  <c r="E1415" i="1"/>
  <c r="W1414" i="1" a="1"/>
  <c r="W1414" i="1" s="1"/>
  <c r="E1414" i="1"/>
  <c r="W1413" i="1" a="1"/>
  <c r="W1413" i="1" s="1"/>
  <c r="E1413" i="1"/>
  <c r="W1412" i="1" a="1"/>
  <c r="W1412" i="1" s="1"/>
  <c r="E1412" i="1"/>
  <c r="W1411" i="1" a="1"/>
  <c r="W1411" i="1" s="1"/>
  <c r="E1411" i="1"/>
  <c r="W1410" i="1" a="1"/>
  <c r="W1410" i="1" s="1"/>
  <c r="E1410" i="1"/>
  <c r="W1409" i="1" a="1"/>
  <c r="W1409" i="1" s="1"/>
  <c r="E1409" i="1"/>
  <c r="W1408" i="1" a="1"/>
  <c r="W1408" i="1" s="1"/>
  <c r="E1408" i="1"/>
  <c r="W1407" i="1" a="1"/>
  <c r="W1407" i="1" s="1"/>
  <c r="E1407" i="1"/>
  <c r="W1406" i="1" a="1"/>
  <c r="W1406" i="1" s="1"/>
  <c r="E1406" i="1"/>
  <c r="W1405" i="1" a="1"/>
  <c r="W1405" i="1" s="1"/>
  <c r="E1405" i="1"/>
  <c r="W1404" i="1" a="1"/>
  <c r="W1404" i="1" s="1"/>
  <c r="E1404" i="1"/>
  <c r="W1403" i="1" a="1"/>
  <c r="W1403" i="1" s="1"/>
  <c r="E1403" i="1"/>
  <c r="W1402" i="1" a="1"/>
  <c r="W1402" i="1" s="1"/>
  <c r="E1402" i="1"/>
  <c r="W1401" i="1" a="1"/>
  <c r="W1401" i="1" s="1"/>
  <c r="E1401" i="1"/>
  <c r="W1400" i="1" a="1"/>
  <c r="W1400" i="1" s="1"/>
  <c r="E1400" i="1"/>
  <c r="W1399" i="1" a="1"/>
  <c r="W1399" i="1" s="1"/>
  <c r="E1399" i="1"/>
  <c r="W1398" i="1" a="1"/>
  <c r="W1398" i="1" s="1"/>
  <c r="E1398" i="1"/>
  <c r="W1397" i="1" a="1"/>
  <c r="W1397" i="1" s="1"/>
  <c r="E1397" i="1"/>
  <c r="W1396" i="1" a="1"/>
  <c r="W1396" i="1" s="1"/>
  <c r="E1396" i="1"/>
  <c r="W1395" i="1" a="1"/>
  <c r="W1395" i="1" s="1"/>
  <c r="E1395" i="1"/>
  <c r="W1394" i="1" a="1"/>
  <c r="W1394" i="1" s="1"/>
  <c r="E1394" i="1"/>
  <c r="W1393" i="1" a="1"/>
  <c r="W1393" i="1" s="1"/>
  <c r="E1393" i="1"/>
  <c r="W1392" i="1" a="1"/>
  <c r="W1392" i="1" s="1"/>
  <c r="E1392" i="1"/>
  <c r="W1391" i="1" a="1"/>
  <c r="W1391" i="1" s="1"/>
  <c r="E1391" i="1"/>
  <c r="W1390" i="1" a="1"/>
  <c r="W1390" i="1" s="1"/>
  <c r="E1390" i="1"/>
  <c r="W1389" i="1" a="1"/>
  <c r="W1389" i="1" s="1"/>
  <c r="E1389" i="1"/>
  <c r="W1388" i="1" a="1"/>
  <c r="W1388" i="1" s="1"/>
  <c r="E1388" i="1"/>
  <c r="W1387" i="1" a="1"/>
  <c r="W1387" i="1" s="1"/>
  <c r="E1387" i="1"/>
  <c r="W1386" i="1" a="1"/>
  <c r="W1386" i="1" s="1"/>
  <c r="E1386" i="1"/>
  <c r="W1385" i="1" a="1"/>
  <c r="W1385" i="1" s="1"/>
  <c r="E1385" i="1"/>
  <c r="W1384" i="1" a="1"/>
  <c r="W1384" i="1" s="1"/>
  <c r="E1384" i="1"/>
  <c r="W1383" i="1" a="1"/>
  <c r="W1383" i="1" s="1"/>
  <c r="E1383" i="1"/>
  <c r="W1382" i="1" a="1"/>
  <c r="W1382" i="1" s="1"/>
  <c r="E1382" i="1"/>
  <c r="W1381" i="1" a="1"/>
  <c r="W1381" i="1" s="1"/>
  <c r="E1381" i="1"/>
  <c r="W1380" i="1" a="1"/>
  <c r="W1380" i="1" s="1"/>
  <c r="E1380" i="1"/>
  <c r="W1379" i="1" a="1"/>
  <c r="W1379" i="1" s="1"/>
  <c r="E1379" i="1"/>
  <c r="W1378" i="1" a="1"/>
  <c r="W1378" i="1" s="1"/>
  <c r="E1378" i="1"/>
  <c r="W1377" i="1" a="1"/>
  <c r="W1377" i="1" s="1"/>
  <c r="E1377" i="1"/>
  <c r="W1376" i="1" a="1"/>
  <c r="W1376" i="1" s="1"/>
  <c r="E1376" i="1"/>
  <c r="W1375" i="1" a="1"/>
  <c r="W1375" i="1" s="1"/>
  <c r="E1375" i="1"/>
  <c r="W1374" i="1" a="1"/>
  <c r="W1374" i="1" s="1"/>
  <c r="E1374" i="1"/>
  <c r="W1373" i="1" a="1"/>
  <c r="W1373" i="1" s="1"/>
  <c r="E1373" i="1"/>
  <c r="W1372" i="1" a="1"/>
  <c r="W1372" i="1" s="1"/>
  <c r="E1372" i="1"/>
  <c r="W1371" i="1" a="1"/>
  <c r="W1371" i="1" s="1"/>
  <c r="E1371" i="1"/>
  <c r="W1370" i="1" a="1"/>
  <c r="W1370" i="1" s="1"/>
  <c r="E1370" i="1"/>
  <c r="W1369" i="1" a="1"/>
  <c r="W1369" i="1" s="1"/>
  <c r="E1369" i="1"/>
  <c r="W1368" i="1" a="1"/>
  <c r="W1368" i="1" s="1"/>
  <c r="E1368" i="1"/>
  <c r="W1367" i="1" a="1"/>
  <c r="W1367" i="1" s="1"/>
  <c r="E1367" i="1"/>
  <c r="W1366" i="1" a="1"/>
  <c r="W1366" i="1" s="1"/>
  <c r="E1366" i="1"/>
  <c r="W1365" i="1" a="1"/>
  <c r="W1365" i="1" s="1"/>
  <c r="E1365" i="1"/>
  <c r="W1364" i="1" a="1"/>
  <c r="W1364" i="1" s="1"/>
  <c r="E1364" i="1"/>
  <c r="W1363" i="1" a="1"/>
  <c r="W1363" i="1" s="1"/>
  <c r="E1363" i="1"/>
  <c r="W1362" i="1" a="1"/>
  <c r="W1362" i="1" s="1"/>
  <c r="E1362" i="1"/>
  <c r="W1361" i="1" a="1"/>
  <c r="W1361" i="1" s="1"/>
  <c r="E1361" i="1"/>
  <c r="W1360" i="1" a="1"/>
  <c r="W1360" i="1" s="1"/>
  <c r="E1360" i="1"/>
  <c r="W1359" i="1" a="1"/>
  <c r="W1359" i="1" s="1"/>
  <c r="E1359" i="1"/>
  <c r="W1358" i="1" a="1"/>
  <c r="W1358" i="1" s="1"/>
  <c r="E1358" i="1"/>
  <c r="W1357" i="1" a="1"/>
  <c r="W1357" i="1" s="1"/>
  <c r="E1357" i="1"/>
  <c r="W1356" i="1" a="1"/>
  <c r="W1356" i="1" s="1"/>
  <c r="E1356" i="1"/>
  <c r="W1355" i="1" a="1"/>
  <c r="W1355" i="1" s="1"/>
  <c r="E1355" i="1"/>
  <c r="W1354" i="1" a="1"/>
  <c r="W1354" i="1" s="1"/>
  <c r="E1354" i="1"/>
  <c r="W1353" i="1" a="1"/>
  <c r="W1353" i="1" s="1"/>
  <c r="E1353" i="1"/>
  <c r="W1352" i="1" a="1"/>
  <c r="W1352" i="1" s="1"/>
  <c r="E1352" i="1"/>
  <c r="W1351" i="1" a="1"/>
  <c r="W1351" i="1" s="1"/>
  <c r="E1351" i="1"/>
  <c r="W1350" i="1" a="1"/>
  <c r="W1350" i="1" s="1"/>
  <c r="E1350" i="1"/>
  <c r="W1349" i="1" a="1"/>
  <c r="W1349" i="1" s="1"/>
  <c r="E1349" i="1"/>
  <c r="W1348" i="1" a="1"/>
  <c r="W1348" i="1" s="1"/>
  <c r="E1348" i="1"/>
  <c r="W1347" i="1" a="1"/>
  <c r="W1347" i="1" s="1"/>
  <c r="E1347" i="1"/>
  <c r="W1346" i="1" a="1"/>
  <c r="W1346" i="1" s="1"/>
  <c r="E1346" i="1"/>
  <c r="W1345" i="1" a="1"/>
  <c r="W1345" i="1" s="1"/>
  <c r="E1345" i="1"/>
  <c r="W1344" i="1" a="1"/>
  <c r="W1344" i="1" s="1"/>
  <c r="E1344" i="1"/>
  <c r="W1343" i="1" a="1"/>
  <c r="W1343" i="1" s="1"/>
  <c r="E1343" i="1"/>
  <c r="W1342" i="1" a="1"/>
  <c r="W1342" i="1" s="1"/>
  <c r="E1342" i="1"/>
  <c r="W1341" i="1" a="1"/>
  <c r="W1341" i="1" s="1"/>
  <c r="E1341" i="1"/>
  <c r="W1340" i="1" a="1"/>
  <c r="W1340" i="1" s="1"/>
  <c r="E1340" i="1"/>
  <c r="W1339" i="1" a="1"/>
  <c r="W1339" i="1" s="1"/>
  <c r="E1339" i="1"/>
  <c r="W1338" i="1" a="1"/>
  <c r="W1338" i="1" s="1"/>
  <c r="E1338" i="1"/>
  <c r="W1337" i="1" a="1"/>
  <c r="W1337" i="1" s="1"/>
  <c r="E1337" i="1"/>
  <c r="W1336" i="1" a="1"/>
  <c r="W1336" i="1" s="1"/>
  <c r="E1336" i="1"/>
  <c r="W1335" i="1" a="1"/>
  <c r="W1335" i="1" s="1"/>
  <c r="E1335" i="1"/>
  <c r="W1334" i="1" a="1"/>
  <c r="W1334" i="1" s="1"/>
  <c r="E1334" i="1"/>
  <c r="W1333" i="1" a="1"/>
  <c r="W1333" i="1" s="1"/>
  <c r="E1333" i="1"/>
  <c r="W1332" i="1" a="1"/>
  <c r="W1332" i="1" s="1"/>
  <c r="E1332" i="1"/>
  <c r="W1331" i="1" a="1"/>
  <c r="W1331" i="1" s="1"/>
  <c r="E1331" i="1"/>
  <c r="W1330" i="1" a="1"/>
  <c r="W1330" i="1" s="1"/>
  <c r="E1330" i="1"/>
  <c r="W1329" i="1" a="1"/>
  <c r="W1329" i="1" s="1"/>
  <c r="E1329" i="1"/>
  <c r="W1328" i="1" a="1"/>
  <c r="W1328" i="1" s="1"/>
  <c r="E1328" i="1"/>
  <c r="W1327" i="1" a="1"/>
  <c r="W1327" i="1" s="1"/>
  <c r="E1327" i="1"/>
  <c r="W1326" i="1" a="1"/>
  <c r="W1326" i="1" s="1"/>
  <c r="E1326" i="1"/>
  <c r="W1325" i="1" a="1"/>
  <c r="W1325" i="1" s="1"/>
  <c r="E1325" i="1"/>
  <c r="W1324" i="1" a="1"/>
  <c r="W1324" i="1" s="1"/>
  <c r="E1324" i="1"/>
  <c r="W1323" i="1" a="1"/>
  <c r="W1323" i="1" s="1"/>
  <c r="E1323" i="1"/>
  <c r="W1322" i="1" a="1"/>
  <c r="W1322" i="1" s="1"/>
  <c r="E1322" i="1"/>
  <c r="W1321" i="1" a="1"/>
  <c r="W1321" i="1" s="1"/>
  <c r="E1321" i="1"/>
  <c r="W1320" i="1" a="1"/>
  <c r="W1320" i="1" s="1"/>
  <c r="E1320" i="1"/>
  <c r="W1319" i="1" a="1"/>
  <c r="W1319" i="1" s="1"/>
  <c r="E1319" i="1"/>
  <c r="W1318" i="1" a="1"/>
  <c r="W1318" i="1" s="1"/>
  <c r="E1318" i="1"/>
  <c r="W1317" i="1" a="1"/>
  <c r="W1317" i="1" s="1"/>
  <c r="E1317" i="1"/>
  <c r="W1316" i="1" a="1"/>
  <c r="W1316" i="1" s="1"/>
  <c r="E1316" i="1"/>
  <c r="W1315" i="1" a="1"/>
  <c r="W1315" i="1" s="1"/>
  <c r="E1315" i="1"/>
  <c r="W1314" i="1" a="1"/>
  <c r="W1314" i="1" s="1"/>
  <c r="E1314" i="1"/>
  <c r="W1313" i="1" a="1"/>
  <c r="W1313" i="1" s="1"/>
  <c r="E1313" i="1"/>
  <c r="W1312" i="1" a="1"/>
  <c r="W1312" i="1" s="1"/>
  <c r="E1312" i="1"/>
  <c r="W1311" i="1" a="1"/>
  <c r="W1311" i="1" s="1"/>
  <c r="E1311" i="1"/>
  <c r="W1310" i="1" a="1"/>
  <c r="W1310" i="1" s="1"/>
  <c r="E1310" i="1"/>
  <c r="W1309" i="1" a="1"/>
  <c r="W1309" i="1" s="1"/>
  <c r="E1309" i="1"/>
  <c r="W1308" i="1" a="1"/>
  <c r="W1308" i="1" s="1"/>
  <c r="E1308" i="1"/>
  <c r="W1307" i="1" a="1"/>
  <c r="W1307" i="1" s="1"/>
  <c r="E1307" i="1"/>
  <c r="W1306" i="1" a="1"/>
  <c r="W1306" i="1" s="1"/>
  <c r="E1306" i="1"/>
  <c r="W1305" i="1" a="1"/>
  <c r="W1305" i="1" s="1"/>
  <c r="E1305" i="1"/>
  <c r="W1304" i="1" a="1"/>
  <c r="W1304" i="1" s="1"/>
  <c r="E1304" i="1"/>
  <c r="W1303" i="1" a="1"/>
  <c r="W1303" i="1" s="1"/>
  <c r="E1303" i="1"/>
  <c r="W1302" i="1" a="1"/>
  <c r="W1302" i="1" s="1"/>
  <c r="E1302" i="1"/>
  <c r="W1301" i="1" a="1"/>
  <c r="W1301" i="1" s="1"/>
  <c r="E1301" i="1"/>
  <c r="W1300" i="1" a="1"/>
  <c r="W1300" i="1" s="1"/>
  <c r="E1300" i="1"/>
  <c r="W1299" i="1" a="1"/>
  <c r="W1299" i="1" s="1"/>
  <c r="E1299" i="1"/>
  <c r="W1298" i="1" a="1"/>
  <c r="W1298" i="1" s="1"/>
  <c r="E1298" i="1"/>
  <c r="W1297" i="1" a="1"/>
  <c r="W1297" i="1" s="1"/>
  <c r="E1297" i="1"/>
  <c r="W1296" i="1" a="1"/>
  <c r="W1296" i="1" s="1"/>
  <c r="E1296" i="1"/>
  <c r="W1295" i="1" a="1"/>
  <c r="W1295" i="1" s="1"/>
  <c r="E1295" i="1"/>
  <c r="W1294" i="1" a="1"/>
  <c r="W1294" i="1" s="1"/>
  <c r="E1294" i="1"/>
  <c r="W1293" i="1" a="1"/>
  <c r="W1293" i="1" s="1"/>
  <c r="E1293" i="1"/>
  <c r="W1292" i="1" a="1"/>
  <c r="W1292" i="1" s="1"/>
  <c r="E1292" i="1"/>
  <c r="W1291" i="1" a="1"/>
  <c r="W1291" i="1" s="1"/>
  <c r="E1291" i="1"/>
  <c r="W1290" i="1" a="1"/>
  <c r="W1290" i="1" s="1"/>
  <c r="E1290" i="1"/>
  <c r="W1289" i="1" a="1"/>
  <c r="W1289" i="1" s="1"/>
  <c r="E1289" i="1"/>
  <c r="W1288" i="1" a="1"/>
  <c r="W1288" i="1" s="1"/>
  <c r="E1288" i="1"/>
  <c r="W1287" i="1" a="1"/>
  <c r="W1287" i="1" s="1"/>
  <c r="E1287" i="1"/>
  <c r="W1286" i="1" a="1"/>
  <c r="W1286" i="1" s="1"/>
  <c r="E1286" i="1"/>
  <c r="W1285" i="1" a="1"/>
  <c r="W1285" i="1" s="1"/>
  <c r="E1285" i="1"/>
  <c r="W1284" i="1" a="1"/>
  <c r="W1284" i="1" s="1"/>
  <c r="E1284" i="1"/>
  <c r="W1283" i="1" a="1"/>
  <c r="W1283" i="1" s="1"/>
  <c r="E1283" i="1"/>
  <c r="W1282" i="1" a="1"/>
  <c r="W1282" i="1" s="1"/>
  <c r="E1282" i="1"/>
  <c r="W1281" i="1" a="1"/>
  <c r="W1281" i="1" s="1"/>
  <c r="E1281" i="1"/>
  <c r="W1280" i="1" a="1"/>
  <c r="W1280" i="1" s="1"/>
  <c r="E1280" i="1"/>
  <c r="W1279" i="1" a="1"/>
  <c r="W1279" i="1" s="1"/>
  <c r="E1279" i="1"/>
  <c r="W1278" i="1" a="1"/>
  <c r="W1278" i="1" s="1"/>
  <c r="E1278" i="1"/>
  <c r="W1277" i="1" a="1"/>
  <c r="W1277" i="1" s="1"/>
  <c r="E1277" i="1"/>
  <c r="W1276" i="1" a="1"/>
  <c r="W1276" i="1" s="1"/>
  <c r="E1276" i="1"/>
  <c r="W1275" i="1" a="1"/>
  <c r="W1275" i="1" s="1"/>
  <c r="E1275" i="1"/>
  <c r="W1274" i="1" a="1"/>
  <c r="W1274" i="1" s="1"/>
  <c r="E1274" i="1"/>
  <c r="W1273" i="1" a="1"/>
  <c r="W1273" i="1" s="1"/>
  <c r="E1273" i="1"/>
  <c r="W1272" i="1" a="1"/>
  <c r="W1272" i="1" s="1"/>
  <c r="E1272" i="1"/>
  <c r="W1271" i="1" a="1"/>
  <c r="W1271" i="1" s="1"/>
  <c r="E1271" i="1"/>
  <c r="W1270" i="1" a="1"/>
  <c r="W1270" i="1" s="1"/>
  <c r="E1270" i="1"/>
  <c r="W1269" i="1" a="1"/>
  <c r="W1269" i="1" s="1"/>
  <c r="E1269" i="1"/>
  <c r="W1268" i="1" a="1"/>
  <c r="W1268" i="1" s="1"/>
  <c r="E1268" i="1"/>
  <c r="W1267" i="1" a="1"/>
  <c r="W1267" i="1" s="1"/>
  <c r="E1267" i="1"/>
  <c r="W1266" i="1" a="1"/>
  <c r="W1266" i="1" s="1"/>
  <c r="E1266" i="1"/>
  <c r="W1265" i="1" a="1"/>
  <c r="W1265" i="1" s="1"/>
  <c r="E1265" i="1"/>
  <c r="W1264" i="1" a="1"/>
  <c r="W1264" i="1" s="1"/>
  <c r="E1264" i="1"/>
  <c r="W1263" i="1" a="1"/>
  <c r="W1263" i="1" s="1"/>
  <c r="E1263" i="1"/>
  <c r="W1262" i="1" a="1"/>
  <c r="W1262" i="1" s="1"/>
  <c r="E1262" i="1"/>
  <c r="W1261" i="1" a="1"/>
  <c r="W1261" i="1" s="1"/>
  <c r="E1261" i="1"/>
  <c r="W1260" i="1" a="1"/>
  <c r="W1260" i="1" s="1"/>
  <c r="E1260" i="1"/>
  <c r="W1259" i="1" a="1"/>
  <c r="W1259" i="1" s="1"/>
  <c r="E1259" i="1"/>
  <c r="W1258" i="1" a="1"/>
  <c r="W1258" i="1" s="1"/>
  <c r="E1258" i="1"/>
  <c r="W1257" i="1" a="1"/>
  <c r="W1257" i="1" s="1"/>
  <c r="E1257" i="1"/>
  <c r="W1256" i="1" a="1"/>
  <c r="W1256" i="1" s="1"/>
  <c r="E1256" i="1"/>
  <c r="W1255" i="1" a="1"/>
  <c r="W1255" i="1" s="1"/>
  <c r="E1255" i="1"/>
  <c r="W1254" i="1" a="1"/>
  <c r="W1254" i="1" s="1"/>
  <c r="E1254" i="1"/>
  <c r="W1253" i="1" a="1"/>
  <c r="W1253" i="1" s="1"/>
  <c r="E1253" i="1"/>
  <c r="W1252" i="1" a="1"/>
  <c r="W1252" i="1" s="1"/>
  <c r="E1252" i="1"/>
  <c r="W1251" i="1" a="1"/>
  <c r="W1251" i="1" s="1"/>
  <c r="E1251" i="1"/>
  <c r="W1250" i="1" a="1"/>
  <c r="W1250" i="1" s="1"/>
  <c r="E1250" i="1"/>
  <c r="W1249" i="1" a="1"/>
  <c r="W1249" i="1" s="1"/>
  <c r="E1249" i="1"/>
  <c r="W1248" i="1" a="1"/>
  <c r="W1248" i="1" s="1"/>
  <c r="E1248" i="1"/>
  <c r="W1247" i="1" a="1"/>
  <c r="W1247" i="1" s="1"/>
  <c r="E1247" i="1"/>
  <c r="W1246" i="1" a="1"/>
  <c r="W1246" i="1" s="1"/>
  <c r="E1246" i="1"/>
  <c r="W1245" i="1" a="1"/>
  <c r="W1245" i="1" s="1"/>
  <c r="E1245" i="1"/>
  <c r="W1244" i="1" a="1"/>
  <c r="W1244" i="1" s="1"/>
  <c r="E1244" i="1"/>
  <c r="W1243" i="1" a="1"/>
  <c r="W1243" i="1" s="1"/>
  <c r="E1243" i="1"/>
  <c r="W1242" i="1" a="1"/>
  <c r="W1242" i="1" s="1"/>
  <c r="E1242" i="1"/>
  <c r="W1241" i="1" a="1"/>
  <c r="W1241" i="1" s="1"/>
  <c r="E1241" i="1"/>
  <c r="W1240" i="1" a="1"/>
  <c r="W1240" i="1" s="1"/>
  <c r="E1240" i="1"/>
  <c r="W1239" i="1" a="1"/>
  <c r="W1239" i="1" s="1"/>
  <c r="E1239" i="1"/>
  <c r="W1238" i="1" a="1"/>
  <c r="W1238" i="1" s="1"/>
  <c r="E1238" i="1"/>
  <c r="W1237" i="1" a="1"/>
  <c r="W1237" i="1" s="1"/>
  <c r="E1237" i="1"/>
  <c r="W1236" i="1" a="1"/>
  <c r="W1236" i="1" s="1"/>
  <c r="E1236" i="1"/>
  <c r="W1235" i="1" a="1"/>
  <c r="W1235" i="1" s="1"/>
  <c r="E1235" i="1"/>
  <c r="W1234" i="1" a="1"/>
  <c r="W1234" i="1" s="1"/>
  <c r="E1234" i="1"/>
  <c r="W1233" i="1" a="1"/>
  <c r="W1233" i="1" s="1"/>
  <c r="E1233" i="1"/>
  <c r="W1232" i="1" a="1"/>
  <c r="W1232" i="1" s="1"/>
  <c r="E1232" i="1"/>
  <c r="W1231" i="1" a="1"/>
  <c r="W1231" i="1" s="1"/>
  <c r="E1231" i="1"/>
  <c r="W1230" i="1" a="1"/>
  <c r="W1230" i="1" s="1"/>
  <c r="E1230" i="1"/>
  <c r="W1229" i="1" a="1"/>
  <c r="W1229" i="1" s="1"/>
  <c r="E1229" i="1"/>
  <c r="W1228" i="1" a="1"/>
  <c r="W1228" i="1" s="1"/>
  <c r="E1228" i="1"/>
  <c r="W1227" i="1" a="1"/>
  <c r="W1227" i="1" s="1"/>
  <c r="E1227" i="1"/>
  <c r="W1226" i="1" a="1"/>
  <c r="W1226" i="1" s="1"/>
  <c r="E1226" i="1"/>
  <c r="W1225" i="1" a="1"/>
  <c r="W1225" i="1" s="1"/>
  <c r="E1225" i="1"/>
  <c r="W1224" i="1" a="1"/>
  <c r="W1224" i="1" s="1"/>
  <c r="E1224" i="1"/>
  <c r="W1223" i="1" a="1"/>
  <c r="W1223" i="1" s="1"/>
  <c r="E1223" i="1"/>
  <c r="W1222" i="1" a="1"/>
  <c r="W1222" i="1" s="1"/>
  <c r="E1222" i="1"/>
  <c r="W1221" i="1" a="1"/>
  <c r="W1221" i="1" s="1"/>
  <c r="E1221" i="1"/>
  <c r="W1220" i="1" a="1"/>
  <c r="W1220" i="1" s="1"/>
  <c r="E1220" i="1"/>
  <c r="W1219" i="1" a="1"/>
  <c r="W1219" i="1" s="1"/>
  <c r="E1219" i="1"/>
  <c r="W1218" i="1" a="1"/>
  <c r="W1218" i="1" s="1"/>
  <c r="E1218" i="1"/>
  <c r="W1217" i="1" a="1"/>
  <c r="W1217" i="1" s="1"/>
  <c r="E1217" i="1"/>
  <c r="W1216" i="1" a="1"/>
  <c r="W1216" i="1" s="1"/>
  <c r="E1216" i="1"/>
  <c r="W1215" i="1" a="1"/>
  <c r="W1215" i="1" s="1"/>
  <c r="E1215" i="1"/>
  <c r="W1214" i="1" a="1"/>
  <c r="W1214" i="1" s="1"/>
  <c r="E1214" i="1"/>
  <c r="W1213" i="1" a="1"/>
  <c r="W1213" i="1" s="1"/>
  <c r="E1213" i="1"/>
  <c r="W1212" i="1" a="1"/>
  <c r="W1212" i="1" s="1"/>
  <c r="E1212" i="1"/>
  <c r="W1211" i="1" a="1"/>
  <c r="W1211" i="1" s="1"/>
  <c r="E1211" i="1"/>
  <c r="W1210" i="1" a="1"/>
  <c r="W1210" i="1" s="1"/>
  <c r="E1210" i="1"/>
  <c r="W1209" i="1" a="1"/>
  <c r="W1209" i="1" s="1"/>
  <c r="E1209" i="1"/>
  <c r="W1208" i="1" a="1"/>
  <c r="W1208" i="1" s="1"/>
  <c r="E1208" i="1"/>
  <c r="W1207" i="1" a="1"/>
  <c r="W1207" i="1" s="1"/>
  <c r="E1207" i="1"/>
  <c r="W1206" i="1" a="1"/>
  <c r="W1206" i="1" s="1"/>
  <c r="E1206" i="1"/>
  <c r="W1205" i="1" a="1"/>
  <c r="W1205" i="1" s="1"/>
  <c r="E1205" i="1"/>
  <c r="W1204" i="1" a="1"/>
  <c r="W1204" i="1" s="1"/>
  <c r="E1204" i="1"/>
  <c r="W1203" i="1" a="1"/>
  <c r="W1203" i="1" s="1"/>
  <c r="E1203" i="1"/>
  <c r="W1202" i="1" a="1"/>
  <c r="W1202" i="1" s="1"/>
  <c r="E1202" i="1"/>
  <c r="W1201" i="1" a="1"/>
  <c r="W1201" i="1" s="1"/>
  <c r="E1201" i="1"/>
  <c r="W1200" i="1" a="1"/>
  <c r="W1200" i="1" s="1"/>
  <c r="E1200" i="1"/>
  <c r="W1199" i="1" a="1"/>
  <c r="W1199" i="1" s="1"/>
  <c r="E1199" i="1"/>
  <c r="W1198" i="1" a="1"/>
  <c r="W1198" i="1" s="1"/>
  <c r="E1198" i="1"/>
  <c r="W1197" i="1" a="1"/>
  <c r="W1197" i="1" s="1"/>
  <c r="E1197" i="1"/>
  <c r="W1196" i="1" a="1"/>
  <c r="W1196" i="1" s="1"/>
  <c r="E1196" i="1"/>
  <c r="W1195" i="1" a="1"/>
  <c r="W1195" i="1" s="1"/>
  <c r="E1195" i="1"/>
  <c r="W1194" i="1" a="1"/>
  <c r="W1194" i="1" s="1"/>
  <c r="E1194" i="1"/>
  <c r="W1193" i="1" a="1"/>
  <c r="W1193" i="1" s="1"/>
  <c r="E1193" i="1"/>
  <c r="W1192" i="1" a="1"/>
  <c r="W1192" i="1" s="1"/>
  <c r="E1192" i="1"/>
  <c r="W1191" i="1" a="1"/>
  <c r="W1191" i="1" s="1"/>
  <c r="E1191" i="1"/>
  <c r="W1190" i="1" a="1"/>
  <c r="W1190" i="1" s="1"/>
  <c r="E1190" i="1"/>
  <c r="W1189" i="1" a="1"/>
  <c r="W1189" i="1" s="1"/>
  <c r="E1189" i="1"/>
  <c r="W1188" i="1" a="1"/>
  <c r="W1188" i="1" s="1"/>
  <c r="E1188" i="1"/>
  <c r="W1187" i="1" a="1"/>
  <c r="W1187" i="1" s="1"/>
  <c r="E1187" i="1"/>
  <c r="W1186" i="1" a="1"/>
  <c r="W1186" i="1" s="1"/>
  <c r="E1186" i="1"/>
  <c r="W1185" i="1" a="1"/>
  <c r="W1185" i="1" s="1"/>
  <c r="E1185" i="1"/>
  <c r="W1184" i="1" a="1"/>
  <c r="W1184" i="1" s="1"/>
  <c r="E1184" i="1"/>
  <c r="W1183" i="1" a="1"/>
  <c r="W1183" i="1" s="1"/>
  <c r="E1183" i="1"/>
  <c r="W1182" i="1" a="1"/>
  <c r="W1182" i="1" s="1"/>
  <c r="E1182" i="1"/>
  <c r="W1181" i="1" a="1"/>
  <c r="W1181" i="1" s="1"/>
  <c r="E1181" i="1"/>
  <c r="W1180" i="1" a="1"/>
  <c r="W1180" i="1" s="1"/>
  <c r="E1180" i="1"/>
  <c r="W1179" i="1" a="1"/>
  <c r="W1179" i="1" s="1"/>
  <c r="E1179" i="1"/>
  <c r="W1178" i="1" a="1"/>
  <c r="W1178" i="1" s="1"/>
  <c r="E1178" i="1"/>
  <c r="W1177" i="1" a="1"/>
  <c r="W1177" i="1" s="1"/>
  <c r="E1177" i="1"/>
  <c r="W1176" i="1" a="1"/>
  <c r="W1176" i="1" s="1"/>
  <c r="E1176" i="1"/>
  <c r="W1175" i="1" a="1"/>
  <c r="W1175" i="1" s="1"/>
  <c r="E1175" i="1"/>
  <c r="W1174" i="1" a="1"/>
  <c r="W1174" i="1" s="1"/>
  <c r="E1174" i="1"/>
  <c r="W1173" i="1" a="1"/>
  <c r="W1173" i="1" s="1"/>
  <c r="E1173" i="1"/>
  <c r="W1172" i="1" a="1"/>
  <c r="W1172" i="1" s="1"/>
  <c r="E1172" i="1"/>
  <c r="W1171" i="1" a="1"/>
  <c r="W1171" i="1" s="1"/>
  <c r="E1171" i="1"/>
  <c r="W1170" i="1" a="1"/>
  <c r="W1170" i="1" s="1"/>
  <c r="E1170" i="1"/>
  <c r="W1169" i="1" a="1"/>
  <c r="W1169" i="1" s="1"/>
  <c r="E1169" i="1"/>
  <c r="W1168" i="1" a="1"/>
  <c r="W1168" i="1" s="1"/>
  <c r="E1168" i="1"/>
  <c r="W1167" i="1" a="1"/>
  <c r="W1167" i="1" s="1"/>
  <c r="E1167" i="1"/>
  <c r="W1166" i="1" a="1"/>
  <c r="W1166" i="1" s="1"/>
  <c r="E1166" i="1"/>
  <c r="W1165" i="1" a="1"/>
  <c r="W1165" i="1" s="1"/>
  <c r="E1165" i="1"/>
  <c r="W1164" i="1" a="1"/>
  <c r="W1164" i="1" s="1"/>
  <c r="E1164" i="1"/>
  <c r="W1163" i="1" a="1"/>
  <c r="W1163" i="1" s="1"/>
  <c r="E1163" i="1"/>
  <c r="W1162" i="1" a="1"/>
  <c r="W1162" i="1" s="1"/>
  <c r="E1162" i="1"/>
  <c r="W1161" i="1" a="1"/>
  <c r="W1161" i="1" s="1"/>
  <c r="E1161" i="1"/>
  <c r="W1160" i="1" a="1"/>
  <c r="W1160" i="1" s="1"/>
  <c r="E1160" i="1"/>
  <c r="W1159" i="1" a="1"/>
  <c r="W1159" i="1" s="1"/>
  <c r="E1159" i="1"/>
  <c r="W1158" i="1" a="1"/>
  <c r="W1158" i="1" s="1"/>
  <c r="E1158" i="1"/>
  <c r="W1157" i="1" a="1"/>
  <c r="W1157" i="1" s="1"/>
  <c r="E1157" i="1"/>
  <c r="W1156" i="1" a="1"/>
  <c r="W1156" i="1" s="1"/>
  <c r="E1156" i="1"/>
  <c r="W1155" i="1" a="1"/>
  <c r="W1155" i="1" s="1"/>
  <c r="E1155" i="1"/>
  <c r="W1154" i="1" a="1"/>
  <c r="W1154" i="1" s="1"/>
  <c r="E1154" i="1"/>
  <c r="W1153" i="1" a="1"/>
  <c r="W1153" i="1" s="1"/>
  <c r="E1153" i="1"/>
  <c r="W1152" i="1" a="1"/>
  <c r="W1152" i="1" s="1"/>
  <c r="E1152" i="1"/>
  <c r="W1151" i="1" a="1"/>
  <c r="W1151" i="1" s="1"/>
  <c r="E1151" i="1"/>
  <c r="W1150" i="1" a="1"/>
  <c r="W1150" i="1" s="1"/>
  <c r="E1150" i="1"/>
  <c r="W1149" i="1" a="1"/>
  <c r="W1149" i="1" s="1"/>
  <c r="E1149" i="1"/>
  <c r="W1148" i="1" a="1"/>
  <c r="W1148" i="1" s="1"/>
  <c r="E1148" i="1"/>
  <c r="W1147" i="1" a="1"/>
  <c r="W1147" i="1" s="1"/>
  <c r="E1147" i="1"/>
  <c r="W1146" i="1" a="1"/>
  <c r="W1146" i="1" s="1"/>
  <c r="E1146" i="1"/>
  <c r="W1145" i="1" a="1"/>
  <c r="W1145" i="1" s="1"/>
  <c r="E1145" i="1"/>
  <c r="W1144" i="1" a="1"/>
  <c r="W1144" i="1" s="1"/>
  <c r="E1144" i="1"/>
  <c r="W1143" i="1" a="1"/>
  <c r="W1143" i="1" s="1"/>
  <c r="E1143" i="1"/>
  <c r="W1142" i="1" a="1"/>
  <c r="W1142" i="1" s="1"/>
  <c r="E1142" i="1"/>
  <c r="W1141" i="1" a="1"/>
  <c r="W1141" i="1" s="1"/>
  <c r="E1141" i="1"/>
  <c r="W1140" i="1" a="1"/>
  <c r="W1140" i="1" s="1"/>
  <c r="E1140" i="1"/>
  <c r="W1139" i="1" a="1"/>
  <c r="W1139" i="1" s="1"/>
  <c r="E1139" i="1"/>
  <c r="W1138" i="1" a="1"/>
  <c r="W1138" i="1" s="1"/>
  <c r="E1138" i="1"/>
  <c r="W1137" i="1" a="1"/>
  <c r="W1137" i="1" s="1"/>
  <c r="E1137" i="1"/>
  <c r="W1136" i="1" a="1"/>
  <c r="W1136" i="1" s="1"/>
  <c r="E1136" i="1"/>
  <c r="W1135" i="1" a="1"/>
  <c r="W1135" i="1" s="1"/>
  <c r="E1135" i="1"/>
  <c r="W1134" i="1" a="1"/>
  <c r="W1134" i="1" s="1"/>
  <c r="E1134" i="1"/>
  <c r="W1133" i="1" a="1"/>
  <c r="W1133" i="1" s="1"/>
  <c r="E1133" i="1"/>
  <c r="W1132" i="1" a="1"/>
  <c r="W1132" i="1" s="1"/>
  <c r="E1132" i="1"/>
  <c r="W1131" i="1" a="1"/>
  <c r="W1131" i="1" s="1"/>
  <c r="E1131" i="1"/>
  <c r="W1130" i="1" a="1"/>
  <c r="W1130" i="1" s="1"/>
  <c r="E1130" i="1"/>
  <c r="W1129" i="1" a="1"/>
  <c r="W1129" i="1" s="1"/>
  <c r="E1129" i="1"/>
  <c r="W1128" i="1" a="1"/>
  <c r="W1128" i="1" s="1"/>
  <c r="E1128" i="1"/>
  <c r="W1127" i="1" a="1"/>
  <c r="W1127" i="1" s="1"/>
  <c r="E1127" i="1"/>
  <c r="W1126" i="1" a="1"/>
  <c r="W1126" i="1" s="1"/>
  <c r="E1126" i="1"/>
  <c r="W1125" i="1" a="1"/>
  <c r="W1125" i="1" s="1"/>
  <c r="E1125" i="1"/>
  <c r="W1124" i="1" a="1"/>
  <c r="W1124" i="1" s="1"/>
  <c r="E1124" i="1"/>
  <c r="W1123" i="1" a="1"/>
  <c r="W1123" i="1" s="1"/>
  <c r="E1123" i="1"/>
  <c r="W1122" i="1" a="1"/>
  <c r="W1122" i="1" s="1"/>
  <c r="E1122" i="1"/>
  <c r="W1121" i="1" a="1"/>
  <c r="W1121" i="1" s="1"/>
  <c r="E1121" i="1"/>
  <c r="W1120" i="1" a="1"/>
  <c r="W1120" i="1" s="1"/>
  <c r="E1120" i="1"/>
  <c r="W1119" i="1" a="1"/>
  <c r="W1119" i="1" s="1"/>
  <c r="E1119" i="1"/>
  <c r="W1118" i="1" a="1"/>
  <c r="W1118" i="1" s="1"/>
  <c r="E1118" i="1"/>
  <c r="W1117" i="1" a="1"/>
  <c r="W1117" i="1" s="1"/>
  <c r="E1117" i="1"/>
  <c r="W1116" i="1" a="1"/>
  <c r="W1116" i="1" s="1"/>
  <c r="E1116" i="1"/>
  <c r="W1115" i="1" a="1"/>
  <c r="W1115" i="1" s="1"/>
  <c r="E1115" i="1"/>
  <c r="W1114" i="1" a="1"/>
  <c r="W1114" i="1" s="1"/>
  <c r="E1114" i="1"/>
  <c r="W1113" i="1" a="1"/>
  <c r="W1113" i="1" s="1"/>
  <c r="E1113" i="1"/>
  <c r="W1112" i="1" a="1"/>
  <c r="W1112" i="1" s="1"/>
  <c r="E1112" i="1"/>
  <c r="W1111" i="1" a="1"/>
  <c r="W1111" i="1" s="1"/>
  <c r="E1111" i="1"/>
  <c r="W1110" i="1" a="1"/>
  <c r="W1110" i="1" s="1"/>
  <c r="E1110" i="1"/>
  <c r="W1109" i="1" a="1"/>
  <c r="W1109" i="1" s="1"/>
  <c r="E1109" i="1"/>
  <c r="W1108" i="1" a="1"/>
  <c r="W1108" i="1" s="1"/>
  <c r="E1108" i="1"/>
  <c r="W1107" i="1" a="1"/>
  <c r="W1107" i="1" s="1"/>
  <c r="E1107" i="1"/>
  <c r="W1106" i="1" a="1"/>
  <c r="W1106" i="1" s="1"/>
  <c r="E1106" i="1"/>
  <c r="W1105" i="1" a="1"/>
  <c r="W1105" i="1" s="1"/>
  <c r="E1105" i="1"/>
  <c r="W1104" i="1" a="1"/>
  <c r="W1104" i="1" s="1"/>
  <c r="E1104" i="1"/>
  <c r="W1103" i="1" a="1"/>
  <c r="W1103" i="1" s="1"/>
  <c r="E1103" i="1"/>
  <c r="W1102" i="1" a="1"/>
  <c r="W1102" i="1" s="1"/>
  <c r="E1102" i="1"/>
  <c r="W1101" i="1" a="1"/>
  <c r="W1101" i="1" s="1"/>
  <c r="E1101" i="1"/>
  <c r="W1100" i="1" a="1"/>
  <c r="W1100" i="1" s="1"/>
  <c r="E1100" i="1"/>
  <c r="W1099" i="1" a="1"/>
  <c r="W1099" i="1" s="1"/>
  <c r="E1099" i="1"/>
  <c r="W1098" i="1" a="1"/>
  <c r="W1098" i="1" s="1"/>
  <c r="E1098" i="1"/>
  <c r="W1097" i="1" a="1"/>
  <c r="W1097" i="1" s="1"/>
  <c r="E1097" i="1"/>
  <c r="W1096" i="1" a="1"/>
  <c r="W1096" i="1" s="1"/>
  <c r="E1096" i="1"/>
  <c r="W1095" i="1" a="1"/>
  <c r="W1095" i="1" s="1"/>
  <c r="E1095" i="1"/>
  <c r="W1094" i="1" a="1"/>
  <c r="W1094" i="1" s="1"/>
  <c r="E1094" i="1"/>
  <c r="W1093" i="1" a="1"/>
  <c r="W1093" i="1" s="1"/>
  <c r="E1093" i="1"/>
  <c r="W1092" i="1" a="1"/>
  <c r="W1092" i="1" s="1"/>
  <c r="E1092" i="1"/>
  <c r="W1091" i="1" a="1"/>
  <c r="W1091" i="1" s="1"/>
  <c r="E1091" i="1"/>
  <c r="W1090" i="1" a="1"/>
  <c r="W1090" i="1" s="1"/>
  <c r="E1090" i="1"/>
  <c r="W1089" i="1" a="1"/>
  <c r="W1089" i="1" s="1"/>
  <c r="E1089" i="1"/>
  <c r="W1088" i="1" a="1"/>
  <c r="W1088" i="1" s="1"/>
  <c r="E1088" i="1"/>
  <c r="W1087" i="1" a="1"/>
  <c r="W1087" i="1" s="1"/>
  <c r="E1087" i="1"/>
  <c r="W1086" i="1" a="1"/>
  <c r="W1086" i="1" s="1"/>
  <c r="E1086" i="1"/>
  <c r="W1085" i="1" a="1"/>
  <c r="W1085" i="1" s="1"/>
  <c r="E1085" i="1"/>
  <c r="W1084" i="1" a="1"/>
  <c r="W1084" i="1" s="1"/>
  <c r="E1084" i="1"/>
  <c r="W1083" i="1" a="1"/>
  <c r="W1083" i="1" s="1"/>
  <c r="E1083" i="1"/>
  <c r="W1082" i="1" a="1"/>
  <c r="W1082" i="1" s="1"/>
  <c r="E1082" i="1"/>
  <c r="W1081" i="1" a="1"/>
  <c r="W1081" i="1" s="1"/>
  <c r="E1081" i="1"/>
  <c r="W1080" i="1" a="1"/>
  <c r="W1080" i="1" s="1"/>
  <c r="E1080" i="1"/>
  <c r="W1079" i="1" a="1"/>
  <c r="W1079" i="1" s="1"/>
  <c r="E1079" i="1"/>
  <c r="W1078" i="1" a="1"/>
  <c r="W1078" i="1" s="1"/>
  <c r="E1078" i="1"/>
  <c r="W1077" i="1" a="1"/>
  <c r="W1077" i="1" s="1"/>
  <c r="E1077" i="1"/>
  <c r="W1076" i="1" a="1"/>
  <c r="W1076" i="1" s="1"/>
  <c r="E1076" i="1"/>
  <c r="W1075" i="1" a="1"/>
  <c r="W1075" i="1" s="1"/>
  <c r="E1075" i="1"/>
  <c r="W1074" i="1" a="1"/>
  <c r="W1074" i="1" s="1"/>
  <c r="E1074" i="1"/>
  <c r="W1073" i="1" a="1"/>
  <c r="W1073" i="1" s="1"/>
  <c r="E1073" i="1"/>
  <c r="W1072" i="1" a="1"/>
  <c r="W1072" i="1" s="1"/>
  <c r="E1072" i="1"/>
  <c r="W1071" i="1" a="1"/>
  <c r="W1071" i="1" s="1"/>
  <c r="E1071" i="1"/>
  <c r="W1070" i="1" a="1"/>
  <c r="W1070" i="1" s="1"/>
  <c r="E1070" i="1"/>
  <c r="W1069" i="1" a="1"/>
  <c r="W1069" i="1" s="1"/>
  <c r="E1069" i="1"/>
  <c r="W1068" i="1" a="1"/>
  <c r="W1068" i="1" s="1"/>
  <c r="E1068" i="1"/>
  <c r="W1067" i="1" a="1"/>
  <c r="W1067" i="1" s="1"/>
  <c r="E1067" i="1"/>
  <c r="W1066" i="1" a="1"/>
  <c r="W1066" i="1" s="1"/>
  <c r="E1066" i="1"/>
  <c r="W1065" i="1" a="1"/>
  <c r="W1065" i="1" s="1"/>
  <c r="E1065" i="1"/>
  <c r="W1064" i="1" a="1"/>
  <c r="W1064" i="1" s="1"/>
  <c r="E1064" i="1"/>
  <c r="W1063" i="1" a="1"/>
  <c r="W1063" i="1" s="1"/>
  <c r="E1063" i="1"/>
  <c r="W1062" i="1" a="1"/>
  <c r="W1062" i="1" s="1"/>
  <c r="E1062" i="1"/>
  <c r="W1061" i="1" a="1"/>
  <c r="W1061" i="1" s="1"/>
  <c r="E1061" i="1"/>
  <c r="W1060" i="1" a="1"/>
  <c r="W1060" i="1" s="1"/>
  <c r="E1060" i="1"/>
  <c r="W1059" i="1" a="1"/>
  <c r="W1059" i="1" s="1"/>
  <c r="E1059" i="1"/>
  <c r="W1058" i="1" a="1"/>
  <c r="W1058" i="1" s="1"/>
  <c r="E1058" i="1"/>
  <c r="W1057" i="1" a="1"/>
  <c r="W1057" i="1" s="1"/>
  <c r="E1057" i="1"/>
  <c r="W1056" i="1" a="1"/>
  <c r="W1056" i="1" s="1"/>
  <c r="E1056" i="1"/>
  <c r="W1055" i="1" a="1"/>
  <c r="W1055" i="1" s="1"/>
  <c r="E1055" i="1"/>
  <c r="W1054" i="1" a="1"/>
  <c r="W1054" i="1" s="1"/>
  <c r="E1054" i="1"/>
  <c r="W1053" i="1" a="1"/>
  <c r="W1053" i="1" s="1"/>
  <c r="E1053" i="1"/>
  <c r="W1052" i="1" a="1"/>
  <c r="W1052" i="1" s="1"/>
  <c r="E1052" i="1"/>
  <c r="W1051" i="1" a="1"/>
  <c r="W1051" i="1" s="1"/>
  <c r="E1051" i="1"/>
  <c r="W1050" i="1" a="1"/>
  <c r="W1050" i="1" s="1"/>
  <c r="E1050" i="1"/>
  <c r="W1049" i="1" a="1"/>
  <c r="W1049" i="1" s="1"/>
  <c r="E1049" i="1"/>
  <c r="W1048" i="1" a="1"/>
  <c r="W1048" i="1" s="1"/>
  <c r="E1048" i="1"/>
  <c r="W1047" i="1" a="1"/>
  <c r="W1047" i="1" s="1"/>
  <c r="E1047" i="1"/>
  <c r="W1046" i="1" a="1"/>
  <c r="W1046" i="1" s="1"/>
  <c r="E1046" i="1"/>
  <c r="W1045" i="1" a="1"/>
  <c r="W1045" i="1" s="1"/>
  <c r="E1045" i="1"/>
  <c r="W1044" i="1" a="1"/>
  <c r="W1044" i="1" s="1"/>
  <c r="E1044" i="1"/>
  <c r="W1043" i="1" a="1"/>
  <c r="W1043" i="1" s="1"/>
  <c r="E1043" i="1"/>
  <c r="W1042" i="1" a="1"/>
  <c r="W1042" i="1" s="1"/>
  <c r="E1042" i="1"/>
  <c r="W1041" i="1" a="1"/>
  <c r="W1041" i="1" s="1"/>
  <c r="E1041" i="1"/>
  <c r="W1040" i="1" a="1"/>
  <c r="W1040" i="1" s="1"/>
  <c r="E1040" i="1"/>
  <c r="W1039" i="1" a="1"/>
  <c r="W1039" i="1" s="1"/>
  <c r="E1039" i="1"/>
  <c r="W1038" i="1" a="1"/>
  <c r="W1038" i="1" s="1"/>
  <c r="E1038" i="1"/>
  <c r="W1037" i="1" a="1"/>
  <c r="W1037" i="1" s="1"/>
  <c r="E1037" i="1"/>
  <c r="W1036" i="1" a="1"/>
  <c r="W1036" i="1" s="1"/>
  <c r="E1036" i="1"/>
  <c r="W1035" i="1" a="1"/>
  <c r="W1035" i="1" s="1"/>
  <c r="E1035" i="1"/>
  <c r="W1034" i="1" a="1"/>
  <c r="W1034" i="1" s="1"/>
  <c r="E1034" i="1"/>
  <c r="W1033" i="1" a="1"/>
  <c r="W1033" i="1" s="1"/>
  <c r="E1033" i="1"/>
  <c r="W1032" i="1" a="1"/>
  <c r="W1032" i="1" s="1"/>
  <c r="E1032" i="1"/>
  <c r="W1031" i="1" a="1"/>
  <c r="W1031" i="1" s="1"/>
  <c r="E1031" i="1"/>
  <c r="W1030" i="1" a="1"/>
  <c r="W1030" i="1" s="1"/>
  <c r="E1030" i="1"/>
  <c r="W1029" i="1" a="1"/>
  <c r="W1029" i="1" s="1"/>
  <c r="E1029" i="1"/>
  <c r="W1028" i="1" a="1"/>
  <c r="W1028" i="1" s="1"/>
  <c r="E1028" i="1"/>
  <c r="W1027" i="1" a="1"/>
  <c r="W1027" i="1" s="1"/>
  <c r="E1027" i="1"/>
  <c r="W1026" i="1" a="1"/>
  <c r="W1026" i="1" s="1"/>
  <c r="E1026" i="1"/>
  <c r="W1025" i="1" a="1"/>
  <c r="W1025" i="1" s="1"/>
  <c r="E1025" i="1"/>
  <c r="W1024" i="1" a="1"/>
  <c r="W1024" i="1" s="1"/>
  <c r="E1024" i="1"/>
  <c r="W1023" i="1" a="1"/>
  <c r="W1023" i="1" s="1"/>
  <c r="E1023" i="1"/>
  <c r="W1022" i="1" a="1"/>
  <c r="W1022" i="1" s="1"/>
  <c r="E1022" i="1"/>
  <c r="W1021" i="1" a="1"/>
  <c r="W1021" i="1" s="1"/>
  <c r="E1021" i="1"/>
  <c r="W1020" i="1" a="1"/>
  <c r="W1020" i="1" s="1"/>
  <c r="E1020" i="1"/>
  <c r="W1019" i="1" a="1"/>
  <c r="W1019" i="1" s="1"/>
  <c r="E1019" i="1"/>
  <c r="W1018" i="1" a="1"/>
  <c r="W1018" i="1" s="1"/>
  <c r="E1018" i="1"/>
  <c r="W1017" i="1" a="1"/>
  <c r="W1017" i="1" s="1"/>
  <c r="E1017" i="1"/>
  <c r="W1016" i="1" a="1"/>
  <c r="W1016" i="1" s="1"/>
  <c r="E1016" i="1"/>
  <c r="W1015" i="1" a="1"/>
  <c r="W1015" i="1" s="1"/>
  <c r="E1015" i="1"/>
  <c r="W1014" i="1" a="1"/>
  <c r="W1014" i="1" s="1"/>
  <c r="E1014" i="1"/>
  <c r="W1013" i="1" a="1"/>
  <c r="W1013" i="1" s="1"/>
  <c r="E1013" i="1"/>
  <c r="W1012" i="1" a="1"/>
  <c r="W1012" i="1" s="1"/>
  <c r="E1012" i="1"/>
  <c r="W1011" i="1" a="1"/>
  <c r="W1011" i="1" s="1"/>
  <c r="E1011" i="1"/>
  <c r="W1010" i="1" a="1"/>
  <c r="W1010" i="1" s="1"/>
  <c r="E1010" i="1"/>
  <c r="W1009" i="1" a="1"/>
  <c r="W1009" i="1" s="1"/>
  <c r="E1009" i="1"/>
  <c r="W1008" i="1" a="1"/>
  <c r="W1008" i="1" s="1"/>
  <c r="E1008" i="1"/>
  <c r="W1007" i="1" a="1"/>
  <c r="W1007" i="1" s="1"/>
  <c r="E1007" i="1"/>
  <c r="W1006" i="1" a="1"/>
  <c r="W1006" i="1" s="1"/>
  <c r="E1006" i="1"/>
  <c r="W1005" i="1" a="1"/>
  <c r="W1005" i="1" s="1"/>
  <c r="E1005" i="1"/>
  <c r="W1004" i="1" a="1"/>
  <c r="W1004" i="1" s="1"/>
  <c r="E1004" i="1"/>
  <c r="W1003" i="1" a="1"/>
  <c r="W1003" i="1" s="1"/>
  <c r="E1003" i="1"/>
  <c r="W1002" i="1" a="1"/>
  <c r="W1002" i="1" s="1"/>
  <c r="E1002" i="1"/>
  <c r="W1001" i="1" a="1"/>
  <c r="W1001" i="1" s="1"/>
  <c r="E1001" i="1"/>
  <c r="W1000" i="1" a="1"/>
  <c r="W1000" i="1" s="1"/>
  <c r="E1000" i="1"/>
  <c r="W999" i="1" a="1"/>
  <c r="W999" i="1" s="1"/>
  <c r="E999" i="1"/>
  <c r="W998" i="1" a="1"/>
  <c r="W998" i="1" s="1"/>
  <c r="E998" i="1"/>
  <c r="W997" i="1" a="1"/>
  <c r="W997" i="1" s="1"/>
  <c r="E997" i="1"/>
  <c r="W996" i="1" a="1"/>
  <c r="W996" i="1" s="1"/>
  <c r="E996" i="1"/>
  <c r="W995" i="1" a="1"/>
  <c r="W995" i="1" s="1"/>
  <c r="E995" i="1"/>
  <c r="W994" i="1" a="1"/>
  <c r="W994" i="1" s="1"/>
  <c r="E994" i="1"/>
  <c r="W993" i="1" a="1"/>
  <c r="W993" i="1" s="1"/>
  <c r="E993" i="1"/>
  <c r="W992" i="1" a="1"/>
  <c r="W992" i="1" s="1"/>
  <c r="E992" i="1"/>
  <c r="W991" i="1" a="1"/>
  <c r="W991" i="1" s="1"/>
  <c r="E991" i="1"/>
  <c r="W990" i="1" a="1"/>
  <c r="W990" i="1" s="1"/>
  <c r="E990" i="1"/>
  <c r="W989" i="1" a="1"/>
  <c r="W989" i="1" s="1"/>
  <c r="E989" i="1"/>
  <c r="W988" i="1" a="1"/>
  <c r="W988" i="1" s="1"/>
  <c r="E988" i="1"/>
  <c r="W987" i="1" a="1"/>
  <c r="W987" i="1" s="1"/>
  <c r="E987" i="1"/>
  <c r="W986" i="1" a="1"/>
  <c r="W986" i="1" s="1"/>
  <c r="E986" i="1"/>
  <c r="W985" i="1" a="1"/>
  <c r="W985" i="1" s="1"/>
  <c r="E985" i="1"/>
  <c r="W984" i="1" a="1"/>
  <c r="W984" i="1" s="1"/>
  <c r="E984" i="1"/>
  <c r="W983" i="1" a="1"/>
  <c r="W983" i="1" s="1"/>
  <c r="E983" i="1"/>
  <c r="W982" i="1" a="1"/>
  <c r="W982" i="1" s="1"/>
  <c r="E982" i="1"/>
  <c r="W981" i="1" a="1"/>
  <c r="W981" i="1" s="1"/>
  <c r="E981" i="1"/>
  <c r="W980" i="1" a="1"/>
  <c r="W980" i="1" s="1"/>
  <c r="E980" i="1"/>
  <c r="W979" i="1" a="1"/>
  <c r="W979" i="1" s="1"/>
  <c r="E979" i="1"/>
  <c r="W978" i="1" a="1"/>
  <c r="W978" i="1" s="1"/>
  <c r="E978" i="1"/>
  <c r="W977" i="1" a="1"/>
  <c r="W977" i="1" s="1"/>
  <c r="E977" i="1"/>
  <c r="W976" i="1" a="1"/>
  <c r="W976" i="1" s="1"/>
  <c r="E976" i="1"/>
  <c r="W975" i="1" a="1"/>
  <c r="W975" i="1" s="1"/>
  <c r="E975" i="1"/>
  <c r="W974" i="1" a="1"/>
  <c r="W974" i="1" s="1"/>
  <c r="E974" i="1"/>
  <c r="W973" i="1" a="1"/>
  <c r="W973" i="1" s="1"/>
  <c r="E973" i="1"/>
  <c r="W972" i="1" a="1"/>
  <c r="W972" i="1" s="1"/>
  <c r="E972" i="1"/>
  <c r="W971" i="1" a="1"/>
  <c r="W971" i="1" s="1"/>
  <c r="E971" i="1"/>
  <c r="W970" i="1" a="1"/>
  <c r="W970" i="1" s="1"/>
  <c r="E970" i="1"/>
  <c r="W969" i="1" a="1"/>
  <c r="W969" i="1" s="1"/>
  <c r="E969" i="1"/>
  <c r="W968" i="1" a="1"/>
  <c r="W968" i="1" s="1"/>
  <c r="E968" i="1"/>
  <c r="W967" i="1" a="1"/>
  <c r="W967" i="1" s="1"/>
  <c r="E967" i="1"/>
  <c r="W966" i="1" a="1"/>
  <c r="W966" i="1" s="1"/>
  <c r="E966" i="1"/>
  <c r="W965" i="1" a="1"/>
  <c r="W965" i="1" s="1"/>
  <c r="E965" i="1"/>
  <c r="W964" i="1" a="1"/>
  <c r="W964" i="1" s="1"/>
  <c r="E964" i="1"/>
  <c r="W963" i="1" a="1"/>
  <c r="W963" i="1" s="1"/>
  <c r="E963" i="1"/>
  <c r="W962" i="1" a="1"/>
  <c r="W962" i="1" s="1"/>
  <c r="E962" i="1"/>
  <c r="W961" i="1" a="1"/>
  <c r="W961" i="1" s="1"/>
  <c r="E961" i="1"/>
  <c r="W960" i="1" a="1"/>
  <c r="W960" i="1" s="1"/>
  <c r="E960" i="1"/>
  <c r="W959" i="1" a="1"/>
  <c r="W959" i="1" s="1"/>
  <c r="E959" i="1"/>
  <c r="W958" i="1" a="1"/>
  <c r="W958" i="1" s="1"/>
  <c r="E958" i="1"/>
  <c r="W957" i="1" a="1"/>
  <c r="W957" i="1" s="1"/>
  <c r="E957" i="1"/>
  <c r="W956" i="1" a="1"/>
  <c r="W956" i="1" s="1"/>
  <c r="E956" i="1"/>
  <c r="W955" i="1" a="1"/>
  <c r="W955" i="1" s="1"/>
  <c r="E955" i="1"/>
  <c r="W954" i="1" a="1"/>
  <c r="W954" i="1" s="1"/>
  <c r="E954" i="1"/>
  <c r="W953" i="1" a="1"/>
  <c r="W953" i="1" s="1"/>
  <c r="E953" i="1"/>
  <c r="W952" i="1" a="1"/>
  <c r="W952" i="1" s="1"/>
  <c r="E952" i="1"/>
  <c r="W951" i="1" a="1"/>
  <c r="W951" i="1" s="1"/>
  <c r="E951" i="1"/>
  <c r="W950" i="1" a="1"/>
  <c r="W950" i="1" s="1"/>
  <c r="E950" i="1"/>
  <c r="W949" i="1" a="1"/>
  <c r="W949" i="1" s="1"/>
  <c r="E949" i="1"/>
  <c r="W948" i="1" a="1"/>
  <c r="W948" i="1" s="1"/>
  <c r="E948" i="1"/>
  <c r="W947" i="1" a="1"/>
  <c r="W947" i="1" s="1"/>
  <c r="E947" i="1"/>
  <c r="W946" i="1" a="1"/>
  <c r="W946" i="1" s="1"/>
  <c r="E946" i="1"/>
  <c r="W945" i="1" a="1"/>
  <c r="W945" i="1" s="1"/>
  <c r="E945" i="1"/>
  <c r="W944" i="1" a="1"/>
  <c r="W944" i="1" s="1"/>
  <c r="E944" i="1"/>
  <c r="W943" i="1" a="1"/>
  <c r="W943" i="1" s="1"/>
  <c r="E943" i="1"/>
  <c r="W942" i="1" a="1"/>
  <c r="W942" i="1" s="1"/>
  <c r="E942" i="1"/>
  <c r="W941" i="1" a="1"/>
  <c r="W941" i="1" s="1"/>
  <c r="E941" i="1"/>
  <c r="W940" i="1" a="1"/>
  <c r="W940" i="1" s="1"/>
  <c r="E940" i="1"/>
  <c r="W939" i="1" a="1"/>
  <c r="W939" i="1" s="1"/>
  <c r="E939" i="1"/>
  <c r="W938" i="1" a="1"/>
  <c r="W938" i="1" s="1"/>
  <c r="E938" i="1"/>
  <c r="W937" i="1" a="1"/>
  <c r="W937" i="1" s="1"/>
  <c r="E937" i="1"/>
  <c r="W936" i="1" a="1"/>
  <c r="W936" i="1" s="1"/>
  <c r="E936" i="1"/>
  <c r="W935" i="1" a="1"/>
  <c r="W935" i="1" s="1"/>
  <c r="E935" i="1"/>
  <c r="W934" i="1" a="1"/>
  <c r="W934" i="1" s="1"/>
  <c r="E934" i="1"/>
  <c r="W933" i="1" a="1"/>
  <c r="W933" i="1" s="1"/>
  <c r="E933" i="1"/>
  <c r="W932" i="1" a="1"/>
  <c r="W932" i="1" s="1"/>
  <c r="E932" i="1"/>
  <c r="W931" i="1" a="1"/>
  <c r="W931" i="1" s="1"/>
  <c r="E931" i="1"/>
  <c r="W930" i="1" a="1"/>
  <c r="W930" i="1" s="1"/>
  <c r="E930" i="1"/>
  <c r="W929" i="1" a="1"/>
  <c r="W929" i="1" s="1"/>
  <c r="E929" i="1"/>
  <c r="W928" i="1" a="1"/>
  <c r="W928" i="1" s="1"/>
  <c r="E928" i="1"/>
  <c r="W927" i="1" a="1"/>
  <c r="W927" i="1" s="1"/>
  <c r="E927" i="1"/>
  <c r="W926" i="1" a="1"/>
  <c r="W926" i="1" s="1"/>
  <c r="E926" i="1"/>
  <c r="W925" i="1" a="1"/>
  <c r="W925" i="1" s="1"/>
  <c r="E925" i="1"/>
  <c r="W924" i="1" a="1"/>
  <c r="W924" i="1" s="1"/>
  <c r="E924" i="1"/>
  <c r="W923" i="1" a="1"/>
  <c r="W923" i="1" s="1"/>
  <c r="E923" i="1"/>
  <c r="W922" i="1" a="1"/>
  <c r="W922" i="1" s="1"/>
  <c r="E922" i="1"/>
  <c r="W921" i="1" a="1"/>
  <c r="W921" i="1" s="1"/>
  <c r="E921" i="1"/>
  <c r="W920" i="1" a="1"/>
  <c r="W920" i="1" s="1"/>
  <c r="E920" i="1"/>
  <c r="W919" i="1" a="1"/>
  <c r="W919" i="1" s="1"/>
  <c r="E919" i="1"/>
  <c r="W918" i="1" a="1"/>
  <c r="W918" i="1" s="1"/>
  <c r="E918" i="1"/>
  <c r="W917" i="1" a="1"/>
  <c r="W917" i="1" s="1"/>
  <c r="E917" i="1"/>
  <c r="W916" i="1" a="1"/>
  <c r="W916" i="1" s="1"/>
  <c r="E916" i="1"/>
  <c r="W915" i="1" a="1"/>
  <c r="W915" i="1" s="1"/>
  <c r="E915" i="1"/>
  <c r="W914" i="1" a="1"/>
  <c r="W914" i="1" s="1"/>
  <c r="E914" i="1"/>
  <c r="W913" i="1" a="1"/>
  <c r="W913" i="1" s="1"/>
  <c r="E913" i="1"/>
  <c r="W912" i="1" a="1"/>
  <c r="W912" i="1" s="1"/>
  <c r="E912" i="1"/>
  <c r="W911" i="1" a="1"/>
  <c r="W911" i="1" s="1"/>
  <c r="E911" i="1"/>
  <c r="W910" i="1" a="1"/>
  <c r="W910" i="1" s="1"/>
  <c r="E910" i="1"/>
  <c r="W909" i="1" a="1"/>
  <c r="W909" i="1" s="1"/>
  <c r="E909" i="1"/>
  <c r="W908" i="1" a="1"/>
  <c r="W908" i="1" s="1"/>
  <c r="E908" i="1"/>
  <c r="W907" i="1" a="1"/>
  <c r="W907" i="1" s="1"/>
  <c r="E907" i="1"/>
  <c r="W906" i="1" a="1"/>
  <c r="W906" i="1" s="1"/>
  <c r="E906" i="1"/>
  <c r="W905" i="1" a="1"/>
  <c r="W905" i="1" s="1"/>
  <c r="E905" i="1"/>
  <c r="W904" i="1" a="1"/>
  <c r="W904" i="1" s="1"/>
  <c r="E904" i="1"/>
  <c r="W903" i="1" a="1"/>
  <c r="W903" i="1" s="1"/>
  <c r="E903" i="1"/>
  <c r="W902" i="1" a="1"/>
  <c r="W902" i="1" s="1"/>
  <c r="E902" i="1"/>
  <c r="W901" i="1" a="1"/>
  <c r="W901" i="1" s="1"/>
  <c r="E901" i="1"/>
  <c r="W900" i="1" a="1"/>
  <c r="W900" i="1" s="1"/>
  <c r="E900" i="1"/>
  <c r="W899" i="1" a="1"/>
  <c r="W899" i="1" s="1"/>
  <c r="E899" i="1"/>
  <c r="W898" i="1" a="1"/>
  <c r="W898" i="1" s="1"/>
  <c r="E898" i="1"/>
  <c r="W897" i="1" a="1"/>
  <c r="W897" i="1" s="1"/>
  <c r="E897" i="1"/>
  <c r="W896" i="1" a="1"/>
  <c r="W896" i="1" s="1"/>
  <c r="E896" i="1"/>
  <c r="W895" i="1" a="1"/>
  <c r="W895" i="1" s="1"/>
  <c r="E895" i="1"/>
  <c r="W894" i="1" a="1"/>
  <c r="W894" i="1" s="1"/>
  <c r="E894" i="1"/>
  <c r="W893" i="1" a="1"/>
  <c r="W893" i="1" s="1"/>
  <c r="E893" i="1"/>
  <c r="W892" i="1" a="1"/>
  <c r="W892" i="1" s="1"/>
  <c r="E892" i="1"/>
  <c r="W891" i="1" a="1"/>
  <c r="W891" i="1" s="1"/>
  <c r="E891" i="1"/>
  <c r="W890" i="1" a="1"/>
  <c r="W890" i="1" s="1"/>
  <c r="E890" i="1"/>
  <c r="W889" i="1" a="1"/>
  <c r="W889" i="1" s="1"/>
  <c r="E889" i="1"/>
  <c r="W888" i="1" a="1"/>
  <c r="W888" i="1" s="1"/>
  <c r="E888" i="1"/>
  <c r="W887" i="1" a="1"/>
  <c r="W887" i="1" s="1"/>
  <c r="E887" i="1"/>
  <c r="W886" i="1" a="1"/>
  <c r="W886" i="1" s="1"/>
  <c r="E886" i="1"/>
  <c r="W885" i="1" a="1"/>
  <c r="W885" i="1" s="1"/>
  <c r="E885" i="1"/>
  <c r="W884" i="1" a="1"/>
  <c r="W884" i="1" s="1"/>
  <c r="E884" i="1"/>
  <c r="W883" i="1" a="1"/>
  <c r="W883" i="1" s="1"/>
  <c r="E883" i="1"/>
  <c r="W882" i="1" a="1"/>
  <c r="W882" i="1" s="1"/>
  <c r="E882" i="1"/>
  <c r="W881" i="1" a="1"/>
  <c r="W881" i="1" s="1"/>
  <c r="E881" i="1"/>
  <c r="W880" i="1" a="1"/>
  <c r="W880" i="1" s="1"/>
  <c r="E880" i="1"/>
  <c r="W879" i="1" a="1"/>
  <c r="W879" i="1" s="1"/>
  <c r="E879" i="1"/>
  <c r="W878" i="1" a="1"/>
  <c r="W878" i="1" s="1"/>
  <c r="E878" i="1"/>
  <c r="W877" i="1" a="1"/>
  <c r="W877" i="1" s="1"/>
  <c r="E877" i="1"/>
  <c r="W876" i="1" a="1"/>
  <c r="W876" i="1" s="1"/>
  <c r="E876" i="1"/>
  <c r="W875" i="1" a="1"/>
  <c r="W875" i="1" s="1"/>
  <c r="E875" i="1"/>
  <c r="W874" i="1" a="1"/>
  <c r="W874" i="1" s="1"/>
  <c r="E874" i="1"/>
  <c r="W873" i="1" a="1"/>
  <c r="W873" i="1" s="1"/>
  <c r="E873" i="1"/>
  <c r="W872" i="1" a="1"/>
  <c r="W872" i="1" s="1"/>
  <c r="E872" i="1"/>
  <c r="W871" i="1" a="1"/>
  <c r="W871" i="1" s="1"/>
  <c r="E871" i="1"/>
  <c r="W870" i="1" a="1"/>
  <c r="W870" i="1" s="1"/>
  <c r="E870" i="1"/>
  <c r="W869" i="1" a="1"/>
  <c r="W869" i="1" s="1"/>
  <c r="E869" i="1"/>
  <c r="W868" i="1" a="1"/>
  <c r="W868" i="1" s="1"/>
  <c r="E868" i="1"/>
  <c r="W867" i="1" a="1"/>
  <c r="W867" i="1" s="1"/>
  <c r="E867" i="1"/>
  <c r="W866" i="1" a="1"/>
  <c r="W866" i="1" s="1"/>
  <c r="E866" i="1"/>
  <c r="W865" i="1" a="1"/>
  <c r="W865" i="1" s="1"/>
  <c r="E865" i="1"/>
  <c r="W864" i="1" a="1"/>
  <c r="W864" i="1" s="1"/>
  <c r="E864" i="1"/>
  <c r="W863" i="1" a="1"/>
  <c r="W863" i="1" s="1"/>
  <c r="E863" i="1"/>
  <c r="W862" i="1" a="1"/>
  <c r="W862" i="1" s="1"/>
  <c r="E862" i="1"/>
  <c r="W861" i="1" a="1"/>
  <c r="W861" i="1" s="1"/>
  <c r="E861" i="1"/>
  <c r="W860" i="1" a="1"/>
  <c r="W860" i="1" s="1"/>
  <c r="E860" i="1"/>
  <c r="W859" i="1" a="1"/>
  <c r="W859" i="1" s="1"/>
  <c r="E859" i="1"/>
  <c r="W858" i="1" a="1"/>
  <c r="W858" i="1" s="1"/>
  <c r="E858" i="1"/>
  <c r="W857" i="1" a="1"/>
  <c r="W857" i="1" s="1"/>
  <c r="E857" i="1"/>
  <c r="W856" i="1" a="1"/>
  <c r="W856" i="1" s="1"/>
  <c r="E856" i="1"/>
  <c r="W855" i="1" a="1"/>
  <c r="W855" i="1" s="1"/>
  <c r="E855" i="1"/>
  <c r="W854" i="1" a="1"/>
  <c r="W854" i="1" s="1"/>
  <c r="E854" i="1"/>
  <c r="W853" i="1" a="1"/>
  <c r="W853" i="1" s="1"/>
  <c r="E853" i="1"/>
  <c r="W852" i="1" a="1"/>
  <c r="W852" i="1" s="1"/>
  <c r="E852" i="1"/>
  <c r="W851" i="1" a="1"/>
  <c r="W851" i="1" s="1"/>
  <c r="E851" i="1"/>
  <c r="W850" i="1" a="1"/>
  <c r="W850" i="1" s="1"/>
  <c r="E850" i="1"/>
  <c r="W849" i="1" a="1"/>
  <c r="W849" i="1" s="1"/>
  <c r="E849" i="1"/>
  <c r="W848" i="1" a="1"/>
  <c r="W848" i="1" s="1"/>
  <c r="E848" i="1"/>
  <c r="W847" i="1" a="1"/>
  <c r="W847" i="1" s="1"/>
  <c r="E847" i="1"/>
  <c r="W846" i="1" a="1"/>
  <c r="W846" i="1" s="1"/>
  <c r="E846" i="1"/>
  <c r="W845" i="1" a="1"/>
  <c r="W845" i="1" s="1"/>
  <c r="E845" i="1"/>
  <c r="W844" i="1" a="1"/>
  <c r="W844" i="1" s="1"/>
  <c r="E844" i="1"/>
  <c r="W843" i="1" a="1"/>
  <c r="W843" i="1" s="1"/>
  <c r="E843" i="1"/>
  <c r="W842" i="1" a="1"/>
  <c r="W842" i="1" s="1"/>
  <c r="E842" i="1"/>
  <c r="W841" i="1" a="1"/>
  <c r="W841" i="1" s="1"/>
  <c r="E841" i="1"/>
  <c r="W840" i="1" a="1"/>
  <c r="W840" i="1" s="1"/>
  <c r="E840" i="1"/>
  <c r="W839" i="1" a="1"/>
  <c r="W839" i="1" s="1"/>
  <c r="E839" i="1"/>
  <c r="W838" i="1" a="1"/>
  <c r="W838" i="1" s="1"/>
  <c r="E838" i="1"/>
  <c r="W837" i="1" a="1"/>
  <c r="W837" i="1" s="1"/>
  <c r="E837" i="1"/>
  <c r="W836" i="1" a="1"/>
  <c r="W836" i="1" s="1"/>
  <c r="E836" i="1"/>
  <c r="W835" i="1" a="1"/>
  <c r="W835" i="1" s="1"/>
  <c r="E835" i="1"/>
  <c r="W834" i="1" a="1"/>
  <c r="W834" i="1" s="1"/>
  <c r="E834" i="1"/>
  <c r="W833" i="1" a="1"/>
  <c r="W833" i="1" s="1"/>
  <c r="E833" i="1"/>
  <c r="W832" i="1" a="1"/>
  <c r="W832" i="1" s="1"/>
  <c r="E832" i="1"/>
  <c r="W831" i="1" a="1"/>
  <c r="W831" i="1" s="1"/>
  <c r="E831" i="1"/>
  <c r="W830" i="1" a="1"/>
  <c r="W830" i="1" s="1"/>
  <c r="E830" i="1"/>
  <c r="W829" i="1" a="1"/>
  <c r="W829" i="1" s="1"/>
  <c r="E829" i="1"/>
  <c r="W828" i="1" a="1"/>
  <c r="W828" i="1" s="1"/>
  <c r="E828" i="1"/>
  <c r="W827" i="1" a="1"/>
  <c r="W827" i="1" s="1"/>
  <c r="E827" i="1"/>
  <c r="W826" i="1" a="1"/>
  <c r="W826" i="1" s="1"/>
  <c r="E826" i="1"/>
  <c r="W825" i="1" a="1"/>
  <c r="W825" i="1" s="1"/>
  <c r="E825" i="1"/>
  <c r="W824" i="1" a="1"/>
  <c r="W824" i="1" s="1"/>
  <c r="E824" i="1"/>
  <c r="W823" i="1" a="1"/>
  <c r="W823" i="1" s="1"/>
  <c r="E823" i="1"/>
  <c r="W822" i="1" a="1"/>
  <c r="W822" i="1" s="1"/>
  <c r="E822" i="1"/>
  <c r="W821" i="1" a="1"/>
  <c r="W821" i="1" s="1"/>
  <c r="E821" i="1"/>
  <c r="W820" i="1" a="1"/>
  <c r="W820" i="1" s="1"/>
  <c r="E820" i="1"/>
  <c r="W819" i="1" a="1"/>
  <c r="W819" i="1" s="1"/>
  <c r="E819" i="1"/>
  <c r="W818" i="1" a="1"/>
  <c r="W818" i="1" s="1"/>
  <c r="E818" i="1"/>
  <c r="W817" i="1" a="1"/>
  <c r="W817" i="1" s="1"/>
  <c r="E817" i="1"/>
  <c r="W816" i="1" a="1"/>
  <c r="W816" i="1" s="1"/>
  <c r="E816" i="1"/>
  <c r="W815" i="1" a="1"/>
  <c r="W815" i="1" s="1"/>
  <c r="E815" i="1"/>
  <c r="W814" i="1" a="1"/>
  <c r="W814" i="1" s="1"/>
  <c r="E814" i="1"/>
  <c r="W813" i="1" a="1"/>
  <c r="W813" i="1" s="1"/>
  <c r="E813" i="1"/>
  <c r="W812" i="1" a="1"/>
  <c r="W812" i="1" s="1"/>
  <c r="E812" i="1"/>
  <c r="W811" i="1" a="1"/>
  <c r="W811" i="1" s="1"/>
  <c r="E811" i="1"/>
  <c r="W810" i="1" a="1"/>
  <c r="W810" i="1" s="1"/>
  <c r="E810" i="1"/>
  <c r="W809" i="1" a="1"/>
  <c r="W809" i="1" s="1"/>
  <c r="E809" i="1"/>
  <c r="W808" i="1" a="1"/>
  <c r="W808" i="1" s="1"/>
  <c r="E808" i="1"/>
  <c r="W807" i="1" a="1"/>
  <c r="W807" i="1" s="1"/>
  <c r="E807" i="1"/>
  <c r="W806" i="1" a="1"/>
  <c r="W806" i="1" s="1"/>
  <c r="E806" i="1"/>
  <c r="W805" i="1" a="1"/>
  <c r="W805" i="1" s="1"/>
  <c r="E805" i="1"/>
  <c r="W804" i="1" a="1"/>
  <c r="W804" i="1" s="1"/>
  <c r="E804" i="1"/>
  <c r="W803" i="1" a="1"/>
  <c r="W803" i="1" s="1"/>
  <c r="E803" i="1"/>
  <c r="W802" i="1" a="1"/>
  <c r="W802" i="1" s="1"/>
  <c r="E802" i="1"/>
  <c r="W801" i="1" a="1"/>
  <c r="W801" i="1" s="1"/>
  <c r="E801" i="1"/>
  <c r="W800" i="1" a="1"/>
  <c r="W800" i="1" s="1"/>
  <c r="E800" i="1"/>
  <c r="W799" i="1" a="1"/>
  <c r="W799" i="1" s="1"/>
  <c r="E799" i="1"/>
  <c r="W798" i="1" a="1"/>
  <c r="W798" i="1" s="1"/>
  <c r="E798" i="1"/>
  <c r="W797" i="1" a="1"/>
  <c r="W797" i="1" s="1"/>
  <c r="E797" i="1"/>
  <c r="W796" i="1" a="1"/>
  <c r="W796" i="1" s="1"/>
  <c r="E796" i="1"/>
  <c r="W795" i="1" a="1"/>
  <c r="W795" i="1" s="1"/>
  <c r="E795" i="1"/>
  <c r="W794" i="1" a="1"/>
  <c r="W794" i="1" s="1"/>
  <c r="E794" i="1"/>
  <c r="W793" i="1" a="1"/>
  <c r="W793" i="1" s="1"/>
  <c r="E793" i="1"/>
  <c r="W792" i="1" a="1"/>
  <c r="W792" i="1" s="1"/>
  <c r="E792" i="1"/>
  <c r="W791" i="1" a="1"/>
  <c r="W791" i="1" s="1"/>
  <c r="E791" i="1"/>
  <c r="W790" i="1" a="1"/>
  <c r="W790" i="1" s="1"/>
  <c r="E790" i="1"/>
  <c r="W789" i="1" a="1"/>
  <c r="W789" i="1" s="1"/>
  <c r="E789" i="1"/>
  <c r="W788" i="1" a="1"/>
  <c r="W788" i="1" s="1"/>
  <c r="E788" i="1"/>
  <c r="W787" i="1" a="1"/>
  <c r="W787" i="1" s="1"/>
  <c r="E787" i="1"/>
  <c r="W786" i="1" a="1"/>
  <c r="W786" i="1" s="1"/>
  <c r="E786" i="1"/>
  <c r="W785" i="1" a="1"/>
  <c r="W785" i="1" s="1"/>
  <c r="E785" i="1"/>
  <c r="W784" i="1" a="1"/>
  <c r="W784" i="1" s="1"/>
  <c r="E784" i="1"/>
  <c r="W783" i="1" a="1"/>
  <c r="W783" i="1" s="1"/>
  <c r="E783" i="1"/>
  <c r="W782" i="1" a="1"/>
  <c r="W782" i="1" s="1"/>
  <c r="E782" i="1"/>
  <c r="W781" i="1" a="1"/>
  <c r="W781" i="1" s="1"/>
  <c r="E781" i="1"/>
  <c r="W780" i="1" a="1"/>
  <c r="W780" i="1" s="1"/>
  <c r="E780" i="1"/>
  <c r="W779" i="1" a="1"/>
  <c r="W779" i="1" s="1"/>
  <c r="E779" i="1"/>
  <c r="W778" i="1" a="1"/>
  <c r="W778" i="1" s="1"/>
  <c r="E778" i="1"/>
  <c r="W777" i="1" a="1"/>
  <c r="W777" i="1" s="1"/>
  <c r="E777" i="1"/>
  <c r="W776" i="1" a="1"/>
  <c r="W776" i="1" s="1"/>
  <c r="E776" i="1"/>
  <c r="W775" i="1" a="1"/>
  <c r="W775" i="1" s="1"/>
  <c r="E775" i="1"/>
  <c r="W774" i="1" a="1"/>
  <c r="W774" i="1" s="1"/>
  <c r="E774" i="1"/>
  <c r="W773" i="1" a="1"/>
  <c r="W773" i="1" s="1"/>
  <c r="E773" i="1"/>
  <c r="W772" i="1" a="1"/>
  <c r="W772" i="1" s="1"/>
  <c r="E772" i="1"/>
  <c r="W771" i="1" a="1"/>
  <c r="W771" i="1" s="1"/>
  <c r="E771" i="1"/>
  <c r="W770" i="1" a="1"/>
  <c r="W770" i="1" s="1"/>
  <c r="E770" i="1"/>
  <c r="W769" i="1" a="1"/>
  <c r="W769" i="1" s="1"/>
  <c r="E769" i="1"/>
  <c r="W768" i="1" a="1"/>
  <c r="W768" i="1" s="1"/>
  <c r="E768" i="1"/>
  <c r="W767" i="1" a="1"/>
  <c r="W767" i="1" s="1"/>
  <c r="E767" i="1"/>
  <c r="W766" i="1" a="1"/>
  <c r="W766" i="1" s="1"/>
  <c r="E766" i="1"/>
  <c r="W765" i="1" a="1"/>
  <c r="W765" i="1" s="1"/>
  <c r="E765" i="1"/>
  <c r="W764" i="1" a="1"/>
  <c r="W764" i="1" s="1"/>
  <c r="E764" i="1"/>
  <c r="W763" i="1" a="1"/>
  <c r="W763" i="1" s="1"/>
  <c r="E763" i="1"/>
  <c r="W762" i="1" a="1"/>
  <c r="W762" i="1" s="1"/>
  <c r="E762" i="1"/>
  <c r="W761" i="1" a="1"/>
  <c r="W761" i="1" s="1"/>
  <c r="E761" i="1"/>
  <c r="W760" i="1" a="1"/>
  <c r="W760" i="1" s="1"/>
  <c r="E760" i="1"/>
  <c r="W759" i="1" a="1"/>
  <c r="W759" i="1" s="1"/>
  <c r="E759" i="1"/>
  <c r="W758" i="1" a="1"/>
  <c r="W758" i="1" s="1"/>
  <c r="E758" i="1"/>
  <c r="W757" i="1" a="1"/>
  <c r="W757" i="1" s="1"/>
  <c r="E757" i="1"/>
  <c r="W756" i="1" a="1"/>
  <c r="W756" i="1" s="1"/>
  <c r="E756" i="1"/>
  <c r="W755" i="1" a="1"/>
  <c r="W755" i="1" s="1"/>
  <c r="E755" i="1"/>
  <c r="W754" i="1" a="1"/>
  <c r="W754" i="1" s="1"/>
  <c r="E754" i="1"/>
  <c r="W753" i="1" a="1"/>
  <c r="W753" i="1" s="1"/>
  <c r="E753" i="1"/>
  <c r="W752" i="1" a="1"/>
  <c r="W752" i="1" s="1"/>
  <c r="E752" i="1"/>
  <c r="W751" i="1" a="1"/>
  <c r="W751" i="1" s="1"/>
  <c r="E751" i="1"/>
  <c r="W750" i="1" a="1"/>
  <c r="W750" i="1" s="1"/>
  <c r="E750" i="1"/>
  <c r="W749" i="1" a="1"/>
  <c r="W749" i="1" s="1"/>
  <c r="E749" i="1"/>
  <c r="W748" i="1" a="1"/>
  <c r="W748" i="1" s="1"/>
  <c r="E748" i="1"/>
  <c r="W747" i="1" a="1"/>
  <c r="W747" i="1" s="1"/>
  <c r="E747" i="1"/>
  <c r="W746" i="1" a="1"/>
  <c r="W746" i="1" s="1"/>
  <c r="E746" i="1"/>
  <c r="W745" i="1" a="1"/>
  <c r="W745" i="1" s="1"/>
  <c r="E745" i="1"/>
  <c r="W744" i="1" a="1"/>
  <c r="W744" i="1" s="1"/>
  <c r="E744" i="1"/>
  <c r="W743" i="1" a="1"/>
  <c r="W743" i="1" s="1"/>
  <c r="E743" i="1"/>
  <c r="W742" i="1" a="1"/>
  <c r="W742" i="1" s="1"/>
  <c r="E742" i="1"/>
  <c r="W741" i="1" a="1"/>
  <c r="W741" i="1" s="1"/>
  <c r="E741" i="1"/>
  <c r="W740" i="1" a="1"/>
  <c r="W740" i="1" s="1"/>
  <c r="E740" i="1"/>
  <c r="W739" i="1" a="1"/>
  <c r="W739" i="1" s="1"/>
  <c r="E739" i="1"/>
  <c r="W738" i="1" a="1"/>
  <c r="W738" i="1" s="1"/>
  <c r="E738" i="1"/>
  <c r="W737" i="1" a="1"/>
  <c r="W737" i="1" s="1"/>
  <c r="E737" i="1"/>
  <c r="W736" i="1" a="1"/>
  <c r="W736" i="1" s="1"/>
  <c r="E736" i="1"/>
  <c r="W735" i="1" a="1"/>
  <c r="W735" i="1" s="1"/>
  <c r="E735" i="1"/>
  <c r="W734" i="1" a="1"/>
  <c r="W734" i="1" s="1"/>
  <c r="E734" i="1"/>
  <c r="W733" i="1" a="1"/>
  <c r="W733" i="1" s="1"/>
  <c r="E733" i="1"/>
  <c r="W732" i="1" a="1"/>
  <c r="W732" i="1" s="1"/>
  <c r="E732" i="1"/>
  <c r="W731" i="1" a="1"/>
  <c r="W731" i="1" s="1"/>
  <c r="E731" i="1"/>
  <c r="W730" i="1" a="1"/>
  <c r="W730" i="1" s="1"/>
  <c r="E730" i="1"/>
  <c r="W729" i="1" a="1"/>
  <c r="W729" i="1" s="1"/>
  <c r="E729" i="1"/>
  <c r="W728" i="1" a="1"/>
  <c r="W728" i="1" s="1"/>
  <c r="E728" i="1"/>
  <c r="W727" i="1" a="1"/>
  <c r="W727" i="1" s="1"/>
  <c r="E727" i="1"/>
  <c r="W726" i="1" a="1"/>
  <c r="W726" i="1" s="1"/>
  <c r="E726" i="1"/>
  <c r="W725" i="1" a="1"/>
  <c r="W725" i="1" s="1"/>
  <c r="E725" i="1"/>
  <c r="W724" i="1" a="1"/>
  <c r="W724" i="1" s="1"/>
  <c r="E724" i="1"/>
  <c r="W723" i="1" a="1"/>
  <c r="W723" i="1" s="1"/>
  <c r="E723" i="1"/>
  <c r="W722" i="1" a="1"/>
  <c r="W722" i="1" s="1"/>
  <c r="E722" i="1"/>
  <c r="W721" i="1" a="1"/>
  <c r="W721" i="1" s="1"/>
  <c r="E721" i="1"/>
  <c r="W720" i="1" a="1"/>
  <c r="W720" i="1" s="1"/>
  <c r="E720" i="1"/>
  <c r="W719" i="1" a="1"/>
  <c r="W719" i="1" s="1"/>
  <c r="E719" i="1"/>
  <c r="W718" i="1" a="1"/>
  <c r="W718" i="1" s="1"/>
  <c r="E718" i="1"/>
  <c r="W717" i="1" a="1"/>
  <c r="W717" i="1" s="1"/>
  <c r="E717" i="1"/>
  <c r="W716" i="1" a="1"/>
  <c r="W716" i="1" s="1"/>
  <c r="E716" i="1"/>
  <c r="W715" i="1" a="1"/>
  <c r="W715" i="1" s="1"/>
  <c r="E715" i="1"/>
  <c r="W714" i="1" a="1"/>
  <c r="W714" i="1" s="1"/>
  <c r="E714" i="1"/>
  <c r="W713" i="1" a="1"/>
  <c r="W713" i="1" s="1"/>
  <c r="E713" i="1"/>
  <c r="W712" i="1" a="1"/>
  <c r="W712" i="1" s="1"/>
  <c r="E712" i="1"/>
  <c r="W711" i="1" a="1"/>
  <c r="W711" i="1" s="1"/>
  <c r="E711" i="1"/>
  <c r="W710" i="1" a="1"/>
  <c r="W710" i="1" s="1"/>
  <c r="E710" i="1"/>
  <c r="W709" i="1" a="1"/>
  <c r="W709" i="1" s="1"/>
  <c r="E709" i="1"/>
  <c r="W708" i="1" a="1"/>
  <c r="W708" i="1" s="1"/>
  <c r="E708" i="1"/>
  <c r="W707" i="1" a="1"/>
  <c r="W707" i="1" s="1"/>
  <c r="E707" i="1"/>
  <c r="W706" i="1" a="1"/>
  <c r="W706" i="1" s="1"/>
  <c r="E706" i="1"/>
  <c r="W705" i="1" a="1"/>
  <c r="W705" i="1" s="1"/>
  <c r="E705" i="1"/>
  <c r="W704" i="1" a="1"/>
  <c r="W704" i="1" s="1"/>
  <c r="E704" i="1"/>
  <c r="W703" i="1" a="1"/>
  <c r="W703" i="1" s="1"/>
  <c r="E703" i="1"/>
  <c r="W702" i="1" a="1"/>
  <c r="W702" i="1" s="1"/>
  <c r="E702" i="1"/>
  <c r="W701" i="1" a="1"/>
  <c r="W701" i="1" s="1"/>
  <c r="E701" i="1"/>
  <c r="W700" i="1" a="1"/>
  <c r="W700" i="1" s="1"/>
  <c r="E700" i="1"/>
  <c r="W699" i="1" a="1"/>
  <c r="W699" i="1" s="1"/>
  <c r="E699" i="1"/>
  <c r="W698" i="1" a="1"/>
  <c r="W698" i="1" s="1"/>
  <c r="E698" i="1"/>
  <c r="W697" i="1" a="1"/>
  <c r="W697" i="1" s="1"/>
  <c r="E697" i="1"/>
  <c r="W696" i="1" a="1"/>
  <c r="W696" i="1" s="1"/>
  <c r="E696" i="1"/>
  <c r="W695" i="1" a="1"/>
  <c r="W695" i="1" s="1"/>
  <c r="E695" i="1"/>
  <c r="W694" i="1" a="1"/>
  <c r="W694" i="1" s="1"/>
  <c r="E694" i="1"/>
  <c r="W693" i="1" a="1"/>
  <c r="W693" i="1" s="1"/>
  <c r="E693" i="1"/>
  <c r="W692" i="1" a="1"/>
  <c r="W692" i="1" s="1"/>
  <c r="E692" i="1"/>
  <c r="W691" i="1" a="1"/>
  <c r="W691" i="1" s="1"/>
  <c r="E691" i="1"/>
  <c r="W690" i="1" a="1"/>
  <c r="W690" i="1" s="1"/>
  <c r="E690" i="1"/>
  <c r="W689" i="1" a="1"/>
  <c r="W689" i="1" s="1"/>
  <c r="E689" i="1"/>
  <c r="W688" i="1" a="1"/>
  <c r="W688" i="1" s="1"/>
  <c r="E688" i="1"/>
  <c r="W687" i="1" a="1"/>
  <c r="W687" i="1" s="1"/>
  <c r="E687" i="1"/>
  <c r="W686" i="1" a="1"/>
  <c r="W686" i="1" s="1"/>
  <c r="E686" i="1"/>
  <c r="W685" i="1" a="1"/>
  <c r="W685" i="1" s="1"/>
  <c r="E685" i="1"/>
  <c r="W684" i="1" a="1"/>
  <c r="W684" i="1" s="1"/>
  <c r="E684" i="1"/>
  <c r="W683" i="1" a="1"/>
  <c r="W683" i="1" s="1"/>
  <c r="E683" i="1"/>
  <c r="W682" i="1" a="1"/>
  <c r="W682" i="1" s="1"/>
  <c r="E682" i="1"/>
  <c r="W681" i="1" a="1"/>
  <c r="W681" i="1" s="1"/>
  <c r="E681" i="1"/>
  <c r="W680" i="1" a="1"/>
  <c r="W680" i="1" s="1"/>
  <c r="E680" i="1"/>
  <c r="W679" i="1" a="1"/>
  <c r="W679" i="1" s="1"/>
  <c r="E679" i="1"/>
  <c r="W678" i="1" a="1"/>
  <c r="W678" i="1" s="1"/>
  <c r="E678" i="1"/>
  <c r="W677" i="1" a="1"/>
  <c r="W677" i="1" s="1"/>
  <c r="E677" i="1"/>
  <c r="W676" i="1" a="1"/>
  <c r="W676" i="1" s="1"/>
  <c r="E676" i="1"/>
  <c r="W675" i="1" a="1"/>
  <c r="W675" i="1" s="1"/>
  <c r="E675" i="1"/>
  <c r="W674" i="1" a="1"/>
  <c r="W674" i="1" s="1"/>
  <c r="E674" i="1"/>
  <c r="W673" i="1" a="1"/>
  <c r="W673" i="1" s="1"/>
  <c r="E673" i="1"/>
  <c r="W672" i="1" a="1"/>
  <c r="W672" i="1" s="1"/>
  <c r="E672" i="1"/>
  <c r="W671" i="1" a="1"/>
  <c r="W671" i="1" s="1"/>
  <c r="E671" i="1"/>
  <c r="W670" i="1" a="1"/>
  <c r="W670" i="1" s="1"/>
  <c r="E670" i="1"/>
  <c r="W669" i="1" a="1"/>
  <c r="W669" i="1" s="1"/>
  <c r="E669" i="1"/>
  <c r="W668" i="1" a="1"/>
  <c r="W668" i="1" s="1"/>
  <c r="E668" i="1"/>
  <c r="W667" i="1" a="1"/>
  <c r="W667" i="1" s="1"/>
  <c r="E667" i="1"/>
  <c r="W666" i="1" a="1"/>
  <c r="W666" i="1" s="1"/>
  <c r="E666" i="1"/>
  <c r="W665" i="1" a="1"/>
  <c r="W665" i="1" s="1"/>
  <c r="E665" i="1"/>
  <c r="W664" i="1" a="1"/>
  <c r="W664" i="1" s="1"/>
  <c r="E664" i="1"/>
  <c r="W663" i="1" a="1"/>
  <c r="W663" i="1" s="1"/>
  <c r="E663" i="1"/>
  <c r="W662" i="1" a="1"/>
  <c r="W662" i="1" s="1"/>
  <c r="E662" i="1"/>
  <c r="W661" i="1" a="1"/>
  <c r="W661" i="1" s="1"/>
  <c r="E661" i="1"/>
  <c r="W660" i="1" a="1"/>
  <c r="W660" i="1" s="1"/>
  <c r="E660" i="1"/>
  <c r="W659" i="1" a="1"/>
  <c r="W659" i="1" s="1"/>
  <c r="E659" i="1"/>
  <c r="W658" i="1" a="1"/>
  <c r="W658" i="1" s="1"/>
  <c r="E658" i="1"/>
  <c r="W657" i="1" a="1"/>
  <c r="W657" i="1" s="1"/>
  <c r="E657" i="1"/>
  <c r="W656" i="1" a="1"/>
  <c r="W656" i="1" s="1"/>
  <c r="E656" i="1"/>
  <c r="W655" i="1" a="1"/>
  <c r="W655" i="1" s="1"/>
  <c r="E655" i="1"/>
  <c r="W654" i="1" a="1"/>
  <c r="W654" i="1" s="1"/>
  <c r="E654" i="1"/>
  <c r="W653" i="1" a="1"/>
  <c r="W653" i="1" s="1"/>
  <c r="E653" i="1"/>
  <c r="W652" i="1" a="1"/>
  <c r="W652" i="1" s="1"/>
  <c r="E652" i="1"/>
  <c r="W651" i="1" a="1"/>
  <c r="W651" i="1" s="1"/>
  <c r="E651" i="1"/>
  <c r="W650" i="1" a="1"/>
  <c r="W650" i="1" s="1"/>
  <c r="E650" i="1"/>
  <c r="W649" i="1" a="1"/>
  <c r="W649" i="1" s="1"/>
  <c r="E649" i="1"/>
  <c r="W648" i="1" a="1"/>
  <c r="W648" i="1" s="1"/>
  <c r="E648" i="1"/>
  <c r="W647" i="1" a="1"/>
  <c r="W647" i="1" s="1"/>
  <c r="E647" i="1"/>
  <c r="W646" i="1" a="1"/>
  <c r="W646" i="1" s="1"/>
  <c r="E646" i="1"/>
  <c r="W645" i="1" a="1"/>
  <c r="W645" i="1" s="1"/>
  <c r="E645" i="1"/>
  <c r="W644" i="1" a="1"/>
  <c r="W644" i="1" s="1"/>
  <c r="E644" i="1"/>
  <c r="W643" i="1" a="1"/>
  <c r="W643" i="1" s="1"/>
  <c r="E643" i="1"/>
  <c r="W642" i="1" a="1"/>
  <c r="W642" i="1" s="1"/>
  <c r="E642" i="1"/>
  <c r="W641" i="1" a="1"/>
  <c r="W641" i="1" s="1"/>
  <c r="E641" i="1"/>
  <c r="W640" i="1" a="1"/>
  <c r="W640" i="1" s="1"/>
  <c r="E640" i="1"/>
  <c r="W639" i="1" a="1"/>
  <c r="W639" i="1" s="1"/>
  <c r="E639" i="1"/>
  <c r="W638" i="1" a="1"/>
  <c r="W638" i="1" s="1"/>
  <c r="E638" i="1"/>
  <c r="W637" i="1" a="1"/>
  <c r="W637" i="1" s="1"/>
  <c r="E637" i="1"/>
  <c r="W636" i="1" a="1"/>
  <c r="W636" i="1" s="1"/>
  <c r="E636" i="1"/>
  <c r="W635" i="1" a="1"/>
  <c r="W635" i="1" s="1"/>
  <c r="E635" i="1"/>
  <c r="W634" i="1" a="1"/>
  <c r="W634" i="1" s="1"/>
  <c r="E634" i="1"/>
  <c r="W633" i="1" a="1"/>
  <c r="W633" i="1" s="1"/>
  <c r="E633" i="1"/>
  <c r="W632" i="1" a="1"/>
  <c r="W632" i="1" s="1"/>
  <c r="E632" i="1"/>
  <c r="W631" i="1" a="1"/>
  <c r="W631" i="1" s="1"/>
  <c r="E631" i="1"/>
  <c r="W630" i="1" a="1"/>
  <c r="W630" i="1" s="1"/>
  <c r="E630" i="1"/>
  <c r="W629" i="1" a="1"/>
  <c r="W629" i="1" s="1"/>
  <c r="E629" i="1"/>
  <c r="W628" i="1" a="1"/>
  <c r="W628" i="1" s="1"/>
  <c r="E628" i="1"/>
  <c r="W627" i="1" a="1"/>
  <c r="W627" i="1" s="1"/>
  <c r="E627" i="1"/>
  <c r="W626" i="1" a="1"/>
  <c r="W626" i="1" s="1"/>
  <c r="E626" i="1"/>
  <c r="W625" i="1" a="1"/>
  <c r="W625" i="1" s="1"/>
  <c r="E625" i="1"/>
  <c r="W624" i="1" a="1"/>
  <c r="W624" i="1" s="1"/>
  <c r="E624" i="1"/>
  <c r="W623" i="1" a="1"/>
  <c r="W623" i="1" s="1"/>
  <c r="E623" i="1"/>
  <c r="W622" i="1" a="1"/>
  <c r="W622" i="1" s="1"/>
  <c r="E622" i="1"/>
  <c r="W621" i="1" a="1"/>
  <c r="W621" i="1" s="1"/>
  <c r="E621" i="1"/>
  <c r="W620" i="1" a="1"/>
  <c r="W620" i="1" s="1"/>
  <c r="E620" i="1"/>
  <c r="W619" i="1" a="1"/>
  <c r="W619" i="1" s="1"/>
  <c r="E619" i="1"/>
  <c r="W618" i="1" a="1"/>
  <c r="W618" i="1" s="1"/>
  <c r="E618" i="1"/>
  <c r="W617" i="1" a="1"/>
  <c r="W617" i="1" s="1"/>
  <c r="E617" i="1"/>
  <c r="W616" i="1" a="1"/>
  <c r="W616" i="1" s="1"/>
  <c r="E616" i="1"/>
  <c r="W615" i="1" a="1"/>
  <c r="W615" i="1" s="1"/>
  <c r="E615" i="1"/>
  <c r="W614" i="1" a="1"/>
  <c r="W614" i="1" s="1"/>
  <c r="E614" i="1"/>
  <c r="W613" i="1" a="1"/>
  <c r="W613" i="1" s="1"/>
  <c r="E613" i="1"/>
  <c r="W612" i="1" a="1"/>
  <c r="W612" i="1" s="1"/>
  <c r="E612" i="1"/>
  <c r="W611" i="1" a="1"/>
  <c r="W611" i="1" s="1"/>
  <c r="E611" i="1"/>
  <c r="W610" i="1" a="1"/>
  <c r="W610" i="1" s="1"/>
  <c r="E610" i="1"/>
  <c r="W609" i="1" a="1"/>
  <c r="W609" i="1" s="1"/>
  <c r="E609" i="1"/>
  <c r="W608" i="1" a="1"/>
  <c r="W608" i="1" s="1"/>
  <c r="E608" i="1"/>
  <c r="W607" i="1" a="1"/>
  <c r="W607" i="1" s="1"/>
  <c r="E607" i="1"/>
  <c r="W606" i="1" a="1"/>
  <c r="W606" i="1" s="1"/>
  <c r="E606" i="1"/>
  <c r="W605" i="1" a="1"/>
  <c r="W605" i="1" s="1"/>
  <c r="E605" i="1"/>
  <c r="W604" i="1" a="1"/>
  <c r="W604" i="1" s="1"/>
  <c r="E604" i="1"/>
  <c r="W603" i="1" a="1"/>
  <c r="W603" i="1" s="1"/>
  <c r="E603" i="1"/>
  <c r="W602" i="1" a="1"/>
  <c r="W602" i="1" s="1"/>
  <c r="E602" i="1"/>
  <c r="W601" i="1" a="1"/>
  <c r="W601" i="1" s="1"/>
  <c r="E601" i="1"/>
  <c r="W600" i="1" a="1"/>
  <c r="W600" i="1" s="1"/>
  <c r="E600" i="1"/>
  <c r="W599" i="1" a="1"/>
  <c r="W599" i="1" s="1"/>
  <c r="E599" i="1"/>
  <c r="W598" i="1" a="1"/>
  <c r="W598" i="1" s="1"/>
  <c r="E598" i="1"/>
  <c r="W597" i="1" a="1"/>
  <c r="W597" i="1" s="1"/>
  <c r="E597" i="1"/>
  <c r="W596" i="1" a="1"/>
  <c r="W596" i="1" s="1"/>
  <c r="E596" i="1"/>
  <c r="W595" i="1" a="1"/>
  <c r="W595" i="1" s="1"/>
  <c r="E595" i="1"/>
  <c r="W594" i="1" a="1"/>
  <c r="W594" i="1" s="1"/>
  <c r="E594" i="1"/>
  <c r="W593" i="1" a="1"/>
  <c r="W593" i="1" s="1"/>
  <c r="E593" i="1"/>
  <c r="W592" i="1" a="1"/>
  <c r="W592" i="1" s="1"/>
  <c r="E592" i="1"/>
  <c r="W591" i="1" a="1"/>
  <c r="W591" i="1" s="1"/>
  <c r="E591" i="1"/>
  <c r="W590" i="1" a="1"/>
  <c r="W590" i="1" s="1"/>
  <c r="E590" i="1"/>
  <c r="W589" i="1" a="1"/>
  <c r="W589" i="1" s="1"/>
  <c r="E589" i="1"/>
  <c r="W588" i="1" a="1"/>
  <c r="W588" i="1" s="1"/>
  <c r="E588" i="1"/>
  <c r="W587" i="1" a="1"/>
  <c r="W587" i="1" s="1"/>
  <c r="E587" i="1"/>
  <c r="W586" i="1" a="1"/>
  <c r="W586" i="1" s="1"/>
  <c r="E586" i="1"/>
  <c r="W585" i="1" a="1"/>
  <c r="W585" i="1" s="1"/>
  <c r="E585" i="1"/>
  <c r="W584" i="1" a="1"/>
  <c r="W584" i="1" s="1"/>
  <c r="E584" i="1"/>
  <c r="W583" i="1" a="1"/>
  <c r="W583" i="1" s="1"/>
  <c r="E583" i="1"/>
  <c r="W582" i="1" a="1"/>
  <c r="W582" i="1" s="1"/>
  <c r="E582" i="1"/>
  <c r="W581" i="1" a="1"/>
  <c r="W581" i="1" s="1"/>
  <c r="E581" i="1"/>
  <c r="W580" i="1" a="1"/>
  <c r="W580" i="1" s="1"/>
  <c r="E580" i="1"/>
  <c r="W579" i="1" a="1"/>
  <c r="W579" i="1" s="1"/>
  <c r="E579" i="1"/>
  <c r="W578" i="1" a="1"/>
  <c r="W578" i="1" s="1"/>
  <c r="E578" i="1"/>
  <c r="W577" i="1" a="1"/>
  <c r="W577" i="1" s="1"/>
  <c r="E577" i="1"/>
  <c r="W576" i="1" a="1"/>
  <c r="W576" i="1" s="1"/>
  <c r="E576" i="1"/>
  <c r="W575" i="1" a="1"/>
  <c r="W575" i="1" s="1"/>
  <c r="E575" i="1"/>
  <c r="W574" i="1" a="1"/>
  <c r="W574" i="1" s="1"/>
  <c r="E574" i="1"/>
  <c r="W573" i="1" a="1"/>
  <c r="W573" i="1" s="1"/>
  <c r="E573" i="1"/>
  <c r="W572" i="1" a="1"/>
  <c r="W572" i="1" s="1"/>
  <c r="E572" i="1"/>
  <c r="W571" i="1" a="1"/>
  <c r="W571" i="1" s="1"/>
  <c r="E571" i="1"/>
  <c r="W570" i="1" a="1"/>
  <c r="W570" i="1" s="1"/>
  <c r="E570" i="1"/>
  <c r="W569" i="1" a="1"/>
  <c r="W569" i="1" s="1"/>
  <c r="E569" i="1"/>
  <c r="W568" i="1" a="1"/>
  <c r="W568" i="1" s="1"/>
  <c r="E568" i="1"/>
  <c r="W567" i="1" a="1"/>
  <c r="W567" i="1" s="1"/>
  <c r="E567" i="1"/>
  <c r="W566" i="1" a="1"/>
  <c r="W566" i="1" s="1"/>
  <c r="E566" i="1"/>
  <c r="W565" i="1" a="1"/>
  <c r="W565" i="1" s="1"/>
  <c r="E565" i="1"/>
  <c r="W564" i="1" a="1"/>
  <c r="W564" i="1" s="1"/>
  <c r="E564" i="1"/>
  <c r="W563" i="1" a="1"/>
  <c r="W563" i="1" s="1"/>
  <c r="E563" i="1"/>
  <c r="W562" i="1" a="1"/>
  <c r="W562" i="1" s="1"/>
  <c r="E562" i="1"/>
  <c r="W561" i="1" a="1"/>
  <c r="W561" i="1" s="1"/>
  <c r="E561" i="1"/>
  <c r="W560" i="1" a="1"/>
  <c r="W560" i="1" s="1"/>
  <c r="E560" i="1"/>
  <c r="W559" i="1" a="1"/>
  <c r="W559" i="1" s="1"/>
  <c r="E559" i="1"/>
  <c r="W558" i="1" a="1"/>
  <c r="W558" i="1" s="1"/>
  <c r="E558" i="1"/>
  <c r="W557" i="1" a="1"/>
  <c r="W557" i="1" s="1"/>
  <c r="E557" i="1"/>
  <c r="W556" i="1" a="1"/>
  <c r="W556" i="1" s="1"/>
  <c r="E556" i="1"/>
  <c r="W555" i="1" a="1"/>
  <c r="W555" i="1" s="1"/>
  <c r="E555" i="1"/>
  <c r="W554" i="1" a="1"/>
  <c r="W554" i="1" s="1"/>
  <c r="E554" i="1"/>
  <c r="W553" i="1" a="1"/>
  <c r="W553" i="1" s="1"/>
  <c r="E553" i="1"/>
  <c r="W552" i="1" a="1"/>
  <c r="W552" i="1" s="1"/>
  <c r="E552" i="1"/>
  <c r="W551" i="1" a="1"/>
  <c r="W551" i="1" s="1"/>
  <c r="E551" i="1"/>
  <c r="W550" i="1" a="1"/>
  <c r="W550" i="1" s="1"/>
  <c r="E550" i="1"/>
  <c r="W549" i="1" a="1"/>
  <c r="W549" i="1" s="1"/>
  <c r="E549" i="1"/>
  <c r="W548" i="1" a="1"/>
  <c r="W548" i="1" s="1"/>
  <c r="E548" i="1"/>
  <c r="W547" i="1" a="1"/>
  <c r="W547" i="1" s="1"/>
  <c r="E547" i="1"/>
  <c r="W546" i="1" a="1"/>
  <c r="W546" i="1" s="1"/>
  <c r="E546" i="1"/>
  <c r="W545" i="1" a="1"/>
  <c r="W545" i="1" s="1"/>
  <c r="E545" i="1"/>
  <c r="W544" i="1" a="1"/>
  <c r="W544" i="1" s="1"/>
  <c r="E544" i="1"/>
  <c r="W543" i="1" a="1"/>
  <c r="W543" i="1" s="1"/>
  <c r="E543" i="1"/>
  <c r="W542" i="1" a="1"/>
  <c r="W542" i="1" s="1"/>
  <c r="E542" i="1"/>
  <c r="W541" i="1" a="1"/>
  <c r="W541" i="1" s="1"/>
  <c r="E541" i="1"/>
  <c r="W540" i="1" a="1"/>
  <c r="W540" i="1" s="1"/>
  <c r="E540" i="1"/>
  <c r="W539" i="1" a="1"/>
  <c r="W539" i="1" s="1"/>
  <c r="E539" i="1"/>
  <c r="W538" i="1" a="1"/>
  <c r="W538" i="1" s="1"/>
  <c r="E538" i="1"/>
  <c r="W537" i="1" a="1"/>
  <c r="W537" i="1" s="1"/>
  <c r="E537" i="1"/>
  <c r="W536" i="1" a="1"/>
  <c r="W536" i="1" s="1"/>
  <c r="E536" i="1"/>
  <c r="W535" i="1" a="1"/>
  <c r="W535" i="1" s="1"/>
  <c r="E535" i="1"/>
  <c r="W534" i="1" a="1"/>
  <c r="W534" i="1" s="1"/>
  <c r="E534" i="1"/>
  <c r="W533" i="1" a="1"/>
  <c r="W533" i="1" s="1"/>
  <c r="E533" i="1"/>
  <c r="W532" i="1" a="1"/>
  <c r="W532" i="1" s="1"/>
  <c r="E532" i="1"/>
  <c r="W531" i="1" a="1"/>
  <c r="W531" i="1" s="1"/>
  <c r="E531" i="1"/>
  <c r="W530" i="1" a="1"/>
  <c r="W530" i="1" s="1"/>
  <c r="E530" i="1"/>
  <c r="W529" i="1" a="1"/>
  <c r="W529" i="1" s="1"/>
  <c r="E529" i="1"/>
  <c r="W528" i="1" a="1"/>
  <c r="W528" i="1" s="1"/>
  <c r="E528" i="1"/>
  <c r="W527" i="1" a="1"/>
  <c r="W527" i="1" s="1"/>
  <c r="E527" i="1"/>
  <c r="W526" i="1" a="1"/>
  <c r="W526" i="1" s="1"/>
  <c r="E526" i="1"/>
  <c r="W525" i="1" a="1"/>
  <c r="W525" i="1" s="1"/>
  <c r="E525" i="1"/>
  <c r="W524" i="1" a="1"/>
  <c r="W524" i="1" s="1"/>
  <c r="E524" i="1"/>
  <c r="W523" i="1" a="1"/>
  <c r="W523" i="1" s="1"/>
  <c r="E523" i="1"/>
  <c r="W522" i="1" a="1"/>
  <c r="W522" i="1" s="1"/>
  <c r="E522" i="1"/>
  <c r="W521" i="1" a="1"/>
  <c r="W521" i="1" s="1"/>
  <c r="E521" i="1"/>
  <c r="W520" i="1" a="1"/>
  <c r="W520" i="1" s="1"/>
  <c r="E520" i="1"/>
  <c r="W519" i="1" a="1"/>
  <c r="W519" i="1" s="1"/>
  <c r="E519" i="1"/>
  <c r="W518" i="1" a="1"/>
  <c r="W518" i="1" s="1"/>
  <c r="E518" i="1"/>
  <c r="W517" i="1" a="1"/>
  <c r="W517" i="1" s="1"/>
  <c r="E517" i="1"/>
  <c r="W516" i="1" a="1"/>
  <c r="W516" i="1" s="1"/>
  <c r="E516" i="1"/>
  <c r="W515" i="1" a="1"/>
  <c r="W515" i="1" s="1"/>
  <c r="E515" i="1"/>
  <c r="W514" i="1" a="1"/>
  <c r="W514" i="1" s="1"/>
  <c r="E514" i="1"/>
  <c r="W513" i="1" a="1"/>
  <c r="W513" i="1" s="1"/>
  <c r="E513" i="1"/>
  <c r="W512" i="1" a="1"/>
  <c r="W512" i="1" s="1"/>
  <c r="E512" i="1"/>
  <c r="W511" i="1" a="1"/>
  <c r="W511" i="1" s="1"/>
  <c r="E511" i="1"/>
  <c r="W510" i="1" a="1"/>
  <c r="W510" i="1" s="1"/>
  <c r="E510" i="1"/>
  <c r="W509" i="1" a="1"/>
  <c r="W509" i="1" s="1"/>
  <c r="E509" i="1"/>
  <c r="W508" i="1" a="1"/>
  <c r="W508" i="1" s="1"/>
  <c r="E508" i="1"/>
  <c r="W507" i="1" a="1"/>
  <c r="W507" i="1" s="1"/>
  <c r="E507" i="1"/>
  <c r="W506" i="1" a="1"/>
  <c r="W506" i="1" s="1"/>
  <c r="E506" i="1"/>
  <c r="W505" i="1" a="1"/>
  <c r="W505" i="1" s="1"/>
  <c r="E505" i="1"/>
  <c r="W504" i="1" a="1"/>
  <c r="W504" i="1" s="1"/>
  <c r="E504" i="1"/>
  <c r="W503" i="1" a="1"/>
  <c r="W503" i="1" s="1"/>
  <c r="E503" i="1"/>
  <c r="W502" i="1" a="1"/>
  <c r="W502" i="1" s="1"/>
  <c r="E502" i="1"/>
  <c r="W501" i="1" a="1"/>
  <c r="W501" i="1" s="1"/>
  <c r="E501" i="1"/>
  <c r="W500" i="1" a="1"/>
  <c r="W500" i="1" s="1"/>
  <c r="E500" i="1"/>
  <c r="W499" i="1" a="1"/>
  <c r="W499" i="1" s="1"/>
  <c r="E499" i="1"/>
  <c r="W498" i="1" a="1"/>
  <c r="W498" i="1" s="1"/>
  <c r="E498" i="1"/>
  <c r="W497" i="1" a="1"/>
  <c r="W497" i="1" s="1"/>
  <c r="E497" i="1"/>
  <c r="W496" i="1" a="1"/>
  <c r="W496" i="1" s="1"/>
  <c r="E496" i="1"/>
  <c r="W495" i="1" a="1"/>
  <c r="W495" i="1" s="1"/>
  <c r="E495" i="1"/>
  <c r="W494" i="1" a="1"/>
  <c r="W494" i="1" s="1"/>
  <c r="E494" i="1"/>
  <c r="W493" i="1" a="1"/>
  <c r="W493" i="1" s="1"/>
  <c r="E493" i="1"/>
  <c r="W492" i="1" a="1"/>
  <c r="W492" i="1" s="1"/>
  <c r="E492" i="1"/>
  <c r="W491" i="1" a="1"/>
  <c r="W491" i="1" s="1"/>
  <c r="E491" i="1"/>
  <c r="W490" i="1" a="1"/>
  <c r="W490" i="1" s="1"/>
  <c r="E490" i="1"/>
  <c r="W489" i="1" a="1"/>
  <c r="W489" i="1" s="1"/>
  <c r="E489" i="1"/>
  <c r="W488" i="1" a="1"/>
  <c r="W488" i="1" s="1"/>
  <c r="E488" i="1"/>
  <c r="W487" i="1" a="1"/>
  <c r="W487" i="1" s="1"/>
  <c r="E487" i="1"/>
  <c r="W486" i="1" a="1"/>
  <c r="W486" i="1" s="1"/>
  <c r="E486" i="1"/>
  <c r="W485" i="1" a="1"/>
  <c r="W485" i="1" s="1"/>
  <c r="E485" i="1"/>
  <c r="W484" i="1" a="1"/>
  <c r="W484" i="1" s="1"/>
  <c r="E484" i="1"/>
  <c r="W483" i="1" a="1"/>
  <c r="W483" i="1" s="1"/>
  <c r="E483" i="1"/>
  <c r="W482" i="1" a="1"/>
  <c r="W482" i="1" s="1"/>
  <c r="E482" i="1"/>
  <c r="W481" i="1" a="1"/>
  <c r="W481" i="1" s="1"/>
  <c r="E481" i="1"/>
  <c r="W480" i="1" a="1"/>
  <c r="W480" i="1" s="1"/>
  <c r="E480" i="1"/>
  <c r="W479" i="1" a="1"/>
  <c r="W479" i="1" s="1"/>
  <c r="E479" i="1"/>
  <c r="W478" i="1" a="1"/>
  <c r="W478" i="1" s="1"/>
  <c r="E478" i="1"/>
  <c r="W477" i="1" a="1"/>
  <c r="W477" i="1" s="1"/>
  <c r="E477" i="1"/>
  <c r="W476" i="1" a="1"/>
  <c r="W476" i="1" s="1"/>
  <c r="E476" i="1"/>
  <c r="W475" i="1" a="1"/>
  <c r="W475" i="1" s="1"/>
  <c r="E475" i="1"/>
  <c r="W474" i="1" a="1"/>
  <c r="W474" i="1" s="1"/>
  <c r="E474" i="1"/>
  <c r="W473" i="1" a="1"/>
  <c r="W473" i="1" s="1"/>
  <c r="E473" i="1"/>
  <c r="W472" i="1" a="1"/>
  <c r="W472" i="1" s="1"/>
  <c r="E472" i="1"/>
  <c r="W471" i="1" a="1"/>
  <c r="W471" i="1" s="1"/>
  <c r="E471" i="1"/>
  <c r="W470" i="1" a="1"/>
  <c r="W470" i="1" s="1"/>
  <c r="E470" i="1"/>
  <c r="W469" i="1" a="1"/>
  <c r="W469" i="1" s="1"/>
  <c r="E469" i="1"/>
  <c r="W468" i="1" a="1"/>
  <c r="W468" i="1" s="1"/>
  <c r="E468" i="1"/>
  <c r="W467" i="1" a="1"/>
  <c r="W467" i="1" s="1"/>
  <c r="E467" i="1"/>
  <c r="W466" i="1" a="1"/>
  <c r="W466" i="1" s="1"/>
  <c r="E466" i="1"/>
  <c r="W465" i="1" a="1"/>
  <c r="W465" i="1" s="1"/>
  <c r="E465" i="1"/>
  <c r="W464" i="1" a="1"/>
  <c r="W464" i="1" s="1"/>
  <c r="E464" i="1"/>
  <c r="W463" i="1" a="1"/>
  <c r="W463" i="1" s="1"/>
  <c r="E463" i="1"/>
  <c r="W462" i="1" a="1"/>
  <c r="W462" i="1" s="1"/>
  <c r="E462" i="1"/>
  <c r="W461" i="1" a="1"/>
  <c r="W461" i="1" s="1"/>
  <c r="E461" i="1"/>
  <c r="W460" i="1" a="1"/>
  <c r="W460" i="1" s="1"/>
  <c r="E460" i="1"/>
  <c r="W459" i="1" a="1"/>
  <c r="W459" i="1" s="1"/>
  <c r="E459" i="1"/>
  <c r="W458" i="1" a="1"/>
  <c r="W458" i="1" s="1"/>
  <c r="E458" i="1"/>
  <c r="W457" i="1" a="1"/>
  <c r="W457" i="1" s="1"/>
  <c r="E457" i="1"/>
  <c r="W456" i="1" a="1"/>
  <c r="W456" i="1" s="1"/>
  <c r="E456" i="1"/>
  <c r="W455" i="1" a="1"/>
  <c r="W455" i="1" s="1"/>
  <c r="E455" i="1"/>
  <c r="W454" i="1" a="1"/>
  <c r="W454" i="1" s="1"/>
  <c r="E454" i="1"/>
  <c r="W453" i="1" a="1"/>
  <c r="W453" i="1" s="1"/>
  <c r="E453" i="1"/>
  <c r="W452" i="1" a="1"/>
  <c r="W452" i="1" s="1"/>
  <c r="E452" i="1"/>
  <c r="W451" i="1" a="1"/>
  <c r="W451" i="1" s="1"/>
  <c r="E451" i="1"/>
  <c r="W450" i="1" a="1"/>
  <c r="W450" i="1" s="1"/>
  <c r="E450" i="1"/>
  <c r="W449" i="1" a="1"/>
  <c r="W449" i="1" s="1"/>
  <c r="E449" i="1"/>
  <c r="W448" i="1" a="1"/>
  <c r="W448" i="1" s="1"/>
  <c r="E448" i="1"/>
  <c r="W447" i="1" a="1"/>
  <c r="W447" i="1" s="1"/>
  <c r="E447" i="1"/>
  <c r="W446" i="1" a="1"/>
  <c r="W446" i="1" s="1"/>
  <c r="E446" i="1"/>
  <c r="W445" i="1" a="1"/>
  <c r="W445" i="1" s="1"/>
  <c r="E445" i="1"/>
  <c r="W444" i="1" a="1"/>
  <c r="W444" i="1" s="1"/>
  <c r="E444" i="1"/>
  <c r="W443" i="1" a="1"/>
  <c r="W443" i="1" s="1"/>
  <c r="E443" i="1"/>
  <c r="W442" i="1" a="1"/>
  <c r="W442" i="1" s="1"/>
  <c r="E442" i="1"/>
  <c r="W441" i="1" a="1"/>
  <c r="W441" i="1" s="1"/>
  <c r="E441" i="1"/>
  <c r="W440" i="1" a="1"/>
  <c r="W440" i="1" s="1"/>
  <c r="E440" i="1"/>
  <c r="W439" i="1" a="1"/>
  <c r="W439" i="1" s="1"/>
  <c r="E439" i="1"/>
  <c r="W438" i="1" a="1"/>
  <c r="W438" i="1" s="1"/>
  <c r="E438" i="1"/>
  <c r="W437" i="1" a="1"/>
  <c r="W437" i="1" s="1"/>
  <c r="E437" i="1"/>
  <c r="W436" i="1" a="1"/>
  <c r="W436" i="1" s="1"/>
  <c r="E436" i="1"/>
  <c r="W435" i="1" a="1"/>
  <c r="W435" i="1" s="1"/>
  <c r="E435" i="1"/>
  <c r="W434" i="1" a="1"/>
  <c r="W434" i="1" s="1"/>
  <c r="E434" i="1"/>
  <c r="W433" i="1" a="1"/>
  <c r="W433" i="1" s="1"/>
  <c r="E433" i="1"/>
  <c r="W432" i="1" a="1"/>
  <c r="W432" i="1" s="1"/>
  <c r="E432" i="1"/>
  <c r="W431" i="1" a="1"/>
  <c r="W431" i="1" s="1"/>
  <c r="E431" i="1"/>
  <c r="W430" i="1" a="1"/>
  <c r="W430" i="1" s="1"/>
  <c r="E430" i="1"/>
  <c r="W429" i="1" a="1"/>
  <c r="W429" i="1" s="1"/>
  <c r="E429" i="1"/>
  <c r="W428" i="1" a="1"/>
  <c r="W428" i="1" s="1"/>
  <c r="E428" i="1"/>
  <c r="W427" i="1" a="1"/>
  <c r="W427" i="1" s="1"/>
  <c r="E427" i="1"/>
  <c r="W426" i="1" a="1"/>
  <c r="W426" i="1" s="1"/>
  <c r="E426" i="1"/>
  <c r="W425" i="1" a="1"/>
  <c r="W425" i="1" s="1"/>
  <c r="E425" i="1"/>
  <c r="W424" i="1" a="1"/>
  <c r="W424" i="1" s="1"/>
  <c r="E424" i="1"/>
  <c r="W423" i="1" a="1"/>
  <c r="W423" i="1" s="1"/>
  <c r="E423" i="1"/>
  <c r="W422" i="1" a="1"/>
  <c r="W422" i="1" s="1"/>
  <c r="E422" i="1"/>
  <c r="W421" i="1" a="1"/>
  <c r="W421" i="1" s="1"/>
  <c r="E421" i="1"/>
  <c r="W420" i="1" a="1"/>
  <c r="W420" i="1" s="1"/>
  <c r="E420" i="1"/>
  <c r="W419" i="1" a="1"/>
  <c r="W419" i="1" s="1"/>
  <c r="E419" i="1"/>
  <c r="W418" i="1" a="1"/>
  <c r="W418" i="1" s="1"/>
  <c r="E418" i="1"/>
  <c r="W417" i="1" a="1"/>
  <c r="W417" i="1" s="1"/>
  <c r="E417" i="1"/>
  <c r="W416" i="1" a="1"/>
  <c r="W416" i="1" s="1"/>
  <c r="E416" i="1"/>
  <c r="W415" i="1" a="1"/>
  <c r="W415" i="1" s="1"/>
  <c r="E415" i="1"/>
  <c r="W414" i="1" a="1"/>
  <c r="W414" i="1" s="1"/>
  <c r="E414" i="1"/>
  <c r="W413" i="1" a="1"/>
  <c r="W413" i="1" s="1"/>
  <c r="E413" i="1"/>
  <c r="W412" i="1" a="1"/>
  <c r="W412" i="1" s="1"/>
  <c r="E412" i="1"/>
  <c r="W411" i="1" a="1"/>
  <c r="W411" i="1" s="1"/>
  <c r="E411" i="1"/>
  <c r="W410" i="1" a="1"/>
  <c r="W410" i="1" s="1"/>
  <c r="E410" i="1"/>
  <c r="W409" i="1" a="1"/>
  <c r="W409" i="1" s="1"/>
  <c r="E409" i="1"/>
  <c r="W408" i="1" a="1"/>
  <c r="W408" i="1" s="1"/>
  <c r="E408" i="1"/>
  <c r="W407" i="1" a="1"/>
  <c r="W407" i="1" s="1"/>
  <c r="E407" i="1"/>
  <c r="W406" i="1" a="1"/>
  <c r="W406" i="1" s="1"/>
  <c r="E406" i="1"/>
  <c r="W405" i="1" a="1"/>
  <c r="W405" i="1" s="1"/>
  <c r="E405" i="1"/>
  <c r="W404" i="1" a="1"/>
  <c r="W404" i="1" s="1"/>
  <c r="E404" i="1"/>
  <c r="W403" i="1" a="1"/>
  <c r="W403" i="1" s="1"/>
  <c r="E403" i="1"/>
  <c r="W402" i="1" a="1"/>
  <c r="W402" i="1" s="1"/>
  <c r="E402" i="1"/>
  <c r="W401" i="1" a="1"/>
  <c r="W401" i="1" s="1"/>
  <c r="E401" i="1"/>
  <c r="W400" i="1" a="1"/>
  <c r="W400" i="1" s="1"/>
  <c r="E400" i="1"/>
  <c r="W399" i="1" a="1"/>
  <c r="W399" i="1" s="1"/>
  <c r="E399" i="1"/>
  <c r="W398" i="1" a="1"/>
  <c r="W398" i="1" s="1"/>
  <c r="E398" i="1"/>
  <c r="W397" i="1" a="1"/>
  <c r="W397" i="1" s="1"/>
  <c r="E397" i="1"/>
  <c r="W396" i="1" a="1"/>
  <c r="W396" i="1" s="1"/>
  <c r="E396" i="1"/>
  <c r="W395" i="1" a="1"/>
  <c r="W395" i="1" s="1"/>
  <c r="E395" i="1"/>
  <c r="W394" i="1" a="1"/>
  <c r="W394" i="1" s="1"/>
  <c r="E394" i="1"/>
  <c r="W393" i="1" a="1"/>
  <c r="W393" i="1" s="1"/>
  <c r="E393" i="1"/>
  <c r="W392" i="1" a="1"/>
  <c r="W392" i="1" s="1"/>
  <c r="E392" i="1"/>
  <c r="W391" i="1" a="1"/>
  <c r="W391" i="1" s="1"/>
  <c r="E391" i="1"/>
  <c r="W390" i="1" a="1"/>
  <c r="W390" i="1" s="1"/>
  <c r="E390" i="1"/>
  <c r="W389" i="1" a="1"/>
  <c r="W389" i="1" s="1"/>
  <c r="E389" i="1"/>
  <c r="W388" i="1" a="1"/>
  <c r="W388" i="1" s="1"/>
  <c r="E388" i="1"/>
  <c r="W387" i="1" a="1"/>
  <c r="W387" i="1" s="1"/>
  <c r="E387" i="1"/>
  <c r="W386" i="1" a="1"/>
  <c r="W386" i="1" s="1"/>
  <c r="E386" i="1"/>
  <c r="W385" i="1" a="1"/>
  <c r="W385" i="1" s="1"/>
  <c r="E385" i="1"/>
  <c r="W384" i="1" a="1"/>
  <c r="W384" i="1" s="1"/>
  <c r="E384" i="1"/>
  <c r="W383" i="1" a="1"/>
  <c r="W383" i="1" s="1"/>
  <c r="E383" i="1"/>
  <c r="W382" i="1" a="1"/>
  <c r="W382" i="1" s="1"/>
  <c r="E382" i="1"/>
  <c r="W381" i="1" a="1"/>
  <c r="W381" i="1" s="1"/>
  <c r="E381" i="1"/>
  <c r="W380" i="1" a="1"/>
  <c r="W380" i="1" s="1"/>
  <c r="E380" i="1"/>
  <c r="W379" i="1" a="1"/>
  <c r="W379" i="1" s="1"/>
  <c r="E379" i="1"/>
  <c r="W378" i="1" a="1"/>
  <c r="W378" i="1" s="1"/>
  <c r="E378" i="1"/>
  <c r="W377" i="1" a="1"/>
  <c r="W377" i="1" s="1"/>
  <c r="E377" i="1"/>
  <c r="W376" i="1" a="1"/>
  <c r="W376" i="1" s="1"/>
  <c r="E376" i="1"/>
  <c r="W375" i="1" a="1"/>
  <c r="W375" i="1" s="1"/>
  <c r="E375" i="1"/>
  <c r="W374" i="1" a="1"/>
  <c r="W374" i="1" s="1"/>
  <c r="E374" i="1"/>
  <c r="W373" i="1" a="1"/>
  <c r="W373" i="1" s="1"/>
  <c r="E373" i="1"/>
  <c r="W372" i="1" a="1"/>
  <c r="W372" i="1" s="1"/>
  <c r="E372" i="1"/>
  <c r="W371" i="1" a="1"/>
  <c r="W371" i="1" s="1"/>
  <c r="E371" i="1"/>
  <c r="W370" i="1" a="1"/>
  <c r="W370" i="1" s="1"/>
  <c r="E370" i="1"/>
  <c r="W369" i="1" a="1"/>
  <c r="W369" i="1" s="1"/>
  <c r="E369" i="1"/>
  <c r="W368" i="1" a="1"/>
  <c r="W368" i="1" s="1"/>
  <c r="E368" i="1"/>
  <c r="W367" i="1" a="1"/>
  <c r="W367" i="1" s="1"/>
  <c r="E367" i="1"/>
  <c r="W366" i="1" a="1"/>
  <c r="W366" i="1" s="1"/>
  <c r="E366" i="1"/>
  <c r="W365" i="1" a="1"/>
  <c r="W365" i="1" s="1"/>
  <c r="E365" i="1"/>
  <c r="W364" i="1" a="1"/>
  <c r="W364" i="1" s="1"/>
  <c r="E364" i="1"/>
  <c r="W363" i="1" a="1"/>
  <c r="W363" i="1" s="1"/>
  <c r="E363" i="1"/>
  <c r="W362" i="1" a="1"/>
  <c r="W362" i="1" s="1"/>
  <c r="E362" i="1"/>
  <c r="W361" i="1" a="1"/>
  <c r="W361" i="1" s="1"/>
  <c r="E361" i="1"/>
  <c r="W360" i="1" a="1"/>
  <c r="W360" i="1" s="1"/>
  <c r="E360" i="1"/>
  <c r="W359" i="1" a="1"/>
  <c r="W359" i="1" s="1"/>
  <c r="E359" i="1"/>
  <c r="W358" i="1" a="1"/>
  <c r="W358" i="1" s="1"/>
  <c r="E358" i="1"/>
  <c r="W357" i="1" a="1"/>
  <c r="W357" i="1" s="1"/>
  <c r="E357" i="1"/>
  <c r="W356" i="1" a="1"/>
  <c r="W356" i="1" s="1"/>
  <c r="E356" i="1"/>
  <c r="W355" i="1" a="1"/>
  <c r="W355" i="1" s="1"/>
  <c r="E355" i="1"/>
  <c r="W354" i="1" a="1"/>
  <c r="W354" i="1" s="1"/>
  <c r="E354" i="1"/>
  <c r="W353" i="1" a="1"/>
  <c r="W353" i="1" s="1"/>
  <c r="E353" i="1"/>
  <c r="W352" i="1" a="1"/>
  <c r="W352" i="1" s="1"/>
  <c r="E352" i="1"/>
  <c r="W351" i="1" a="1"/>
  <c r="W351" i="1" s="1"/>
  <c r="E351" i="1"/>
  <c r="W350" i="1" a="1"/>
  <c r="W350" i="1" s="1"/>
  <c r="E350" i="1"/>
  <c r="W349" i="1" a="1"/>
  <c r="W349" i="1" s="1"/>
  <c r="E349" i="1"/>
  <c r="W348" i="1" a="1"/>
  <c r="W348" i="1" s="1"/>
  <c r="E348" i="1"/>
  <c r="W347" i="1" a="1"/>
  <c r="W347" i="1" s="1"/>
  <c r="E347" i="1"/>
  <c r="W346" i="1" a="1"/>
  <c r="W346" i="1" s="1"/>
  <c r="E346" i="1"/>
  <c r="W345" i="1" a="1"/>
  <c r="W345" i="1" s="1"/>
  <c r="E345" i="1"/>
  <c r="W344" i="1" a="1"/>
  <c r="W344" i="1" s="1"/>
  <c r="E344" i="1"/>
  <c r="W343" i="1" a="1"/>
  <c r="W343" i="1" s="1"/>
  <c r="E343" i="1"/>
  <c r="W342" i="1" a="1"/>
  <c r="W342" i="1" s="1"/>
  <c r="E342" i="1"/>
  <c r="W341" i="1" a="1"/>
  <c r="W341" i="1" s="1"/>
  <c r="E341" i="1"/>
  <c r="W340" i="1" a="1"/>
  <c r="W340" i="1" s="1"/>
  <c r="E340" i="1"/>
  <c r="W339" i="1" a="1"/>
  <c r="W339" i="1" s="1"/>
  <c r="E339" i="1"/>
  <c r="W338" i="1" a="1"/>
  <c r="W338" i="1" s="1"/>
  <c r="E338" i="1"/>
  <c r="W337" i="1" a="1"/>
  <c r="W337" i="1" s="1"/>
  <c r="E337" i="1"/>
  <c r="W336" i="1" a="1"/>
  <c r="W336" i="1" s="1"/>
  <c r="E336" i="1"/>
  <c r="W335" i="1" a="1"/>
  <c r="W335" i="1" s="1"/>
  <c r="E335" i="1"/>
  <c r="W334" i="1" a="1"/>
  <c r="W334" i="1" s="1"/>
  <c r="E334" i="1"/>
  <c r="W333" i="1" a="1"/>
  <c r="W333" i="1" s="1"/>
  <c r="E333" i="1"/>
  <c r="W332" i="1" a="1"/>
  <c r="W332" i="1" s="1"/>
  <c r="E332" i="1"/>
  <c r="W331" i="1" a="1"/>
  <c r="W331" i="1" s="1"/>
  <c r="E331" i="1"/>
  <c r="W330" i="1" a="1"/>
  <c r="W330" i="1" s="1"/>
  <c r="E330" i="1"/>
  <c r="W329" i="1" a="1"/>
  <c r="W329" i="1" s="1"/>
  <c r="E329" i="1"/>
  <c r="W328" i="1" a="1"/>
  <c r="W328" i="1" s="1"/>
  <c r="E328" i="1"/>
  <c r="W327" i="1" a="1"/>
  <c r="W327" i="1" s="1"/>
  <c r="E327" i="1"/>
  <c r="W326" i="1" a="1"/>
  <c r="W326" i="1" s="1"/>
  <c r="E326" i="1"/>
  <c r="W325" i="1" a="1"/>
  <c r="W325" i="1" s="1"/>
  <c r="E325" i="1"/>
  <c r="W324" i="1" a="1"/>
  <c r="W324" i="1" s="1"/>
  <c r="E324" i="1"/>
  <c r="W323" i="1" a="1"/>
  <c r="W323" i="1" s="1"/>
  <c r="E323" i="1"/>
  <c r="W322" i="1" a="1"/>
  <c r="W322" i="1" s="1"/>
  <c r="E322" i="1"/>
  <c r="W321" i="1" a="1"/>
  <c r="W321" i="1" s="1"/>
  <c r="E321" i="1"/>
  <c r="W320" i="1" a="1"/>
  <c r="W320" i="1" s="1"/>
  <c r="E320" i="1"/>
  <c r="W319" i="1" a="1"/>
  <c r="W319" i="1" s="1"/>
  <c r="E319" i="1"/>
  <c r="W318" i="1" a="1"/>
  <c r="W318" i="1" s="1"/>
  <c r="E318" i="1"/>
  <c r="W317" i="1" a="1"/>
  <c r="W317" i="1" s="1"/>
  <c r="E317" i="1"/>
  <c r="W316" i="1" a="1"/>
  <c r="W316" i="1" s="1"/>
  <c r="E316" i="1"/>
  <c r="W315" i="1" a="1"/>
  <c r="W315" i="1" s="1"/>
  <c r="E315" i="1"/>
  <c r="W314" i="1" a="1"/>
  <c r="W314" i="1" s="1"/>
  <c r="E314" i="1"/>
  <c r="W313" i="1" a="1"/>
  <c r="W313" i="1" s="1"/>
  <c r="E313" i="1"/>
  <c r="W312" i="1" a="1"/>
  <c r="W312" i="1" s="1"/>
  <c r="E312" i="1"/>
  <c r="W311" i="1" a="1"/>
  <c r="W311" i="1" s="1"/>
  <c r="E311" i="1"/>
  <c r="W310" i="1" a="1"/>
  <c r="W310" i="1" s="1"/>
  <c r="E310" i="1"/>
  <c r="W309" i="1" a="1"/>
  <c r="W309" i="1" s="1"/>
  <c r="E309" i="1"/>
  <c r="W308" i="1" a="1"/>
  <c r="W308" i="1" s="1"/>
  <c r="E308" i="1"/>
  <c r="W307" i="1" a="1"/>
  <c r="W307" i="1" s="1"/>
  <c r="E307" i="1"/>
  <c r="W306" i="1" a="1"/>
  <c r="W306" i="1" s="1"/>
  <c r="E306" i="1"/>
  <c r="W305" i="1" a="1"/>
  <c r="W305" i="1" s="1"/>
  <c r="E305" i="1"/>
  <c r="W304" i="1" a="1"/>
  <c r="W304" i="1" s="1"/>
  <c r="E304" i="1"/>
  <c r="W303" i="1" a="1"/>
  <c r="W303" i="1" s="1"/>
  <c r="E303" i="1"/>
  <c r="W302" i="1" a="1"/>
  <c r="W302" i="1" s="1"/>
  <c r="E302" i="1"/>
  <c r="W301" i="1" a="1"/>
  <c r="W301" i="1" s="1"/>
  <c r="E301" i="1"/>
  <c r="W300" i="1" a="1"/>
  <c r="W300" i="1" s="1"/>
  <c r="E300" i="1"/>
  <c r="W299" i="1" a="1"/>
  <c r="W299" i="1" s="1"/>
  <c r="E299" i="1"/>
  <c r="W298" i="1" a="1"/>
  <c r="W298" i="1" s="1"/>
  <c r="E298" i="1"/>
  <c r="W297" i="1" a="1"/>
  <c r="W297" i="1" s="1"/>
  <c r="E297" i="1"/>
  <c r="W296" i="1" a="1"/>
  <c r="W296" i="1" s="1"/>
  <c r="E296" i="1"/>
  <c r="W295" i="1" a="1"/>
  <c r="W295" i="1" s="1"/>
  <c r="E295" i="1"/>
  <c r="W294" i="1" a="1"/>
  <c r="W294" i="1" s="1"/>
  <c r="E294" i="1"/>
  <c r="W293" i="1" a="1"/>
  <c r="W293" i="1" s="1"/>
  <c r="E293" i="1"/>
  <c r="W292" i="1" a="1"/>
  <c r="W292" i="1" s="1"/>
  <c r="E292" i="1"/>
  <c r="W291" i="1" a="1"/>
  <c r="W291" i="1" s="1"/>
  <c r="E291" i="1"/>
  <c r="W290" i="1" a="1"/>
  <c r="W290" i="1" s="1"/>
  <c r="E290" i="1"/>
  <c r="W289" i="1" a="1"/>
  <c r="W289" i="1" s="1"/>
  <c r="E289" i="1"/>
  <c r="W288" i="1" a="1"/>
  <c r="W288" i="1" s="1"/>
  <c r="E288" i="1"/>
  <c r="W287" i="1" a="1"/>
  <c r="W287" i="1" s="1"/>
  <c r="E287" i="1"/>
  <c r="W286" i="1" a="1"/>
  <c r="W286" i="1" s="1"/>
  <c r="E286" i="1"/>
  <c r="W285" i="1" a="1"/>
  <c r="W285" i="1" s="1"/>
  <c r="E285" i="1"/>
  <c r="W284" i="1" a="1"/>
  <c r="W284" i="1" s="1"/>
  <c r="E284" i="1"/>
  <c r="W283" i="1" a="1"/>
  <c r="W283" i="1" s="1"/>
  <c r="E283" i="1"/>
  <c r="W282" i="1" a="1"/>
  <c r="W282" i="1" s="1"/>
  <c r="E282" i="1"/>
  <c r="W281" i="1" a="1"/>
  <c r="W281" i="1" s="1"/>
  <c r="E281" i="1"/>
  <c r="W280" i="1" a="1"/>
  <c r="W280" i="1" s="1"/>
  <c r="E280" i="1"/>
  <c r="W279" i="1" a="1"/>
  <c r="W279" i="1" s="1"/>
  <c r="E279" i="1"/>
  <c r="W278" i="1" a="1"/>
  <c r="W278" i="1" s="1"/>
  <c r="E278" i="1"/>
  <c r="W277" i="1" a="1"/>
  <c r="W277" i="1" s="1"/>
  <c r="E277" i="1"/>
  <c r="W276" i="1" a="1"/>
  <c r="W276" i="1" s="1"/>
  <c r="E276" i="1"/>
  <c r="W275" i="1" a="1"/>
  <c r="W275" i="1" s="1"/>
  <c r="E275" i="1"/>
  <c r="W274" i="1" a="1"/>
  <c r="W274" i="1" s="1"/>
  <c r="E274" i="1"/>
  <c r="W273" i="1" a="1"/>
  <c r="W273" i="1" s="1"/>
  <c r="E273" i="1"/>
  <c r="W272" i="1" a="1"/>
  <c r="W272" i="1" s="1"/>
  <c r="E272" i="1"/>
  <c r="W271" i="1" a="1"/>
  <c r="W271" i="1" s="1"/>
  <c r="E271" i="1"/>
  <c r="W270" i="1" a="1"/>
  <c r="W270" i="1" s="1"/>
  <c r="E270" i="1"/>
  <c r="W269" i="1" a="1"/>
  <c r="W269" i="1" s="1"/>
  <c r="E269" i="1"/>
  <c r="W268" i="1" a="1"/>
  <c r="W268" i="1" s="1"/>
  <c r="E268" i="1"/>
  <c r="W267" i="1" a="1"/>
  <c r="W267" i="1" s="1"/>
  <c r="E267" i="1"/>
  <c r="W266" i="1" a="1"/>
  <c r="W266" i="1" s="1"/>
  <c r="E266" i="1"/>
  <c r="W265" i="1" a="1"/>
  <c r="W265" i="1" s="1"/>
  <c r="E265" i="1"/>
  <c r="W264" i="1" a="1"/>
  <c r="W264" i="1" s="1"/>
  <c r="E264" i="1"/>
  <c r="W263" i="1" a="1"/>
  <c r="W263" i="1" s="1"/>
  <c r="E263" i="1"/>
  <c r="W262" i="1" a="1"/>
  <c r="W262" i="1" s="1"/>
  <c r="E262" i="1"/>
  <c r="W261" i="1" a="1"/>
  <c r="W261" i="1" s="1"/>
  <c r="E261" i="1"/>
  <c r="W260" i="1" a="1"/>
  <c r="W260" i="1" s="1"/>
  <c r="E260" i="1"/>
  <c r="W259" i="1" a="1"/>
  <c r="W259" i="1" s="1"/>
  <c r="E259" i="1"/>
  <c r="W258" i="1" a="1"/>
  <c r="W258" i="1" s="1"/>
  <c r="E258" i="1"/>
  <c r="W257" i="1" a="1"/>
  <c r="W257" i="1" s="1"/>
  <c r="E257" i="1"/>
  <c r="W256" i="1" a="1"/>
  <c r="W256" i="1" s="1"/>
  <c r="E256" i="1"/>
  <c r="W255" i="1" a="1"/>
  <c r="W255" i="1" s="1"/>
  <c r="E255" i="1"/>
  <c r="W254" i="1" a="1"/>
  <c r="W254" i="1" s="1"/>
  <c r="E254" i="1"/>
  <c r="W253" i="1" a="1"/>
  <c r="W253" i="1" s="1"/>
  <c r="E253" i="1"/>
  <c r="W252" i="1" a="1"/>
  <c r="W252" i="1" s="1"/>
  <c r="E252" i="1"/>
  <c r="W251" i="1" a="1"/>
  <c r="W251" i="1" s="1"/>
  <c r="E251" i="1"/>
  <c r="W250" i="1" a="1"/>
  <c r="W250" i="1" s="1"/>
  <c r="E250" i="1"/>
  <c r="W249" i="1" a="1"/>
  <c r="W249" i="1" s="1"/>
  <c r="E249" i="1"/>
  <c r="W248" i="1" a="1"/>
  <c r="W248" i="1" s="1"/>
  <c r="E248" i="1"/>
  <c r="W247" i="1" a="1"/>
  <c r="W247" i="1" s="1"/>
  <c r="E247" i="1"/>
  <c r="W246" i="1" a="1"/>
  <c r="W246" i="1" s="1"/>
  <c r="E246" i="1"/>
  <c r="W245" i="1" a="1"/>
  <c r="W245" i="1" s="1"/>
  <c r="E245" i="1"/>
  <c r="W244" i="1" a="1"/>
  <c r="W244" i="1" s="1"/>
  <c r="E244" i="1"/>
  <c r="W243" i="1" a="1"/>
  <c r="W243" i="1" s="1"/>
  <c r="E243" i="1"/>
  <c r="W242" i="1" a="1"/>
  <c r="W242" i="1" s="1"/>
  <c r="E242" i="1"/>
  <c r="W241" i="1" a="1"/>
  <c r="W241" i="1" s="1"/>
  <c r="E241" i="1"/>
  <c r="W240" i="1" a="1"/>
  <c r="W240" i="1" s="1"/>
  <c r="E240" i="1"/>
  <c r="W239" i="1" a="1"/>
  <c r="W239" i="1" s="1"/>
  <c r="E239" i="1"/>
  <c r="W238" i="1" a="1"/>
  <c r="W238" i="1" s="1"/>
  <c r="E238" i="1"/>
  <c r="W237" i="1" a="1"/>
  <c r="W237" i="1" s="1"/>
  <c r="E237" i="1"/>
  <c r="W236" i="1" a="1"/>
  <c r="W236" i="1" s="1"/>
  <c r="E236" i="1"/>
  <c r="W235" i="1" a="1"/>
  <c r="W235" i="1" s="1"/>
  <c r="E235" i="1"/>
  <c r="W234" i="1" a="1"/>
  <c r="W234" i="1" s="1"/>
  <c r="E234" i="1"/>
  <c r="W233" i="1" a="1"/>
  <c r="W233" i="1" s="1"/>
  <c r="E233" i="1"/>
  <c r="W232" i="1" a="1"/>
  <c r="W232" i="1" s="1"/>
  <c r="E232" i="1"/>
  <c r="W231" i="1" a="1"/>
  <c r="W231" i="1" s="1"/>
  <c r="E231" i="1"/>
  <c r="W230" i="1" a="1"/>
  <c r="W230" i="1" s="1"/>
  <c r="E230" i="1"/>
  <c r="W229" i="1" a="1"/>
  <c r="W229" i="1" s="1"/>
  <c r="E229" i="1"/>
  <c r="W228" i="1" a="1"/>
  <c r="W228" i="1" s="1"/>
  <c r="E228" i="1"/>
  <c r="W227" i="1" a="1"/>
  <c r="W227" i="1" s="1"/>
  <c r="E227" i="1"/>
  <c r="W226" i="1" a="1"/>
  <c r="W226" i="1" s="1"/>
  <c r="E226" i="1"/>
  <c r="W225" i="1" a="1"/>
  <c r="W225" i="1" s="1"/>
  <c r="E225" i="1"/>
  <c r="W224" i="1" a="1"/>
  <c r="W224" i="1" s="1"/>
  <c r="E224" i="1"/>
  <c r="W223" i="1" a="1"/>
  <c r="W223" i="1" s="1"/>
  <c r="E223" i="1"/>
  <c r="W222" i="1" a="1"/>
  <c r="W222" i="1" s="1"/>
  <c r="E222" i="1"/>
  <c r="W221" i="1" a="1"/>
  <c r="W221" i="1" s="1"/>
  <c r="E221" i="1"/>
  <c r="W220" i="1" a="1"/>
  <c r="W220" i="1" s="1"/>
  <c r="E220" i="1"/>
  <c r="W219" i="1" a="1"/>
  <c r="W219" i="1" s="1"/>
  <c r="E219" i="1"/>
  <c r="W218" i="1" a="1"/>
  <c r="W218" i="1" s="1"/>
  <c r="E218" i="1"/>
  <c r="W217" i="1" a="1"/>
  <c r="W217" i="1" s="1"/>
  <c r="E217" i="1"/>
  <c r="W216" i="1" a="1"/>
  <c r="W216" i="1" s="1"/>
  <c r="E216" i="1"/>
  <c r="W215" i="1" a="1"/>
  <c r="W215" i="1" s="1"/>
  <c r="E215" i="1"/>
  <c r="W214" i="1" a="1"/>
  <c r="W214" i="1" s="1"/>
  <c r="E214" i="1"/>
  <c r="W213" i="1" a="1"/>
  <c r="W213" i="1" s="1"/>
  <c r="E213" i="1"/>
  <c r="W212" i="1" a="1"/>
  <c r="W212" i="1" s="1"/>
  <c r="E212" i="1"/>
  <c r="W211" i="1" a="1"/>
  <c r="W211" i="1" s="1"/>
  <c r="E211" i="1"/>
  <c r="W210" i="1" a="1"/>
  <c r="W210" i="1" s="1"/>
  <c r="E210" i="1"/>
  <c r="W209" i="1" a="1"/>
  <c r="W209" i="1" s="1"/>
  <c r="E209" i="1"/>
  <c r="W208" i="1" a="1"/>
  <c r="W208" i="1" s="1"/>
  <c r="E208" i="1"/>
  <c r="W207" i="1" a="1"/>
  <c r="W207" i="1" s="1"/>
  <c r="E207" i="1"/>
  <c r="W206" i="1" a="1"/>
  <c r="W206" i="1" s="1"/>
  <c r="E206" i="1"/>
  <c r="W205" i="1" a="1"/>
  <c r="W205" i="1" s="1"/>
  <c r="E205" i="1"/>
  <c r="W204" i="1" a="1"/>
  <c r="W204" i="1" s="1"/>
  <c r="E204" i="1"/>
  <c r="W203" i="1" a="1"/>
  <c r="W203" i="1" s="1"/>
  <c r="E203" i="1"/>
  <c r="W202" i="1" a="1"/>
  <c r="W202" i="1" s="1"/>
  <c r="E202" i="1"/>
  <c r="W201" i="1" a="1"/>
  <c r="W201" i="1" s="1"/>
  <c r="E201" i="1"/>
  <c r="W200" i="1" a="1"/>
  <c r="W200" i="1" s="1"/>
  <c r="E200" i="1"/>
  <c r="W199" i="1" a="1"/>
  <c r="W199" i="1" s="1"/>
  <c r="E199" i="1"/>
  <c r="W198" i="1" a="1"/>
  <c r="W198" i="1" s="1"/>
  <c r="E198" i="1"/>
  <c r="W197" i="1" a="1"/>
  <c r="W197" i="1" s="1"/>
  <c r="E197" i="1"/>
  <c r="W196" i="1" a="1"/>
  <c r="W196" i="1" s="1"/>
  <c r="E196" i="1"/>
  <c r="W195" i="1" a="1"/>
  <c r="W195" i="1" s="1"/>
  <c r="E195" i="1"/>
  <c r="W194" i="1" a="1"/>
  <c r="W194" i="1" s="1"/>
  <c r="E194" i="1"/>
  <c r="W193" i="1" a="1"/>
  <c r="W193" i="1" s="1"/>
  <c r="E193" i="1"/>
  <c r="W192" i="1" a="1"/>
  <c r="W192" i="1" s="1"/>
  <c r="E192" i="1"/>
  <c r="W191" i="1" a="1"/>
  <c r="W191" i="1" s="1"/>
  <c r="E191" i="1"/>
  <c r="W190" i="1" a="1"/>
  <c r="W190" i="1" s="1"/>
  <c r="E190" i="1"/>
  <c r="W189" i="1" a="1"/>
  <c r="W189" i="1" s="1"/>
  <c r="E189" i="1"/>
  <c r="W188" i="1" a="1"/>
  <c r="W188" i="1" s="1"/>
  <c r="E188" i="1"/>
  <c r="W187" i="1" a="1"/>
  <c r="W187" i="1" s="1"/>
  <c r="E187" i="1"/>
  <c r="W186" i="1" a="1"/>
  <c r="W186" i="1" s="1"/>
  <c r="E186" i="1"/>
  <c r="W185" i="1" a="1"/>
  <c r="W185" i="1" s="1"/>
  <c r="E185" i="1"/>
  <c r="W184" i="1" a="1"/>
  <c r="W184" i="1" s="1"/>
  <c r="E184" i="1"/>
  <c r="W183" i="1" a="1"/>
  <c r="W183" i="1" s="1"/>
  <c r="E183" i="1"/>
  <c r="W182" i="1" a="1"/>
  <c r="W182" i="1" s="1"/>
  <c r="E182" i="1"/>
  <c r="W181" i="1" a="1"/>
  <c r="W181" i="1" s="1"/>
  <c r="E181" i="1"/>
  <c r="W180" i="1" a="1"/>
  <c r="W180" i="1" s="1"/>
  <c r="E180" i="1"/>
  <c r="W179" i="1" a="1"/>
  <c r="W179" i="1" s="1"/>
  <c r="E179" i="1"/>
  <c r="W178" i="1" a="1"/>
  <c r="W178" i="1" s="1"/>
  <c r="E178" i="1"/>
  <c r="W177" i="1" a="1"/>
  <c r="W177" i="1" s="1"/>
  <c r="E177" i="1"/>
  <c r="W176" i="1" a="1"/>
  <c r="W176" i="1" s="1"/>
  <c r="E176" i="1"/>
  <c r="W175" i="1" a="1"/>
  <c r="W175" i="1" s="1"/>
  <c r="E175" i="1"/>
  <c r="W174" i="1" a="1"/>
  <c r="W174" i="1" s="1"/>
  <c r="E174" i="1"/>
  <c r="W173" i="1" a="1"/>
  <c r="W173" i="1" s="1"/>
  <c r="E173" i="1"/>
  <c r="W172" i="1" a="1"/>
  <c r="W172" i="1" s="1"/>
  <c r="E172" i="1"/>
  <c r="W171" i="1" a="1"/>
  <c r="W171" i="1" s="1"/>
  <c r="E171" i="1"/>
  <c r="W170" i="1" a="1"/>
  <c r="W170" i="1" s="1"/>
  <c r="E170" i="1"/>
  <c r="W169" i="1" a="1"/>
  <c r="W169" i="1" s="1"/>
  <c r="E169" i="1"/>
  <c r="W168" i="1" a="1"/>
  <c r="W168" i="1" s="1"/>
  <c r="E168" i="1"/>
  <c r="W167" i="1" a="1"/>
  <c r="W167" i="1" s="1"/>
  <c r="E167" i="1"/>
  <c r="W166" i="1" a="1"/>
  <c r="W166" i="1" s="1"/>
  <c r="E166" i="1"/>
  <c r="W165" i="1" a="1"/>
  <c r="W165" i="1" s="1"/>
  <c r="E165" i="1"/>
  <c r="W164" i="1" a="1"/>
  <c r="W164" i="1" s="1"/>
  <c r="E164" i="1"/>
  <c r="W163" i="1" a="1"/>
  <c r="W163" i="1" s="1"/>
  <c r="E163" i="1"/>
  <c r="W162" i="1" a="1"/>
  <c r="W162" i="1" s="1"/>
  <c r="E162" i="1"/>
  <c r="W161" i="1" a="1"/>
  <c r="W161" i="1" s="1"/>
  <c r="E161" i="1"/>
  <c r="W160" i="1" a="1"/>
  <c r="W160" i="1" s="1"/>
  <c r="E160" i="1"/>
  <c r="W159" i="1" a="1"/>
  <c r="W159" i="1" s="1"/>
  <c r="E159" i="1"/>
  <c r="W158" i="1" a="1"/>
  <c r="W158" i="1" s="1"/>
  <c r="E158" i="1"/>
  <c r="W157" i="1" a="1"/>
  <c r="W157" i="1" s="1"/>
  <c r="E157" i="1"/>
  <c r="W156" i="1" a="1"/>
  <c r="W156" i="1" s="1"/>
  <c r="E156" i="1"/>
  <c r="W155" i="1" a="1"/>
  <c r="W155" i="1" s="1"/>
  <c r="E155" i="1"/>
  <c r="W154" i="1" a="1"/>
  <c r="W154" i="1" s="1"/>
  <c r="E154" i="1"/>
  <c r="W153" i="1" a="1"/>
  <c r="W153" i="1" s="1"/>
  <c r="E153" i="1"/>
  <c r="W152" i="1" a="1"/>
  <c r="W152" i="1" s="1"/>
  <c r="E152" i="1"/>
  <c r="W151" i="1" a="1"/>
  <c r="W151" i="1" s="1"/>
  <c r="E151" i="1"/>
  <c r="W150" i="1" a="1"/>
  <c r="W150" i="1" s="1"/>
  <c r="E150" i="1"/>
  <c r="W149" i="1" a="1"/>
  <c r="W149" i="1" s="1"/>
  <c r="E149" i="1"/>
  <c r="W148" i="1" a="1"/>
  <c r="W148" i="1" s="1"/>
  <c r="E148" i="1"/>
  <c r="W147" i="1" a="1"/>
  <c r="W147" i="1" s="1"/>
  <c r="E147" i="1"/>
  <c r="W146" i="1" a="1"/>
  <c r="W146" i="1" s="1"/>
  <c r="E146" i="1"/>
  <c r="W145" i="1" a="1"/>
  <c r="W145" i="1" s="1"/>
  <c r="E145" i="1"/>
  <c r="W144" i="1" a="1"/>
  <c r="W144" i="1" s="1"/>
  <c r="E144" i="1"/>
  <c r="W143" i="1" a="1"/>
  <c r="W143" i="1" s="1"/>
  <c r="E143" i="1"/>
  <c r="W142" i="1" a="1"/>
  <c r="W142" i="1" s="1"/>
  <c r="E142" i="1"/>
  <c r="W141" i="1" a="1"/>
  <c r="W141" i="1" s="1"/>
  <c r="E141" i="1"/>
  <c r="W140" i="1" a="1"/>
  <c r="W140" i="1" s="1"/>
  <c r="E140" i="1"/>
  <c r="W139" i="1" a="1"/>
  <c r="W139" i="1" s="1"/>
  <c r="E139" i="1"/>
  <c r="W138" i="1" a="1"/>
  <c r="W138" i="1" s="1"/>
  <c r="E138" i="1"/>
  <c r="W137" i="1" a="1"/>
  <c r="W137" i="1" s="1"/>
  <c r="E137" i="1"/>
  <c r="W136" i="1" a="1"/>
  <c r="W136" i="1" s="1"/>
  <c r="E136" i="1"/>
  <c r="W135" i="1" a="1"/>
  <c r="W135" i="1" s="1"/>
  <c r="E135" i="1"/>
  <c r="W134" i="1" a="1"/>
  <c r="W134" i="1" s="1"/>
  <c r="E134" i="1"/>
  <c r="W133" i="1" a="1"/>
  <c r="W133" i="1" s="1"/>
  <c r="E133" i="1"/>
  <c r="W132" i="1" a="1"/>
  <c r="W132" i="1" s="1"/>
  <c r="E132" i="1"/>
  <c r="W131" i="1" a="1"/>
  <c r="W131" i="1" s="1"/>
  <c r="E131" i="1"/>
  <c r="W130" i="1" a="1"/>
  <c r="W130" i="1" s="1"/>
  <c r="E130" i="1"/>
  <c r="W129" i="1" a="1"/>
  <c r="W129" i="1" s="1"/>
  <c r="E129" i="1"/>
  <c r="W128" i="1" a="1"/>
  <c r="W128" i="1" s="1"/>
  <c r="E128" i="1"/>
  <c r="W127" i="1" a="1"/>
  <c r="W127" i="1" s="1"/>
  <c r="E127" i="1"/>
  <c r="W126" i="1" a="1"/>
  <c r="W126" i="1" s="1"/>
  <c r="E126" i="1"/>
  <c r="W125" i="1" a="1"/>
  <c r="W125" i="1" s="1"/>
  <c r="E125" i="1"/>
  <c r="W124" i="1" a="1"/>
  <c r="W124" i="1" s="1"/>
  <c r="E124" i="1"/>
  <c r="W123" i="1" a="1"/>
  <c r="W123" i="1" s="1"/>
  <c r="E123" i="1"/>
  <c r="W122" i="1" a="1"/>
  <c r="W122" i="1" s="1"/>
  <c r="E122" i="1"/>
  <c r="W121" i="1" a="1"/>
  <c r="W121" i="1" s="1"/>
  <c r="E121" i="1"/>
  <c r="W120" i="1" a="1"/>
  <c r="W120" i="1" s="1"/>
  <c r="E120" i="1"/>
  <c r="W119" i="1" a="1"/>
  <c r="W119" i="1" s="1"/>
  <c r="E119" i="1"/>
  <c r="W118" i="1" a="1"/>
  <c r="W118" i="1" s="1"/>
  <c r="E118" i="1"/>
  <c r="W117" i="1" a="1"/>
  <c r="W117" i="1" s="1"/>
  <c r="E117" i="1"/>
  <c r="W116" i="1" a="1"/>
  <c r="W116" i="1" s="1"/>
  <c r="E116" i="1"/>
  <c r="W115" i="1" a="1"/>
  <c r="W115" i="1" s="1"/>
  <c r="E115" i="1"/>
  <c r="W114" i="1" a="1"/>
  <c r="W114" i="1" s="1"/>
  <c r="E114" i="1"/>
  <c r="W113" i="1" a="1"/>
  <c r="W113" i="1" s="1"/>
  <c r="E113" i="1"/>
  <c r="W112" i="1" a="1"/>
  <c r="W112" i="1" s="1"/>
  <c r="E112" i="1"/>
  <c r="W111" i="1" a="1"/>
  <c r="W111" i="1" s="1"/>
  <c r="E111" i="1"/>
  <c r="W110" i="1" a="1"/>
  <c r="W110" i="1" s="1"/>
  <c r="E110" i="1"/>
  <c r="W109" i="1" a="1"/>
  <c r="W109" i="1" s="1"/>
  <c r="E109" i="1"/>
  <c r="W108" i="1" a="1"/>
  <c r="W108" i="1" s="1"/>
  <c r="E108" i="1"/>
  <c r="W107" i="1" a="1"/>
  <c r="W107" i="1" s="1"/>
  <c r="E107" i="1"/>
  <c r="W106" i="1" a="1"/>
  <c r="W106" i="1" s="1"/>
  <c r="E106" i="1"/>
  <c r="W105" i="1" a="1"/>
  <c r="W105" i="1" s="1"/>
  <c r="E105" i="1"/>
  <c r="W104" i="1" a="1"/>
  <c r="W104" i="1" s="1"/>
  <c r="E104" i="1"/>
  <c r="W103" i="1" a="1"/>
  <c r="W103" i="1" s="1"/>
  <c r="E103" i="1"/>
  <c r="W102" i="1" a="1"/>
  <c r="W102" i="1" s="1"/>
  <c r="E102" i="1"/>
  <c r="W101" i="1" a="1"/>
  <c r="W101" i="1" s="1"/>
  <c r="E101" i="1"/>
  <c r="W100" i="1" a="1"/>
  <c r="W100" i="1" s="1"/>
  <c r="E100" i="1"/>
  <c r="W99" i="1" a="1"/>
  <c r="W99" i="1" s="1"/>
  <c r="E99" i="1"/>
  <c r="W98" i="1" a="1"/>
  <c r="W98" i="1" s="1"/>
  <c r="E98" i="1"/>
  <c r="W97" i="1" a="1"/>
  <c r="W97" i="1" s="1"/>
  <c r="E97" i="1"/>
  <c r="W96" i="1" a="1"/>
  <c r="W96" i="1" s="1"/>
  <c r="E96" i="1"/>
  <c r="W95" i="1" a="1"/>
  <c r="W95" i="1" s="1"/>
  <c r="E95" i="1"/>
  <c r="W94" i="1" a="1"/>
  <c r="W94" i="1" s="1"/>
  <c r="E94" i="1"/>
  <c r="W93" i="1" a="1"/>
  <c r="W93" i="1" s="1"/>
  <c r="E93" i="1"/>
  <c r="W92" i="1" a="1"/>
  <c r="W92" i="1" s="1"/>
  <c r="E92" i="1"/>
  <c r="W91" i="1" a="1"/>
  <c r="W91" i="1" s="1"/>
  <c r="E91" i="1"/>
  <c r="W90" i="1" a="1"/>
  <c r="W90" i="1" s="1"/>
  <c r="E90" i="1"/>
  <c r="W89" i="1" a="1"/>
  <c r="W89" i="1" s="1"/>
  <c r="E89" i="1"/>
  <c r="W88" i="1" a="1"/>
  <c r="W88" i="1" s="1"/>
  <c r="E88" i="1"/>
  <c r="W87" i="1" a="1"/>
  <c r="W87" i="1" s="1"/>
  <c r="E87" i="1"/>
  <c r="W86" i="1" a="1"/>
  <c r="W86" i="1" s="1"/>
  <c r="E86" i="1"/>
  <c r="W85" i="1" a="1"/>
  <c r="W85" i="1" s="1"/>
  <c r="E85" i="1"/>
  <c r="W84" i="1" a="1"/>
  <c r="W84" i="1" s="1"/>
  <c r="E84" i="1"/>
  <c r="W83" i="1" a="1"/>
  <c r="W83" i="1" s="1"/>
  <c r="E83" i="1"/>
  <c r="W82" i="1" a="1"/>
  <c r="W82" i="1" s="1"/>
  <c r="E82" i="1"/>
  <c r="W81" i="1" a="1"/>
  <c r="W81" i="1" s="1"/>
  <c r="E81" i="1"/>
  <c r="W80" i="1" a="1"/>
  <c r="W80" i="1" s="1"/>
  <c r="E80" i="1"/>
  <c r="W79" i="1" a="1"/>
  <c r="W79" i="1" s="1"/>
  <c r="E79" i="1"/>
  <c r="W78" i="1" a="1"/>
  <c r="W78" i="1" s="1"/>
  <c r="E78" i="1"/>
  <c r="W77" i="1" a="1"/>
  <c r="W77" i="1" s="1"/>
  <c r="E77" i="1"/>
  <c r="W76" i="1" a="1"/>
  <c r="W76" i="1" s="1"/>
  <c r="E76" i="1"/>
  <c r="W75" i="1" a="1"/>
  <c r="W75" i="1" s="1"/>
  <c r="E75" i="1"/>
  <c r="W74" i="1" a="1"/>
  <c r="W74" i="1" s="1"/>
  <c r="E74" i="1"/>
  <c r="W73" i="1" a="1"/>
  <c r="W73" i="1" s="1"/>
  <c r="E73" i="1"/>
  <c r="W72" i="1" a="1"/>
  <c r="W72" i="1" s="1"/>
  <c r="E72" i="1"/>
  <c r="W71" i="1" a="1"/>
  <c r="W71" i="1" s="1"/>
  <c r="E71" i="1"/>
  <c r="W70" i="1" a="1"/>
  <c r="W70" i="1" s="1"/>
  <c r="E70" i="1"/>
  <c r="W69" i="1" a="1"/>
  <c r="W69" i="1" s="1"/>
  <c r="E69" i="1"/>
  <c r="W68" i="1" a="1"/>
  <c r="W68" i="1" s="1"/>
  <c r="E68" i="1"/>
  <c r="W67" i="1" a="1"/>
  <c r="W67" i="1" s="1"/>
  <c r="E67" i="1"/>
  <c r="W66" i="1" a="1"/>
  <c r="W66" i="1" s="1"/>
  <c r="E66" i="1"/>
  <c r="W65" i="1" a="1"/>
  <c r="W65" i="1" s="1"/>
  <c r="E65" i="1"/>
  <c r="W64" i="1" a="1"/>
  <c r="W64" i="1" s="1"/>
  <c r="E64" i="1"/>
  <c r="W63" i="1" a="1"/>
  <c r="W63" i="1" s="1"/>
  <c r="E63" i="1"/>
  <c r="W62" i="1" a="1"/>
  <c r="W62" i="1" s="1"/>
  <c r="E62" i="1"/>
  <c r="W61" i="1" a="1"/>
  <c r="W61" i="1" s="1"/>
  <c r="E61" i="1"/>
  <c r="W60" i="1" a="1"/>
  <c r="W60" i="1" s="1"/>
  <c r="E60" i="1"/>
  <c r="W59" i="1" a="1"/>
  <c r="W59" i="1" s="1"/>
  <c r="E59" i="1"/>
  <c r="W58" i="1" a="1"/>
  <c r="W58" i="1" s="1"/>
  <c r="E58" i="1"/>
  <c r="W57" i="1" a="1"/>
  <c r="W57" i="1" s="1"/>
  <c r="E57" i="1"/>
  <c r="W56" i="1" a="1"/>
  <c r="W56" i="1" s="1"/>
  <c r="E56" i="1"/>
  <c r="W55" i="1" a="1"/>
  <c r="W55" i="1" s="1"/>
  <c r="E55" i="1"/>
  <c r="W54" i="1" a="1"/>
  <c r="W54" i="1" s="1"/>
  <c r="E54" i="1"/>
  <c r="W53" i="1" a="1"/>
  <c r="W53" i="1" s="1"/>
  <c r="E53" i="1"/>
  <c r="W52" i="1" a="1"/>
  <c r="W52" i="1" s="1"/>
  <c r="E52" i="1"/>
  <c r="W51" i="1" a="1"/>
  <c r="W51" i="1" s="1"/>
  <c r="E51" i="1"/>
  <c r="W50" i="1" a="1"/>
  <c r="W50" i="1" s="1"/>
  <c r="E50" i="1"/>
  <c r="W49" i="1" a="1"/>
  <c r="W49" i="1" s="1"/>
  <c r="E49" i="1"/>
  <c r="W48" i="1" a="1"/>
  <c r="W48" i="1" s="1"/>
  <c r="E48" i="1"/>
  <c r="W47" i="1" a="1"/>
  <c r="W47" i="1" s="1"/>
  <c r="E47" i="1"/>
  <c r="W46" i="1" a="1"/>
  <c r="W46" i="1" s="1"/>
  <c r="E46" i="1"/>
  <c r="W45" i="1" a="1"/>
  <c r="W45" i="1" s="1"/>
  <c r="E45" i="1"/>
  <c r="W44" i="1" a="1"/>
  <c r="W44" i="1" s="1"/>
  <c r="E44" i="1"/>
  <c r="W43" i="1" a="1"/>
  <c r="W43" i="1" s="1"/>
  <c r="E43" i="1"/>
  <c r="W42" i="1" a="1"/>
  <c r="W42" i="1" s="1"/>
  <c r="E42" i="1"/>
  <c r="W41" i="1" a="1"/>
  <c r="W41" i="1" s="1"/>
  <c r="E41" i="1"/>
  <c r="W40" i="1" a="1"/>
  <c r="W40" i="1" s="1"/>
  <c r="E40" i="1"/>
  <c r="W39" i="1" a="1"/>
  <c r="W39" i="1" s="1"/>
  <c r="E39" i="1"/>
  <c r="W38" i="1" a="1"/>
  <c r="W38" i="1" s="1"/>
  <c r="E38" i="1"/>
  <c r="W37" i="1" a="1"/>
  <c r="W37" i="1" s="1"/>
  <c r="E37" i="1"/>
  <c r="W36" i="1" a="1"/>
  <c r="W36" i="1" s="1"/>
  <c r="E36" i="1"/>
  <c r="W35" i="1" a="1"/>
  <c r="W35" i="1" s="1"/>
  <c r="E35" i="1"/>
  <c r="W34" i="1" a="1"/>
  <c r="W34" i="1" s="1"/>
  <c r="E34" i="1"/>
  <c r="W33" i="1" a="1"/>
  <c r="W33" i="1" s="1"/>
  <c r="E33" i="1"/>
  <c r="W32" i="1" a="1"/>
  <c r="W32" i="1" s="1"/>
  <c r="E32" i="1"/>
  <c r="W31" i="1" a="1"/>
  <c r="W31" i="1" s="1"/>
  <c r="E31" i="1"/>
  <c r="W30" i="1" a="1"/>
  <c r="W30" i="1" s="1"/>
  <c r="E30" i="1"/>
  <c r="W29" i="1" a="1"/>
  <c r="W29" i="1" s="1"/>
  <c r="E29" i="1"/>
  <c r="W28" i="1" a="1"/>
  <c r="W28" i="1" s="1"/>
  <c r="E28" i="1"/>
  <c r="W27" i="1" a="1"/>
  <c r="W27" i="1" s="1"/>
  <c r="E27" i="1"/>
  <c r="W26" i="1" a="1"/>
  <c r="W26" i="1" s="1"/>
  <c r="E26" i="1"/>
  <c r="W25" i="1" a="1"/>
  <c r="W25" i="1" s="1"/>
  <c r="E25" i="1"/>
  <c r="W24" i="1" a="1"/>
  <c r="W24" i="1" s="1"/>
  <c r="E24" i="1"/>
  <c r="W23" i="1" a="1"/>
  <c r="W23" i="1" s="1"/>
  <c r="E23" i="1"/>
  <c r="W22" i="1" a="1"/>
  <c r="W22" i="1" s="1"/>
  <c r="E22" i="1"/>
  <c r="W21" i="1" a="1"/>
  <c r="W21" i="1" s="1"/>
  <c r="E21" i="1"/>
  <c r="W20" i="1" a="1"/>
  <c r="W20" i="1" s="1"/>
  <c r="E20" i="1"/>
  <c r="W19" i="1" a="1"/>
  <c r="W19" i="1" s="1"/>
  <c r="E19" i="1"/>
  <c r="W18" i="1" a="1"/>
  <c r="W18" i="1" s="1"/>
  <c r="E18" i="1"/>
  <c r="W17" i="1" a="1"/>
  <c r="W17" i="1" s="1"/>
  <c r="E17" i="1"/>
  <c r="W16" i="1" a="1"/>
  <c r="W16" i="1" s="1"/>
  <c r="E16" i="1"/>
  <c r="W15" i="1" a="1"/>
  <c r="W15" i="1" s="1"/>
  <c r="E15" i="1"/>
  <c r="W14" i="1" a="1"/>
  <c r="W14" i="1" s="1"/>
  <c r="E14" i="1"/>
  <c r="W13" i="1" a="1"/>
  <c r="W13" i="1" s="1"/>
  <c r="E13" i="1"/>
  <c r="W12" i="1" a="1"/>
  <c r="W12" i="1" s="1"/>
  <c r="E12" i="1"/>
  <c r="W11" i="1" a="1"/>
  <c r="W11" i="1" s="1"/>
  <c r="E11" i="1"/>
  <c r="W10" i="1" a="1"/>
  <c r="W10" i="1" s="1"/>
  <c r="E10" i="1"/>
  <c r="W9" i="1" a="1"/>
  <c r="W9" i="1" s="1"/>
  <c r="E9" i="1"/>
  <c r="W8" i="1" a="1"/>
  <c r="W8" i="1" s="1"/>
  <c r="E8" i="1"/>
  <c r="W7" i="1" a="1"/>
  <c r="W7" i="1" s="1"/>
  <c r="E7" i="1"/>
  <c r="E6" i="1"/>
  <c r="W5" i="1" a="1"/>
  <c r="W5" i="1" s="1"/>
  <c r="E5" i="1"/>
  <c r="W4" i="1" a="1"/>
  <c r="W4" i="1" s="1"/>
  <c r="E4" i="1"/>
  <c r="W3" i="1" a="1"/>
  <c r="W3" i="1" s="1"/>
  <c r="E3" i="1"/>
  <c r="W2" i="1" a="1"/>
  <c r="W2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<sst xmlns="http://schemas.openxmlformats.org/spreadsheetml/2006/main" count="13438" uniqueCount="439">
  <si>
    <t>TEAM</t>
  </si>
  <si>
    <t>CONF</t>
  </si>
  <si>
    <t>G</t>
  </si>
  <si>
    <t>W</t>
  </si>
  <si>
    <t>W %</t>
  </si>
  <si>
    <t>ADJOE</t>
  </si>
  <si>
    <t>ADJDE</t>
  </si>
  <si>
    <t>BARTHAG</t>
  </si>
  <si>
    <t>EFG_O</t>
  </si>
  <si>
    <t>EFG_D</t>
  </si>
  <si>
    <t>TOR</t>
  </si>
  <si>
    <t>TORD</t>
  </si>
  <si>
    <t>ORB</t>
  </si>
  <si>
    <t>DRB</t>
  </si>
  <si>
    <t>FTR</t>
  </si>
  <si>
    <t>FTRD</t>
  </si>
  <si>
    <t>2P_O</t>
  </si>
  <si>
    <t>2P_D</t>
  </si>
  <si>
    <t>3P_O</t>
  </si>
  <si>
    <t>3P_D</t>
  </si>
  <si>
    <t>ADJ_T</t>
  </si>
  <si>
    <t>WAB</t>
  </si>
  <si>
    <t>Finish Dum</t>
  </si>
  <si>
    <t>POSTSEASON</t>
  </si>
  <si>
    <t>SEED</t>
  </si>
  <si>
    <t>YEAR</t>
  </si>
  <si>
    <t>ACC</t>
  </si>
  <si>
    <t>North Carolina</t>
  </si>
  <si>
    <t>2ND</t>
  </si>
  <si>
    <t>SEC</t>
  </si>
  <si>
    <t>Wisconsin</t>
  </si>
  <si>
    <t>B10</t>
  </si>
  <si>
    <t>Michigan</t>
  </si>
  <si>
    <t>BE</t>
  </si>
  <si>
    <t>Texas Tech</t>
  </si>
  <si>
    <t>B12</t>
  </si>
  <si>
    <t>Gonzaga</t>
  </si>
  <si>
    <t>WCC</t>
  </si>
  <si>
    <t>P12</t>
  </si>
  <si>
    <t>Kentucky</t>
  </si>
  <si>
    <t>CUSA</t>
  </si>
  <si>
    <t>Duke</t>
  </si>
  <si>
    <t>Champions</t>
  </si>
  <si>
    <t>Horz</t>
  </si>
  <si>
    <t>Virginia</t>
  </si>
  <si>
    <t>A10</t>
  </si>
  <si>
    <t>Villanova</t>
  </si>
  <si>
    <t>MVC</t>
  </si>
  <si>
    <t>BW</t>
  </si>
  <si>
    <t>Connecticut</t>
  </si>
  <si>
    <t>Amer</t>
  </si>
  <si>
    <t>WAC</t>
  </si>
  <si>
    <t>Louisville</t>
  </si>
  <si>
    <t>CAA</t>
  </si>
  <si>
    <t>E8</t>
  </si>
  <si>
    <t>MWC</t>
  </si>
  <si>
    <t>Notre Dame</t>
  </si>
  <si>
    <t>MAC</t>
  </si>
  <si>
    <t>SB</t>
  </si>
  <si>
    <t>Ivy</t>
  </si>
  <si>
    <t>Florida St.</t>
  </si>
  <si>
    <t>Slnd</t>
  </si>
  <si>
    <t>SC</t>
  </si>
  <si>
    <t>Purdue</t>
  </si>
  <si>
    <t>OVC</t>
  </si>
  <si>
    <t>Kansas</t>
  </si>
  <si>
    <t>MEAC</t>
  </si>
  <si>
    <t>Pat</t>
  </si>
  <si>
    <t>Kansas St.</t>
  </si>
  <si>
    <t>MAAC</t>
  </si>
  <si>
    <t>Xavier</t>
  </si>
  <si>
    <t>Arizona</t>
  </si>
  <si>
    <t>Sum</t>
  </si>
  <si>
    <t>Oregon</t>
  </si>
  <si>
    <t>BSth</t>
  </si>
  <si>
    <t>Florida</t>
  </si>
  <si>
    <t>SWAC</t>
  </si>
  <si>
    <t>NEC</t>
  </si>
  <si>
    <t>Michigan St.</t>
  </si>
  <si>
    <t>Dayton</t>
  </si>
  <si>
    <t>Ohio St.</t>
  </si>
  <si>
    <t>Marquette</t>
  </si>
  <si>
    <t>Syracuse</t>
  </si>
  <si>
    <t>F4</t>
  </si>
  <si>
    <t>Oklahoma</t>
  </si>
  <si>
    <t>Loyola Chicago</t>
  </si>
  <si>
    <t>South Carolina</t>
  </si>
  <si>
    <t>Auburn</t>
  </si>
  <si>
    <t>Wichita St.</t>
  </si>
  <si>
    <t>Duquesne</t>
  </si>
  <si>
    <t>NA</t>
  </si>
  <si>
    <t>Fordham</t>
  </si>
  <si>
    <t>George Mason</t>
  </si>
  <si>
    <t>George Washington</t>
  </si>
  <si>
    <t>La Salle</t>
  </si>
  <si>
    <t>Massachusetts</t>
  </si>
  <si>
    <t>Rhode Island</t>
  </si>
  <si>
    <t>Richmond</t>
  </si>
  <si>
    <t>Saint Joseph's</t>
  </si>
  <si>
    <t>Saint Louis</t>
  </si>
  <si>
    <t>St. Bonaventure</t>
  </si>
  <si>
    <t>Davidson</t>
  </si>
  <si>
    <t>VCU</t>
  </si>
  <si>
    <t>Boston College</t>
  </si>
  <si>
    <t>Clemson</t>
  </si>
  <si>
    <t>Georgia Tech</t>
  </si>
  <si>
    <t>Miami FL</t>
  </si>
  <si>
    <t>Pittsburgh</t>
  </si>
  <si>
    <t>Virginia Tech</t>
  </si>
  <si>
    <t>Wake Forest</t>
  </si>
  <si>
    <t>North Carolina St.</t>
  </si>
  <si>
    <t>Binghamton</t>
  </si>
  <si>
    <t>AE</t>
  </si>
  <si>
    <t>Hartford</t>
  </si>
  <si>
    <t>Maine</t>
  </si>
  <si>
    <t>New Hampshire</t>
  </si>
  <si>
    <t>Stony Brook</t>
  </si>
  <si>
    <t>UMass Lowell</t>
  </si>
  <si>
    <t>UMBC</t>
  </si>
  <si>
    <t>Vermont</t>
  </si>
  <si>
    <t>Albany</t>
  </si>
  <si>
    <t>East Carolina</t>
  </si>
  <si>
    <t>Houston</t>
  </si>
  <si>
    <t>Memphis</t>
  </si>
  <si>
    <t>South Florida</t>
  </si>
  <si>
    <t>Temple</t>
  </si>
  <si>
    <t>Tulane</t>
  </si>
  <si>
    <t>Tulsa</t>
  </si>
  <si>
    <t>UCF</t>
  </si>
  <si>
    <t>SMU</t>
  </si>
  <si>
    <t>Florida Gulf Coast</t>
  </si>
  <si>
    <t>ASun</t>
  </si>
  <si>
    <t>Jacksonville</t>
  </si>
  <si>
    <t>Kennesaw St.</t>
  </si>
  <si>
    <t>Lipscomb</t>
  </si>
  <si>
    <t>Northern Kentucky</t>
  </si>
  <si>
    <t>Stetson</t>
  </si>
  <si>
    <t>USC Upstate</t>
  </si>
  <si>
    <t>NJIT</t>
  </si>
  <si>
    <t>North Florida</t>
  </si>
  <si>
    <t>North Alabama</t>
  </si>
  <si>
    <t>Illinois</t>
  </si>
  <si>
    <t>Minnesota</t>
  </si>
  <si>
    <t>Nebraska</t>
  </si>
  <si>
    <t>Northwestern</t>
  </si>
  <si>
    <t>Penn St.</t>
  </si>
  <si>
    <t>Rutgers</t>
  </si>
  <si>
    <t>Indiana</t>
  </si>
  <si>
    <t>Iowa</t>
  </si>
  <si>
    <t>Maryland</t>
  </si>
  <si>
    <t>TCU</t>
  </si>
  <si>
    <t>Oklahoma St.</t>
  </si>
  <si>
    <t>Texas</t>
  </si>
  <si>
    <t>Baylor</t>
  </si>
  <si>
    <t>Iowa St.</t>
  </si>
  <si>
    <t>West Virginia</t>
  </si>
  <si>
    <t>Creighton</t>
  </si>
  <si>
    <t>DePaul</t>
  </si>
  <si>
    <t>Seton Hall</t>
  </si>
  <si>
    <t>Georgetown</t>
  </si>
  <si>
    <t>St. John's</t>
  </si>
  <si>
    <t>Butler</t>
  </si>
  <si>
    <t>Providence</t>
  </si>
  <si>
    <t>Idaho</t>
  </si>
  <si>
    <t>BSky</t>
  </si>
  <si>
    <t>Idaho St.</t>
  </si>
  <si>
    <t>Montana</t>
  </si>
  <si>
    <t>Montana St.</t>
  </si>
  <si>
    <t>North Dakota</t>
  </si>
  <si>
    <t>Northern Arizona</t>
  </si>
  <si>
    <t>Northern Colorado</t>
  </si>
  <si>
    <t>Portland St.</t>
  </si>
  <si>
    <t>Sacramento St.</t>
  </si>
  <si>
    <t>Southern Utah</t>
  </si>
  <si>
    <t>Weber St.</t>
  </si>
  <si>
    <t>Eastern Washington</t>
  </si>
  <si>
    <t>Campbell</t>
  </si>
  <si>
    <t>Charleston Southern</t>
  </si>
  <si>
    <t>Gardner Webb</t>
  </si>
  <si>
    <t>High Point</t>
  </si>
  <si>
    <t>Liberty</t>
  </si>
  <si>
    <t>Longwood</t>
  </si>
  <si>
    <t>Presbyterian</t>
  </si>
  <si>
    <t>Radford</t>
  </si>
  <si>
    <t>UNC Asheville</t>
  </si>
  <si>
    <t>Winthrop</t>
  </si>
  <si>
    <t>Coastal Carolina</t>
  </si>
  <si>
    <t>Hampton</t>
  </si>
  <si>
    <t>Cal Poly</t>
  </si>
  <si>
    <t>Cal St. Fullerton</t>
  </si>
  <si>
    <t>Cal St. Northridge</t>
  </si>
  <si>
    <t>Hawaii</t>
  </si>
  <si>
    <t>Long Beach St.</t>
  </si>
  <si>
    <t>UC Davis</t>
  </si>
  <si>
    <t>UC Riverside</t>
  </si>
  <si>
    <t>UC Santa Barbara</t>
  </si>
  <si>
    <t>UC Irvine</t>
  </si>
  <si>
    <t>College of Charleston</t>
  </si>
  <si>
    <t>Delaware</t>
  </si>
  <si>
    <t>Drexel</t>
  </si>
  <si>
    <t>Elon</t>
  </si>
  <si>
    <t>Hofstra</t>
  </si>
  <si>
    <t>James Madison</t>
  </si>
  <si>
    <t>Towson</t>
  </si>
  <si>
    <t>UNC Wilmington</t>
  </si>
  <si>
    <t>William &amp; Mary</t>
  </si>
  <si>
    <t>Northeastern</t>
  </si>
  <si>
    <t>Charlotte</t>
  </si>
  <si>
    <t>FIU</t>
  </si>
  <si>
    <t>Florida Atlantic</t>
  </si>
  <si>
    <t>Louisiana Tech</t>
  </si>
  <si>
    <t>Marshall</t>
  </si>
  <si>
    <t>Middle Tennessee</t>
  </si>
  <si>
    <t>North Texas</t>
  </si>
  <si>
    <t>Old Dominion</t>
  </si>
  <si>
    <t>Rice</t>
  </si>
  <si>
    <t>Southern Miss</t>
  </si>
  <si>
    <t>UTEP</t>
  </si>
  <si>
    <t>UTSA</t>
  </si>
  <si>
    <t>Western Kentucky</t>
  </si>
  <si>
    <t>UAB</t>
  </si>
  <si>
    <t>Cleveland St.</t>
  </si>
  <si>
    <t>Detroit</t>
  </si>
  <si>
    <t>Green Bay</t>
  </si>
  <si>
    <t>Illinois Chicago</t>
  </si>
  <si>
    <t>Milwaukee</t>
  </si>
  <si>
    <t>Oakland</t>
  </si>
  <si>
    <t>Wright St.</t>
  </si>
  <si>
    <t>Youngstown St.</t>
  </si>
  <si>
    <t>Valparaiso</t>
  </si>
  <si>
    <t>IUPUI</t>
  </si>
  <si>
    <t>Ind</t>
  </si>
  <si>
    <t>Brown</t>
  </si>
  <si>
    <t>Columbia</t>
  </si>
  <si>
    <t>Cornell</t>
  </si>
  <si>
    <t>Dartmouth</t>
  </si>
  <si>
    <t>Penn</t>
  </si>
  <si>
    <t>Princeton</t>
  </si>
  <si>
    <t>Yale</t>
  </si>
  <si>
    <t>Harvard</t>
  </si>
  <si>
    <t>Canisius</t>
  </si>
  <si>
    <t>Fairfield</t>
  </si>
  <si>
    <t>Iona</t>
  </si>
  <si>
    <t>Marist</t>
  </si>
  <si>
    <t>Monmouth</t>
  </si>
  <si>
    <t>Niagara</t>
  </si>
  <si>
    <t>Quinnipiac</t>
  </si>
  <si>
    <t>Rider</t>
  </si>
  <si>
    <t>Saint Peter's</t>
  </si>
  <si>
    <t>Siena</t>
  </si>
  <si>
    <t>Manhattan</t>
  </si>
  <si>
    <t>Akron</t>
  </si>
  <si>
    <t>Ball St.</t>
  </si>
  <si>
    <t>Bowling Green</t>
  </si>
  <si>
    <t>Central Michigan</t>
  </si>
  <si>
    <t>Eastern Michigan</t>
  </si>
  <si>
    <t>Kent St.</t>
  </si>
  <si>
    <t>Miami OH</t>
  </si>
  <si>
    <t>Northern Illinois</t>
  </si>
  <si>
    <t>Ohio</t>
  </si>
  <si>
    <t>Toledo</t>
  </si>
  <si>
    <t>Western Michigan</t>
  </si>
  <si>
    <t>Buffalo</t>
  </si>
  <si>
    <t>Bethune Cookman</t>
  </si>
  <si>
    <t>Coppin St.</t>
  </si>
  <si>
    <t>Delaware St.</t>
  </si>
  <si>
    <t>Florida A&amp;M</t>
  </si>
  <si>
    <t>Howard</t>
  </si>
  <si>
    <t>Maryland Eastern Shore</t>
  </si>
  <si>
    <t>Morgan St.</t>
  </si>
  <si>
    <t>Norfolk St.</t>
  </si>
  <si>
    <t>North Carolina A&amp;T</t>
  </si>
  <si>
    <t>North Carolina Central</t>
  </si>
  <si>
    <t>Savannah St.</t>
  </si>
  <si>
    <t>South Carolina St.</t>
  </si>
  <si>
    <t>Bradley</t>
  </si>
  <si>
    <t>Drake</t>
  </si>
  <si>
    <t>Evansville</t>
  </si>
  <si>
    <t>Illinois St.</t>
  </si>
  <si>
    <t>Indiana St.</t>
  </si>
  <si>
    <t>Missouri St.</t>
  </si>
  <si>
    <t>Southern Illinois</t>
  </si>
  <si>
    <t>Northern Iowa</t>
  </si>
  <si>
    <t>Air Force</t>
  </si>
  <si>
    <t>Colorado St.</t>
  </si>
  <si>
    <t>Fresno St.</t>
  </si>
  <si>
    <t>Nevada</t>
  </si>
  <si>
    <t>New Mexico</t>
  </si>
  <si>
    <t>San Jose St.</t>
  </si>
  <si>
    <t>UNLV</t>
  </si>
  <si>
    <t>Utah St.</t>
  </si>
  <si>
    <t>Boise St.</t>
  </si>
  <si>
    <t>San Diego St.</t>
  </si>
  <si>
    <t>Wyoming</t>
  </si>
  <si>
    <t>Bryant</t>
  </si>
  <si>
    <t>Central Connecticut</t>
  </si>
  <si>
    <t>Fairleigh Dickinson</t>
  </si>
  <si>
    <t>LIU Brooklyn</t>
  </si>
  <si>
    <t>Mount St. Mary's</t>
  </si>
  <si>
    <t>Sacred Heart</t>
  </si>
  <si>
    <t>St. Francis NY</t>
  </si>
  <si>
    <t>St. Francis PA</t>
  </si>
  <si>
    <t>Wagner</t>
  </si>
  <si>
    <t>Robert Morris</t>
  </si>
  <si>
    <t>Austin Peay</t>
  </si>
  <si>
    <t>Eastern Illinois</t>
  </si>
  <si>
    <t>Eastern Kentucky</t>
  </si>
  <si>
    <t>Jacksonville St.</t>
  </si>
  <si>
    <t>Morehead St.</t>
  </si>
  <si>
    <t>Murray St.</t>
  </si>
  <si>
    <t>SIU Edwardsville</t>
  </si>
  <si>
    <t>Southeast Missouri St.</t>
  </si>
  <si>
    <t>Tennessee Martin</t>
  </si>
  <si>
    <t>Tennessee St.</t>
  </si>
  <si>
    <t>Tennessee Tech</t>
  </si>
  <si>
    <t>Belmont</t>
  </si>
  <si>
    <t>Arizona St.</t>
  </si>
  <si>
    <t>California</t>
  </si>
  <si>
    <t>Colorado</t>
  </si>
  <si>
    <t>Oregon St.</t>
  </si>
  <si>
    <t>Stanford</t>
  </si>
  <si>
    <t>USC</t>
  </si>
  <si>
    <t>Washington</t>
  </si>
  <si>
    <t>Washington St.</t>
  </si>
  <si>
    <t>UCLA</t>
  </si>
  <si>
    <t>Utah</t>
  </si>
  <si>
    <t>American</t>
  </si>
  <si>
    <t>Army</t>
  </si>
  <si>
    <t>Boston University</t>
  </si>
  <si>
    <t>Bucknell</t>
  </si>
  <si>
    <t>Colgate</t>
  </si>
  <si>
    <t>Holy Cross</t>
  </si>
  <si>
    <t>Lehigh</t>
  </si>
  <si>
    <t>Loyola MD</t>
  </si>
  <si>
    <t>Navy</t>
  </si>
  <si>
    <t>Lafayette</t>
  </si>
  <si>
    <t>Appalachian St.</t>
  </si>
  <si>
    <t>Arkansas Little Rock</t>
  </si>
  <si>
    <t>Arkansas St.</t>
  </si>
  <si>
    <t>Georgia Southern</t>
  </si>
  <si>
    <t>Louisiana Lafayette</t>
  </si>
  <si>
    <t>Louisiana Monroe</t>
  </si>
  <si>
    <t>South Alabama</t>
  </si>
  <si>
    <t>Texas St.</t>
  </si>
  <si>
    <t>Troy</t>
  </si>
  <si>
    <t>UT Arlington</t>
  </si>
  <si>
    <t>Georgia St.</t>
  </si>
  <si>
    <t>Little Rock</t>
  </si>
  <si>
    <t>Chattanooga</t>
  </si>
  <si>
    <t>East Tennessee St.</t>
  </si>
  <si>
    <t>Furman</t>
  </si>
  <si>
    <t>Mercer</t>
  </si>
  <si>
    <t>Samford</t>
  </si>
  <si>
    <t>The Citadel</t>
  </si>
  <si>
    <t>UNC Greensboro</t>
  </si>
  <si>
    <t>VMI</t>
  </si>
  <si>
    <t>Western Carolina</t>
  </si>
  <si>
    <t>Wofford</t>
  </si>
  <si>
    <t>Alabama</t>
  </si>
  <si>
    <t>Mississippi St.</t>
  </si>
  <si>
    <t>Missouri</t>
  </si>
  <si>
    <t>Tennessee</t>
  </si>
  <si>
    <t>Texas A&amp;M</t>
  </si>
  <si>
    <t>Vanderbilt</t>
  </si>
  <si>
    <t>Arkansas</t>
  </si>
  <si>
    <t>Georgia</t>
  </si>
  <si>
    <t>LSU</t>
  </si>
  <si>
    <t>Mississippi</t>
  </si>
  <si>
    <t>Abilene Christian</t>
  </si>
  <si>
    <t>Central Arkansas</t>
  </si>
  <si>
    <t>Houston Baptist</t>
  </si>
  <si>
    <t>Incarnate Word</t>
  </si>
  <si>
    <t>Lamar</t>
  </si>
  <si>
    <t>McNeese St.</t>
  </si>
  <si>
    <t>New Orleans</t>
  </si>
  <si>
    <t>Nicholls St.</t>
  </si>
  <si>
    <t>Northwestern St.</t>
  </si>
  <si>
    <t>Sam Houston St.</t>
  </si>
  <si>
    <t>Southeastern Louisiana</t>
  </si>
  <si>
    <t>Texas A&amp;M Corpus Chris</t>
  </si>
  <si>
    <t>Stephen F. Austin</t>
  </si>
  <si>
    <t>Denver</t>
  </si>
  <si>
    <t>IPFW</t>
  </si>
  <si>
    <t>Nebraska Omaha</t>
  </si>
  <si>
    <t>Oral Roberts</t>
  </si>
  <si>
    <t>South Dakota</t>
  </si>
  <si>
    <t>South Dakota St.</t>
  </si>
  <si>
    <t>Western Illinois</t>
  </si>
  <si>
    <t>North Dakota St.</t>
  </si>
  <si>
    <t>Fort Wayne</t>
  </si>
  <si>
    <t>Alabama A&amp;M</t>
  </si>
  <si>
    <t>Alabama St.</t>
  </si>
  <si>
    <t>Alcorn St.</t>
  </si>
  <si>
    <t>Arkansas Pine Bluff</t>
  </si>
  <si>
    <t>Grambling St.</t>
  </si>
  <si>
    <t>Jackson St.</t>
  </si>
  <si>
    <t>Mississippi Valley St.</t>
  </si>
  <si>
    <t>Prairie View A&amp;M</t>
  </si>
  <si>
    <t>Southern</t>
  </si>
  <si>
    <t>Texas Southern</t>
  </si>
  <si>
    <t>Cal St. Bakersfield</t>
  </si>
  <si>
    <t>Chicago St.</t>
  </si>
  <si>
    <t>Grand Canyon</t>
  </si>
  <si>
    <t>Seattle</t>
  </si>
  <si>
    <t>UMKC</t>
  </si>
  <si>
    <t>UT Rio Grande Valley</t>
  </si>
  <si>
    <t>Utah Valley</t>
  </si>
  <si>
    <t>New Mexico St.</t>
  </si>
  <si>
    <t>Cal Baptist</t>
  </si>
  <si>
    <t>Loyola Marymount</t>
  </si>
  <si>
    <t>Pacific</t>
  </si>
  <si>
    <t>Pepperdine</t>
  </si>
  <si>
    <t>Portland</t>
  </si>
  <si>
    <t>Saint Mary's</t>
  </si>
  <si>
    <t>San Diego</t>
  </si>
  <si>
    <t>San Francisco</t>
  </si>
  <si>
    <t>Santa Clara</t>
  </si>
  <si>
    <t>BYU</t>
  </si>
  <si>
    <t>ind</t>
  </si>
  <si>
    <t>GWC</t>
  </si>
  <si>
    <t>R32</t>
  </si>
  <si>
    <t>Cincinnati</t>
  </si>
  <si>
    <t>R64</t>
  </si>
  <si>
    <t>R68</t>
  </si>
  <si>
    <t>S16</t>
  </si>
  <si>
    <t>N/A</t>
  </si>
  <si>
    <t>UC San Diego</t>
  </si>
  <si>
    <t>Dixie St.</t>
  </si>
  <si>
    <t>Merrimack</t>
  </si>
  <si>
    <t>Tarleton St.</t>
  </si>
  <si>
    <t>Bellarmine</t>
  </si>
  <si>
    <t>Utah Tech</t>
  </si>
  <si>
    <t>St. Thomas</t>
  </si>
  <si>
    <t>Houston Christian</t>
  </si>
  <si>
    <t>Lindenwood</t>
  </si>
  <si>
    <t>Texas A&amp;M Commerce</t>
  </si>
  <si>
    <t>Stonehill</t>
  </si>
  <si>
    <t>Southern Indiana</t>
  </si>
  <si>
    <t>Queens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</si>
</sst>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85B3-7C75-45A2-9ACC-ABAC2B271B15}" name="Table1" displayName="Table1" ref="A1:Z3524" totalsRowShown="0">
  <autoFilter ref="A1:Z3524" xr:uid="{625185B3-7C75-45A2-9ACC-ABAC2B271B15}"/>
  <tableColumns count="26">
    <tableColumn id="1" xr3:uid="{CE8DB13F-19D8-419B-AE3E-618F02D25945}" name="TEAM"/>
    <tableColumn id="2" xr3:uid="{35D84242-40FB-4D46-954F-12AEE746EA0E}" name="CONF"/>
    <tableColumn id="4" xr3:uid="{9FA800E2-2945-4AB2-8AA5-9783183BE220}" name="G"/>
    <tableColumn id="5" xr3:uid="{C46FCBE6-5239-4EC4-A7D3-5957A69DD4FB}" name="W"/>
    <tableColumn id="6" xr3:uid="{696A32D0-A97D-4AE8-9035-746399C83425}" name="W %" dataDxfId="0" dataCellStyle="Percent">
      <calculatedColumnFormula>D2/C2</calculatedColumnFormula>
    </tableColumn>
    <tableColumn id="7" xr3:uid="{5DF68AA1-929A-4F5D-A525-AABB029BDEC9}" name="ADJOE"/>
    <tableColumn id="8" xr3:uid="{4CF21993-CC78-4AA0-BF8F-873FAA558185}" name="ADJDE"/>
    <tableColumn id="9" xr3:uid="{4FF62428-2C3B-4DB2-8115-5FC73715E9DE}" name="BARTHAG"/>
    <tableColumn id="10" xr3:uid="{01C21B47-2527-42E8-93D6-9DC00A41F757}" name="EFG_O"/>
    <tableColumn id="11" xr3:uid="{41504AE7-CC33-4A0D-A6CE-C57C6D000348}" name="EFG_D"/>
    <tableColumn id="12" xr3:uid="{8B8BCA84-78AE-429D-A39C-5706E531FAA9}" name="TOR"/>
    <tableColumn id="13" xr3:uid="{55568B6D-D847-4B0D-80F5-C82BA7266846}" name="TORD"/>
    <tableColumn id="14" xr3:uid="{588FB4E7-3284-4FB9-AED0-800B13FA8B10}" name="ORB"/>
    <tableColumn id="15" xr3:uid="{AA1E40CC-3708-496F-B183-5F7B71D0C26E}" name="DRB"/>
    <tableColumn id="16" xr3:uid="{D381D261-098B-4B24-A987-FE4C5F1942DC}" name="FTR"/>
    <tableColumn id="17" xr3:uid="{B0613622-A2F3-4965-8C4B-B8FDBCC53DC3}" name="FTRD"/>
    <tableColumn id="18" xr3:uid="{9A1DC733-F4CC-495A-BEA2-AF3824EBC8D9}" name="2P_O"/>
    <tableColumn id="19" xr3:uid="{99222269-E2B4-4B94-B2DE-02762026883C}" name="2P_D"/>
    <tableColumn id="20" xr3:uid="{B8C9CAD5-FC59-46C0-80C1-C1641241B021}" name="3P_O"/>
    <tableColumn id="21" xr3:uid="{A8A41771-4712-4C81-B3C6-C78B2828D478}" name="3P_D"/>
    <tableColumn id="22" xr3:uid="{4A5F5501-7611-4EFC-9674-3431A52C3388}" name="ADJ_T"/>
    <tableColumn id="23" xr3:uid="{C24C59D1-1051-4C4F-812F-2AD7ABACCFA3}" name="WAB"/>
    <tableColumn id="24" xr3:uid="{E2374991-E409-490B-BA5A-F8F4F7986DFB}" name="Finish Dum">
      <calculatedColumnFormula array="1">_xlfn.IFS(OR(X2="N/A",X2="NA"),0,OR(X2="R64",X2="R68"),1,X2="R32",2,X2="S16",3,X2="E8",4,X2="F4",5,X2="2ND",6,X2="Champions",7)</calculatedColumnFormula>
    </tableColumn>
    <tableColumn id="25" xr3:uid="{6F7CBE9D-70D6-4CAB-81C6-BC368B37A60E}" name="POSTSEASON"/>
    <tableColumn id="26" xr3:uid="{080FD88A-B4C4-43DF-8A8E-8DA76F1996B6}" name="SEED"/>
    <tableColumn id="27" xr3:uid="{7922CF9C-7FC9-4B4C-90C3-EB9DDB2A538E}" name="Y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3845-1492-48F3-AFB4-0266F746F820}">
  <dimension ref="A1:Z3524"/>
  <sheetViews>
    <sheetView tabSelected="1" workbookViewId="0">
      <selection activeCell="AG1" sqref="AG1"/>
    </sheetView>
  </sheetViews>
  <sheetFormatPr defaultRowHeight="14.4" x14ac:dyDescent="0.3"/>
  <cols>
    <col min="5" max="5" width="8.88671875" style="1"/>
    <col min="8" max="8" width="11.33203125" customWidth="1"/>
    <col min="23" max="23" width="12.33203125" customWidth="1"/>
    <col min="24" max="24" width="14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27</v>
      </c>
      <c r="B2" t="s">
        <v>26</v>
      </c>
      <c r="C2">
        <v>40</v>
      </c>
      <c r="D2">
        <v>33</v>
      </c>
      <c r="E2" s="1">
        <f>D2/C2</f>
        <v>0.82499999999999996</v>
      </c>
      <c r="F2">
        <v>123.3</v>
      </c>
      <c r="G2">
        <v>94.9</v>
      </c>
      <c r="H2">
        <v>0.95309999999999995</v>
      </c>
      <c r="I2">
        <v>52.6</v>
      </c>
      <c r="J2">
        <v>48.1</v>
      </c>
      <c r="K2">
        <v>15.4</v>
      </c>
      <c r="L2">
        <v>18.2</v>
      </c>
      <c r="M2">
        <v>40.700000000000003</v>
      </c>
      <c r="N2">
        <v>30</v>
      </c>
      <c r="O2">
        <v>32.299999999999997</v>
      </c>
      <c r="P2">
        <v>30.4</v>
      </c>
      <c r="Q2">
        <v>53.9</v>
      </c>
      <c r="R2">
        <v>44.6</v>
      </c>
      <c r="S2">
        <v>32.700000000000003</v>
      </c>
      <c r="T2">
        <v>36.200000000000003</v>
      </c>
      <c r="U2">
        <v>71.7</v>
      </c>
      <c r="V2">
        <v>8.6</v>
      </c>
      <c r="W2" cm="1">
        <f t="array" ref="W2">_xlfn.IFS(OR(X2="N/A",X2="NA"),0,OR(X2="R64",X2="R68"),1,X2="R32",2,X2="S16",3,X2="E8",4,X2="F4",5,X2="2ND",6,X2="Champions",7)</f>
        <v>6</v>
      </c>
      <c r="X2" t="s">
        <v>28</v>
      </c>
      <c r="Y2">
        <v>1</v>
      </c>
      <c r="Z2">
        <v>2016</v>
      </c>
    </row>
    <row r="3" spans="1:26" x14ac:dyDescent="0.3">
      <c r="A3" t="s">
        <v>30</v>
      </c>
      <c r="B3" t="s">
        <v>31</v>
      </c>
      <c r="C3">
        <v>40</v>
      </c>
      <c r="D3">
        <v>36</v>
      </c>
      <c r="E3" s="1">
        <f t="shared" ref="E3:E66" si="0">D3/C3</f>
        <v>0.9</v>
      </c>
      <c r="F3">
        <v>129.1</v>
      </c>
      <c r="G3">
        <v>93.6</v>
      </c>
      <c r="H3">
        <v>0.9758</v>
      </c>
      <c r="I3">
        <v>54.8</v>
      </c>
      <c r="J3">
        <v>47.7</v>
      </c>
      <c r="K3">
        <v>12.4</v>
      </c>
      <c r="L3">
        <v>15.8</v>
      </c>
      <c r="M3">
        <v>32.1</v>
      </c>
      <c r="N3">
        <v>23.7</v>
      </c>
      <c r="O3">
        <v>36.200000000000003</v>
      </c>
      <c r="P3">
        <v>22.4</v>
      </c>
      <c r="Q3">
        <v>54.8</v>
      </c>
      <c r="R3">
        <v>44.7</v>
      </c>
      <c r="S3">
        <v>36.5</v>
      </c>
      <c r="T3">
        <v>37.5</v>
      </c>
      <c r="U3">
        <v>59.3</v>
      </c>
      <c r="V3">
        <v>11.3</v>
      </c>
      <c r="W3" cm="1">
        <f t="array" ref="W3">_xlfn.IFS(OR(X3="N/A",X3="NA"),0,OR(X3="R64",X3="R68"),1,X3="R32",2,X3="S16",3,X3="E8",4,X3="F4",5,X3="2ND",6,X3="Champions",7)</f>
        <v>6</v>
      </c>
      <c r="X3" t="s">
        <v>28</v>
      </c>
      <c r="Y3">
        <v>1</v>
      </c>
      <c r="Z3">
        <v>2015</v>
      </c>
    </row>
    <row r="4" spans="1:26" x14ac:dyDescent="0.3">
      <c r="A4" t="s">
        <v>32</v>
      </c>
      <c r="B4" t="s">
        <v>31</v>
      </c>
      <c r="C4">
        <v>40</v>
      </c>
      <c r="D4">
        <v>33</v>
      </c>
      <c r="E4" s="1">
        <f t="shared" si="0"/>
        <v>0.82499999999999996</v>
      </c>
      <c r="F4">
        <v>114.4</v>
      </c>
      <c r="G4">
        <v>90.4</v>
      </c>
      <c r="H4">
        <v>0.9375</v>
      </c>
      <c r="I4">
        <v>53.9</v>
      </c>
      <c r="J4">
        <v>47.7</v>
      </c>
      <c r="K4">
        <v>14</v>
      </c>
      <c r="L4">
        <v>19.5</v>
      </c>
      <c r="M4">
        <v>25.5</v>
      </c>
      <c r="N4">
        <v>24.9</v>
      </c>
      <c r="O4">
        <v>30.7</v>
      </c>
      <c r="P4">
        <v>30</v>
      </c>
      <c r="Q4">
        <v>54.7</v>
      </c>
      <c r="R4">
        <v>46.8</v>
      </c>
      <c r="S4">
        <v>35.200000000000003</v>
      </c>
      <c r="T4">
        <v>33.200000000000003</v>
      </c>
      <c r="U4">
        <v>65.900000000000006</v>
      </c>
      <c r="V4">
        <v>6.9</v>
      </c>
      <c r="W4" cm="1">
        <f t="array" ref="W4">_xlfn.IFS(OR(X4="N/A",X4="NA"),0,OR(X4="R64",X4="R68"),1,X4="R32",2,X4="S16",3,X4="E8",4,X4="F4",5,X4="2ND",6,X4="Champions",7)</f>
        <v>6</v>
      </c>
      <c r="X4" t="s">
        <v>28</v>
      </c>
      <c r="Y4">
        <v>3</v>
      </c>
      <c r="Z4">
        <v>2018</v>
      </c>
    </row>
    <row r="5" spans="1:26" x14ac:dyDescent="0.3">
      <c r="A5" t="s">
        <v>34</v>
      </c>
      <c r="B5" t="s">
        <v>35</v>
      </c>
      <c r="C5">
        <v>38</v>
      </c>
      <c r="D5">
        <v>31</v>
      </c>
      <c r="E5" s="1">
        <f t="shared" si="0"/>
        <v>0.81578947368421051</v>
      </c>
      <c r="F5">
        <v>115.2</v>
      </c>
      <c r="G5">
        <v>85.2</v>
      </c>
      <c r="H5">
        <v>0.96960000000000002</v>
      </c>
      <c r="I5">
        <v>53.5</v>
      </c>
      <c r="J5">
        <v>43</v>
      </c>
      <c r="K5">
        <v>17.7</v>
      </c>
      <c r="L5">
        <v>22.8</v>
      </c>
      <c r="M5">
        <v>27.4</v>
      </c>
      <c r="N5">
        <v>28.7</v>
      </c>
      <c r="O5">
        <v>32.9</v>
      </c>
      <c r="P5">
        <v>36.6</v>
      </c>
      <c r="Q5">
        <v>52.8</v>
      </c>
      <c r="R5">
        <v>41.9</v>
      </c>
      <c r="S5">
        <v>36.5</v>
      </c>
      <c r="T5">
        <v>29.7</v>
      </c>
      <c r="U5">
        <v>67.5</v>
      </c>
      <c r="V5">
        <v>7</v>
      </c>
      <c r="W5" cm="1">
        <f t="array" ref="W5">_xlfn.IFS(OR(X5="N/A",X5="NA"),0,OR(X5="R64",X5="R68"),1,X5="R32",2,X5="S16",3,X5="E8",4,X5="F4",5,X5="2ND",6,X5="Champions",7)</f>
        <v>6</v>
      </c>
      <c r="X5" t="s">
        <v>28</v>
      </c>
      <c r="Y5">
        <v>3</v>
      </c>
      <c r="Z5">
        <v>2019</v>
      </c>
    </row>
    <row r="6" spans="1:26" x14ac:dyDescent="0.3">
      <c r="A6" t="s">
        <v>36</v>
      </c>
      <c r="B6" t="s">
        <v>37</v>
      </c>
      <c r="C6">
        <v>39</v>
      </c>
      <c r="D6">
        <v>37</v>
      </c>
      <c r="E6" s="1">
        <f t="shared" si="0"/>
        <v>0.94871794871794868</v>
      </c>
      <c r="F6">
        <v>117.8</v>
      </c>
      <c r="G6">
        <v>86.3</v>
      </c>
      <c r="H6">
        <v>0.9728</v>
      </c>
      <c r="I6">
        <v>56.6</v>
      </c>
      <c r="J6">
        <v>41.1</v>
      </c>
      <c r="K6">
        <v>16.2</v>
      </c>
      <c r="L6">
        <v>17.100000000000001</v>
      </c>
      <c r="M6">
        <v>30</v>
      </c>
      <c r="N6">
        <v>26.2</v>
      </c>
      <c r="O6">
        <v>39</v>
      </c>
      <c r="P6">
        <v>26.9</v>
      </c>
      <c r="Q6">
        <v>56.3</v>
      </c>
      <c r="R6">
        <v>40</v>
      </c>
      <c r="S6">
        <v>38.200000000000003</v>
      </c>
      <c r="T6">
        <v>29</v>
      </c>
      <c r="U6">
        <v>71.5</v>
      </c>
      <c r="V6">
        <v>7.7</v>
      </c>
      <c r="W6" cm="1">
        <f t="array" ref="W6">_xlfn.IFS(OR(X6="N/A",X6="NA"),0,OR(X6="R64",X6="R68"),1,X6="R32",2,X6="S16",3,X6="E8",4,X6="F4",5,X6="2ND",6,X6="Champions",7)</f>
        <v>6</v>
      </c>
      <c r="X6" t="s">
        <v>28</v>
      </c>
      <c r="Y6">
        <v>1</v>
      </c>
      <c r="Z6">
        <v>2017</v>
      </c>
    </row>
    <row r="7" spans="1:26" x14ac:dyDescent="0.3">
      <c r="A7" t="s">
        <v>39</v>
      </c>
      <c r="B7" t="s">
        <v>29</v>
      </c>
      <c r="C7">
        <v>40</v>
      </c>
      <c r="D7">
        <v>29</v>
      </c>
      <c r="E7" s="1">
        <f t="shared" si="0"/>
        <v>0.72499999999999998</v>
      </c>
      <c r="F7">
        <v>117.2</v>
      </c>
      <c r="G7">
        <v>96.2</v>
      </c>
      <c r="H7">
        <v>0.90620000000000001</v>
      </c>
      <c r="I7">
        <v>49.9</v>
      </c>
      <c r="J7">
        <v>46</v>
      </c>
      <c r="K7">
        <v>18.100000000000001</v>
      </c>
      <c r="L7">
        <v>16.100000000000001</v>
      </c>
      <c r="M7">
        <v>42</v>
      </c>
      <c r="N7">
        <v>29.7</v>
      </c>
      <c r="O7">
        <v>51.8</v>
      </c>
      <c r="P7">
        <v>36.799999999999997</v>
      </c>
      <c r="Q7">
        <v>50</v>
      </c>
      <c r="R7">
        <v>44.9</v>
      </c>
      <c r="S7">
        <v>33.200000000000003</v>
      </c>
      <c r="T7">
        <v>32.200000000000003</v>
      </c>
      <c r="U7">
        <v>65.900000000000006</v>
      </c>
      <c r="V7">
        <v>3.9</v>
      </c>
      <c r="W7" cm="1">
        <f t="array" ref="W7">_xlfn.IFS(OR(X7="N/A",X7="NA"),0,OR(X7="R64",X7="R68"),1,X7="R32",2,X7="S16",3,X7="E8",4,X7="F4",5,X7="2ND",6,X7="Champions",7)</f>
        <v>6</v>
      </c>
      <c r="X7" t="s">
        <v>28</v>
      </c>
      <c r="Y7">
        <v>8</v>
      </c>
      <c r="Z7">
        <v>2014</v>
      </c>
    </row>
    <row r="8" spans="1:26" x14ac:dyDescent="0.3">
      <c r="A8" t="s">
        <v>32</v>
      </c>
      <c r="B8" t="s">
        <v>31</v>
      </c>
      <c r="C8">
        <v>38</v>
      </c>
      <c r="D8">
        <v>30</v>
      </c>
      <c r="E8" s="1">
        <f t="shared" si="0"/>
        <v>0.78947368421052633</v>
      </c>
      <c r="F8">
        <v>121.5</v>
      </c>
      <c r="G8">
        <v>93.7</v>
      </c>
      <c r="H8">
        <v>0.95220000000000005</v>
      </c>
      <c r="I8">
        <v>54.6</v>
      </c>
      <c r="J8">
        <v>48</v>
      </c>
      <c r="K8">
        <v>14.6</v>
      </c>
      <c r="L8">
        <v>18.7</v>
      </c>
      <c r="M8">
        <v>32.5</v>
      </c>
      <c r="N8">
        <v>29.4</v>
      </c>
      <c r="O8">
        <v>28.4</v>
      </c>
      <c r="P8">
        <v>22.7</v>
      </c>
      <c r="Q8">
        <v>53.4</v>
      </c>
      <c r="R8">
        <v>47.6</v>
      </c>
      <c r="S8">
        <v>37.9</v>
      </c>
      <c r="T8">
        <v>32.6</v>
      </c>
      <c r="U8">
        <v>64.8</v>
      </c>
      <c r="V8">
        <v>6.2</v>
      </c>
      <c r="W8" cm="1">
        <f t="array" ref="W8">_xlfn.IFS(OR(X8="N/A",X8="NA"),0,OR(X8="R64",X8="R68"),1,X8="R32",2,X8="S16",3,X8="E8",4,X8="F4",5,X8="2ND",6,X8="Champions",7)</f>
        <v>6</v>
      </c>
      <c r="X8" t="s">
        <v>28</v>
      </c>
      <c r="Y8">
        <v>4</v>
      </c>
      <c r="Z8">
        <v>2013</v>
      </c>
    </row>
    <row r="9" spans="1:26" x14ac:dyDescent="0.3">
      <c r="A9" t="s">
        <v>41</v>
      </c>
      <c r="B9" t="s">
        <v>26</v>
      </c>
      <c r="C9">
        <v>39</v>
      </c>
      <c r="D9">
        <v>35</v>
      </c>
      <c r="E9" s="1">
        <f t="shared" si="0"/>
        <v>0.89743589743589747</v>
      </c>
      <c r="F9">
        <v>125.2</v>
      </c>
      <c r="G9">
        <v>90.6</v>
      </c>
      <c r="H9">
        <v>0.97640000000000005</v>
      </c>
      <c r="I9">
        <v>56.6</v>
      </c>
      <c r="J9">
        <v>46.5</v>
      </c>
      <c r="K9">
        <v>16.3</v>
      </c>
      <c r="L9">
        <v>18.600000000000001</v>
      </c>
      <c r="M9">
        <v>35.799999999999997</v>
      </c>
      <c r="N9">
        <v>30.2</v>
      </c>
      <c r="O9">
        <v>39.799999999999997</v>
      </c>
      <c r="P9">
        <v>23.9</v>
      </c>
      <c r="Q9">
        <v>55.9</v>
      </c>
      <c r="R9">
        <v>46.3</v>
      </c>
      <c r="S9">
        <v>38.700000000000003</v>
      </c>
      <c r="T9">
        <v>31.4</v>
      </c>
      <c r="U9">
        <v>66.400000000000006</v>
      </c>
      <c r="V9">
        <v>10.7</v>
      </c>
      <c r="W9" cm="1">
        <f t="array" ref="W9">_xlfn.IFS(OR(X9="N/A",X9="NA"),0,OR(X9="R64",X9="R68"),1,X9="R32",2,X9="S16",3,X9="E8",4,X9="F4",5,X9="2ND",6,X9="Champions",7)</f>
        <v>7</v>
      </c>
      <c r="X9" t="s">
        <v>42</v>
      </c>
      <c r="Y9">
        <v>1</v>
      </c>
      <c r="Z9">
        <v>2015</v>
      </c>
    </row>
    <row r="10" spans="1:26" x14ac:dyDescent="0.3">
      <c r="A10" t="s">
        <v>44</v>
      </c>
      <c r="B10" t="s">
        <v>26</v>
      </c>
      <c r="C10">
        <v>38</v>
      </c>
      <c r="D10">
        <v>35</v>
      </c>
      <c r="E10" s="1">
        <f t="shared" si="0"/>
        <v>0.92105263157894735</v>
      </c>
      <c r="F10">
        <v>123</v>
      </c>
      <c r="G10">
        <v>89.9</v>
      </c>
      <c r="H10">
        <v>0.97360000000000002</v>
      </c>
      <c r="I10">
        <v>55.2</v>
      </c>
      <c r="J10">
        <v>44.7</v>
      </c>
      <c r="K10">
        <v>14.7</v>
      </c>
      <c r="L10">
        <v>17.5</v>
      </c>
      <c r="M10">
        <v>30.4</v>
      </c>
      <c r="N10">
        <v>25.4</v>
      </c>
      <c r="O10">
        <v>29.1</v>
      </c>
      <c r="P10">
        <v>26.3</v>
      </c>
      <c r="Q10">
        <v>52.5</v>
      </c>
      <c r="R10">
        <v>45.7</v>
      </c>
      <c r="S10">
        <v>39.5</v>
      </c>
      <c r="T10">
        <v>28.9</v>
      </c>
      <c r="U10">
        <v>60.7</v>
      </c>
      <c r="V10">
        <v>11.1</v>
      </c>
      <c r="W10" cm="1">
        <f t="array" ref="W10">_xlfn.IFS(OR(X10="N/A",X10="NA"),0,OR(X10="R64",X10="R68"),1,X10="R32",2,X10="S16",3,X10="E8",4,X10="F4",5,X10="2ND",6,X10="Champions",7)</f>
        <v>7</v>
      </c>
      <c r="X10" t="s">
        <v>42</v>
      </c>
      <c r="Y10">
        <v>1</v>
      </c>
      <c r="Z10">
        <v>2019</v>
      </c>
    </row>
    <row r="11" spans="1:26" x14ac:dyDescent="0.3">
      <c r="A11" t="s">
        <v>27</v>
      </c>
      <c r="B11" t="s">
        <v>26</v>
      </c>
      <c r="C11">
        <v>39</v>
      </c>
      <c r="D11">
        <v>33</v>
      </c>
      <c r="E11" s="1">
        <f t="shared" si="0"/>
        <v>0.84615384615384615</v>
      </c>
      <c r="F11">
        <v>121</v>
      </c>
      <c r="G11">
        <v>91.5</v>
      </c>
      <c r="H11">
        <v>0.96150000000000002</v>
      </c>
      <c r="I11">
        <v>51.7</v>
      </c>
      <c r="J11">
        <v>48.1</v>
      </c>
      <c r="K11">
        <v>16.2</v>
      </c>
      <c r="L11">
        <v>18.600000000000001</v>
      </c>
      <c r="M11">
        <v>41.3</v>
      </c>
      <c r="N11">
        <v>25</v>
      </c>
      <c r="O11">
        <v>34.299999999999997</v>
      </c>
      <c r="P11">
        <v>31.6</v>
      </c>
      <c r="Q11">
        <v>51</v>
      </c>
      <c r="R11">
        <v>46.3</v>
      </c>
      <c r="S11">
        <v>35.5</v>
      </c>
      <c r="T11">
        <v>33.9</v>
      </c>
      <c r="U11">
        <v>72.8</v>
      </c>
      <c r="V11">
        <v>8.4</v>
      </c>
      <c r="W11" cm="1">
        <f t="array" ref="W11">_xlfn.IFS(OR(X11="N/A",X11="NA"),0,OR(X11="R64",X11="R68"),1,X11="R32",2,X11="S16",3,X11="E8",4,X11="F4",5,X11="2ND",6,X11="Champions",7)</f>
        <v>7</v>
      </c>
      <c r="X11" t="s">
        <v>42</v>
      </c>
      <c r="Y11">
        <v>1</v>
      </c>
      <c r="Z11">
        <v>2017</v>
      </c>
    </row>
    <row r="12" spans="1:26" x14ac:dyDescent="0.3">
      <c r="A12" t="s">
        <v>46</v>
      </c>
      <c r="B12" t="s">
        <v>33</v>
      </c>
      <c r="C12">
        <v>40</v>
      </c>
      <c r="D12">
        <v>35</v>
      </c>
      <c r="E12" s="1">
        <f t="shared" si="0"/>
        <v>0.875</v>
      </c>
      <c r="F12">
        <v>123.1</v>
      </c>
      <c r="G12">
        <v>90.9</v>
      </c>
      <c r="H12">
        <v>0.97030000000000005</v>
      </c>
      <c r="I12">
        <v>56.1</v>
      </c>
      <c r="J12">
        <v>46.7</v>
      </c>
      <c r="K12">
        <v>16.3</v>
      </c>
      <c r="L12">
        <v>20.6</v>
      </c>
      <c r="M12">
        <v>28.2</v>
      </c>
      <c r="N12">
        <v>29.4</v>
      </c>
      <c r="O12">
        <v>34.1</v>
      </c>
      <c r="P12">
        <v>30</v>
      </c>
      <c r="Q12">
        <v>57.4</v>
      </c>
      <c r="R12">
        <v>44.1</v>
      </c>
      <c r="S12">
        <v>36.200000000000003</v>
      </c>
      <c r="T12">
        <v>33.9</v>
      </c>
      <c r="U12">
        <v>66.7</v>
      </c>
      <c r="V12">
        <v>8.9</v>
      </c>
      <c r="W12" cm="1">
        <f t="array" ref="W12">_xlfn.IFS(OR(X12="N/A",X12="NA"),0,OR(X12="R64",X12="R68"),1,X12="R32",2,X12="S16",3,X12="E8",4,X12="F4",5,X12="2ND",6,X12="Champions",7)</f>
        <v>7</v>
      </c>
      <c r="X12" t="s">
        <v>42</v>
      </c>
      <c r="Y12">
        <v>2</v>
      </c>
      <c r="Z12">
        <v>2016</v>
      </c>
    </row>
    <row r="13" spans="1:26" x14ac:dyDescent="0.3">
      <c r="A13" t="s">
        <v>46</v>
      </c>
      <c r="B13" t="s">
        <v>33</v>
      </c>
      <c r="C13">
        <v>40</v>
      </c>
      <c r="D13">
        <v>36</v>
      </c>
      <c r="E13" s="1">
        <f t="shared" si="0"/>
        <v>0.9</v>
      </c>
      <c r="F13">
        <v>128.4</v>
      </c>
      <c r="G13">
        <v>94.1</v>
      </c>
      <c r="H13">
        <v>0.97250000000000003</v>
      </c>
      <c r="I13">
        <v>59.5</v>
      </c>
      <c r="J13">
        <v>48.5</v>
      </c>
      <c r="K13">
        <v>15</v>
      </c>
      <c r="L13">
        <v>18.2</v>
      </c>
      <c r="M13">
        <v>29.6</v>
      </c>
      <c r="N13">
        <v>27.1</v>
      </c>
      <c r="O13">
        <v>29.4</v>
      </c>
      <c r="P13">
        <v>26.7</v>
      </c>
      <c r="Q13">
        <v>59</v>
      </c>
      <c r="R13">
        <v>49</v>
      </c>
      <c r="S13">
        <v>40.1</v>
      </c>
      <c r="T13">
        <v>31.7</v>
      </c>
      <c r="U13">
        <v>69.599999999999994</v>
      </c>
      <c r="V13">
        <v>10.6</v>
      </c>
      <c r="W13" cm="1">
        <f t="array" ref="W13">_xlfn.IFS(OR(X13="N/A",X13="NA"),0,OR(X13="R64",X13="R68"),1,X13="R32",2,X13="S16",3,X13="E8",4,X13="F4",5,X13="2ND",6,X13="Champions",7)</f>
        <v>7</v>
      </c>
      <c r="X13" t="s">
        <v>42</v>
      </c>
      <c r="Y13">
        <v>1</v>
      </c>
      <c r="Z13">
        <v>2018</v>
      </c>
    </row>
    <row r="14" spans="1:26" x14ac:dyDescent="0.3">
      <c r="A14" t="s">
        <v>49</v>
      </c>
      <c r="B14" t="s">
        <v>50</v>
      </c>
      <c r="C14">
        <v>40</v>
      </c>
      <c r="D14">
        <v>32</v>
      </c>
      <c r="E14" s="1">
        <f t="shared" si="0"/>
        <v>0.8</v>
      </c>
      <c r="F14">
        <v>112.5</v>
      </c>
      <c r="G14">
        <v>91.3</v>
      </c>
      <c r="H14">
        <v>0.91710000000000003</v>
      </c>
      <c r="I14">
        <v>51.5</v>
      </c>
      <c r="J14">
        <v>44.6</v>
      </c>
      <c r="K14">
        <v>17.3</v>
      </c>
      <c r="L14">
        <v>19.600000000000001</v>
      </c>
      <c r="M14">
        <v>30.4</v>
      </c>
      <c r="N14">
        <v>32.799999999999997</v>
      </c>
      <c r="O14">
        <v>38.299999999999997</v>
      </c>
      <c r="P14">
        <v>35.700000000000003</v>
      </c>
      <c r="Q14">
        <v>48.1</v>
      </c>
      <c r="R14">
        <v>42.2</v>
      </c>
      <c r="S14">
        <v>38.700000000000003</v>
      </c>
      <c r="T14">
        <v>33</v>
      </c>
      <c r="U14">
        <v>64.8</v>
      </c>
      <c r="V14">
        <v>4.7</v>
      </c>
      <c r="W14" cm="1">
        <f t="array" ref="W14">_xlfn.IFS(OR(X14="N/A",X14="NA"),0,OR(X14="R64",X14="R68"),1,X14="R32",2,X14="S16",3,X14="E8",4,X14="F4",5,X14="2ND",6,X14="Champions",7)</f>
        <v>7</v>
      </c>
      <c r="X14" t="s">
        <v>42</v>
      </c>
      <c r="Y14">
        <v>7</v>
      </c>
      <c r="Z14">
        <v>2014</v>
      </c>
    </row>
    <row r="15" spans="1:26" x14ac:dyDescent="0.3">
      <c r="A15" t="s">
        <v>52</v>
      </c>
      <c r="B15" t="s">
        <v>33</v>
      </c>
      <c r="C15">
        <v>40</v>
      </c>
      <c r="D15">
        <v>35</v>
      </c>
      <c r="E15" s="1">
        <f t="shared" si="0"/>
        <v>0.875</v>
      </c>
      <c r="F15">
        <v>115.9</v>
      </c>
      <c r="G15">
        <v>84.5</v>
      </c>
      <c r="H15">
        <v>0.97430000000000005</v>
      </c>
      <c r="I15">
        <v>50.6</v>
      </c>
      <c r="J15">
        <v>44.8</v>
      </c>
      <c r="K15">
        <v>18.3</v>
      </c>
      <c r="L15">
        <v>27</v>
      </c>
      <c r="M15">
        <v>38.200000000000003</v>
      </c>
      <c r="N15">
        <v>33.299999999999997</v>
      </c>
      <c r="O15">
        <v>40</v>
      </c>
      <c r="P15">
        <v>34.9</v>
      </c>
      <c r="Q15">
        <v>50.8</v>
      </c>
      <c r="R15">
        <v>43.4</v>
      </c>
      <c r="S15">
        <v>33.299999999999997</v>
      </c>
      <c r="T15">
        <v>31.8</v>
      </c>
      <c r="U15">
        <v>67.099999999999994</v>
      </c>
      <c r="V15">
        <v>9</v>
      </c>
      <c r="W15" cm="1">
        <f t="array" ref="W15">_xlfn.IFS(OR(X15="N/A",X15="NA"),0,OR(X15="R64",X15="R68"),1,X15="R32",2,X15="S16",3,X15="E8",4,X15="F4",5,X15="2ND",6,X15="Champions",7)</f>
        <v>7</v>
      </c>
      <c r="X15" t="s">
        <v>42</v>
      </c>
      <c r="Y15">
        <v>1</v>
      </c>
      <c r="Z15">
        <v>2013</v>
      </c>
    </row>
    <row r="16" spans="1:26" x14ac:dyDescent="0.3">
      <c r="A16" t="s">
        <v>52</v>
      </c>
      <c r="B16" t="s">
        <v>26</v>
      </c>
      <c r="C16">
        <v>36</v>
      </c>
      <c r="D16">
        <v>27</v>
      </c>
      <c r="E16" s="1">
        <f t="shared" si="0"/>
        <v>0.75</v>
      </c>
      <c r="F16">
        <v>109.4</v>
      </c>
      <c r="G16">
        <v>87.4</v>
      </c>
      <c r="H16">
        <v>0.92900000000000005</v>
      </c>
      <c r="I16">
        <v>47.7</v>
      </c>
      <c r="J16">
        <v>44</v>
      </c>
      <c r="K16">
        <v>17.2</v>
      </c>
      <c r="L16">
        <v>21.3</v>
      </c>
      <c r="M16">
        <v>34.700000000000003</v>
      </c>
      <c r="N16">
        <v>30.8</v>
      </c>
      <c r="O16">
        <v>38.700000000000003</v>
      </c>
      <c r="P16">
        <v>33.299999999999997</v>
      </c>
      <c r="Q16">
        <v>48.4</v>
      </c>
      <c r="R16">
        <v>43.3</v>
      </c>
      <c r="S16">
        <v>30.7</v>
      </c>
      <c r="T16">
        <v>30.3</v>
      </c>
      <c r="U16">
        <v>65.599999999999994</v>
      </c>
      <c r="V16">
        <v>5.8</v>
      </c>
      <c r="W16" cm="1">
        <f t="array" ref="W16">_xlfn.IFS(OR(X16="N/A",X16="NA"),0,OR(X16="R64",X16="R68"),1,X16="R32",2,X16="S16",3,X16="E8",4,X16="F4",5,X16="2ND",6,X16="Champions",7)</f>
        <v>4</v>
      </c>
      <c r="X16" t="s">
        <v>54</v>
      </c>
      <c r="Y16">
        <v>4</v>
      </c>
      <c r="Z16">
        <v>2015</v>
      </c>
    </row>
    <row r="17" spans="1:26" x14ac:dyDescent="0.3">
      <c r="A17" t="s">
        <v>56</v>
      </c>
      <c r="B17" t="s">
        <v>26</v>
      </c>
      <c r="C17">
        <v>38</v>
      </c>
      <c r="D17">
        <v>32</v>
      </c>
      <c r="E17" s="1">
        <f t="shared" si="0"/>
        <v>0.84210526315789469</v>
      </c>
      <c r="F17">
        <v>125.3</v>
      </c>
      <c r="G17">
        <v>98.6</v>
      </c>
      <c r="H17">
        <v>0.94010000000000005</v>
      </c>
      <c r="I17">
        <v>58.3</v>
      </c>
      <c r="J17">
        <v>47.9</v>
      </c>
      <c r="K17">
        <v>14.5</v>
      </c>
      <c r="L17">
        <v>17.3</v>
      </c>
      <c r="M17">
        <v>27.9</v>
      </c>
      <c r="N17">
        <v>32.200000000000003</v>
      </c>
      <c r="O17">
        <v>36.700000000000003</v>
      </c>
      <c r="P17">
        <v>24.1</v>
      </c>
      <c r="Q17">
        <v>58.2</v>
      </c>
      <c r="R17">
        <v>47.4</v>
      </c>
      <c r="S17">
        <v>39</v>
      </c>
      <c r="T17">
        <v>32.6</v>
      </c>
      <c r="U17">
        <v>63.9</v>
      </c>
      <c r="V17">
        <v>8.6</v>
      </c>
      <c r="W17" cm="1">
        <f t="array" ref="W17">_xlfn.IFS(OR(X17="N/A",X17="NA"),0,OR(X17="R64",X17="R68"),1,X17="R32",2,X17="S16",3,X17="E8",4,X17="F4",5,X17="2ND",6,X17="Champions",7)</f>
        <v>4</v>
      </c>
      <c r="X17" t="s">
        <v>54</v>
      </c>
      <c r="Y17">
        <v>3</v>
      </c>
      <c r="Z17">
        <v>2015</v>
      </c>
    </row>
    <row r="18" spans="1:26" x14ac:dyDescent="0.3">
      <c r="A18" t="s">
        <v>56</v>
      </c>
      <c r="B18" t="s">
        <v>26</v>
      </c>
      <c r="C18">
        <v>36</v>
      </c>
      <c r="D18">
        <v>24</v>
      </c>
      <c r="E18" s="1">
        <f t="shared" si="0"/>
        <v>0.66666666666666663</v>
      </c>
      <c r="F18">
        <v>118.3</v>
      </c>
      <c r="G18">
        <v>103.3</v>
      </c>
      <c r="H18">
        <v>0.82689999999999997</v>
      </c>
      <c r="I18">
        <v>54</v>
      </c>
      <c r="J18">
        <v>49.5</v>
      </c>
      <c r="K18">
        <v>15.3</v>
      </c>
      <c r="L18">
        <v>14.8</v>
      </c>
      <c r="M18">
        <v>32.700000000000003</v>
      </c>
      <c r="N18">
        <v>32.1</v>
      </c>
      <c r="O18">
        <v>32.9</v>
      </c>
      <c r="P18">
        <v>26</v>
      </c>
      <c r="Q18">
        <v>52.9</v>
      </c>
      <c r="R18">
        <v>46.5</v>
      </c>
      <c r="S18">
        <v>37.4</v>
      </c>
      <c r="T18">
        <v>36.9</v>
      </c>
      <c r="U18">
        <v>65.5</v>
      </c>
      <c r="V18">
        <v>2.2999999999999998</v>
      </c>
      <c r="W18" cm="1">
        <f t="array" ref="W18">_xlfn.IFS(OR(X18="N/A",X18="NA"),0,OR(X18="R64",X18="R68"),1,X18="R32",2,X18="S16",3,X18="E8",4,X18="F4",5,X18="2ND",6,X18="Champions",7)</f>
        <v>4</v>
      </c>
      <c r="X18" t="s">
        <v>54</v>
      </c>
      <c r="Y18">
        <v>6</v>
      </c>
      <c r="Z18">
        <v>2016</v>
      </c>
    </row>
    <row r="19" spans="1:26" x14ac:dyDescent="0.3">
      <c r="A19" t="s">
        <v>44</v>
      </c>
      <c r="B19" t="s">
        <v>26</v>
      </c>
      <c r="C19">
        <v>37</v>
      </c>
      <c r="D19">
        <v>29</v>
      </c>
      <c r="E19" s="1">
        <f t="shared" si="0"/>
        <v>0.78378378378378377</v>
      </c>
      <c r="F19">
        <v>119.9</v>
      </c>
      <c r="G19">
        <v>91</v>
      </c>
      <c r="H19">
        <v>0.96</v>
      </c>
      <c r="I19">
        <v>54.8</v>
      </c>
      <c r="J19">
        <v>48.4</v>
      </c>
      <c r="K19">
        <v>15.1</v>
      </c>
      <c r="L19">
        <v>18.8</v>
      </c>
      <c r="M19">
        <v>29.9</v>
      </c>
      <c r="N19">
        <v>25.2</v>
      </c>
      <c r="O19">
        <v>32.1</v>
      </c>
      <c r="P19">
        <v>33.4</v>
      </c>
      <c r="Q19">
        <v>52.6</v>
      </c>
      <c r="R19">
        <v>46.3</v>
      </c>
      <c r="S19">
        <v>40.299999999999997</v>
      </c>
      <c r="T19">
        <v>34.700000000000003</v>
      </c>
      <c r="U19">
        <v>61.9</v>
      </c>
      <c r="V19">
        <v>8.6</v>
      </c>
      <c r="W19" cm="1">
        <f t="array" ref="W19">_xlfn.IFS(OR(X19="N/A",X19="NA"),0,OR(X19="R64",X19="R68"),1,X19="R32",2,X19="S16",3,X19="E8",4,X19="F4",5,X19="2ND",6,X19="Champions",7)</f>
        <v>4</v>
      </c>
      <c r="X19" t="s">
        <v>54</v>
      </c>
      <c r="Y19">
        <v>1</v>
      </c>
      <c r="Z19">
        <v>2016</v>
      </c>
    </row>
    <row r="20" spans="1:26" x14ac:dyDescent="0.3">
      <c r="A20" t="s">
        <v>41</v>
      </c>
      <c r="B20" t="s">
        <v>26</v>
      </c>
      <c r="C20">
        <v>37</v>
      </c>
      <c r="D20">
        <v>29</v>
      </c>
      <c r="E20" s="1">
        <f t="shared" si="0"/>
        <v>0.78378378378378377</v>
      </c>
      <c r="F20">
        <v>122.3</v>
      </c>
      <c r="G20">
        <v>92.9</v>
      </c>
      <c r="H20">
        <v>0.95920000000000005</v>
      </c>
      <c r="I20">
        <v>55.9</v>
      </c>
      <c r="J20">
        <v>46.4</v>
      </c>
      <c r="K20">
        <v>17.5</v>
      </c>
      <c r="L20">
        <v>17.3</v>
      </c>
      <c r="M20">
        <v>38.799999999999997</v>
      </c>
      <c r="N20">
        <v>30</v>
      </c>
      <c r="O20">
        <v>34.6</v>
      </c>
      <c r="P20">
        <v>22.3</v>
      </c>
      <c r="Q20">
        <v>56</v>
      </c>
      <c r="R20">
        <v>45.4</v>
      </c>
      <c r="S20">
        <v>37.200000000000003</v>
      </c>
      <c r="T20">
        <v>32</v>
      </c>
      <c r="U20">
        <v>70.900000000000006</v>
      </c>
      <c r="V20">
        <v>6.6</v>
      </c>
      <c r="W20" cm="1">
        <f t="array" ref="W20">_xlfn.IFS(OR(X20="N/A",X20="NA"),0,OR(X20="R64",X20="R68"),1,X20="R32",2,X20="S16",3,X20="E8",4,X20="F4",5,X20="2ND",6,X20="Champions",7)</f>
        <v>4</v>
      </c>
      <c r="X20" t="s">
        <v>54</v>
      </c>
      <c r="Y20">
        <v>2</v>
      </c>
      <c r="Z20">
        <v>2018</v>
      </c>
    </row>
    <row r="21" spans="1:26" x14ac:dyDescent="0.3">
      <c r="A21" t="s">
        <v>60</v>
      </c>
      <c r="B21" t="s">
        <v>26</v>
      </c>
      <c r="C21">
        <v>35</v>
      </c>
      <c r="D21">
        <v>23</v>
      </c>
      <c r="E21" s="1">
        <f t="shared" si="0"/>
        <v>0.65714285714285714</v>
      </c>
      <c r="F21">
        <v>113.2</v>
      </c>
      <c r="G21">
        <v>96.4</v>
      </c>
      <c r="H21">
        <v>0.86309999999999998</v>
      </c>
      <c r="I21">
        <v>53.2</v>
      </c>
      <c r="J21">
        <v>48.4</v>
      </c>
      <c r="K21">
        <v>17.8</v>
      </c>
      <c r="L21">
        <v>19.399999999999999</v>
      </c>
      <c r="M21">
        <v>32.299999999999997</v>
      </c>
      <c r="N21">
        <v>29.8</v>
      </c>
      <c r="O21">
        <v>37</v>
      </c>
      <c r="P21">
        <v>32.4</v>
      </c>
      <c r="Q21">
        <v>53.6</v>
      </c>
      <c r="R21">
        <v>45.4</v>
      </c>
      <c r="S21">
        <v>35</v>
      </c>
      <c r="T21">
        <v>35.5</v>
      </c>
      <c r="U21">
        <v>72.5</v>
      </c>
      <c r="V21">
        <v>0.9</v>
      </c>
      <c r="W21" cm="1">
        <f t="array" ref="W21">_xlfn.IFS(OR(X21="N/A",X21="NA"),0,OR(X21="R64",X21="R68"),1,X21="R32",2,X21="S16",3,X21="E8",4,X21="F4",5,X21="2ND",6,X21="Champions",7)</f>
        <v>4</v>
      </c>
      <c r="X21" t="s">
        <v>54</v>
      </c>
      <c r="Y21">
        <v>9</v>
      </c>
      <c r="Z21">
        <v>2018</v>
      </c>
    </row>
    <row r="22" spans="1:26" x14ac:dyDescent="0.3">
      <c r="A22" t="s">
        <v>41</v>
      </c>
      <c r="B22" t="s">
        <v>26</v>
      </c>
      <c r="C22">
        <v>38</v>
      </c>
      <c r="D22">
        <v>32</v>
      </c>
      <c r="E22" s="1">
        <f t="shared" si="0"/>
        <v>0.84210526315789469</v>
      </c>
      <c r="F22">
        <v>118.9</v>
      </c>
      <c r="G22">
        <v>89.2</v>
      </c>
      <c r="H22">
        <v>0.96460000000000001</v>
      </c>
      <c r="I22">
        <v>53.6</v>
      </c>
      <c r="J22">
        <v>45</v>
      </c>
      <c r="K22">
        <v>17.5</v>
      </c>
      <c r="L22">
        <v>19.399999999999999</v>
      </c>
      <c r="M22">
        <v>35.6</v>
      </c>
      <c r="N22">
        <v>29.5</v>
      </c>
      <c r="O22">
        <v>33.200000000000003</v>
      </c>
      <c r="P22">
        <v>24</v>
      </c>
      <c r="Q22">
        <v>58</v>
      </c>
      <c r="R22">
        <v>45</v>
      </c>
      <c r="S22">
        <v>30.8</v>
      </c>
      <c r="T22">
        <v>29.9</v>
      </c>
      <c r="U22">
        <v>73.599999999999994</v>
      </c>
      <c r="V22">
        <v>11.2</v>
      </c>
      <c r="W22" cm="1">
        <f t="array" ref="W22">_xlfn.IFS(OR(X22="N/A",X22="NA"),0,OR(X22="R64",X22="R68"),1,X22="R32",2,X22="S16",3,X22="E8",4,X22="F4",5,X22="2ND",6,X22="Champions",7)</f>
        <v>4</v>
      </c>
      <c r="X22" t="s">
        <v>54</v>
      </c>
      <c r="Y22">
        <v>1</v>
      </c>
      <c r="Z22">
        <v>2019</v>
      </c>
    </row>
    <row r="23" spans="1:26" x14ac:dyDescent="0.3">
      <c r="A23" t="s">
        <v>63</v>
      </c>
      <c r="B23" t="s">
        <v>31</v>
      </c>
      <c r="C23">
        <v>36</v>
      </c>
      <c r="D23">
        <v>26</v>
      </c>
      <c r="E23" s="1">
        <f t="shared" si="0"/>
        <v>0.72222222222222221</v>
      </c>
      <c r="F23">
        <v>122.8</v>
      </c>
      <c r="G23">
        <v>94.3</v>
      </c>
      <c r="H23">
        <v>0.95389999999999997</v>
      </c>
      <c r="I23">
        <v>53.6</v>
      </c>
      <c r="J23">
        <v>49</v>
      </c>
      <c r="K23">
        <v>15.8</v>
      </c>
      <c r="L23">
        <v>18.600000000000001</v>
      </c>
      <c r="M23">
        <v>34.5</v>
      </c>
      <c r="N23">
        <v>27</v>
      </c>
      <c r="O23">
        <v>29.9</v>
      </c>
      <c r="P23">
        <v>31.7</v>
      </c>
      <c r="Q23">
        <v>51.5</v>
      </c>
      <c r="R23">
        <v>47.2</v>
      </c>
      <c r="S23">
        <v>37.4</v>
      </c>
      <c r="T23">
        <v>34.200000000000003</v>
      </c>
      <c r="U23">
        <v>67</v>
      </c>
      <c r="V23">
        <v>6.1</v>
      </c>
      <c r="W23" cm="1">
        <f t="array" ref="W23">_xlfn.IFS(OR(X23="N/A",X23="NA"),0,OR(X23="R64",X23="R68"),1,X23="R32",2,X23="S16",3,X23="E8",4,X23="F4",5,X23="2ND",6,X23="Champions",7)</f>
        <v>4</v>
      </c>
      <c r="X23" t="s">
        <v>54</v>
      </c>
      <c r="Y23">
        <v>3</v>
      </c>
      <c r="Z23">
        <v>2019</v>
      </c>
    </row>
    <row r="24" spans="1:26" x14ac:dyDescent="0.3">
      <c r="A24" t="s">
        <v>65</v>
      </c>
      <c r="B24" t="s">
        <v>35</v>
      </c>
      <c r="C24">
        <v>37</v>
      </c>
      <c r="D24">
        <v>32</v>
      </c>
      <c r="E24" s="1">
        <f t="shared" si="0"/>
        <v>0.86486486486486491</v>
      </c>
      <c r="F24">
        <v>120.9</v>
      </c>
      <c r="G24">
        <v>90.4</v>
      </c>
      <c r="H24">
        <v>0.96619999999999995</v>
      </c>
      <c r="I24">
        <v>55.7</v>
      </c>
      <c r="J24">
        <v>45.1</v>
      </c>
      <c r="K24">
        <v>17.8</v>
      </c>
      <c r="L24">
        <v>18.5</v>
      </c>
      <c r="M24">
        <v>32.200000000000003</v>
      </c>
      <c r="N24">
        <v>27.9</v>
      </c>
      <c r="O24">
        <v>38.6</v>
      </c>
      <c r="P24">
        <v>37.299999999999997</v>
      </c>
      <c r="Q24">
        <v>52.7</v>
      </c>
      <c r="R24">
        <v>43.4</v>
      </c>
      <c r="S24">
        <v>41.3</v>
      </c>
      <c r="T24">
        <v>32.5</v>
      </c>
      <c r="U24">
        <v>70.099999999999994</v>
      </c>
      <c r="V24">
        <v>11.6</v>
      </c>
      <c r="W24" cm="1">
        <f t="array" ref="W24">_xlfn.IFS(OR(X24="N/A",X24="NA"),0,OR(X24="R64",X24="R68"),1,X24="R32",2,X24="S16",3,X24="E8",4,X24="F4",5,X24="2ND",6,X24="Champions",7)</f>
        <v>4</v>
      </c>
      <c r="X24" t="s">
        <v>54</v>
      </c>
      <c r="Y24">
        <v>1</v>
      </c>
      <c r="Z24">
        <v>2016</v>
      </c>
    </row>
    <row r="25" spans="1:26" x14ac:dyDescent="0.3">
      <c r="A25" t="s">
        <v>65</v>
      </c>
      <c r="B25" t="s">
        <v>35</v>
      </c>
      <c r="C25">
        <v>36</v>
      </c>
      <c r="D25">
        <v>31</v>
      </c>
      <c r="E25" s="1">
        <f t="shared" si="0"/>
        <v>0.86111111111111116</v>
      </c>
      <c r="F25">
        <v>121.5</v>
      </c>
      <c r="G25">
        <v>94.5</v>
      </c>
      <c r="H25">
        <v>0.94720000000000004</v>
      </c>
      <c r="I25">
        <v>56.1</v>
      </c>
      <c r="J25">
        <v>48.1</v>
      </c>
      <c r="K25">
        <v>17.600000000000001</v>
      </c>
      <c r="L25">
        <v>18.600000000000001</v>
      </c>
      <c r="M25">
        <v>34.1</v>
      </c>
      <c r="N25">
        <v>29.7</v>
      </c>
      <c r="O25">
        <v>36</v>
      </c>
      <c r="P25">
        <v>30</v>
      </c>
      <c r="Q25">
        <v>53.6</v>
      </c>
      <c r="R25">
        <v>45.3</v>
      </c>
      <c r="S25">
        <v>40.4</v>
      </c>
      <c r="T25">
        <v>35.6</v>
      </c>
      <c r="U25">
        <v>71.400000000000006</v>
      </c>
      <c r="V25">
        <v>11</v>
      </c>
      <c r="W25" cm="1">
        <f t="array" ref="W25">_xlfn.IFS(OR(X25="N/A",X25="NA"),0,OR(X25="R64",X25="R68"),1,X25="R32",2,X25="S16",3,X25="E8",4,X25="F4",5,X25="2ND",6,X25="Champions",7)</f>
        <v>4</v>
      </c>
      <c r="X25" t="s">
        <v>54</v>
      </c>
      <c r="Y25">
        <v>1</v>
      </c>
      <c r="Z25">
        <v>2017</v>
      </c>
    </row>
    <row r="26" spans="1:26" x14ac:dyDescent="0.3">
      <c r="A26" t="s">
        <v>68</v>
      </c>
      <c r="B26" t="s">
        <v>35</v>
      </c>
      <c r="C26">
        <v>37</v>
      </c>
      <c r="D26">
        <v>25</v>
      </c>
      <c r="E26" s="1">
        <f t="shared" si="0"/>
        <v>0.67567567567567566</v>
      </c>
      <c r="F26">
        <v>109.6</v>
      </c>
      <c r="G26">
        <v>93.7</v>
      </c>
      <c r="H26">
        <v>0.85840000000000005</v>
      </c>
      <c r="I26">
        <v>52.6</v>
      </c>
      <c r="J26">
        <v>49.1</v>
      </c>
      <c r="K26">
        <v>17.2</v>
      </c>
      <c r="L26">
        <v>21.6</v>
      </c>
      <c r="M26">
        <v>25.9</v>
      </c>
      <c r="N26">
        <v>31.9</v>
      </c>
      <c r="O26">
        <v>33.799999999999997</v>
      </c>
      <c r="P26">
        <v>36.799999999999997</v>
      </c>
      <c r="Q26">
        <v>53.4</v>
      </c>
      <c r="R26">
        <v>48.9</v>
      </c>
      <c r="S26">
        <v>34.1</v>
      </c>
      <c r="T26">
        <v>33</v>
      </c>
      <c r="U26">
        <v>66.5</v>
      </c>
      <c r="V26">
        <v>2.5</v>
      </c>
      <c r="W26" cm="1">
        <f t="array" ref="W26">_xlfn.IFS(OR(X26="N/A",X26="NA"),0,OR(X26="R64",X26="R68"),1,X26="R32",2,X26="S16",3,X26="E8",4,X26="F4",5,X26="2ND",6,X26="Champions",7)</f>
        <v>4</v>
      </c>
      <c r="X26" t="s">
        <v>54</v>
      </c>
      <c r="Y26">
        <v>9</v>
      </c>
      <c r="Z26">
        <v>2018</v>
      </c>
    </row>
    <row r="27" spans="1:26" x14ac:dyDescent="0.3">
      <c r="A27" t="s">
        <v>34</v>
      </c>
      <c r="B27" t="s">
        <v>35</v>
      </c>
      <c r="C27">
        <v>37</v>
      </c>
      <c r="D27">
        <v>27</v>
      </c>
      <c r="E27" s="1">
        <f t="shared" si="0"/>
        <v>0.72972972972972971</v>
      </c>
      <c r="F27">
        <v>112.7</v>
      </c>
      <c r="G27">
        <v>91.5</v>
      </c>
      <c r="H27">
        <v>0.91700000000000004</v>
      </c>
      <c r="I27">
        <v>52</v>
      </c>
      <c r="J27">
        <v>46.4</v>
      </c>
      <c r="K27">
        <v>17.8</v>
      </c>
      <c r="L27">
        <v>21.7</v>
      </c>
      <c r="M27">
        <v>32.9</v>
      </c>
      <c r="N27">
        <v>28.7</v>
      </c>
      <c r="O27">
        <v>39.299999999999997</v>
      </c>
      <c r="P27">
        <v>38</v>
      </c>
      <c r="Q27">
        <v>51.1</v>
      </c>
      <c r="R27">
        <v>45.1</v>
      </c>
      <c r="S27">
        <v>35.9</v>
      </c>
      <c r="T27">
        <v>32.299999999999997</v>
      </c>
      <c r="U27">
        <v>67.599999999999994</v>
      </c>
      <c r="V27">
        <v>4.7</v>
      </c>
      <c r="W27" cm="1">
        <f t="array" ref="W27">_xlfn.IFS(OR(X27="N/A",X27="NA"),0,OR(X27="R64",X27="R68"),1,X27="R32",2,X27="S16",3,X27="E8",4,X27="F4",5,X27="2ND",6,X27="Champions",7)</f>
        <v>4</v>
      </c>
      <c r="X27" t="s">
        <v>54</v>
      </c>
      <c r="Y27">
        <v>3</v>
      </c>
      <c r="Z27">
        <v>2018</v>
      </c>
    </row>
    <row r="28" spans="1:26" x14ac:dyDescent="0.3">
      <c r="A28" t="s">
        <v>70</v>
      </c>
      <c r="B28" t="s">
        <v>33</v>
      </c>
      <c r="C28">
        <v>38</v>
      </c>
      <c r="D28">
        <v>24</v>
      </c>
      <c r="E28" s="1">
        <f t="shared" si="0"/>
        <v>0.63157894736842102</v>
      </c>
      <c r="F28">
        <v>115.6</v>
      </c>
      <c r="G28">
        <v>97.9</v>
      </c>
      <c r="H28">
        <v>0.87129999999999996</v>
      </c>
      <c r="I28">
        <v>51.9</v>
      </c>
      <c r="J28">
        <v>51.6</v>
      </c>
      <c r="K28">
        <v>18.399999999999999</v>
      </c>
      <c r="L28">
        <v>17.5</v>
      </c>
      <c r="M28">
        <v>34.5</v>
      </c>
      <c r="N28">
        <v>25.5</v>
      </c>
      <c r="O28">
        <v>41.1</v>
      </c>
      <c r="P28">
        <v>33.4</v>
      </c>
      <c r="Q28">
        <v>52</v>
      </c>
      <c r="R28">
        <v>52.5</v>
      </c>
      <c r="S28">
        <v>34.5</v>
      </c>
      <c r="T28">
        <v>33.4</v>
      </c>
      <c r="U28">
        <v>68.400000000000006</v>
      </c>
      <c r="V28">
        <v>1.6</v>
      </c>
      <c r="W28" cm="1">
        <f t="array" ref="W28">_xlfn.IFS(OR(X28="N/A",X28="NA"),0,OR(X28="R64",X28="R68"),1,X28="R32",2,X28="S16",3,X28="E8",4,X28="F4",5,X28="2ND",6,X28="Champions",7)</f>
        <v>4</v>
      </c>
      <c r="X28" t="s">
        <v>54</v>
      </c>
      <c r="Y28">
        <v>11</v>
      </c>
      <c r="Z28">
        <v>2017</v>
      </c>
    </row>
    <row r="29" spans="1:26" x14ac:dyDescent="0.3">
      <c r="A29" t="s">
        <v>71</v>
      </c>
      <c r="B29" t="s">
        <v>38</v>
      </c>
      <c r="C29">
        <v>38</v>
      </c>
      <c r="D29">
        <v>34</v>
      </c>
      <c r="E29" s="1">
        <f t="shared" si="0"/>
        <v>0.89473684210526316</v>
      </c>
      <c r="F29">
        <v>117.5</v>
      </c>
      <c r="G29">
        <v>86.9</v>
      </c>
      <c r="H29">
        <v>0.97</v>
      </c>
      <c r="I29">
        <v>53.5</v>
      </c>
      <c r="J29">
        <v>45.1</v>
      </c>
      <c r="K29">
        <v>16.5</v>
      </c>
      <c r="L29">
        <v>20.6</v>
      </c>
      <c r="M29">
        <v>34.5</v>
      </c>
      <c r="N29">
        <v>22.4</v>
      </c>
      <c r="O29">
        <v>47.1</v>
      </c>
      <c r="P29">
        <v>37.299999999999997</v>
      </c>
      <c r="Q29">
        <v>53.3</v>
      </c>
      <c r="R29">
        <v>42.7</v>
      </c>
      <c r="S29">
        <v>36</v>
      </c>
      <c r="T29">
        <v>33.5</v>
      </c>
      <c r="U29">
        <v>66.7</v>
      </c>
      <c r="V29">
        <v>9</v>
      </c>
      <c r="W29" cm="1">
        <f t="array" ref="W29">_xlfn.IFS(OR(X29="N/A",X29="NA"),0,OR(X29="R64",X29="R68"),1,X29="R32",2,X29="S16",3,X29="E8",4,X29="F4",5,X29="2ND",6,X29="Champions",7)</f>
        <v>4</v>
      </c>
      <c r="X29" t="s">
        <v>54</v>
      </c>
      <c r="Y29">
        <v>2</v>
      </c>
      <c r="Z29">
        <v>2015</v>
      </c>
    </row>
    <row r="30" spans="1:26" x14ac:dyDescent="0.3">
      <c r="A30" t="s">
        <v>73</v>
      </c>
      <c r="B30" t="s">
        <v>38</v>
      </c>
      <c r="C30">
        <v>37</v>
      </c>
      <c r="D30">
        <v>30</v>
      </c>
      <c r="E30" s="1">
        <f t="shared" si="0"/>
        <v>0.81081081081081086</v>
      </c>
      <c r="F30">
        <v>118.4</v>
      </c>
      <c r="G30">
        <v>96.2</v>
      </c>
      <c r="H30">
        <v>0.9163</v>
      </c>
      <c r="I30">
        <v>52.3</v>
      </c>
      <c r="J30">
        <v>48.9</v>
      </c>
      <c r="K30">
        <v>16.100000000000001</v>
      </c>
      <c r="L30">
        <v>20.2</v>
      </c>
      <c r="M30">
        <v>34.1</v>
      </c>
      <c r="N30">
        <v>30.5</v>
      </c>
      <c r="O30">
        <v>40.299999999999997</v>
      </c>
      <c r="P30">
        <v>32</v>
      </c>
      <c r="Q30">
        <v>52.6</v>
      </c>
      <c r="R30">
        <v>46.1</v>
      </c>
      <c r="S30">
        <v>34.4</v>
      </c>
      <c r="T30">
        <v>36.200000000000003</v>
      </c>
      <c r="U30">
        <v>69</v>
      </c>
      <c r="V30">
        <v>6.7</v>
      </c>
      <c r="W30" cm="1">
        <f t="array" ref="W30">_xlfn.IFS(OR(X30="N/A",X30="NA"),0,OR(X30="R64",X30="R68"),1,X30="R32",2,X30="S16",3,X30="E8",4,X30="F4",5,X30="2ND",6,X30="Champions",7)</f>
        <v>4</v>
      </c>
      <c r="X30" t="s">
        <v>54</v>
      </c>
      <c r="Y30">
        <v>1</v>
      </c>
      <c r="Z30">
        <v>2016</v>
      </c>
    </row>
    <row r="31" spans="1:26" x14ac:dyDescent="0.3">
      <c r="A31" t="s">
        <v>75</v>
      </c>
      <c r="B31" t="s">
        <v>29</v>
      </c>
      <c r="C31">
        <v>36</v>
      </c>
      <c r="D31">
        <v>27</v>
      </c>
      <c r="E31" s="1">
        <f t="shared" si="0"/>
        <v>0.75</v>
      </c>
      <c r="F31">
        <v>116.6</v>
      </c>
      <c r="G31">
        <v>88.9</v>
      </c>
      <c r="H31">
        <v>0.95760000000000001</v>
      </c>
      <c r="I31">
        <v>51.6</v>
      </c>
      <c r="J31">
        <v>45.8</v>
      </c>
      <c r="K31">
        <v>16.899999999999999</v>
      </c>
      <c r="L31">
        <v>21</v>
      </c>
      <c r="M31">
        <v>32.1</v>
      </c>
      <c r="N31">
        <v>29.5</v>
      </c>
      <c r="O31">
        <v>40.200000000000003</v>
      </c>
      <c r="P31">
        <v>34</v>
      </c>
      <c r="Q31">
        <v>50.3</v>
      </c>
      <c r="R31">
        <v>45.7</v>
      </c>
      <c r="S31">
        <v>35.9</v>
      </c>
      <c r="T31">
        <v>30.5</v>
      </c>
      <c r="U31">
        <v>70.2</v>
      </c>
      <c r="V31">
        <v>6.4</v>
      </c>
      <c r="W31" cm="1">
        <f t="array" ref="W31">_xlfn.IFS(OR(X31="N/A",X31="NA"),0,OR(X31="R64",X31="R68"),1,X31="R32",2,X31="S16",3,X31="E8",4,X31="F4",5,X31="2ND",6,X31="Champions",7)</f>
        <v>4</v>
      </c>
      <c r="X31" t="s">
        <v>54</v>
      </c>
      <c r="Y31">
        <v>4</v>
      </c>
      <c r="Z31">
        <v>2017</v>
      </c>
    </row>
    <row r="32" spans="1:26" x14ac:dyDescent="0.3">
      <c r="A32" t="s">
        <v>39</v>
      </c>
      <c r="B32" t="s">
        <v>29</v>
      </c>
      <c r="C32">
        <v>38</v>
      </c>
      <c r="D32">
        <v>32</v>
      </c>
      <c r="E32" s="1">
        <f t="shared" si="0"/>
        <v>0.84210526315789469</v>
      </c>
      <c r="F32">
        <v>118.3</v>
      </c>
      <c r="G32">
        <v>91.3</v>
      </c>
      <c r="H32">
        <v>0.95169999999999999</v>
      </c>
      <c r="I32">
        <v>52.9</v>
      </c>
      <c r="J32">
        <v>47.5</v>
      </c>
      <c r="K32">
        <v>15.7</v>
      </c>
      <c r="L32">
        <v>19.2</v>
      </c>
      <c r="M32">
        <v>33.5</v>
      </c>
      <c r="N32">
        <v>27.7</v>
      </c>
      <c r="O32">
        <v>40.9</v>
      </c>
      <c r="P32">
        <v>33.5</v>
      </c>
      <c r="Q32">
        <v>52.9</v>
      </c>
      <c r="R32">
        <v>48.3</v>
      </c>
      <c r="S32">
        <v>35.299999999999997</v>
      </c>
      <c r="T32">
        <v>30.6</v>
      </c>
      <c r="U32">
        <v>73.7</v>
      </c>
      <c r="V32">
        <v>9</v>
      </c>
      <c r="W32" cm="1">
        <f t="array" ref="W32">_xlfn.IFS(OR(X32="N/A",X32="NA"),0,OR(X32="R64",X32="R68"),1,X32="R32",2,X32="S16",3,X32="E8",4,X32="F4",5,X32="2ND",6,X32="Champions",7)</f>
        <v>4</v>
      </c>
      <c r="X32" t="s">
        <v>54</v>
      </c>
      <c r="Y32">
        <v>2</v>
      </c>
      <c r="Z32">
        <v>2017</v>
      </c>
    </row>
    <row r="33" spans="1:26" x14ac:dyDescent="0.3">
      <c r="A33" t="s">
        <v>39</v>
      </c>
      <c r="B33" t="s">
        <v>29</v>
      </c>
      <c r="C33">
        <v>37</v>
      </c>
      <c r="D33">
        <v>30</v>
      </c>
      <c r="E33" s="1">
        <f t="shared" si="0"/>
        <v>0.81081081081081086</v>
      </c>
      <c r="F33">
        <v>117.5</v>
      </c>
      <c r="G33">
        <v>89.8</v>
      </c>
      <c r="H33">
        <v>0.95679999999999998</v>
      </c>
      <c r="I33">
        <v>53</v>
      </c>
      <c r="J33">
        <v>46.6</v>
      </c>
      <c r="K33">
        <v>18.600000000000001</v>
      </c>
      <c r="L33">
        <v>17.899999999999999</v>
      </c>
      <c r="M33">
        <v>36.799999999999997</v>
      </c>
      <c r="N33">
        <v>25.5</v>
      </c>
      <c r="O33">
        <v>41.9</v>
      </c>
      <c r="P33">
        <v>26.8</v>
      </c>
      <c r="Q33">
        <v>52.9</v>
      </c>
      <c r="R33">
        <v>43.6</v>
      </c>
      <c r="S33">
        <v>35.4</v>
      </c>
      <c r="T33">
        <v>34.299999999999997</v>
      </c>
      <c r="U33">
        <v>66.900000000000006</v>
      </c>
      <c r="V33">
        <v>8.8000000000000007</v>
      </c>
      <c r="W33" cm="1">
        <f t="array" ref="W33">_xlfn.IFS(OR(X33="N/A",X33="NA"),0,OR(X33="R64",X33="R68"),1,X33="R32",2,X33="S16",3,X33="E8",4,X33="F4",5,X33="2ND",6,X33="Champions",7)</f>
        <v>4</v>
      </c>
      <c r="X33" t="s">
        <v>54</v>
      </c>
      <c r="Y33">
        <v>2</v>
      </c>
      <c r="Z33">
        <v>2019</v>
      </c>
    </row>
    <row r="34" spans="1:26" x14ac:dyDescent="0.3">
      <c r="A34" t="s">
        <v>36</v>
      </c>
      <c r="B34" t="s">
        <v>37</v>
      </c>
      <c r="C34">
        <v>37</v>
      </c>
      <c r="D34">
        <v>34</v>
      </c>
      <c r="E34" s="1">
        <f t="shared" si="0"/>
        <v>0.91891891891891897</v>
      </c>
      <c r="F34">
        <v>120.2</v>
      </c>
      <c r="G34">
        <v>93.1</v>
      </c>
      <c r="H34">
        <v>0.94979999999999998</v>
      </c>
      <c r="I34">
        <v>57.9</v>
      </c>
      <c r="J34">
        <v>44.2</v>
      </c>
      <c r="K34">
        <v>16.100000000000001</v>
      </c>
      <c r="L34">
        <v>17.100000000000001</v>
      </c>
      <c r="M34">
        <v>33.9</v>
      </c>
      <c r="N34">
        <v>28</v>
      </c>
      <c r="O34">
        <v>38.700000000000003</v>
      </c>
      <c r="P34">
        <v>30.5</v>
      </c>
      <c r="Q34">
        <v>57</v>
      </c>
      <c r="R34">
        <v>42</v>
      </c>
      <c r="S34">
        <v>40</v>
      </c>
      <c r="T34">
        <v>33</v>
      </c>
      <c r="U34">
        <v>65.2</v>
      </c>
      <c r="V34">
        <v>7.8</v>
      </c>
      <c r="W34" cm="1">
        <f t="array" ref="W34">_xlfn.IFS(OR(X34="N/A",X34="NA"),0,OR(X34="R64",X34="R68"),1,X34="R32",2,X34="S16",3,X34="E8",4,X34="F4",5,X34="2ND",6,X34="Champions",7)</f>
        <v>4</v>
      </c>
      <c r="X34" t="s">
        <v>54</v>
      </c>
      <c r="Y34">
        <v>2</v>
      </c>
      <c r="Z34">
        <v>2015</v>
      </c>
    </row>
    <row r="35" spans="1:26" x14ac:dyDescent="0.3">
      <c r="A35" t="s">
        <v>36</v>
      </c>
      <c r="B35" t="s">
        <v>37</v>
      </c>
      <c r="C35">
        <v>37</v>
      </c>
      <c r="D35">
        <v>33</v>
      </c>
      <c r="E35" s="1">
        <f t="shared" si="0"/>
        <v>0.89189189189189189</v>
      </c>
      <c r="F35">
        <v>123.4</v>
      </c>
      <c r="G35">
        <v>89.9</v>
      </c>
      <c r="H35">
        <v>0.97440000000000004</v>
      </c>
      <c r="I35">
        <v>59</v>
      </c>
      <c r="J35">
        <v>44.2</v>
      </c>
      <c r="K35">
        <v>14.9</v>
      </c>
      <c r="L35">
        <v>19</v>
      </c>
      <c r="M35">
        <v>31.5</v>
      </c>
      <c r="N35">
        <v>26.8</v>
      </c>
      <c r="O35">
        <v>35.299999999999997</v>
      </c>
      <c r="P35">
        <v>25.9</v>
      </c>
      <c r="Q35">
        <v>61.4</v>
      </c>
      <c r="R35">
        <v>43.4</v>
      </c>
      <c r="S35">
        <v>36.299999999999997</v>
      </c>
      <c r="T35">
        <v>30.4</v>
      </c>
      <c r="U35">
        <v>72</v>
      </c>
      <c r="V35">
        <v>7</v>
      </c>
      <c r="W35" cm="1">
        <f t="array" ref="W35">_xlfn.IFS(OR(X35="N/A",X35="NA"),0,OR(X35="R64",X35="R68"),1,X35="R32",2,X35="S16",3,X35="E8",4,X35="F4",5,X35="2ND",6,X35="Champions",7)</f>
        <v>4</v>
      </c>
      <c r="X35" t="s">
        <v>54</v>
      </c>
      <c r="Y35">
        <v>1</v>
      </c>
      <c r="Z35">
        <v>2019</v>
      </c>
    </row>
    <row r="36" spans="1:26" x14ac:dyDescent="0.3">
      <c r="A36" t="s">
        <v>71</v>
      </c>
      <c r="B36" t="s">
        <v>38</v>
      </c>
      <c r="C36">
        <v>38</v>
      </c>
      <c r="D36">
        <v>33</v>
      </c>
      <c r="E36" s="1">
        <f t="shared" si="0"/>
        <v>0.86842105263157898</v>
      </c>
      <c r="F36">
        <v>116.2</v>
      </c>
      <c r="G36">
        <v>87.4</v>
      </c>
      <c r="H36">
        <v>0.96360000000000001</v>
      </c>
      <c r="I36">
        <v>51.7</v>
      </c>
      <c r="J36">
        <v>42.3</v>
      </c>
      <c r="K36">
        <v>15.7</v>
      </c>
      <c r="L36">
        <v>19.100000000000001</v>
      </c>
      <c r="M36">
        <v>36.4</v>
      </c>
      <c r="N36">
        <v>27.3</v>
      </c>
      <c r="O36">
        <v>41</v>
      </c>
      <c r="P36">
        <v>34.200000000000003</v>
      </c>
      <c r="Q36">
        <v>50.7</v>
      </c>
      <c r="R36">
        <v>40.200000000000003</v>
      </c>
      <c r="S36">
        <v>36.4</v>
      </c>
      <c r="T36">
        <v>32</v>
      </c>
      <c r="U36">
        <v>64.3</v>
      </c>
      <c r="V36">
        <v>9.4</v>
      </c>
      <c r="W36" cm="1">
        <f t="array" ref="W36">_xlfn.IFS(OR(X36="N/A",X36="NA"),0,OR(X36="R64",X36="R68"),1,X36="R32",2,X36="S16",3,X36="E8",4,X36="F4",5,X36="2ND",6,X36="Champions",7)</f>
        <v>4</v>
      </c>
      <c r="X36" t="s">
        <v>54</v>
      </c>
      <c r="Y36">
        <v>1</v>
      </c>
      <c r="Z36">
        <v>2014</v>
      </c>
    </row>
    <row r="37" spans="1:26" x14ac:dyDescent="0.3">
      <c r="A37" t="s">
        <v>32</v>
      </c>
      <c r="B37" t="s">
        <v>31</v>
      </c>
      <c r="C37">
        <v>37</v>
      </c>
      <c r="D37">
        <v>28</v>
      </c>
      <c r="E37" s="1">
        <f t="shared" si="0"/>
        <v>0.7567567567567568</v>
      </c>
      <c r="F37">
        <v>125</v>
      </c>
      <c r="G37">
        <v>99.9</v>
      </c>
      <c r="H37">
        <v>0.92949999999999999</v>
      </c>
      <c r="I37">
        <v>55.7</v>
      </c>
      <c r="J37">
        <v>49.4</v>
      </c>
      <c r="K37">
        <v>14.8</v>
      </c>
      <c r="L37">
        <v>17.100000000000001</v>
      </c>
      <c r="M37">
        <v>29.4</v>
      </c>
      <c r="N37">
        <v>30.5</v>
      </c>
      <c r="O37">
        <v>34.9</v>
      </c>
      <c r="P37">
        <v>26.7</v>
      </c>
      <c r="Q37">
        <v>52.7</v>
      </c>
      <c r="R37">
        <v>50.2</v>
      </c>
      <c r="S37">
        <v>40.200000000000003</v>
      </c>
      <c r="T37">
        <v>31.8</v>
      </c>
      <c r="U37">
        <v>62.6</v>
      </c>
      <c r="V37">
        <v>7.7</v>
      </c>
      <c r="W37" cm="1">
        <f t="array" ref="W37">_xlfn.IFS(OR(X37="N/A",X37="NA"),0,OR(X37="R64",X37="R68"),1,X37="R32",2,X37="S16",3,X37="E8",4,X37="F4",5,X37="2ND",6,X37="Champions",7)</f>
        <v>4</v>
      </c>
      <c r="X37" t="s">
        <v>54</v>
      </c>
      <c r="Y37">
        <v>2</v>
      </c>
      <c r="Z37">
        <v>2014</v>
      </c>
    </row>
    <row r="38" spans="1:26" x14ac:dyDescent="0.3">
      <c r="A38" t="s">
        <v>78</v>
      </c>
      <c r="B38" t="s">
        <v>31</v>
      </c>
      <c r="C38">
        <v>38</v>
      </c>
      <c r="D38">
        <v>29</v>
      </c>
      <c r="E38" s="1">
        <f t="shared" si="0"/>
        <v>0.76315789473684215</v>
      </c>
      <c r="F38">
        <v>119.6</v>
      </c>
      <c r="G38">
        <v>95.3</v>
      </c>
      <c r="H38">
        <v>0.93189999999999995</v>
      </c>
      <c r="I38">
        <v>54.5</v>
      </c>
      <c r="J38">
        <v>45.8</v>
      </c>
      <c r="K38">
        <v>17.399999999999999</v>
      </c>
      <c r="L38">
        <v>17.7</v>
      </c>
      <c r="M38">
        <v>32.9</v>
      </c>
      <c r="N38">
        <v>27.5</v>
      </c>
      <c r="O38">
        <v>33.700000000000003</v>
      </c>
      <c r="P38">
        <v>40.299999999999997</v>
      </c>
      <c r="Q38">
        <v>52.1</v>
      </c>
      <c r="R38">
        <v>43.5</v>
      </c>
      <c r="S38">
        <v>39.200000000000003</v>
      </c>
      <c r="T38">
        <v>33.200000000000003</v>
      </c>
      <c r="U38">
        <v>66.2</v>
      </c>
      <c r="V38">
        <v>6.9</v>
      </c>
      <c r="W38" cm="1">
        <f t="array" ref="W38">_xlfn.IFS(OR(X38="N/A",X38="NA"),0,OR(X38="R64",X38="R68"),1,X38="R32",2,X38="S16",3,X38="E8",4,X38="F4",5,X38="2ND",6,X38="Champions",7)</f>
        <v>4</v>
      </c>
      <c r="X38" t="s">
        <v>54</v>
      </c>
      <c r="Y38">
        <v>4</v>
      </c>
      <c r="Z38">
        <v>2014</v>
      </c>
    </row>
    <row r="39" spans="1:26" x14ac:dyDescent="0.3">
      <c r="A39" t="s">
        <v>79</v>
      </c>
      <c r="B39" t="s">
        <v>45</v>
      </c>
      <c r="C39">
        <v>37</v>
      </c>
      <c r="D39">
        <v>26</v>
      </c>
      <c r="E39" s="1">
        <f t="shared" si="0"/>
        <v>0.70270270270270274</v>
      </c>
      <c r="F39">
        <v>113</v>
      </c>
      <c r="G39">
        <v>99.1</v>
      </c>
      <c r="H39">
        <v>0.81879999999999997</v>
      </c>
      <c r="I39">
        <v>52.4</v>
      </c>
      <c r="J39">
        <v>48.8</v>
      </c>
      <c r="K39">
        <v>18.100000000000001</v>
      </c>
      <c r="L39">
        <v>18.8</v>
      </c>
      <c r="M39">
        <v>33.9</v>
      </c>
      <c r="N39">
        <v>28.8</v>
      </c>
      <c r="O39">
        <v>40.6</v>
      </c>
      <c r="P39">
        <v>43</v>
      </c>
      <c r="Q39">
        <v>50.4</v>
      </c>
      <c r="R39">
        <v>48.3</v>
      </c>
      <c r="S39">
        <v>37.700000000000003</v>
      </c>
      <c r="T39">
        <v>33.200000000000003</v>
      </c>
      <c r="U39">
        <v>65.400000000000006</v>
      </c>
      <c r="V39">
        <v>0.6</v>
      </c>
      <c r="W39" cm="1">
        <f t="array" ref="W39">_xlfn.IFS(OR(X39="N/A",X39="NA"),0,OR(X39="R64",X39="R68"),1,X39="R32",2,X39="S16",3,X39="E8",4,X39="F4",5,X39="2ND",6,X39="Champions",7)</f>
        <v>4</v>
      </c>
      <c r="X39" t="s">
        <v>54</v>
      </c>
      <c r="Y39">
        <v>11</v>
      </c>
      <c r="Z39">
        <v>2014</v>
      </c>
    </row>
    <row r="40" spans="1:26" x14ac:dyDescent="0.3">
      <c r="A40" t="s">
        <v>80</v>
      </c>
      <c r="B40" t="s">
        <v>31</v>
      </c>
      <c r="C40">
        <v>37</v>
      </c>
      <c r="D40">
        <v>29</v>
      </c>
      <c r="E40" s="1">
        <f t="shared" si="0"/>
        <v>0.78378378378378377</v>
      </c>
      <c r="F40">
        <v>113.6</v>
      </c>
      <c r="G40">
        <v>89.4</v>
      </c>
      <c r="H40">
        <v>0.94059999999999999</v>
      </c>
      <c r="I40">
        <v>50.6</v>
      </c>
      <c r="J40">
        <v>45.4</v>
      </c>
      <c r="K40">
        <v>16.2</v>
      </c>
      <c r="L40">
        <v>20.7</v>
      </c>
      <c r="M40">
        <v>31.8</v>
      </c>
      <c r="N40">
        <v>28.2</v>
      </c>
      <c r="O40">
        <v>35.5</v>
      </c>
      <c r="P40">
        <v>29.5</v>
      </c>
      <c r="Q40">
        <v>49.4</v>
      </c>
      <c r="R40">
        <v>43.6</v>
      </c>
      <c r="S40">
        <v>35.6</v>
      </c>
      <c r="T40">
        <v>32.4</v>
      </c>
      <c r="U40">
        <v>65.3</v>
      </c>
      <c r="V40">
        <v>7.2</v>
      </c>
      <c r="W40" cm="1">
        <f t="array" ref="W40">_xlfn.IFS(OR(X40="N/A",X40="NA"),0,OR(X40="R64",X40="R68"),1,X40="R32",2,X40="S16",3,X40="E8",4,X40="F4",5,X40="2ND",6,X40="Champions",7)</f>
        <v>4</v>
      </c>
      <c r="X40" t="s">
        <v>54</v>
      </c>
      <c r="Y40">
        <v>2</v>
      </c>
      <c r="Z40">
        <v>2013</v>
      </c>
    </row>
    <row r="41" spans="1:26" x14ac:dyDescent="0.3">
      <c r="A41" t="s">
        <v>41</v>
      </c>
      <c r="B41" t="s">
        <v>26</v>
      </c>
      <c r="C41">
        <v>36</v>
      </c>
      <c r="D41">
        <v>30</v>
      </c>
      <c r="E41" s="1">
        <f t="shared" si="0"/>
        <v>0.83333333333333337</v>
      </c>
      <c r="F41">
        <v>118.4</v>
      </c>
      <c r="G41">
        <v>91.5</v>
      </c>
      <c r="H41">
        <v>0.95069999999999999</v>
      </c>
      <c r="I41">
        <v>53.9</v>
      </c>
      <c r="J41">
        <v>45.5</v>
      </c>
      <c r="K41">
        <v>15.6</v>
      </c>
      <c r="L41">
        <v>20.399999999999999</v>
      </c>
      <c r="M41">
        <v>28.8</v>
      </c>
      <c r="N41">
        <v>32.299999999999997</v>
      </c>
      <c r="O41">
        <v>39.200000000000003</v>
      </c>
      <c r="P41">
        <v>32.700000000000003</v>
      </c>
      <c r="Q41">
        <v>50.8</v>
      </c>
      <c r="R41">
        <v>46.2</v>
      </c>
      <c r="S41">
        <v>39.9</v>
      </c>
      <c r="T41">
        <v>29</v>
      </c>
      <c r="U41">
        <v>67.8</v>
      </c>
      <c r="V41">
        <v>7.5</v>
      </c>
      <c r="W41" cm="1">
        <f t="array" ref="W41">_xlfn.IFS(OR(X41="N/A",X41="NA"),0,OR(X41="R64",X41="R68"),1,X41="R32",2,X41="S16",3,X41="E8",4,X41="F4",5,X41="2ND",6,X41="Champions",7)</f>
        <v>4</v>
      </c>
      <c r="X41" t="s">
        <v>54</v>
      </c>
      <c r="Y41">
        <v>2</v>
      </c>
      <c r="Z41">
        <v>2013</v>
      </c>
    </row>
    <row r="42" spans="1:26" x14ac:dyDescent="0.3">
      <c r="A42" t="s">
        <v>81</v>
      </c>
      <c r="B42" t="s">
        <v>33</v>
      </c>
      <c r="C42">
        <v>35</v>
      </c>
      <c r="D42">
        <v>26</v>
      </c>
      <c r="E42" s="1">
        <f t="shared" si="0"/>
        <v>0.74285714285714288</v>
      </c>
      <c r="F42">
        <v>113</v>
      </c>
      <c r="G42">
        <v>93.2</v>
      </c>
      <c r="H42">
        <v>0.90200000000000002</v>
      </c>
      <c r="I42">
        <v>49.6</v>
      </c>
      <c r="J42">
        <v>46.2</v>
      </c>
      <c r="K42">
        <v>20.9</v>
      </c>
      <c r="L42">
        <v>19.5</v>
      </c>
      <c r="M42">
        <v>38.4</v>
      </c>
      <c r="N42">
        <v>33.1</v>
      </c>
      <c r="O42">
        <v>40.9</v>
      </c>
      <c r="P42">
        <v>31.7</v>
      </c>
      <c r="Q42">
        <v>51.6</v>
      </c>
      <c r="R42">
        <v>44.9</v>
      </c>
      <c r="S42">
        <v>29.6</v>
      </c>
      <c r="T42">
        <v>32.299999999999997</v>
      </c>
      <c r="U42">
        <v>64.599999999999994</v>
      </c>
      <c r="V42">
        <v>4.5</v>
      </c>
      <c r="W42" cm="1">
        <f t="array" ref="W42">_xlfn.IFS(OR(X42="N/A",X42="NA"),0,OR(X42="R64",X42="R68"),1,X42="R32",2,X42="S16",3,X42="E8",4,X42="F4",5,X42="2ND",6,X42="Champions",7)</f>
        <v>4</v>
      </c>
      <c r="X42" t="s">
        <v>54</v>
      </c>
      <c r="Y42">
        <v>3</v>
      </c>
      <c r="Z42">
        <v>2013</v>
      </c>
    </row>
    <row r="43" spans="1:26" x14ac:dyDescent="0.3">
      <c r="A43" t="s">
        <v>75</v>
      </c>
      <c r="B43" t="s">
        <v>29</v>
      </c>
      <c r="C43">
        <v>37</v>
      </c>
      <c r="D43">
        <v>29</v>
      </c>
      <c r="E43" s="1">
        <f t="shared" si="0"/>
        <v>0.78378378378378377</v>
      </c>
      <c r="F43">
        <v>115.7</v>
      </c>
      <c r="G43">
        <v>85.7</v>
      </c>
      <c r="H43">
        <v>0.96940000000000004</v>
      </c>
      <c r="I43">
        <v>55.2</v>
      </c>
      <c r="J43">
        <v>43.3</v>
      </c>
      <c r="K43">
        <v>17.8</v>
      </c>
      <c r="L43">
        <v>22.5</v>
      </c>
      <c r="M43">
        <v>34.200000000000003</v>
      </c>
      <c r="N43">
        <v>28.4</v>
      </c>
      <c r="O43">
        <v>31</v>
      </c>
      <c r="P43">
        <v>29.9</v>
      </c>
      <c r="Q43">
        <v>54.3</v>
      </c>
      <c r="R43">
        <v>41.8</v>
      </c>
      <c r="S43">
        <v>37.799999999999997</v>
      </c>
      <c r="T43">
        <v>31</v>
      </c>
      <c r="U43">
        <v>62.8</v>
      </c>
      <c r="V43">
        <v>4.0999999999999996</v>
      </c>
      <c r="W43" cm="1">
        <f t="array" ref="W43">_xlfn.IFS(OR(X43="N/A",X43="NA"),0,OR(X43="R64",X43="R68"),1,X43="R32",2,X43="S16",3,X43="E8",4,X43="F4",5,X43="2ND",6,X43="Champions",7)</f>
        <v>4</v>
      </c>
      <c r="X43" t="s">
        <v>54</v>
      </c>
      <c r="Y43">
        <v>3</v>
      </c>
      <c r="Z43">
        <v>2013</v>
      </c>
    </row>
    <row r="44" spans="1:26" x14ac:dyDescent="0.3">
      <c r="A44" t="s">
        <v>82</v>
      </c>
      <c r="B44" t="s">
        <v>26</v>
      </c>
      <c r="C44">
        <v>37</v>
      </c>
      <c r="D44">
        <v>23</v>
      </c>
      <c r="E44" s="1">
        <f t="shared" si="0"/>
        <v>0.6216216216216216</v>
      </c>
      <c r="F44">
        <v>111.9</v>
      </c>
      <c r="G44">
        <v>93.6</v>
      </c>
      <c r="H44">
        <v>0.88570000000000004</v>
      </c>
      <c r="I44">
        <v>50</v>
      </c>
      <c r="J44">
        <v>47.3</v>
      </c>
      <c r="K44">
        <v>18.100000000000001</v>
      </c>
      <c r="L44">
        <v>20.399999999999999</v>
      </c>
      <c r="M44">
        <v>33.5</v>
      </c>
      <c r="N44">
        <v>35.299999999999997</v>
      </c>
      <c r="O44">
        <v>35.4</v>
      </c>
      <c r="P44">
        <v>28</v>
      </c>
      <c r="Q44">
        <v>47.2</v>
      </c>
      <c r="R44">
        <v>48.1</v>
      </c>
      <c r="S44">
        <v>36</v>
      </c>
      <c r="T44">
        <v>30.7</v>
      </c>
      <c r="U44">
        <v>65.5</v>
      </c>
      <c r="V44">
        <v>-0.3</v>
      </c>
      <c r="W44" cm="1">
        <f t="array" ref="W44">_xlfn.IFS(OR(X44="N/A",X44="NA"),0,OR(X44="R64",X44="R68"),1,X44="R32",2,X44="S16",3,X44="E8",4,X44="F4",5,X44="2ND",6,X44="Champions",7)</f>
        <v>5</v>
      </c>
      <c r="X44" t="s">
        <v>83</v>
      </c>
      <c r="Y44">
        <v>10</v>
      </c>
      <c r="Z44">
        <v>2016</v>
      </c>
    </row>
    <row r="45" spans="1:26" x14ac:dyDescent="0.3">
      <c r="A45" t="s">
        <v>78</v>
      </c>
      <c r="B45" t="s">
        <v>31</v>
      </c>
      <c r="C45">
        <v>39</v>
      </c>
      <c r="D45">
        <v>27</v>
      </c>
      <c r="E45" s="1">
        <f t="shared" si="0"/>
        <v>0.69230769230769229</v>
      </c>
      <c r="F45">
        <v>116.3</v>
      </c>
      <c r="G45">
        <v>92.6</v>
      </c>
      <c r="H45">
        <v>0.93269999999999997</v>
      </c>
      <c r="I45">
        <v>53.2</v>
      </c>
      <c r="J45">
        <v>44.9</v>
      </c>
      <c r="K45">
        <v>17.5</v>
      </c>
      <c r="L45">
        <v>16.5</v>
      </c>
      <c r="M45">
        <v>33.5</v>
      </c>
      <c r="N45">
        <v>27</v>
      </c>
      <c r="O45">
        <v>32.700000000000003</v>
      </c>
      <c r="P45">
        <v>39</v>
      </c>
      <c r="Q45">
        <v>50.8</v>
      </c>
      <c r="R45">
        <v>43.8</v>
      </c>
      <c r="S45">
        <v>38.5</v>
      </c>
      <c r="T45">
        <v>31.5</v>
      </c>
      <c r="U45">
        <v>63.9</v>
      </c>
      <c r="V45">
        <v>3</v>
      </c>
      <c r="W45" cm="1">
        <f t="array" ref="W45">_xlfn.IFS(OR(X45="N/A",X45="NA"),0,OR(X45="R64",X45="R68"),1,X45="R32",2,X45="S16",3,X45="E8",4,X45="F4",5,X45="2ND",6,X45="Champions",7)</f>
        <v>5</v>
      </c>
      <c r="X45" t="s">
        <v>83</v>
      </c>
      <c r="Y45">
        <v>7</v>
      </c>
      <c r="Z45">
        <v>2015</v>
      </c>
    </row>
    <row r="46" spans="1:26" x14ac:dyDescent="0.3">
      <c r="A46" t="s">
        <v>78</v>
      </c>
      <c r="B46" t="s">
        <v>31</v>
      </c>
      <c r="C46">
        <v>39</v>
      </c>
      <c r="D46">
        <v>32</v>
      </c>
      <c r="E46" s="1">
        <f t="shared" si="0"/>
        <v>0.82051282051282048</v>
      </c>
      <c r="F46">
        <v>119.9</v>
      </c>
      <c r="G46">
        <v>91</v>
      </c>
      <c r="H46">
        <v>0.9597</v>
      </c>
      <c r="I46">
        <v>55.2</v>
      </c>
      <c r="J46">
        <v>43.9</v>
      </c>
      <c r="K46">
        <v>18.5</v>
      </c>
      <c r="L46">
        <v>14.9</v>
      </c>
      <c r="M46">
        <v>33.9</v>
      </c>
      <c r="N46">
        <v>26.4</v>
      </c>
      <c r="O46">
        <v>33.6</v>
      </c>
      <c r="P46">
        <v>27.5</v>
      </c>
      <c r="Q46">
        <v>54.3</v>
      </c>
      <c r="R46">
        <v>41.9</v>
      </c>
      <c r="S46">
        <v>37.799999999999997</v>
      </c>
      <c r="T46">
        <v>31.6</v>
      </c>
      <c r="U46">
        <v>68.599999999999994</v>
      </c>
      <c r="V46">
        <v>10.7</v>
      </c>
      <c r="W46" cm="1">
        <f t="array" ref="W46">_xlfn.IFS(OR(X46="N/A",X46="NA"),0,OR(X46="R64",X46="R68"),1,X46="R32",2,X46="S16",3,X46="E8",4,X46="F4",5,X46="2ND",6,X46="Champions",7)</f>
        <v>5</v>
      </c>
      <c r="X46" t="s">
        <v>83</v>
      </c>
      <c r="Y46">
        <v>2</v>
      </c>
      <c r="Z46">
        <v>2019</v>
      </c>
    </row>
    <row r="47" spans="1:26" x14ac:dyDescent="0.3">
      <c r="A47" t="s">
        <v>84</v>
      </c>
      <c r="B47" t="s">
        <v>35</v>
      </c>
      <c r="C47">
        <v>37</v>
      </c>
      <c r="D47">
        <v>29</v>
      </c>
      <c r="E47" s="1">
        <f t="shared" si="0"/>
        <v>0.78378378378378377</v>
      </c>
      <c r="F47">
        <v>118.2</v>
      </c>
      <c r="G47">
        <v>94.1</v>
      </c>
      <c r="H47">
        <v>0.93259999999999998</v>
      </c>
      <c r="I47">
        <v>54.3</v>
      </c>
      <c r="J47">
        <v>47.2</v>
      </c>
      <c r="K47">
        <v>18.3</v>
      </c>
      <c r="L47">
        <v>17.7</v>
      </c>
      <c r="M47">
        <v>31.2</v>
      </c>
      <c r="N47">
        <v>30.5</v>
      </c>
      <c r="O47">
        <v>33</v>
      </c>
      <c r="P47">
        <v>28.3</v>
      </c>
      <c r="Q47">
        <v>48.2</v>
      </c>
      <c r="R47">
        <v>45.3</v>
      </c>
      <c r="S47">
        <v>42.2</v>
      </c>
      <c r="T47">
        <v>33.700000000000003</v>
      </c>
      <c r="U47">
        <v>70.8</v>
      </c>
      <c r="V47">
        <v>8</v>
      </c>
      <c r="W47" cm="1">
        <f t="array" ref="W47">_xlfn.IFS(OR(X47="N/A",X47="NA"),0,OR(X47="R64",X47="R68"),1,X47="R32",2,X47="S16",3,X47="E8",4,X47="F4",5,X47="2ND",6,X47="Champions",7)</f>
        <v>5</v>
      </c>
      <c r="X47" t="s">
        <v>83</v>
      </c>
      <c r="Y47">
        <v>2</v>
      </c>
      <c r="Z47">
        <v>2016</v>
      </c>
    </row>
    <row r="48" spans="1:26" x14ac:dyDescent="0.3">
      <c r="A48" t="s">
        <v>65</v>
      </c>
      <c r="B48" t="s">
        <v>35</v>
      </c>
      <c r="C48">
        <v>39</v>
      </c>
      <c r="D48">
        <v>31</v>
      </c>
      <c r="E48" s="1">
        <f t="shared" si="0"/>
        <v>0.79487179487179482</v>
      </c>
      <c r="F48">
        <v>122.1</v>
      </c>
      <c r="G48">
        <v>96.4</v>
      </c>
      <c r="H48">
        <v>0.9385</v>
      </c>
      <c r="I48">
        <v>57.5</v>
      </c>
      <c r="J48">
        <v>49.1</v>
      </c>
      <c r="K48">
        <v>16.600000000000001</v>
      </c>
      <c r="L48">
        <v>18.2</v>
      </c>
      <c r="M48">
        <v>29.4</v>
      </c>
      <c r="N48">
        <v>31.2</v>
      </c>
      <c r="O48">
        <v>27</v>
      </c>
      <c r="P48">
        <v>24.6</v>
      </c>
      <c r="Q48">
        <v>55.6</v>
      </c>
      <c r="R48">
        <v>48.6</v>
      </c>
      <c r="S48">
        <v>40.1</v>
      </c>
      <c r="T48">
        <v>33.299999999999997</v>
      </c>
      <c r="U48">
        <v>69.900000000000006</v>
      </c>
      <c r="V48">
        <v>8.1999999999999993</v>
      </c>
      <c r="W48" cm="1">
        <f t="array" ref="W48">_xlfn.IFS(OR(X48="N/A",X48="NA"),0,OR(X48="R64",X48="R68"),1,X48="R32",2,X48="S16",3,X48="E8",4,X48="F4",5,X48="2ND",6,X48="Champions",7)</f>
        <v>5</v>
      </c>
      <c r="X48" t="s">
        <v>83</v>
      </c>
      <c r="Y48">
        <v>1</v>
      </c>
      <c r="Z48">
        <v>2018</v>
      </c>
    </row>
    <row r="49" spans="1:26" x14ac:dyDescent="0.3">
      <c r="A49" t="s">
        <v>85</v>
      </c>
      <c r="B49" t="s">
        <v>47</v>
      </c>
      <c r="C49">
        <v>37</v>
      </c>
      <c r="D49">
        <v>32</v>
      </c>
      <c r="E49" s="1">
        <f t="shared" si="0"/>
        <v>0.86486486486486491</v>
      </c>
      <c r="F49">
        <v>110.5</v>
      </c>
      <c r="G49">
        <v>95.4</v>
      </c>
      <c r="H49">
        <v>0.84440000000000004</v>
      </c>
      <c r="I49">
        <v>57.7</v>
      </c>
      <c r="J49">
        <v>47.4</v>
      </c>
      <c r="K49">
        <v>19.100000000000001</v>
      </c>
      <c r="L49">
        <v>19.399999999999999</v>
      </c>
      <c r="M49">
        <v>22.1</v>
      </c>
      <c r="N49">
        <v>25.9</v>
      </c>
      <c r="O49">
        <v>32.200000000000003</v>
      </c>
      <c r="P49">
        <v>25.2</v>
      </c>
      <c r="Q49">
        <v>56.6</v>
      </c>
      <c r="R49">
        <v>47.1</v>
      </c>
      <c r="S49">
        <v>39.799999999999997</v>
      </c>
      <c r="T49">
        <v>32</v>
      </c>
      <c r="U49">
        <v>66.400000000000006</v>
      </c>
      <c r="V49">
        <v>2</v>
      </c>
      <c r="W49" cm="1">
        <f t="array" ref="W49">_xlfn.IFS(OR(X49="N/A",X49="NA"),0,OR(X49="R64",X49="R68"),1,X49="R32",2,X49="S16",3,X49="E8",4,X49="F4",5,X49="2ND",6,X49="Champions",7)</f>
        <v>5</v>
      </c>
      <c r="X49" t="s">
        <v>83</v>
      </c>
      <c r="Y49">
        <v>11</v>
      </c>
      <c r="Z49">
        <v>2018</v>
      </c>
    </row>
    <row r="50" spans="1:26" x14ac:dyDescent="0.3">
      <c r="A50" t="s">
        <v>73</v>
      </c>
      <c r="B50" t="s">
        <v>38</v>
      </c>
      <c r="C50">
        <v>38</v>
      </c>
      <c r="D50">
        <v>33</v>
      </c>
      <c r="E50" s="1">
        <f t="shared" si="0"/>
        <v>0.86842105263157898</v>
      </c>
      <c r="F50">
        <v>117.8</v>
      </c>
      <c r="G50">
        <v>93.8</v>
      </c>
      <c r="H50">
        <v>0.93210000000000004</v>
      </c>
      <c r="I50">
        <v>55.5</v>
      </c>
      <c r="J50">
        <v>46.4</v>
      </c>
      <c r="K50">
        <v>17.100000000000001</v>
      </c>
      <c r="L50">
        <v>19.3</v>
      </c>
      <c r="M50">
        <v>32.4</v>
      </c>
      <c r="N50">
        <v>29.5</v>
      </c>
      <c r="O50">
        <v>34.4</v>
      </c>
      <c r="P50">
        <v>26.3</v>
      </c>
      <c r="Q50">
        <v>54.5</v>
      </c>
      <c r="R50">
        <v>46.1</v>
      </c>
      <c r="S50">
        <v>38</v>
      </c>
      <c r="T50">
        <v>31.2</v>
      </c>
      <c r="U50">
        <v>68.400000000000006</v>
      </c>
      <c r="V50">
        <v>6</v>
      </c>
      <c r="W50" cm="1">
        <f t="array" ref="W50">_xlfn.IFS(OR(X50="N/A",X50="NA"),0,OR(X50="R64",X50="R68"),1,X50="R32",2,X50="S16",3,X50="E8",4,X50="F4",5,X50="2ND",6,X50="Champions",7)</f>
        <v>5</v>
      </c>
      <c r="X50" t="s">
        <v>83</v>
      </c>
      <c r="Y50">
        <v>3</v>
      </c>
      <c r="Z50">
        <v>2017</v>
      </c>
    </row>
    <row r="51" spans="1:26" x14ac:dyDescent="0.3">
      <c r="A51" t="s">
        <v>39</v>
      </c>
      <c r="B51" t="s">
        <v>29</v>
      </c>
      <c r="C51">
        <v>39</v>
      </c>
      <c r="D51">
        <v>38</v>
      </c>
      <c r="E51" s="1">
        <f t="shared" si="0"/>
        <v>0.97435897435897434</v>
      </c>
      <c r="F51">
        <v>120.3</v>
      </c>
      <c r="G51">
        <v>84</v>
      </c>
      <c r="H51">
        <v>0.98419999999999996</v>
      </c>
      <c r="I51">
        <v>51.5</v>
      </c>
      <c r="J51">
        <v>39.6</v>
      </c>
      <c r="K51">
        <v>16.3</v>
      </c>
      <c r="L51">
        <v>21.3</v>
      </c>
      <c r="M51">
        <v>39.5</v>
      </c>
      <c r="N51">
        <v>31.8</v>
      </c>
      <c r="O51">
        <v>43.9</v>
      </c>
      <c r="P51">
        <v>31.7</v>
      </c>
      <c r="Q51">
        <v>51.2</v>
      </c>
      <c r="R51">
        <v>39.1</v>
      </c>
      <c r="S51">
        <v>34.9</v>
      </c>
      <c r="T51">
        <v>27.1</v>
      </c>
      <c r="U51">
        <v>63.5</v>
      </c>
      <c r="V51">
        <v>13.1</v>
      </c>
      <c r="W51" cm="1">
        <f t="array" ref="W51">_xlfn.IFS(OR(X51="N/A",X51="NA"),0,OR(X51="R64",X51="R68"),1,X51="R32",2,X51="S16",3,X51="E8",4,X51="F4",5,X51="2ND",6,X51="Champions",7)</f>
        <v>5</v>
      </c>
      <c r="X51" t="s">
        <v>83</v>
      </c>
      <c r="Y51">
        <v>1</v>
      </c>
      <c r="Z51">
        <v>2015</v>
      </c>
    </row>
    <row r="52" spans="1:26" x14ac:dyDescent="0.3">
      <c r="A52" t="s">
        <v>86</v>
      </c>
      <c r="B52" t="s">
        <v>29</v>
      </c>
      <c r="C52">
        <v>36</v>
      </c>
      <c r="D52">
        <v>26</v>
      </c>
      <c r="E52" s="1">
        <f t="shared" si="0"/>
        <v>0.72222222222222221</v>
      </c>
      <c r="F52">
        <v>108.7</v>
      </c>
      <c r="G52">
        <v>89</v>
      </c>
      <c r="H52">
        <v>0.9083</v>
      </c>
      <c r="I52">
        <v>47.3</v>
      </c>
      <c r="J52">
        <v>45.5</v>
      </c>
      <c r="K52">
        <v>18.399999999999999</v>
      </c>
      <c r="L52">
        <v>24.3</v>
      </c>
      <c r="M52">
        <v>34</v>
      </c>
      <c r="N52">
        <v>31.6</v>
      </c>
      <c r="O52">
        <v>40.200000000000003</v>
      </c>
      <c r="P52">
        <v>44.5</v>
      </c>
      <c r="Q52">
        <v>45.9</v>
      </c>
      <c r="R52">
        <v>45.4</v>
      </c>
      <c r="S52">
        <v>33.4</v>
      </c>
      <c r="T52">
        <v>30.6</v>
      </c>
      <c r="U52">
        <v>69.599999999999994</v>
      </c>
      <c r="V52">
        <v>1.7</v>
      </c>
      <c r="W52" cm="1">
        <f t="array" ref="W52">_xlfn.IFS(OR(X52="N/A",X52="NA"),0,OR(X52="R64",X52="R68"),1,X52="R32",2,X52="S16",3,X52="E8",4,X52="F4",5,X52="2ND",6,X52="Champions",7)</f>
        <v>5</v>
      </c>
      <c r="X52" t="s">
        <v>83</v>
      </c>
      <c r="Y52">
        <v>7</v>
      </c>
      <c r="Z52">
        <v>2017</v>
      </c>
    </row>
    <row r="53" spans="1:26" x14ac:dyDescent="0.3">
      <c r="A53" t="s">
        <v>87</v>
      </c>
      <c r="B53" t="s">
        <v>29</v>
      </c>
      <c r="C53">
        <v>39</v>
      </c>
      <c r="D53">
        <v>30</v>
      </c>
      <c r="E53" s="1">
        <f t="shared" si="0"/>
        <v>0.76923076923076927</v>
      </c>
      <c r="F53">
        <v>121.3</v>
      </c>
      <c r="G53">
        <v>95.2</v>
      </c>
      <c r="H53">
        <v>0.94199999999999995</v>
      </c>
      <c r="I53">
        <v>54.4</v>
      </c>
      <c r="J53">
        <v>51.7</v>
      </c>
      <c r="K53">
        <v>16.8</v>
      </c>
      <c r="L53">
        <v>24.6</v>
      </c>
      <c r="M53">
        <v>31.6</v>
      </c>
      <c r="N53">
        <v>32.799999999999997</v>
      </c>
      <c r="O53">
        <v>30.9</v>
      </c>
      <c r="P53">
        <v>36.4</v>
      </c>
      <c r="Q53">
        <v>51.7</v>
      </c>
      <c r="R53">
        <v>51.4</v>
      </c>
      <c r="S53">
        <v>38.1</v>
      </c>
      <c r="T53">
        <v>34.799999999999997</v>
      </c>
      <c r="U53">
        <v>69.3</v>
      </c>
      <c r="V53">
        <v>6.1</v>
      </c>
      <c r="W53" cm="1">
        <f t="array" ref="W53">_xlfn.IFS(OR(X53="N/A",X53="NA"),0,OR(X53="R64",X53="R68"),1,X53="R32",2,X53="S16",3,X53="E8",4,X53="F4",5,X53="2ND",6,X53="Champions",7)</f>
        <v>5</v>
      </c>
      <c r="X53" t="s">
        <v>83</v>
      </c>
      <c r="Y53">
        <v>5</v>
      </c>
      <c r="Z53">
        <v>2019</v>
      </c>
    </row>
    <row r="54" spans="1:26" x14ac:dyDescent="0.3">
      <c r="A54" t="s">
        <v>75</v>
      </c>
      <c r="B54" t="s">
        <v>29</v>
      </c>
      <c r="C54">
        <v>39</v>
      </c>
      <c r="D54">
        <v>36</v>
      </c>
      <c r="E54" s="1">
        <f t="shared" si="0"/>
        <v>0.92307692307692313</v>
      </c>
      <c r="F54">
        <v>115.9</v>
      </c>
      <c r="G54">
        <v>88.4</v>
      </c>
      <c r="H54">
        <v>0.95750000000000002</v>
      </c>
      <c r="I54">
        <v>52.2</v>
      </c>
      <c r="J54">
        <v>45.4</v>
      </c>
      <c r="K54">
        <v>17.5</v>
      </c>
      <c r="L54">
        <v>21.3</v>
      </c>
      <c r="M54">
        <v>35.299999999999997</v>
      </c>
      <c r="N54">
        <v>28</v>
      </c>
      <c r="O54">
        <v>42.4</v>
      </c>
      <c r="P54">
        <v>31.2</v>
      </c>
      <c r="Q54">
        <v>51.3</v>
      </c>
      <c r="R54">
        <v>43.5</v>
      </c>
      <c r="S54">
        <v>35.9</v>
      </c>
      <c r="T54">
        <v>33</v>
      </c>
      <c r="U54">
        <v>63.1</v>
      </c>
      <c r="V54">
        <v>11.7</v>
      </c>
      <c r="W54" cm="1">
        <f t="array" ref="W54">_xlfn.IFS(OR(X54="N/A",X54="NA"),0,OR(X54="R64",X54="R68"),1,X54="R32",2,X54="S16",3,X54="E8",4,X54="F4",5,X54="2ND",6,X54="Champions",7)</f>
        <v>5</v>
      </c>
      <c r="X54" t="s">
        <v>83</v>
      </c>
      <c r="Y54">
        <v>1</v>
      </c>
      <c r="Z54">
        <v>2014</v>
      </c>
    </row>
    <row r="55" spans="1:26" x14ac:dyDescent="0.3">
      <c r="A55" t="s">
        <v>30</v>
      </c>
      <c r="B55" t="s">
        <v>31</v>
      </c>
      <c r="C55">
        <v>38</v>
      </c>
      <c r="D55">
        <v>30</v>
      </c>
      <c r="E55" s="1">
        <f t="shared" si="0"/>
        <v>0.78947368421052633</v>
      </c>
      <c r="F55">
        <v>122.7</v>
      </c>
      <c r="G55">
        <v>95.9</v>
      </c>
      <c r="H55">
        <v>0.94410000000000005</v>
      </c>
      <c r="I55">
        <v>53.3</v>
      </c>
      <c r="J55">
        <v>47.2</v>
      </c>
      <c r="K55">
        <v>12.7</v>
      </c>
      <c r="L55">
        <v>15.3</v>
      </c>
      <c r="M55">
        <v>28.1</v>
      </c>
      <c r="N55">
        <v>27.4</v>
      </c>
      <c r="O55">
        <v>42.7</v>
      </c>
      <c r="P55">
        <v>27.1</v>
      </c>
      <c r="Q55">
        <v>51.3</v>
      </c>
      <c r="R55">
        <v>45.9</v>
      </c>
      <c r="S55">
        <v>37.6</v>
      </c>
      <c r="T55">
        <v>34.1</v>
      </c>
      <c r="U55">
        <v>63.9</v>
      </c>
      <c r="V55">
        <v>7.9</v>
      </c>
      <c r="W55" cm="1">
        <f t="array" ref="W55">_xlfn.IFS(OR(X55="N/A",X55="NA"),0,OR(X55="R64",X55="R68"),1,X55="R32",2,X55="S16",3,X55="E8",4,X55="F4",5,X55="2ND",6,X55="Champions",7)</f>
        <v>5</v>
      </c>
      <c r="X55" t="s">
        <v>83</v>
      </c>
      <c r="Y55">
        <v>2</v>
      </c>
      <c r="Z55">
        <v>2014</v>
      </c>
    </row>
    <row r="56" spans="1:26" x14ac:dyDescent="0.3">
      <c r="A56" t="s">
        <v>82</v>
      </c>
      <c r="B56" t="s">
        <v>33</v>
      </c>
      <c r="C56">
        <v>40</v>
      </c>
      <c r="D56">
        <v>30</v>
      </c>
      <c r="E56" s="1">
        <f t="shared" si="0"/>
        <v>0.75</v>
      </c>
      <c r="F56">
        <v>113</v>
      </c>
      <c r="G56">
        <v>87</v>
      </c>
      <c r="H56">
        <v>0.95330000000000004</v>
      </c>
      <c r="I56">
        <v>49</v>
      </c>
      <c r="J56">
        <v>42.6</v>
      </c>
      <c r="K56">
        <v>18.899999999999999</v>
      </c>
      <c r="L56">
        <v>23.6</v>
      </c>
      <c r="M56">
        <v>38.799999999999997</v>
      </c>
      <c r="N56">
        <v>34.5</v>
      </c>
      <c r="O56">
        <v>36.799999999999997</v>
      </c>
      <c r="P56">
        <v>35.4</v>
      </c>
      <c r="Q56">
        <v>48.5</v>
      </c>
      <c r="R56">
        <v>42.6</v>
      </c>
      <c r="S56">
        <v>33.4</v>
      </c>
      <c r="T56">
        <v>28.4</v>
      </c>
      <c r="U56">
        <v>65.400000000000006</v>
      </c>
      <c r="V56">
        <v>5.0999999999999996</v>
      </c>
      <c r="W56" cm="1">
        <f t="array" ref="W56">_xlfn.IFS(OR(X56="N/A",X56="NA"),0,OR(X56="R64",X56="R68"),1,X56="R32",2,X56="S16",3,X56="E8",4,X56="F4",5,X56="2ND",6,X56="Champions",7)</f>
        <v>5</v>
      </c>
      <c r="X56" t="s">
        <v>83</v>
      </c>
      <c r="Y56">
        <v>4</v>
      </c>
      <c r="Z56">
        <v>2013</v>
      </c>
    </row>
    <row r="57" spans="1:26" x14ac:dyDescent="0.3">
      <c r="A57" t="s">
        <v>88</v>
      </c>
      <c r="B57" t="s">
        <v>47</v>
      </c>
      <c r="C57">
        <v>39</v>
      </c>
      <c r="D57">
        <v>30</v>
      </c>
      <c r="E57" s="1">
        <f t="shared" si="0"/>
        <v>0.76923076923076927</v>
      </c>
      <c r="F57">
        <v>110.6</v>
      </c>
      <c r="G57">
        <v>91</v>
      </c>
      <c r="H57">
        <v>0.90449999999999997</v>
      </c>
      <c r="I57">
        <v>50</v>
      </c>
      <c r="J57">
        <v>45.3</v>
      </c>
      <c r="K57">
        <v>19.399999999999999</v>
      </c>
      <c r="L57">
        <v>20</v>
      </c>
      <c r="M57">
        <v>38</v>
      </c>
      <c r="N57">
        <v>26.5</v>
      </c>
      <c r="O57">
        <v>36.5</v>
      </c>
      <c r="P57">
        <v>38.299999999999997</v>
      </c>
      <c r="Q57">
        <v>49.6</v>
      </c>
      <c r="R57">
        <v>43.6</v>
      </c>
      <c r="S57">
        <v>33.9</v>
      </c>
      <c r="T57">
        <v>32.200000000000003</v>
      </c>
      <c r="U57">
        <v>65</v>
      </c>
      <c r="V57">
        <v>2.2000000000000002</v>
      </c>
      <c r="W57" cm="1">
        <f t="array" ref="W57">_xlfn.IFS(OR(X57="N/A",X57="NA"),0,OR(X57="R64",X57="R68"),1,X57="R32",2,X57="S16",3,X57="E8",4,X57="F4",5,X57="2ND",6,X57="Champions",7)</f>
        <v>5</v>
      </c>
      <c r="X57" t="s">
        <v>83</v>
      </c>
      <c r="Y57">
        <v>9</v>
      </c>
      <c r="Z57">
        <v>2013</v>
      </c>
    </row>
    <row r="58" spans="1:26" x14ac:dyDescent="0.3">
      <c r="A58" t="s">
        <v>89</v>
      </c>
      <c r="B58" t="s">
        <v>45</v>
      </c>
      <c r="C58">
        <v>30</v>
      </c>
      <c r="D58">
        <v>11</v>
      </c>
      <c r="E58" s="1">
        <f t="shared" si="0"/>
        <v>0.36666666666666664</v>
      </c>
      <c r="F58">
        <v>107</v>
      </c>
      <c r="G58">
        <v>111.7</v>
      </c>
      <c r="H58">
        <v>0.379</v>
      </c>
      <c r="I58">
        <v>51.2</v>
      </c>
      <c r="J58">
        <v>51.7</v>
      </c>
      <c r="K58">
        <v>18.3</v>
      </c>
      <c r="L58">
        <v>16</v>
      </c>
      <c r="M58">
        <v>31.7</v>
      </c>
      <c r="N58">
        <v>33.299999999999997</v>
      </c>
      <c r="O58">
        <v>32.5</v>
      </c>
      <c r="P58">
        <v>33.799999999999997</v>
      </c>
      <c r="Q58">
        <v>49.5</v>
      </c>
      <c r="R58">
        <v>47.7</v>
      </c>
      <c r="S58">
        <v>36.200000000000003</v>
      </c>
      <c r="T58">
        <v>38.5</v>
      </c>
      <c r="U58">
        <v>67.599999999999994</v>
      </c>
      <c r="V58">
        <v>-11.3</v>
      </c>
      <c r="W58" cm="1">
        <f t="array" ref="W58">_xlfn.IFS(OR(X58="N/A",X58="NA"),0,OR(X58="R64",X58="R68"),1,X58="R32",2,X58="S16",3,X58="E8",4,X58="F4",5,X58="2ND",6,X58="Champions",7)</f>
        <v>0</v>
      </c>
      <c r="X58" t="s">
        <v>90</v>
      </c>
      <c r="Y58" t="s">
        <v>90</v>
      </c>
      <c r="Z58">
        <v>2015</v>
      </c>
    </row>
    <row r="59" spans="1:26" x14ac:dyDescent="0.3">
      <c r="A59" t="s">
        <v>91</v>
      </c>
      <c r="B59" t="s">
        <v>45</v>
      </c>
      <c r="C59">
        <v>30</v>
      </c>
      <c r="D59">
        <v>9</v>
      </c>
      <c r="E59" s="1">
        <f t="shared" si="0"/>
        <v>0.3</v>
      </c>
      <c r="F59">
        <v>101</v>
      </c>
      <c r="G59">
        <v>103</v>
      </c>
      <c r="H59">
        <v>0.44500000000000001</v>
      </c>
      <c r="I59">
        <v>46.7</v>
      </c>
      <c r="J59">
        <v>50.2</v>
      </c>
      <c r="K59">
        <v>22.2</v>
      </c>
      <c r="L59">
        <v>18.7</v>
      </c>
      <c r="M59">
        <v>33.4</v>
      </c>
      <c r="N59">
        <v>29.5</v>
      </c>
      <c r="O59">
        <v>33.1</v>
      </c>
      <c r="P59">
        <v>41.7</v>
      </c>
      <c r="Q59">
        <v>47.8</v>
      </c>
      <c r="R59">
        <v>49.6</v>
      </c>
      <c r="S59">
        <v>29.8</v>
      </c>
      <c r="T59">
        <v>34.1</v>
      </c>
      <c r="U59">
        <v>65.900000000000006</v>
      </c>
      <c r="V59">
        <v>-12.3</v>
      </c>
      <c r="W59" cm="1">
        <f t="array" ref="W59">_xlfn.IFS(OR(X59="N/A",X59="NA"),0,OR(X59="R64",X59="R68"),1,X59="R32",2,X59="S16",3,X59="E8",4,X59="F4",5,X59="2ND",6,X59="Champions",7)</f>
        <v>0</v>
      </c>
      <c r="X59" t="s">
        <v>90</v>
      </c>
      <c r="Y59" t="s">
        <v>90</v>
      </c>
      <c r="Z59">
        <v>2015</v>
      </c>
    </row>
    <row r="60" spans="1:26" x14ac:dyDescent="0.3">
      <c r="A60" t="s">
        <v>92</v>
      </c>
      <c r="B60" t="s">
        <v>45</v>
      </c>
      <c r="C60">
        <v>30</v>
      </c>
      <c r="D60">
        <v>8</v>
      </c>
      <c r="E60" s="1">
        <f t="shared" si="0"/>
        <v>0.26666666666666666</v>
      </c>
      <c r="F60">
        <v>101.2</v>
      </c>
      <c r="G60">
        <v>103.8</v>
      </c>
      <c r="H60">
        <v>0.42759999999999998</v>
      </c>
      <c r="I60">
        <v>45.5</v>
      </c>
      <c r="J60">
        <v>50</v>
      </c>
      <c r="K60">
        <v>21.9</v>
      </c>
      <c r="L60">
        <v>18.5</v>
      </c>
      <c r="M60">
        <v>35.9</v>
      </c>
      <c r="N60">
        <v>30.4</v>
      </c>
      <c r="O60">
        <v>41.1</v>
      </c>
      <c r="P60">
        <v>44.7</v>
      </c>
      <c r="Q60">
        <v>44.9</v>
      </c>
      <c r="R60">
        <v>48.4</v>
      </c>
      <c r="S60">
        <v>31.6</v>
      </c>
      <c r="T60">
        <v>35.299999999999997</v>
      </c>
      <c r="U60">
        <v>65</v>
      </c>
      <c r="V60">
        <v>-12.6</v>
      </c>
      <c r="W60" cm="1">
        <f t="array" ref="W60">_xlfn.IFS(OR(X60="N/A",X60="NA"),0,OR(X60="R64",X60="R68"),1,X60="R32",2,X60="S16",3,X60="E8",4,X60="F4",5,X60="2ND",6,X60="Champions",7)</f>
        <v>0</v>
      </c>
      <c r="X60" t="s">
        <v>90</v>
      </c>
      <c r="Y60" t="s">
        <v>90</v>
      </c>
      <c r="Z60">
        <v>2015</v>
      </c>
    </row>
    <row r="61" spans="1:26" x14ac:dyDescent="0.3">
      <c r="A61" t="s">
        <v>93</v>
      </c>
      <c r="B61" t="s">
        <v>45</v>
      </c>
      <c r="C61">
        <v>35</v>
      </c>
      <c r="D61">
        <v>22</v>
      </c>
      <c r="E61" s="1">
        <f t="shared" si="0"/>
        <v>0.62857142857142856</v>
      </c>
      <c r="F61">
        <v>107.2</v>
      </c>
      <c r="G61">
        <v>96.2</v>
      </c>
      <c r="H61">
        <v>0.77549999999999997</v>
      </c>
      <c r="I61">
        <v>48.9</v>
      </c>
      <c r="J61">
        <v>45.9</v>
      </c>
      <c r="K61">
        <v>18.7</v>
      </c>
      <c r="L61">
        <v>18.3</v>
      </c>
      <c r="M61">
        <v>35.5</v>
      </c>
      <c r="N61">
        <v>30.9</v>
      </c>
      <c r="O61">
        <v>39.9</v>
      </c>
      <c r="P61">
        <v>28.9</v>
      </c>
      <c r="Q61">
        <v>47.3</v>
      </c>
      <c r="R61">
        <v>44.9</v>
      </c>
      <c r="S61">
        <v>35.200000000000003</v>
      </c>
      <c r="T61">
        <v>31.9</v>
      </c>
      <c r="U61">
        <v>62.7</v>
      </c>
      <c r="V61">
        <v>-2.2999999999999998</v>
      </c>
      <c r="W61" cm="1">
        <f t="array" ref="W61">_xlfn.IFS(OR(X61="N/A",X61="NA"),0,OR(X61="R64",X61="R68"),1,X61="R32",2,X61="S16",3,X61="E8",4,X61="F4",5,X61="2ND",6,X61="Champions",7)</f>
        <v>0</v>
      </c>
      <c r="X61" t="s">
        <v>90</v>
      </c>
      <c r="Y61" t="s">
        <v>90</v>
      </c>
      <c r="Z61">
        <v>2015</v>
      </c>
    </row>
    <row r="62" spans="1:26" x14ac:dyDescent="0.3">
      <c r="A62" t="s">
        <v>94</v>
      </c>
      <c r="B62" t="s">
        <v>45</v>
      </c>
      <c r="C62">
        <v>33</v>
      </c>
      <c r="D62">
        <v>17</v>
      </c>
      <c r="E62" s="1">
        <f t="shared" si="0"/>
        <v>0.51515151515151514</v>
      </c>
      <c r="F62">
        <v>98.9</v>
      </c>
      <c r="G62">
        <v>92.9</v>
      </c>
      <c r="H62">
        <v>0.6734</v>
      </c>
      <c r="I62">
        <v>46.7</v>
      </c>
      <c r="J62">
        <v>45.8</v>
      </c>
      <c r="K62">
        <v>19.899999999999999</v>
      </c>
      <c r="L62">
        <v>20.100000000000001</v>
      </c>
      <c r="M62">
        <v>29.6</v>
      </c>
      <c r="N62">
        <v>30.8</v>
      </c>
      <c r="O62">
        <v>36.4</v>
      </c>
      <c r="P62">
        <v>34.4</v>
      </c>
      <c r="Q62">
        <v>46.1</v>
      </c>
      <c r="R62">
        <v>45.1</v>
      </c>
      <c r="S62">
        <v>32.1</v>
      </c>
      <c r="T62">
        <v>31.6</v>
      </c>
      <c r="U62">
        <v>64.8</v>
      </c>
      <c r="V62">
        <v>-6.3</v>
      </c>
      <c r="W62" cm="1">
        <f t="array" ref="W62">_xlfn.IFS(OR(X62="N/A",X62="NA"),0,OR(X62="R64",X62="R68"),1,X62="R32",2,X62="S16",3,X62="E8",4,X62="F4",5,X62="2ND",6,X62="Champions",7)</f>
        <v>0</v>
      </c>
      <c r="X62" t="s">
        <v>90</v>
      </c>
      <c r="Y62" t="s">
        <v>90</v>
      </c>
      <c r="Z62">
        <v>2015</v>
      </c>
    </row>
    <row r="63" spans="1:26" x14ac:dyDescent="0.3">
      <c r="A63" t="s">
        <v>95</v>
      </c>
      <c r="B63" t="s">
        <v>45</v>
      </c>
      <c r="C63">
        <v>32</v>
      </c>
      <c r="D63">
        <v>17</v>
      </c>
      <c r="E63" s="1">
        <f t="shared" si="0"/>
        <v>0.53125</v>
      </c>
      <c r="F63">
        <v>104.5</v>
      </c>
      <c r="G63">
        <v>100.7</v>
      </c>
      <c r="H63">
        <v>0.60470000000000002</v>
      </c>
      <c r="I63">
        <v>47.3</v>
      </c>
      <c r="J63">
        <v>48.7</v>
      </c>
      <c r="K63">
        <v>20.5</v>
      </c>
      <c r="L63">
        <v>17.5</v>
      </c>
      <c r="M63">
        <v>34</v>
      </c>
      <c r="N63">
        <v>31.3</v>
      </c>
      <c r="O63">
        <v>42.4</v>
      </c>
      <c r="P63">
        <v>35.200000000000003</v>
      </c>
      <c r="Q63">
        <v>48.4</v>
      </c>
      <c r="R63">
        <v>47.1</v>
      </c>
      <c r="S63">
        <v>29.6</v>
      </c>
      <c r="T63">
        <v>35</v>
      </c>
      <c r="U63">
        <v>67.8</v>
      </c>
      <c r="V63">
        <v>-4.9000000000000004</v>
      </c>
      <c r="W63" cm="1">
        <f t="array" ref="W63">_xlfn.IFS(OR(X63="N/A",X63="NA"),0,OR(X63="R64",X63="R68"),1,X63="R32",2,X63="S16",3,X63="E8",4,X63="F4",5,X63="2ND",6,X63="Champions",7)</f>
        <v>0</v>
      </c>
      <c r="X63" t="s">
        <v>90</v>
      </c>
      <c r="Y63" t="s">
        <v>90</v>
      </c>
      <c r="Z63">
        <v>2015</v>
      </c>
    </row>
    <row r="64" spans="1:26" x14ac:dyDescent="0.3">
      <c r="A64" t="s">
        <v>96</v>
      </c>
      <c r="B64" t="s">
        <v>45</v>
      </c>
      <c r="C64">
        <v>32</v>
      </c>
      <c r="D64">
        <v>22</v>
      </c>
      <c r="E64" s="1">
        <f t="shared" si="0"/>
        <v>0.6875</v>
      </c>
      <c r="F64">
        <v>102.1</v>
      </c>
      <c r="G64">
        <v>91</v>
      </c>
      <c r="H64">
        <v>0.79</v>
      </c>
      <c r="I64">
        <v>48.9</v>
      </c>
      <c r="J64">
        <v>43.9</v>
      </c>
      <c r="K64">
        <v>20.8</v>
      </c>
      <c r="L64">
        <v>21.8</v>
      </c>
      <c r="M64">
        <v>32.299999999999997</v>
      </c>
      <c r="N64">
        <v>29.2</v>
      </c>
      <c r="O64">
        <v>47.3</v>
      </c>
      <c r="P64">
        <v>46</v>
      </c>
      <c r="Q64">
        <v>50.1</v>
      </c>
      <c r="R64">
        <v>45</v>
      </c>
      <c r="S64">
        <v>30.5</v>
      </c>
      <c r="T64">
        <v>27.3</v>
      </c>
      <c r="U64">
        <v>65.900000000000006</v>
      </c>
      <c r="V64">
        <v>-1.1000000000000001</v>
      </c>
      <c r="W64" cm="1">
        <f t="array" ref="W64">_xlfn.IFS(OR(X64="N/A",X64="NA"),0,OR(X64="R64",X64="R68"),1,X64="R32",2,X64="S16",3,X64="E8",4,X64="F4",5,X64="2ND",6,X64="Champions",7)</f>
        <v>0</v>
      </c>
      <c r="X64" t="s">
        <v>90</v>
      </c>
      <c r="Y64" t="s">
        <v>90</v>
      </c>
      <c r="Z64">
        <v>2015</v>
      </c>
    </row>
    <row r="65" spans="1:26" x14ac:dyDescent="0.3">
      <c r="A65" t="s">
        <v>97</v>
      </c>
      <c r="B65" t="s">
        <v>45</v>
      </c>
      <c r="C65">
        <v>35</v>
      </c>
      <c r="D65">
        <v>21</v>
      </c>
      <c r="E65" s="1">
        <f t="shared" si="0"/>
        <v>0.6</v>
      </c>
      <c r="F65">
        <v>106.7</v>
      </c>
      <c r="G65">
        <v>94.6</v>
      </c>
      <c r="H65">
        <v>0.79969999999999997</v>
      </c>
      <c r="I65">
        <v>52.1</v>
      </c>
      <c r="J65">
        <v>46</v>
      </c>
      <c r="K65">
        <v>15.6</v>
      </c>
      <c r="L65">
        <v>21.1</v>
      </c>
      <c r="M65">
        <v>22.2</v>
      </c>
      <c r="N65">
        <v>33.4</v>
      </c>
      <c r="O65">
        <v>32.9</v>
      </c>
      <c r="P65">
        <v>33.5</v>
      </c>
      <c r="Q65">
        <v>52.8</v>
      </c>
      <c r="R65">
        <v>46.2</v>
      </c>
      <c r="S65">
        <v>34</v>
      </c>
      <c r="T65">
        <v>30.3</v>
      </c>
      <c r="U65">
        <v>62.2</v>
      </c>
      <c r="V65">
        <v>-3.5</v>
      </c>
      <c r="W65" cm="1">
        <f t="array" ref="W65">_xlfn.IFS(OR(X65="N/A",X65="NA"),0,OR(X65="R64",X65="R68"),1,X65="R32",2,X65="S16",3,X65="E8",4,X65="F4",5,X65="2ND",6,X65="Champions",7)</f>
        <v>0</v>
      </c>
      <c r="X65" t="s">
        <v>90</v>
      </c>
      <c r="Y65" t="s">
        <v>90</v>
      </c>
      <c r="Z65">
        <v>2015</v>
      </c>
    </row>
    <row r="66" spans="1:26" x14ac:dyDescent="0.3">
      <c r="A66" t="s">
        <v>98</v>
      </c>
      <c r="B66" t="s">
        <v>45</v>
      </c>
      <c r="C66">
        <v>31</v>
      </c>
      <c r="D66">
        <v>13</v>
      </c>
      <c r="E66" s="1">
        <f t="shared" si="0"/>
        <v>0.41935483870967744</v>
      </c>
      <c r="F66">
        <v>98.2</v>
      </c>
      <c r="G66">
        <v>97.3</v>
      </c>
      <c r="H66">
        <v>0.52539999999999998</v>
      </c>
      <c r="I66">
        <v>45.3</v>
      </c>
      <c r="J66">
        <v>48.3</v>
      </c>
      <c r="K66">
        <v>19.2</v>
      </c>
      <c r="L66">
        <v>19</v>
      </c>
      <c r="M66">
        <v>31.5</v>
      </c>
      <c r="N66">
        <v>30.4</v>
      </c>
      <c r="O66">
        <v>35.200000000000003</v>
      </c>
      <c r="P66">
        <v>31.3</v>
      </c>
      <c r="Q66">
        <v>45.5</v>
      </c>
      <c r="R66">
        <v>46.3</v>
      </c>
      <c r="S66">
        <v>29.9</v>
      </c>
      <c r="T66">
        <v>34.799999999999997</v>
      </c>
      <c r="U66">
        <v>64</v>
      </c>
      <c r="V66">
        <v>-9.6</v>
      </c>
      <c r="W66" cm="1">
        <f t="array" ref="W66">_xlfn.IFS(OR(X66="N/A",X66="NA"),0,OR(X66="R64",X66="R68"),1,X66="R32",2,X66="S16",3,X66="E8",4,X66="F4",5,X66="2ND",6,X66="Champions",7)</f>
        <v>0</v>
      </c>
      <c r="X66" t="s">
        <v>90</v>
      </c>
      <c r="Y66" t="s">
        <v>90</v>
      </c>
      <c r="Z66">
        <v>2015</v>
      </c>
    </row>
    <row r="67" spans="1:26" x14ac:dyDescent="0.3">
      <c r="A67" t="s">
        <v>99</v>
      </c>
      <c r="B67" t="s">
        <v>45</v>
      </c>
      <c r="C67">
        <v>31</v>
      </c>
      <c r="D67">
        <v>10</v>
      </c>
      <c r="E67" s="1">
        <f t="shared" ref="E67:E130" si="1">D67/C67</f>
        <v>0.32258064516129031</v>
      </c>
      <c r="F67">
        <v>94.1</v>
      </c>
      <c r="G67">
        <v>102.8</v>
      </c>
      <c r="H67">
        <v>0.26419999999999999</v>
      </c>
      <c r="I67">
        <v>46.2</v>
      </c>
      <c r="J67">
        <v>51.6</v>
      </c>
      <c r="K67">
        <v>21.7</v>
      </c>
      <c r="L67">
        <v>20.9</v>
      </c>
      <c r="M67">
        <v>27.2</v>
      </c>
      <c r="N67">
        <v>32.1</v>
      </c>
      <c r="O67">
        <v>41.5</v>
      </c>
      <c r="P67">
        <v>44.5</v>
      </c>
      <c r="Q67">
        <v>45.2</v>
      </c>
      <c r="R67">
        <v>50.6</v>
      </c>
      <c r="S67">
        <v>32</v>
      </c>
      <c r="T67">
        <v>35.700000000000003</v>
      </c>
      <c r="U67">
        <v>63.4</v>
      </c>
      <c r="V67">
        <v>-12.8</v>
      </c>
      <c r="W67" cm="1">
        <f t="array" ref="W67">_xlfn.IFS(OR(X67="N/A",X67="NA"),0,OR(X67="R64",X67="R68"),1,X67="R32",2,X67="S16",3,X67="E8",4,X67="F4",5,X67="2ND",6,X67="Champions",7)</f>
        <v>0</v>
      </c>
      <c r="X67" t="s">
        <v>90</v>
      </c>
      <c r="Y67" t="s">
        <v>90</v>
      </c>
      <c r="Z67">
        <v>2015</v>
      </c>
    </row>
    <row r="68" spans="1:26" x14ac:dyDescent="0.3">
      <c r="A68" t="s">
        <v>100</v>
      </c>
      <c r="B68" t="s">
        <v>45</v>
      </c>
      <c r="C68">
        <v>31</v>
      </c>
      <c r="D68">
        <v>18</v>
      </c>
      <c r="E68" s="1">
        <f t="shared" si="1"/>
        <v>0.58064516129032262</v>
      </c>
      <c r="F68">
        <v>102.4</v>
      </c>
      <c r="G68">
        <v>98.5</v>
      </c>
      <c r="H68">
        <v>0.60809999999999997</v>
      </c>
      <c r="I68">
        <v>47.1</v>
      </c>
      <c r="J68">
        <v>48.4</v>
      </c>
      <c r="K68">
        <v>18.899999999999999</v>
      </c>
      <c r="L68">
        <v>19.7</v>
      </c>
      <c r="M68">
        <v>35</v>
      </c>
      <c r="N68">
        <v>29</v>
      </c>
      <c r="O68">
        <v>37.9</v>
      </c>
      <c r="P68">
        <v>33.9</v>
      </c>
      <c r="Q68">
        <v>47.1</v>
      </c>
      <c r="R68">
        <v>45.3</v>
      </c>
      <c r="S68">
        <v>31.4</v>
      </c>
      <c r="T68">
        <v>36.200000000000003</v>
      </c>
      <c r="U68">
        <v>65</v>
      </c>
      <c r="V68">
        <v>-5.4</v>
      </c>
      <c r="W68" cm="1">
        <f t="array" ref="W68">_xlfn.IFS(OR(X68="N/A",X68="NA"),0,OR(X68="R64",X68="R68"),1,X68="R32",2,X68="S16",3,X68="E8",4,X68="F4",5,X68="2ND",6,X68="Champions",7)</f>
        <v>0</v>
      </c>
      <c r="X68" t="s">
        <v>90</v>
      </c>
      <c r="Y68" t="s">
        <v>90</v>
      </c>
      <c r="Z68">
        <v>2015</v>
      </c>
    </row>
    <row r="69" spans="1:26" x14ac:dyDescent="0.3">
      <c r="A69" t="s">
        <v>101</v>
      </c>
      <c r="B69" t="s">
        <v>45</v>
      </c>
      <c r="C69">
        <v>32</v>
      </c>
      <c r="D69">
        <v>19</v>
      </c>
      <c r="E69" s="1">
        <f t="shared" si="1"/>
        <v>0.59375</v>
      </c>
      <c r="F69">
        <v>113</v>
      </c>
      <c r="G69">
        <v>106</v>
      </c>
      <c r="H69">
        <v>0.67669999999999997</v>
      </c>
      <c r="I69">
        <v>52</v>
      </c>
      <c r="J69">
        <v>52</v>
      </c>
      <c r="K69">
        <v>14.2</v>
      </c>
      <c r="L69">
        <v>15.8</v>
      </c>
      <c r="M69">
        <v>24.9</v>
      </c>
      <c r="N69">
        <v>30.8</v>
      </c>
      <c r="O69">
        <v>32.299999999999997</v>
      </c>
      <c r="P69">
        <v>30.6</v>
      </c>
      <c r="Q69">
        <v>51.1</v>
      </c>
      <c r="R69">
        <v>52.2</v>
      </c>
      <c r="S69">
        <v>35.5</v>
      </c>
      <c r="T69">
        <v>34.299999999999997</v>
      </c>
      <c r="U69">
        <v>71.3</v>
      </c>
      <c r="V69">
        <v>-2.1</v>
      </c>
      <c r="W69" cm="1">
        <f t="array" ref="W69">_xlfn.IFS(OR(X69="N/A",X69="NA"),0,OR(X69="R64",X69="R68"),1,X69="R32",2,X69="S16",3,X69="E8",4,X69="F4",5,X69="2ND",6,X69="Champions",7)</f>
        <v>0</v>
      </c>
      <c r="X69" t="s">
        <v>90</v>
      </c>
      <c r="Y69" t="s">
        <v>90</v>
      </c>
      <c r="Z69">
        <v>2016</v>
      </c>
    </row>
    <row r="70" spans="1:26" x14ac:dyDescent="0.3">
      <c r="A70" t="s">
        <v>89</v>
      </c>
      <c r="B70" t="s">
        <v>45</v>
      </c>
      <c r="C70">
        <v>33</v>
      </c>
      <c r="D70">
        <v>16</v>
      </c>
      <c r="E70" s="1">
        <f t="shared" si="1"/>
        <v>0.48484848484848486</v>
      </c>
      <c r="F70">
        <v>108.2</v>
      </c>
      <c r="G70">
        <v>105.1</v>
      </c>
      <c r="H70">
        <v>0.58509999999999995</v>
      </c>
      <c r="I70">
        <v>53.9</v>
      </c>
      <c r="J70">
        <v>49.4</v>
      </c>
      <c r="K70">
        <v>18.899999999999999</v>
      </c>
      <c r="L70">
        <v>15.6</v>
      </c>
      <c r="M70">
        <v>27.9</v>
      </c>
      <c r="N70">
        <v>28.4</v>
      </c>
      <c r="O70">
        <v>33.6</v>
      </c>
      <c r="P70">
        <v>38.6</v>
      </c>
      <c r="Q70">
        <v>53.1</v>
      </c>
      <c r="R70">
        <v>42.8</v>
      </c>
      <c r="S70">
        <v>36.6</v>
      </c>
      <c r="T70">
        <v>40.200000000000003</v>
      </c>
      <c r="U70">
        <v>73.599999999999994</v>
      </c>
      <c r="V70">
        <v>-7.8</v>
      </c>
      <c r="W70" cm="1">
        <f t="array" ref="W70">_xlfn.IFS(OR(X70="N/A",X70="NA"),0,OR(X70="R64",X70="R68"),1,X70="R32",2,X70="S16",3,X70="E8",4,X70="F4",5,X70="2ND",6,X70="Champions",7)</f>
        <v>0</v>
      </c>
      <c r="X70" t="s">
        <v>90</v>
      </c>
      <c r="Y70" t="s">
        <v>90</v>
      </c>
      <c r="Z70">
        <v>2016</v>
      </c>
    </row>
    <row r="71" spans="1:26" x14ac:dyDescent="0.3">
      <c r="A71" t="s">
        <v>91</v>
      </c>
      <c r="B71" t="s">
        <v>45</v>
      </c>
      <c r="C71">
        <v>30</v>
      </c>
      <c r="D71">
        <v>16</v>
      </c>
      <c r="E71" s="1">
        <f t="shared" si="1"/>
        <v>0.53333333333333333</v>
      </c>
      <c r="F71">
        <v>101.8</v>
      </c>
      <c r="G71">
        <v>100.4</v>
      </c>
      <c r="H71">
        <v>0.53879999999999995</v>
      </c>
      <c r="I71">
        <v>51.5</v>
      </c>
      <c r="J71">
        <v>51.4</v>
      </c>
      <c r="K71">
        <v>20.399999999999999</v>
      </c>
      <c r="L71">
        <v>22.4</v>
      </c>
      <c r="M71">
        <v>30.4</v>
      </c>
      <c r="N71">
        <v>26.9</v>
      </c>
      <c r="O71">
        <v>33.6</v>
      </c>
      <c r="P71">
        <v>40.5</v>
      </c>
      <c r="Q71">
        <v>51.2</v>
      </c>
      <c r="R71">
        <v>52.3</v>
      </c>
      <c r="S71">
        <v>34.6</v>
      </c>
      <c r="T71">
        <v>33.4</v>
      </c>
      <c r="U71">
        <v>67.5</v>
      </c>
      <c r="V71">
        <v>-6</v>
      </c>
      <c r="W71" cm="1">
        <f t="array" ref="W71">_xlfn.IFS(OR(X71="N/A",X71="NA"),0,OR(X71="R64",X71="R68"),1,X71="R32",2,X71="S16",3,X71="E8",4,X71="F4",5,X71="2ND",6,X71="Champions",7)</f>
        <v>0</v>
      </c>
      <c r="X71" t="s">
        <v>90</v>
      </c>
      <c r="Y71" t="s">
        <v>90</v>
      </c>
      <c r="Z71">
        <v>2016</v>
      </c>
    </row>
    <row r="72" spans="1:26" x14ac:dyDescent="0.3">
      <c r="A72" t="s">
        <v>92</v>
      </c>
      <c r="B72" t="s">
        <v>45</v>
      </c>
      <c r="C72">
        <v>32</v>
      </c>
      <c r="D72">
        <v>11</v>
      </c>
      <c r="E72" s="1">
        <f t="shared" si="1"/>
        <v>0.34375</v>
      </c>
      <c r="F72">
        <v>101.4</v>
      </c>
      <c r="G72">
        <v>103.1</v>
      </c>
      <c r="H72">
        <v>0.45069999999999999</v>
      </c>
      <c r="I72">
        <v>45.1</v>
      </c>
      <c r="J72">
        <v>48.4</v>
      </c>
      <c r="K72">
        <v>18.600000000000001</v>
      </c>
      <c r="L72">
        <v>10.199999999999999</v>
      </c>
      <c r="M72">
        <v>33.5</v>
      </c>
      <c r="N72">
        <v>22.8</v>
      </c>
      <c r="O72">
        <v>34.4</v>
      </c>
      <c r="P72">
        <v>30</v>
      </c>
      <c r="Q72">
        <v>45.7</v>
      </c>
      <c r="R72">
        <v>46</v>
      </c>
      <c r="S72">
        <v>29.2</v>
      </c>
      <c r="T72">
        <v>35.299999999999997</v>
      </c>
      <c r="U72">
        <v>68.599999999999994</v>
      </c>
      <c r="V72">
        <v>-11.6</v>
      </c>
      <c r="W72" cm="1">
        <f t="array" ref="W72">_xlfn.IFS(OR(X72="N/A",X72="NA"),0,OR(X72="R64",X72="R68"),1,X72="R32",2,X72="S16",3,X72="E8",4,X72="F4",5,X72="2ND",6,X72="Champions",7)</f>
        <v>0</v>
      </c>
      <c r="X72" t="s">
        <v>90</v>
      </c>
      <c r="Y72" t="s">
        <v>90</v>
      </c>
      <c r="Z72">
        <v>2016</v>
      </c>
    </row>
    <row r="73" spans="1:26" x14ac:dyDescent="0.3">
      <c r="A73" t="s">
        <v>93</v>
      </c>
      <c r="B73" t="s">
        <v>45</v>
      </c>
      <c r="C73">
        <v>38</v>
      </c>
      <c r="D73">
        <v>28</v>
      </c>
      <c r="E73" s="1">
        <f t="shared" si="1"/>
        <v>0.73684210526315785</v>
      </c>
      <c r="F73">
        <v>114.9</v>
      </c>
      <c r="G73">
        <v>99.1</v>
      </c>
      <c r="H73">
        <v>0.84540000000000004</v>
      </c>
      <c r="I73">
        <v>50.8</v>
      </c>
      <c r="J73">
        <v>48.7</v>
      </c>
      <c r="K73">
        <v>16.5</v>
      </c>
      <c r="L73">
        <v>17.5</v>
      </c>
      <c r="M73">
        <v>34.4</v>
      </c>
      <c r="N73">
        <v>27.9</v>
      </c>
      <c r="O73">
        <v>39.1</v>
      </c>
      <c r="P73">
        <v>27</v>
      </c>
      <c r="Q73">
        <v>48.4</v>
      </c>
      <c r="R73">
        <v>48.2</v>
      </c>
      <c r="S73">
        <v>37.1</v>
      </c>
      <c r="T73">
        <v>33</v>
      </c>
      <c r="U73">
        <v>67.2</v>
      </c>
      <c r="V73">
        <v>-0.8</v>
      </c>
      <c r="W73" cm="1">
        <f t="array" ref="W73">_xlfn.IFS(OR(X73="N/A",X73="NA"),0,OR(X73="R64",X73="R68"),1,X73="R32",2,X73="S16",3,X73="E8",4,X73="F4",5,X73="2ND",6,X73="Champions",7)</f>
        <v>0</v>
      </c>
      <c r="X73" t="s">
        <v>90</v>
      </c>
      <c r="Y73" t="s">
        <v>90</v>
      </c>
      <c r="Z73">
        <v>2016</v>
      </c>
    </row>
    <row r="74" spans="1:26" x14ac:dyDescent="0.3">
      <c r="A74" t="s">
        <v>94</v>
      </c>
      <c r="B74" t="s">
        <v>45</v>
      </c>
      <c r="C74">
        <v>30</v>
      </c>
      <c r="D74">
        <v>8</v>
      </c>
      <c r="E74" s="1">
        <f t="shared" si="1"/>
        <v>0.26666666666666666</v>
      </c>
      <c r="F74">
        <v>99.2</v>
      </c>
      <c r="G74">
        <v>105.3</v>
      </c>
      <c r="H74">
        <v>0.33579999999999999</v>
      </c>
      <c r="I74">
        <v>47.7</v>
      </c>
      <c r="J74">
        <v>53.3</v>
      </c>
      <c r="K74">
        <v>18.8</v>
      </c>
      <c r="L74">
        <v>19.100000000000001</v>
      </c>
      <c r="M74">
        <v>24.9</v>
      </c>
      <c r="N74">
        <v>34.299999999999997</v>
      </c>
      <c r="O74">
        <v>30.9</v>
      </c>
      <c r="P74">
        <v>34.9</v>
      </c>
      <c r="Q74">
        <v>45.4</v>
      </c>
      <c r="R74">
        <v>51.1</v>
      </c>
      <c r="S74">
        <v>33.6</v>
      </c>
      <c r="T74">
        <v>38.1</v>
      </c>
      <c r="U74">
        <v>67</v>
      </c>
      <c r="V74">
        <v>-12.6</v>
      </c>
      <c r="W74" cm="1">
        <f t="array" ref="W74">_xlfn.IFS(OR(X74="N/A",X74="NA"),0,OR(X74="R64",X74="R68"),1,X74="R32",2,X74="S16",3,X74="E8",4,X74="F4",5,X74="2ND",6,X74="Champions",7)</f>
        <v>0</v>
      </c>
      <c r="X74" t="s">
        <v>90</v>
      </c>
      <c r="Y74" t="s">
        <v>90</v>
      </c>
      <c r="Z74">
        <v>2016</v>
      </c>
    </row>
    <row r="75" spans="1:26" x14ac:dyDescent="0.3">
      <c r="A75" t="s">
        <v>95</v>
      </c>
      <c r="B75" t="s">
        <v>45</v>
      </c>
      <c r="C75">
        <v>32</v>
      </c>
      <c r="D75">
        <v>14</v>
      </c>
      <c r="E75" s="1">
        <f t="shared" si="1"/>
        <v>0.4375</v>
      </c>
      <c r="F75">
        <v>102.1</v>
      </c>
      <c r="G75">
        <v>100.7</v>
      </c>
      <c r="H75">
        <v>0.53939999999999999</v>
      </c>
      <c r="I75">
        <v>49.1</v>
      </c>
      <c r="J75">
        <v>48.3</v>
      </c>
      <c r="K75">
        <v>17.5</v>
      </c>
      <c r="L75">
        <v>17.100000000000001</v>
      </c>
      <c r="M75">
        <v>25.9</v>
      </c>
      <c r="N75">
        <v>30.4</v>
      </c>
      <c r="O75">
        <v>36.5</v>
      </c>
      <c r="P75">
        <v>40.200000000000003</v>
      </c>
      <c r="Q75">
        <v>48.8</v>
      </c>
      <c r="R75">
        <v>49</v>
      </c>
      <c r="S75">
        <v>33</v>
      </c>
      <c r="T75">
        <v>31.3</v>
      </c>
      <c r="U75">
        <v>71.599999999999994</v>
      </c>
      <c r="V75">
        <v>-8.6999999999999993</v>
      </c>
      <c r="W75" cm="1">
        <f t="array" ref="W75">_xlfn.IFS(OR(X75="N/A",X75="NA"),0,OR(X75="R64",X75="R68"),1,X75="R32",2,X75="S16",3,X75="E8",4,X75="F4",5,X75="2ND",6,X75="Champions",7)</f>
        <v>0</v>
      </c>
      <c r="X75" t="s">
        <v>90</v>
      </c>
      <c r="Y75" t="s">
        <v>90</v>
      </c>
      <c r="Z75">
        <v>2016</v>
      </c>
    </row>
    <row r="76" spans="1:26" x14ac:dyDescent="0.3">
      <c r="A76" t="s">
        <v>96</v>
      </c>
      <c r="B76" t="s">
        <v>45</v>
      </c>
      <c r="C76">
        <v>32</v>
      </c>
      <c r="D76">
        <v>17</v>
      </c>
      <c r="E76" s="1">
        <f t="shared" si="1"/>
        <v>0.53125</v>
      </c>
      <c r="F76">
        <v>107.6</v>
      </c>
      <c r="G76">
        <v>98.3</v>
      </c>
      <c r="H76">
        <v>0.74029999999999996</v>
      </c>
      <c r="I76">
        <v>50.4</v>
      </c>
      <c r="J76">
        <v>47.6</v>
      </c>
      <c r="K76">
        <v>17.5</v>
      </c>
      <c r="L76">
        <v>18.8</v>
      </c>
      <c r="M76">
        <v>30.6</v>
      </c>
      <c r="N76">
        <v>26.3</v>
      </c>
      <c r="O76">
        <v>37.6</v>
      </c>
      <c r="P76">
        <v>39.6</v>
      </c>
      <c r="Q76">
        <v>48.3</v>
      </c>
      <c r="R76">
        <v>46.6</v>
      </c>
      <c r="S76">
        <v>36.5</v>
      </c>
      <c r="T76">
        <v>33.299999999999997</v>
      </c>
      <c r="U76">
        <v>65.7</v>
      </c>
      <c r="V76">
        <v>-5.9</v>
      </c>
      <c r="W76" cm="1">
        <f t="array" ref="W76">_xlfn.IFS(OR(X76="N/A",X76="NA"),0,OR(X76="R64",X76="R68"),1,X76="R32",2,X76="S16",3,X76="E8",4,X76="F4",5,X76="2ND",6,X76="Champions",7)</f>
        <v>0</v>
      </c>
      <c r="X76" t="s">
        <v>90</v>
      </c>
      <c r="Y76" t="s">
        <v>90</v>
      </c>
      <c r="Z76">
        <v>2016</v>
      </c>
    </row>
    <row r="77" spans="1:26" x14ac:dyDescent="0.3">
      <c r="A77" t="s">
        <v>97</v>
      </c>
      <c r="B77" t="s">
        <v>45</v>
      </c>
      <c r="C77">
        <v>32</v>
      </c>
      <c r="D77">
        <v>16</v>
      </c>
      <c r="E77" s="1">
        <f t="shared" si="1"/>
        <v>0.5</v>
      </c>
      <c r="F77">
        <v>112.6</v>
      </c>
      <c r="G77">
        <v>104</v>
      </c>
      <c r="H77">
        <v>0.71360000000000001</v>
      </c>
      <c r="I77">
        <v>54.7</v>
      </c>
      <c r="J77">
        <v>50.9</v>
      </c>
      <c r="K77">
        <v>14.7</v>
      </c>
      <c r="L77">
        <v>18.2</v>
      </c>
      <c r="M77">
        <v>23.2</v>
      </c>
      <c r="N77">
        <v>31.7</v>
      </c>
      <c r="O77">
        <v>35.200000000000003</v>
      </c>
      <c r="P77">
        <v>36.1</v>
      </c>
      <c r="Q77">
        <v>55.4</v>
      </c>
      <c r="R77">
        <v>49.4</v>
      </c>
      <c r="S77">
        <v>35.6</v>
      </c>
      <c r="T77">
        <v>36</v>
      </c>
      <c r="U77">
        <v>69.2</v>
      </c>
      <c r="V77">
        <v>-5.5</v>
      </c>
      <c r="W77" cm="1">
        <f t="array" ref="W77">_xlfn.IFS(OR(X77="N/A",X77="NA"),0,OR(X77="R64",X77="R68"),1,X77="R32",2,X77="S16",3,X77="E8",4,X77="F4",5,X77="2ND",6,X77="Champions",7)</f>
        <v>0</v>
      </c>
      <c r="X77" t="s">
        <v>90</v>
      </c>
      <c r="Y77" t="s">
        <v>90</v>
      </c>
      <c r="Z77">
        <v>2016</v>
      </c>
    </row>
    <row r="78" spans="1:26" x14ac:dyDescent="0.3">
      <c r="A78" t="s">
        <v>99</v>
      </c>
      <c r="B78" t="s">
        <v>45</v>
      </c>
      <c r="C78">
        <v>32</v>
      </c>
      <c r="D78">
        <v>11</v>
      </c>
      <c r="E78" s="1">
        <f t="shared" si="1"/>
        <v>0.34375</v>
      </c>
      <c r="F78">
        <v>96.4</v>
      </c>
      <c r="G78">
        <v>100.2</v>
      </c>
      <c r="H78">
        <v>0.39129999999999998</v>
      </c>
      <c r="I78">
        <v>47.7</v>
      </c>
      <c r="J78">
        <v>50</v>
      </c>
      <c r="K78">
        <v>19.5</v>
      </c>
      <c r="L78">
        <v>18.5</v>
      </c>
      <c r="M78">
        <v>20.7</v>
      </c>
      <c r="N78">
        <v>27.9</v>
      </c>
      <c r="O78">
        <v>37.799999999999997</v>
      </c>
      <c r="P78">
        <v>39.299999999999997</v>
      </c>
      <c r="Q78">
        <v>46.9</v>
      </c>
      <c r="R78">
        <v>50.5</v>
      </c>
      <c r="S78">
        <v>32.799999999999997</v>
      </c>
      <c r="T78">
        <v>32.799999999999997</v>
      </c>
      <c r="U78">
        <v>69.599999999999994</v>
      </c>
      <c r="V78">
        <v>-11.6</v>
      </c>
      <c r="W78" cm="1">
        <f t="array" ref="W78">_xlfn.IFS(OR(X78="N/A",X78="NA"),0,OR(X78="R64",X78="R68"),1,X78="R32",2,X78="S16",3,X78="E8",4,X78="F4",5,X78="2ND",6,X78="Champions",7)</f>
        <v>0</v>
      </c>
      <c r="X78" t="s">
        <v>90</v>
      </c>
      <c r="Y78" t="s">
        <v>90</v>
      </c>
      <c r="Z78">
        <v>2016</v>
      </c>
    </row>
    <row r="79" spans="1:26" x14ac:dyDescent="0.3">
      <c r="A79" t="s">
        <v>100</v>
      </c>
      <c r="B79" t="s">
        <v>45</v>
      </c>
      <c r="C79">
        <v>31</v>
      </c>
      <c r="D79">
        <v>22</v>
      </c>
      <c r="E79" s="1">
        <f t="shared" si="1"/>
        <v>0.70967741935483875</v>
      </c>
      <c r="F79">
        <v>113.2</v>
      </c>
      <c r="G79">
        <v>104.4</v>
      </c>
      <c r="H79">
        <v>0.71730000000000005</v>
      </c>
      <c r="I79">
        <v>51.5</v>
      </c>
      <c r="J79">
        <v>49.6</v>
      </c>
      <c r="K79">
        <v>16.5</v>
      </c>
      <c r="L79">
        <v>19</v>
      </c>
      <c r="M79">
        <v>31.3</v>
      </c>
      <c r="N79">
        <v>33.4</v>
      </c>
      <c r="O79">
        <v>37.5</v>
      </c>
      <c r="P79">
        <v>37.4</v>
      </c>
      <c r="Q79">
        <v>48.8</v>
      </c>
      <c r="R79">
        <v>50.5</v>
      </c>
      <c r="S79">
        <v>37.299999999999997</v>
      </c>
      <c r="T79">
        <v>32.1</v>
      </c>
      <c r="U79">
        <v>68.900000000000006</v>
      </c>
      <c r="V79">
        <v>-0.1</v>
      </c>
      <c r="W79" cm="1">
        <f t="array" ref="W79">_xlfn.IFS(OR(X79="N/A",X79="NA"),0,OR(X79="R64",X79="R68"),1,X79="R32",2,X79="S16",3,X79="E8",4,X79="F4",5,X79="2ND",6,X79="Champions",7)</f>
        <v>0</v>
      </c>
      <c r="X79" t="s">
        <v>90</v>
      </c>
      <c r="Y79" t="s">
        <v>90</v>
      </c>
      <c r="Z79">
        <v>2016</v>
      </c>
    </row>
    <row r="80" spans="1:26" x14ac:dyDescent="0.3">
      <c r="A80" t="s">
        <v>101</v>
      </c>
      <c r="B80" t="s">
        <v>45</v>
      </c>
      <c r="C80">
        <v>32</v>
      </c>
      <c r="D80">
        <v>17</v>
      </c>
      <c r="E80" s="1">
        <f t="shared" si="1"/>
        <v>0.53125</v>
      </c>
      <c r="F80">
        <v>108.8</v>
      </c>
      <c r="G80">
        <v>98.6</v>
      </c>
      <c r="H80">
        <v>0.75609999999999999</v>
      </c>
      <c r="I80">
        <v>51.6</v>
      </c>
      <c r="J80">
        <v>49.7</v>
      </c>
      <c r="K80">
        <v>17.399999999999999</v>
      </c>
      <c r="L80">
        <v>17.100000000000001</v>
      </c>
      <c r="M80">
        <v>25.1</v>
      </c>
      <c r="N80">
        <v>26.9</v>
      </c>
      <c r="O80">
        <v>31.5</v>
      </c>
      <c r="P80">
        <v>33.4</v>
      </c>
      <c r="Q80">
        <v>51.9</v>
      </c>
      <c r="R80">
        <v>45.8</v>
      </c>
      <c r="S80">
        <v>34.1</v>
      </c>
      <c r="T80">
        <v>38.1</v>
      </c>
      <c r="U80">
        <v>69.7</v>
      </c>
      <c r="V80">
        <v>-5.2</v>
      </c>
      <c r="W80" cm="1">
        <f t="array" ref="W80">_xlfn.IFS(OR(X80="N/A",X80="NA"),0,OR(X80="R64",X80="R68"),1,X80="R32",2,X80="S16",3,X80="E8",4,X80="F4",5,X80="2ND",6,X80="Champions",7)</f>
        <v>0</v>
      </c>
      <c r="X80" t="s">
        <v>90</v>
      </c>
      <c r="Y80" t="s">
        <v>90</v>
      </c>
      <c r="Z80">
        <v>2017</v>
      </c>
    </row>
    <row r="81" spans="1:26" x14ac:dyDescent="0.3">
      <c r="A81" t="s">
        <v>89</v>
      </c>
      <c r="B81" t="s">
        <v>45</v>
      </c>
      <c r="C81">
        <v>32</v>
      </c>
      <c r="D81">
        <v>10</v>
      </c>
      <c r="E81" s="1">
        <f t="shared" si="1"/>
        <v>0.3125</v>
      </c>
      <c r="F81">
        <v>101.6</v>
      </c>
      <c r="G81">
        <v>106.1</v>
      </c>
      <c r="H81">
        <v>0.37980000000000003</v>
      </c>
      <c r="I81">
        <v>48.9</v>
      </c>
      <c r="J81">
        <v>49.9</v>
      </c>
      <c r="K81">
        <v>20</v>
      </c>
      <c r="L81">
        <v>17.600000000000001</v>
      </c>
      <c r="M81">
        <v>29</v>
      </c>
      <c r="N81">
        <v>30.2</v>
      </c>
      <c r="O81">
        <v>37.1</v>
      </c>
      <c r="P81">
        <v>33.299999999999997</v>
      </c>
      <c r="Q81">
        <v>48.3</v>
      </c>
      <c r="R81">
        <v>47.9</v>
      </c>
      <c r="S81">
        <v>33.4</v>
      </c>
      <c r="T81">
        <v>35.9</v>
      </c>
      <c r="U81">
        <v>71.7</v>
      </c>
      <c r="V81">
        <v>-14.7</v>
      </c>
      <c r="W81" cm="1">
        <f t="array" ref="W81">_xlfn.IFS(OR(X81="N/A",X81="NA"),0,OR(X81="R64",X81="R68"),1,X81="R32",2,X81="S16",3,X81="E8",4,X81="F4",5,X81="2ND",6,X81="Champions",7)</f>
        <v>0</v>
      </c>
      <c r="X81" t="s">
        <v>90</v>
      </c>
      <c r="Y81" t="s">
        <v>90</v>
      </c>
      <c r="Z81">
        <v>2017</v>
      </c>
    </row>
    <row r="82" spans="1:26" x14ac:dyDescent="0.3">
      <c r="A82" t="s">
        <v>91</v>
      </c>
      <c r="B82" t="s">
        <v>45</v>
      </c>
      <c r="C82">
        <v>31</v>
      </c>
      <c r="D82">
        <v>13</v>
      </c>
      <c r="E82" s="1">
        <f t="shared" si="1"/>
        <v>0.41935483870967744</v>
      </c>
      <c r="F82">
        <v>96.6</v>
      </c>
      <c r="G82">
        <v>98.2</v>
      </c>
      <c r="H82">
        <v>0.45469999999999999</v>
      </c>
      <c r="I82">
        <v>48.4</v>
      </c>
      <c r="J82">
        <v>53</v>
      </c>
      <c r="K82">
        <v>19.7</v>
      </c>
      <c r="L82">
        <v>25.6</v>
      </c>
      <c r="M82">
        <v>23.4</v>
      </c>
      <c r="N82">
        <v>31</v>
      </c>
      <c r="O82">
        <v>26.7</v>
      </c>
      <c r="P82">
        <v>43.5</v>
      </c>
      <c r="Q82">
        <v>47.4</v>
      </c>
      <c r="R82">
        <v>52.3</v>
      </c>
      <c r="S82">
        <v>33.200000000000003</v>
      </c>
      <c r="T82">
        <v>36.1</v>
      </c>
      <c r="U82">
        <v>65.8</v>
      </c>
      <c r="V82">
        <v>-11.8</v>
      </c>
      <c r="W82" cm="1">
        <f t="array" ref="W82">_xlfn.IFS(OR(X82="N/A",X82="NA"),0,OR(X82="R64",X82="R68"),1,X82="R32",2,X82="S16",3,X82="E8",4,X82="F4",5,X82="2ND",6,X82="Champions",7)</f>
        <v>0</v>
      </c>
      <c r="X82" t="s">
        <v>90</v>
      </c>
      <c r="Y82" t="s">
        <v>90</v>
      </c>
      <c r="Z82">
        <v>2017</v>
      </c>
    </row>
    <row r="83" spans="1:26" x14ac:dyDescent="0.3">
      <c r="A83" t="s">
        <v>92</v>
      </c>
      <c r="B83" t="s">
        <v>45</v>
      </c>
      <c r="C83">
        <v>33</v>
      </c>
      <c r="D83">
        <v>20</v>
      </c>
      <c r="E83" s="1">
        <f t="shared" si="1"/>
        <v>0.60606060606060608</v>
      </c>
      <c r="F83">
        <v>106.1</v>
      </c>
      <c r="G83">
        <v>103.7</v>
      </c>
      <c r="H83">
        <v>0.56689999999999996</v>
      </c>
      <c r="I83">
        <v>49.3</v>
      </c>
      <c r="J83">
        <v>48.6</v>
      </c>
      <c r="K83">
        <v>18.7</v>
      </c>
      <c r="L83">
        <v>14.2</v>
      </c>
      <c r="M83">
        <v>31.6</v>
      </c>
      <c r="N83">
        <v>24.5</v>
      </c>
      <c r="O83">
        <v>39.700000000000003</v>
      </c>
      <c r="P83">
        <v>27.7</v>
      </c>
      <c r="Q83">
        <v>48.5</v>
      </c>
      <c r="R83">
        <v>48.4</v>
      </c>
      <c r="S83">
        <v>34.200000000000003</v>
      </c>
      <c r="T83">
        <v>32.700000000000003</v>
      </c>
      <c r="U83">
        <v>70</v>
      </c>
      <c r="V83">
        <v>-5.2</v>
      </c>
      <c r="W83" cm="1">
        <f t="array" ref="W83">_xlfn.IFS(OR(X83="N/A",X83="NA"),0,OR(X83="R64",X83="R68"),1,X83="R32",2,X83="S16",3,X83="E8",4,X83="F4",5,X83="2ND",6,X83="Champions",7)</f>
        <v>0</v>
      </c>
      <c r="X83" t="s">
        <v>90</v>
      </c>
      <c r="Y83" t="s">
        <v>90</v>
      </c>
      <c r="Z83">
        <v>2017</v>
      </c>
    </row>
    <row r="84" spans="1:26" x14ac:dyDescent="0.3">
      <c r="A84" t="s">
        <v>93</v>
      </c>
      <c r="B84" t="s">
        <v>45</v>
      </c>
      <c r="C84">
        <v>35</v>
      </c>
      <c r="D84">
        <v>20</v>
      </c>
      <c r="E84" s="1">
        <f t="shared" si="1"/>
        <v>0.5714285714285714</v>
      </c>
      <c r="F84">
        <v>107.1</v>
      </c>
      <c r="G84">
        <v>103.8</v>
      </c>
      <c r="H84">
        <v>0.58860000000000001</v>
      </c>
      <c r="I84">
        <v>49.5</v>
      </c>
      <c r="J84">
        <v>50.2</v>
      </c>
      <c r="K84">
        <v>19.3</v>
      </c>
      <c r="L84">
        <v>16.2</v>
      </c>
      <c r="M84">
        <v>32.700000000000003</v>
      </c>
      <c r="N84">
        <v>26.4</v>
      </c>
      <c r="O84">
        <v>36.6</v>
      </c>
      <c r="P84">
        <v>26.9</v>
      </c>
      <c r="Q84">
        <v>45.6</v>
      </c>
      <c r="R84">
        <v>48.9</v>
      </c>
      <c r="S84">
        <v>37.1</v>
      </c>
      <c r="T84">
        <v>35.4</v>
      </c>
      <c r="U84">
        <v>67</v>
      </c>
      <c r="V84">
        <v>-5.2</v>
      </c>
      <c r="W84" cm="1">
        <f t="array" ref="W84">_xlfn.IFS(OR(X84="N/A",X84="NA"),0,OR(X84="R64",X84="R68"),1,X84="R32",2,X84="S16",3,X84="E8",4,X84="F4",5,X84="2ND",6,X84="Champions",7)</f>
        <v>0</v>
      </c>
      <c r="X84" t="s">
        <v>90</v>
      </c>
      <c r="Y84" t="s">
        <v>90</v>
      </c>
      <c r="Z84">
        <v>2017</v>
      </c>
    </row>
    <row r="85" spans="1:26" x14ac:dyDescent="0.3">
      <c r="A85" t="s">
        <v>94</v>
      </c>
      <c r="B85" t="s">
        <v>45</v>
      </c>
      <c r="C85">
        <v>30</v>
      </c>
      <c r="D85">
        <v>15</v>
      </c>
      <c r="E85" s="1">
        <f t="shared" si="1"/>
        <v>0.5</v>
      </c>
      <c r="F85">
        <v>109.1</v>
      </c>
      <c r="G85">
        <v>107</v>
      </c>
      <c r="H85">
        <v>0.55479999999999996</v>
      </c>
      <c r="I85">
        <v>53.3</v>
      </c>
      <c r="J85">
        <v>54.3</v>
      </c>
      <c r="K85">
        <v>18.600000000000001</v>
      </c>
      <c r="L85">
        <v>17.7</v>
      </c>
      <c r="M85">
        <v>25.7</v>
      </c>
      <c r="N85">
        <v>27.6</v>
      </c>
      <c r="O85">
        <v>38.299999999999997</v>
      </c>
      <c r="P85">
        <v>33.1</v>
      </c>
      <c r="Q85">
        <v>52.4</v>
      </c>
      <c r="R85">
        <v>51.3</v>
      </c>
      <c r="S85">
        <v>36.4</v>
      </c>
      <c r="T85">
        <v>39.4</v>
      </c>
      <c r="U85">
        <v>69.900000000000006</v>
      </c>
      <c r="V85">
        <v>-7</v>
      </c>
      <c r="W85" cm="1">
        <f t="array" ref="W85">_xlfn.IFS(OR(X85="N/A",X85="NA"),0,OR(X85="R64",X85="R68"),1,X85="R32",2,X85="S16",3,X85="E8",4,X85="F4",5,X85="2ND",6,X85="Champions",7)</f>
        <v>0</v>
      </c>
      <c r="X85" t="s">
        <v>90</v>
      </c>
      <c r="Y85" t="s">
        <v>90</v>
      </c>
      <c r="Z85">
        <v>2017</v>
      </c>
    </row>
    <row r="86" spans="1:26" x14ac:dyDescent="0.3">
      <c r="A86" t="s">
        <v>95</v>
      </c>
      <c r="B86" t="s">
        <v>45</v>
      </c>
      <c r="C86">
        <v>33</v>
      </c>
      <c r="D86">
        <v>15</v>
      </c>
      <c r="E86" s="1">
        <f t="shared" si="1"/>
        <v>0.45454545454545453</v>
      </c>
      <c r="F86">
        <v>99.6</v>
      </c>
      <c r="G86">
        <v>99.5</v>
      </c>
      <c r="H86">
        <v>0.501</v>
      </c>
      <c r="I86">
        <v>49.7</v>
      </c>
      <c r="J86">
        <v>46.9</v>
      </c>
      <c r="K86">
        <v>20.3</v>
      </c>
      <c r="L86">
        <v>19.600000000000001</v>
      </c>
      <c r="M86">
        <v>28.1</v>
      </c>
      <c r="N86">
        <v>30.2</v>
      </c>
      <c r="O86">
        <v>34.6</v>
      </c>
      <c r="P86">
        <v>44.5</v>
      </c>
      <c r="Q86">
        <v>53.3</v>
      </c>
      <c r="R86">
        <v>44.5</v>
      </c>
      <c r="S86">
        <v>29.7</v>
      </c>
      <c r="T86">
        <v>34.5</v>
      </c>
      <c r="U86">
        <v>73.599999999999994</v>
      </c>
      <c r="V86">
        <v>-10.1</v>
      </c>
      <c r="W86" cm="1">
        <f t="array" ref="W86">_xlfn.IFS(OR(X86="N/A",X86="NA"),0,OR(X86="R64",X86="R68"),1,X86="R32",2,X86="S16",3,X86="E8",4,X86="F4",5,X86="2ND",6,X86="Champions",7)</f>
        <v>0</v>
      </c>
      <c r="X86" t="s">
        <v>90</v>
      </c>
      <c r="Y86" t="s">
        <v>90</v>
      </c>
      <c r="Z86">
        <v>2017</v>
      </c>
    </row>
    <row r="87" spans="1:26" x14ac:dyDescent="0.3">
      <c r="A87" t="s">
        <v>97</v>
      </c>
      <c r="B87" t="s">
        <v>45</v>
      </c>
      <c r="C87">
        <v>35</v>
      </c>
      <c r="D87">
        <v>22</v>
      </c>
      <c r="E87" s="1">
        <f t="shared" si="1"/>
        <v>0.62857142857142856</v>
      </c>
      <c r="F87">
        <v>110</v>
      </c>
      <c r="G87">
        <v>102.5</v>
      </c>
      <c r="H87">
        <v>0.69220000000000004</v>
      </c>
      <c r="I87">
        <v>53.9</v>
      </c>
      <c r="J87">
        <v>49.9</v>
      </c>
      <c r="K87">
        <v>16.2</v>
      </c>
      <c r="L87">
        <v>20</v>
      </c>
      <c r="M87">
        <v>20.7</v>
      </c>
      <c r="N87">
        <v>30.7</v>
      </c>
      <c r="O87">
        <v>31.6</v>
      </c>
      <c r="P87">
        <v>34.6</v>
      </c>
      <c r="Q87">
        <v>55.6</v>
      </c>
      <c r="R87">
        <v>50.9</v>
      </c>
      <c r="S87">
        <v>34.200000000000003</v>
      </c>
      <c r="T87">
        <v>32.1</v>
      </c>
      <c r="U87">
        <v>70.099999999999994</v>
      </c>
      <c r="V87">
        <v>-3.7</v>
      </c>
      <c r="W87" cm="1">
        <f t="array" ref="W87">_xlfn.IFS(OR(X87="N/A",X87="NA"),0,OR(X87="R64",X87="R68"),1,X87="R32",2,X87="S16",3,X87="E8",4,X87="F4",5,X87="2ND",6,X87="Champions",7)</f>
        <v>0</v>
      </c>
      <c r="X87" t="s">
        <v>90</v>
      </c>
      <c r="Y87" t="s">
        <v>90</v>
      </c>
      <c r="Z87">
        <v>2017</v>
      </c>
    </row>
    <row r="88" spans="1:26" x14ac:dyDescent="0.3">
      <c r="A88" t="s">
        <v>98</v>
      </c>
      <c r="B88" t="s">
        <v>45</v>
      </c>
      <c r="C88">
        <v>31</v>
      </c>
      <c r="D88">
        <v>11</v>
      </c>
      <c r="E88" s="1">
        <f t="shared" si="1"/>
        <v>0.35483870967741937</v>
      </c>
      <c r="F88">
        <v>101.6</v>
      </c>
      <c r="G88">
        <v>102.6</v>
      </c>
      <c r="H88">
        <v>0.47289999999999999</v>
      </c>
      <c r="I88">
        <v>46.6</v>
      </c>
      <c r="J88">
        <v>51.2</v>
      </c>
      <c r="K88">
        <v>17</v>
      </c>
      <c r="L88">
        <v>18</v>
      </c>
      <c r="M88">
        <v>29.8</v>
      </c>
      <c r="N88">
        <v>26.6</v>
      </c>
      <c r="O88">
        <v>40.1</v>
      </c>
      <c r="P88">
        <v>32.5</v>
      </c>
      <c r="Q88">
        <v>45.7</v>
      </c>
      <c r="R88">
        <v>50.3</v>
      </c>
      <c r="S88">
        <v>32.4</v>
      </c>
      <c r="T88">
        <v>34.9</v>
      </c>
      <c r="U88">
        <v>70</v>
      </c>
      <c r="V88">
        <v>-10.9</v>
      </c>
      <c r="W88" cm="1">
        <f t="array" ref="W88">_xlfn.IFS(OR(X88="N/A",X88="NA"),0,OR(X88="R64",X88="R68"),1,X88="R32",2,X88="S16",3,X88="E8",4,X88="F4",5,X88="2ND",6,X88="Champions",7)</f>
        <v>0</v>
      </c>
      <c r="X88" t="s">
        <v>90</v>
      </c>
      <c r="Y88" t="s">
        <v>90</v>
      </c>
      <c r="Z88">
        <v>2017</v>
      </c>
    </row>
    <row r="89" spans="1:26" x14ac:dyDescent="0.3">
      <c r="A89" t="s">
        <v>99</v>
      </c>
      <c r="B89" t="s">
        <v>45</v>
      </c>
      <c r="C89">
        <v>33</v>
      </c>
      <c r="D89">
        <v>12</v>
      </c>
      <c r="E89" s="1">
        <f t="shared" si="1"/>
        <v>0.36363636363636365</v>
      </c>
      <c r="F89">
        <v>95.5</v>
      </c>
      <c r="G89">
        <v>103.2</v>
      </c>
      <c r="H89">
        <v>0.28910000000000002</v>
      </c>
      <c r="I89">
        <v>47</v>
      </c>
      <c r="J89">
        <v>50.6</v>
      </c>
      <c r="K89">
        <v>20.3</v>
      </c>
      <c r="L89">
        <v>16.899999999999999</v>
      </c>
      <c r="M89">
        <v>24.2</v>
      </c>
      <c r="N89">
        <v>27.3</v>
      </c>
      <c r="O89">
        <v>34.4</v>
      </c>
      <c r="P89">
        <v>38.5</v>
      </c>
      <c r="Q89">
        <v>44.3</v>
      </c>
      <c r="R89">
        <v>48.9</v>
      </c>
      <c r="S89">
        <v>34.200000000000003</v>
      </c>
      <c r="T89">
        <v>35.6</v>
      </c>
      <c r="U89">
        <v>65.2</v>
      </c>
      <c r="V89">
        <v>-12.8</v>
      </c>
      <c r="W89" cm="1">
        <f t="array" ref="W89">_xlfn.IFS(OR(X89="N/A",X89="NA"),0,OR(X89="R64",X89="R68"),1,X89="R32",2,X89="S16",3,X89="E8",4,X89="F4",5,X89="2ND",6,X89="Champions",7)</f>
        <v>0</v>
      </c>
      <c r="X89" t="s">
        <v>90</v>
      </c>
      <c r="Y89" t="s">
        <v>90</v>
      </c>
      <c r="Z89">
        <v>2017</v>
      </c>
    </row>
    <row r="90" spans="1:26" x14ac:dyDescent="0.3">
      <c r="A90" t="s">
        <v>100</v>
      </c>
      <c r="B90" t="s">
        <v>45</v>
      </c>
      <c r="C90">
        <v>32</v>
      </c>
      <c r="D90">
        <v>20</v>
      </c>
      <c r="E90" s="1">
        <f t="shared" si="1"/>
        <v>0.625</v>
      </c>
      <c r="F90">
        <v>107.2</v>
      </c>
      <c r="G90">
        <v>100.4</v>
      </c>
      <c r="H90">
        <v>0.67989999999999995</v>
      </c>
      <c r="I90">
        <v>49.7</v>
      </c>
      <c r="J90">
        <v>49.9</v>
      </c>
      <c r="K90">
        <v>17.600000000000001</v>
      </c>
      <c r="L90">
        <v>20.9</v>
      </c>
      <c r="M90">
        <v>33</v>
      </c>
      <c r="N90">
        <v>31</v>
      </c>
      <c r="O90">
        <v>42.4</v>
      </c>
      <c r="P90">
        <v>41.5</v>
      </c>
      <c r="Q90">
        <v>48.5</v>
      </c>
      <c r="R90">
        <v>48.1</v>
      </c>
      <c r="S90">
        <v>34.799999999999997</v>
      </c>
      <c r="T90">
        <v>35.299999999999997</v>
      </c>
      <c r="U90">
        <v>70</v>
      </c>
      <c r="V90">
        <v>-4.5999999999999996</v>
      </c>
      <c r="W90" cm="1">
        <f t="array" ref="W90">_xlfn.IFS(OR(X90="N/A",X90="NA"),0,OR(X90="R64",X90="R68"),1,X90="R32",2,X90="S16",3,X90="E8",4,X90="F4",5,X90="2ND",6,X90="Champions",7)</f>
        <v>0</v>
      </c>
      <c r="X90" t="s">
        <v>90</v>
      </c>
      <c r="Y90" t="s">
        <v>90</v>
      </c>
      <c r="Z90">
        <v>2017</v>
      </c>
    </row>
    <row r="91" spans="1:26" x14ac:dyDescent="0.3">
      <c r="A91" t="s">
        <v>79</v>
      </c>
      <c r="B91" t="s">
        <v>45</v>
      </c>
      <c r="C91">
        <v>31</v>
      </c>
      <c r="D91">
        <v>14</v>
      </c>
      <c r="E91" s="1">
        <f t="shared" si="1"/>
        <v>0.45161290322580644</v>
      </c>
      <c r="F91">
        <v>108.3</v>
      </c>
      <c r="G91">
        <v>106.8</v>
      </c>
      <c r="H91">
        <v>0.54049999999999998</v>
      </c>
      <c r="I91">
        <v>55.5</v>
      </c>
      <c r="J91">
        <v>54.4</v>
      </c>
      <c r="K91">
        <v>20.2</v>
      </c>
      <c r="L91">
        <v>18.399999999999999</v>
      </c>
      <c r="M91">
        <v>25.8</v>
      </c>
      <c r="N91">
        <v>27.5</v>
      </c>
      <c r="O91">
        <v>31.8</v>
      </c>
      <c r="P91">
        <v>29.2</v>
      </c>
      <c r="Q91">
        <v>59.5</v>
      </c>
      <c r="R91">
        <v>52.5</v>
      </c>
      <c r="S91">
        <v>33.700000000000003</v>
      </c>
      <c r="T91">
        <v>38.299999999999997</v>
      </c>
      <c r="U91">
        <v>67.2</v>
      </c>
      <c r="V91">
        <v>-9.6</v>
      </c>
      <c r="W91" cm="1">
        <f t="array" ref="W91">_xlfn.IFS(OR(X91="N/A",X91="NA"),0,OR(X91="R64",X91="R68"),1,X91="R32",2,X91="S16",3,X91="E8",4,X91="F4",5,X91="2ND",6,X91="Champions",7)</f>
        <v>0</v>
      </c>
      <c r="X91" t="s">
        <v>90</v>
      </c>
      <c r="Y91" t="s">
        <v>90</v>
      </c>
      <c r="Z91">
        <v>2018</v>
      </c>
    </row>
    <row r="92" spans="1:26" x14ac:dyDescent="0.3">
      <c r="A92" t="s">
        <v>89</v>
      </c>
      <c r="B92" t="s">
        <v>45</v>
      </c>
      <c r="C92">
        <v>32</v>
      </c>
      <c r="D92">
        <v>16</v>
      </c>
      <c r="E92" s="1">
        <f t="shared" si="1"/>
        <v>0.5</v>
      </c>
      <c r="F92">
        <v>104.8</v>
      </c>
      <c r="G92">
        <v>106.8</v>
      </c>
      <c r="H92">
        <v>0.44690000000000002</v>
      </c>
      <c r="I92">
        <v>49.7</v>
      </c>
      <c r="J92">
        <v>50.8</v>
      </c>
      <c r="K92">
        <v>17.600000000000001</v>
      </c>
      <c r="L92">
        <v>18.399999999999999</v>
      </c>
      <c r="M92">
        <v>33</v>
      </c>
      <c r="N92">
        <v>28.9</v>
      </c>
      <c r="O92">
        <v>35.4</v>
      </c>
      <c r="P92">
        <v>36.4</v>
      </c>
      <c r="Q92">
        <v>47.8</v>
      </c>
      <c r="R92">
        <v>51</v>
      </c>
      <c r="S92">
        <v>35</v>
      </c>
      <c r="T92">
        <v>33.5</v>
      </c>
      <c r="U92">
        <v>67.3</v>
      </c>
      <c r="V92">
        <v>-11</v>
      </c>
      <c r="W92" cm="1">
        <f t="array" ref="W92">_xlfn.IFS(OR(X92="N/A",X92="NA"),0,OR(X92="R64",X92="R68"),1,X92="R32",2,X92="S16",3,X92="E8",4,X92="F4",5,X92="2ND",6,X92="Champions",7)</f>
        <v>0</v>
      </c>
      <c r="X92" t="s">
        <v>90</v>
      </c>
      <c r="Y92" t="s">
        <v>90</v>
      </c>
      <c r="Z92">
        <v>2018</v>
      </c>
    </row>
    <row r="93" spans="1:26" x14ac:dyDescent="0.3">
      <c r="A93" t="s">
        <v>91</v>
      </c>
      <c r="B93" t="s">
        <v>45</v>
      </c>
      <c r="C93">
        <v>31</v>
      </c>
      <c r="D93">
        <v>9</v>
      </c>
      <c r="E93" s="1">
        <f t="shared" si="1"/>
        <v>0.29032258064516131</v>
      </c>
      <c r="F93">
        <v>94.1</v>
      </c>
      <c r="G93">
        <v>104.9</v>
      </c>
      <c r="H93">
        <v>0.2223</v>
      </c>
      <c r="I93">
        <v>47.9</v>
      </c>
      <c r="J93">
        <v>52.3</v>
      </c>
      <c r="K93">
        <v>18.5</v>
      </c>
      <c r="L93">
        <v>21.1</v>
      </c>
      <c r="M93">
        <v>18.8</v>
      </c>
      <c r="N93">
        <v>32.799999999999997</v>
      </c>
      <c r="O93">
        <v>26.9</v>
      </c>
      <c r="P93">
        <v>30.4</v>
      </c>
      <c r="Q93">
        <v>52.1</v>
      </c>
      <c r="R93">
        <v>52.1</v>
      </c>
      <c r="S93">
        <v>28.8</v>
      </c>
      <c r="T93">
        <v>35.1</v>
      </c>
      <c r="U93">
        <v>67.2</v>
      </c>
      <c r="V93">
        <v>-14.9</v>
      </c>
      <c r="W93" cm="1">
        <f t="array" ref="W93">_xlfn.IFS(OR(X93="N/A",X93="NA"),0,OR(X93="R64",X93="R68"),1,X93="R32",2,X93="S16",3,X93="E8",4,X93="F4",5,X93="2ND",6,X93="Champions",7)</f>
        <v>0</v>
      </c>
      <c r="X93" t="s">
        <v>90</v>
      </c>
      <c r="Y93" t="s">
        <v>90</v>
      </c>
      <c r="Z93">
        <v>2018</v>
      </c>
    </row>
    <row r="94" spans="1:26" x14ac:dyDescent="0.3">
      <c r="A94" t="s">
        <v>92</v>
      </c>
      <c r="B94" t="s">
        <v>45</v>
      </c>
      <c r="C94">
        <v>33</v>
      </c>
      <c r="D94">
        <v>16</v>
      </c>
      <c r="E94" s="1">
        <f t="shared" si="1"/>
        <v>0.48484848484848486</v>
      </c>
      <c r="F94">
        <v>101.4</v>
      </c>
      <c r="G94">
        <v>105.6</v>
      </c>
      <c r="H94">
        <v>0.38540000000000002</v>
      </c>
      <c r="I94">
        <v>49.1</v>
      </c>
      <c r="J94">
        <v>52.1</v>
      </c>
      <c r="K94">
        <v>18.2</v>
      </c>
      <c r="L94">
        <v>16.100000000000001</v>
      </c>
      <c r="M94">
        <v>27.9</v>
      </c>
      <c r="N94">
        <v>26.7</v>
      </c>
      <c r="O94">
        <v>31.8</v>
      </c>
      <c r="P94">
        <v>30.8</v>
      </c>
      <c r="Q94">
        <v>49.1</v>
      </c>
      <c r="R94">
        <v>51.5</v>
      </c>
      <c r="S94">
        <v>32.6</v>
      </c>
      <c r="T94">
        <v>35.299999999999997</v>
      </c>
      <c r="U94">
        <v>70.099999999999994</v>
      </c>
      <c r="V94">
        <v>-9.8000000000000007</v>
      </c>
      <c r="W94" cm="1">
        <f t="array" ref="W94">_xlfn.IFS(OR(X94="N/A",X94="NA"),0,OR(X94="R64",X94="R68"),1,X94="R32",2,X94="S16",3,X94="E8",4,X94="F4",5,X94="2ND",6,X94="Champions",7)</f>
        <v>0</v>
      </c>
      <c r="X94" t="s">
        <v>90</v>
      </c>
      <c r="Y94" t="s">
        <v>90</v>
      </c>
      <c r="Z94">
        <v>2018</v>
      </c>
    </row>
    <row r="95" spans="1:26" x14ac:dyDescent="0.3">
      <c r="A95" t="s">
        <v>93</v>
      </c>
      <c r="B95" t="s">
        <v>45</v>
      </c>
      <c r="C95">
        <v>33</v>
      </c>
      <c r="D95">
        <v>15</v>
      </c>
      <c r="E95" s="1">
        <f t="shared" si="1"/>
        <v>0.45454545454545453</v>
      </c>
      <c r="F95">
        <v>103.9</v>
      </c>
      <c r="G95">
        <v>104.1</v>
      </c>
      <c r="H95">
        <v>0.49519999999999997</v>
      </c>
      <c r="I95">
        <v>49.5</v>
      </c>
      <c r="J95">
        <v>51.4</v>
      </c>
      <c r="K95">
        <v>19.2</v>
      </c>
      <c r="L95">
        <v>17.100000000000001</v>
      </c>
      <c r="M95">
        <v>31.7</v>
      </c>
      <c r="N95">
        <v>30</v>
      </c>
      <c r="O95">
        <v>28.9</v>
      </c>
      <c r="P95">
        <v>28.1</v>
      </c>
      <c r="Q95">
        <v>50.2</v>
      </c>
      <c r="R95">
        <v>50.3</v>
      </c>
      <c r="S95">
        <v>32.1</v>
      </c>
      <c r="T95">
        <v>35.700000000000003</v>
      </c>
      <c r="U95">
        <v>66.8</v>
      </c>
      <c r="V95">
        <v>-9.6999999999999993</v>
      </c>
      <c r="W95" cm="1">
        <f t="array" ref="W95">_xlfn.IFS(OR(X95="N/A",X95="NA"),0,OR(X95="R64",X95="R68"),1,X95="R32",2,X95="S16",3,X95="E8",4,X95="F4",5,X95="2ND",6,X95="Champions",7)</f>
        <v>0</v>
      </c>
      <c r="X95" t="s">
        <v>90</v>
      </c>
      <c r="Y95" t="s">
        <v>90</v>
      </c>
      <c r="Z95">
        <v>2018</v>
      </c>
    </row>
    <row r="96" spans="1:26" x14ac:dyDescent="0.3">
      <c r="A96" t="s">
        <v>94</v>
      </c>
      <c r="B96" t="s">
        <v>45</v>
      </c>
      <c r="C96">
        <v>32</v>
      </c>
      <c r="D96">
        <v>13</v>
      </c>
      <c r="E96" s="1">
        <f t="shared" si="1"/>
        <v>0.40625</v>
      </c>
      <c r="F96">
        <v>104.6</v>
      </c>
      <c r="G96">
        <v>101.6</v>
      </c>
      <c r="H96">
        <v>0.58489999999999998</v>
      </c>
      <c r="I96">
        <v>49</v>
      </c>
      <c r="J96">
        <v>51.7</v>
      </c>
      <c r="K96">
        <v>16.5</v>
      </c>
      <c r="L96">
        <v>17.5</v>
      </c>
      <c r="M96">
        <v>25.5</v>
      </c>
      <c r="N96">
        <v>25.4</v>
      </c>
      <c r="O96">
        <v>31</v>
      </c>
      <c r="P96">
        <v>33.799999999999997</v>
      </c>
      <c r="Q96">
        <v>48.8</v>
      </c>
      <c r="R96">
        <v>48.8</v>
      </c>
      <c r="S96">
        <v>32.9</v>
      </c>
      <c r="T96">
        <v>38.1</v>
      </c>
      <c r="U96">
        <v>70.099999999999994</v>
      </c>
      <c r="V96">
        <v>-11.1</v>
      </c>
      <c r="W96" cm="1">
        <f t="array" ref="W96">_xlfn.IFS(OR(X96="N/A",X96="NA"),0,OR(X96="R64",X96="R68"),1,X96="R32",2,X96="S16",3,X96="E8",4,X96="F4",5,X96="2ND",6,X96="Champions",7)</f>
        <v>0</v>
      </c>
      <c r="X96" t="s">
        <v>90</v>
      </c>
      <c r="Y96" t="s">
        <v>90</v>
      </c>
      <c r="Z96">
        <v>2018</v>
      </c>
    </row>
    <row r="97" spans="1:26" x14ac:dyDescent="0.3">
      <c r="A97" t="s">
        <v>95</v>
      </c>
      <c r="B97" t="s">
        <v>45</v>
      </c>
      <c r="C97">
        <v>33</v>
      </c>
      <c r="D97">
        <v>13</v>
      </c>
      <c r="E97" s="1">
        <f t="shared" si="1"/>
        <v>0.39393939393939392</v>
      </c>
      <c r="F97">
        <v>106.4</v>
      </c>
      <c r="G97">
        <v>109.6</v>
      </c>
      <c r="H97">
        <v>0.41570000000000001</v>
      </c>
      <c r="I97">
        <v>52.5</v>
      </c>
      <c r="J97">
        <v>51.5</v>
      </c>
      <c r="K97">
        <v>18.600000000000001</v>
      </c>
      <c r="L97">
        <v>16.5</v>
      </c>
      <c r="M97">
        <v>27.2</v>
      </c>
      <c r="N97">
        <v>29.7</v>
      </c>
      <c r="O97">
        <v>25.1</v>
      </c>
      <c r="P97">
        <v>33.200000000000003</v>
      </c>
      <c r="Q97">
        <v>47.9</v>
      </c>
      <c r="R97">
        <v>51.2</v>
      </c>
      <c r="S97">
        <v>40</v>
      </c>
      <c r="T97">
        <v>34.700000000000003</v>
      </c>
      <c r="U97">
        <v>67.599999999999994</v>
      </c>
      <c r="V97">
        <v>-12.8</v>
      </c>
      <c r="W97" cm="1">
        <f t="array" ref="W97">_xlfn.IFS(OR(X97="N/A",X97="NA"),0,OR(X97="R64",X97="R68"),1,X97="R32",2,X97="S16",3,X97="E8",4,X97="F4",5,X97="2ND",6,X97="Champions",7)</f>
        <v>0</v>
      </c>
      <c r="X97" t="s">
        <v>90</v>
      </c>
      <c r="Y97" t="s">
        <v>90</v>
      </c>
      <c r="Z97">
        <v>2018</v>
      </c>
    </row>
    <row r="98" spans="1:26" x14ac:dyDescent="0.3">
      <c r="A98" t="s">
        <v>97</v>
      </c>
      <c r="B98" t="s">
        <v>45</v>
      </c>
      <c r="C98">
        <v>32</v>
      </c>
      <c r="D98">
        <v>12</v>
      </c>
      <c r="E98" s="1">
        <f t="shared" si="1"/>
        <v>0.375</v>
      </c>
      <c r="F98">
        <v>107.1</v>
      </c>
      <c r="G98">
        <v>108</v>
      </c>
      <c r="H98">
        <v>0.47549999999999998</v>
      </c>
      <c r="I98">
        <v>52.1</v>
      </c>
      <c r="J98">
        <v>55.4</v>
      </c>
      <c r="K98">
        <v>16.899999999999999</v>
      </c>
      <c r="L98">
        <v>19</v>
      </c>
      <c r="M98">
        <v>23.4</v>
      </c>
      <c r="N98">
        <v>28.3</v>
      </c>
      <c r="O98">
        <v>29.7</v>
      </c>
      <c r="P98">
        <v>31.4</v>
      </c>
      <c r="Q98">
        <v>53.2</v>
      </c>
      <c r="R98">
        <v>55.3</v>
      </c>
      <c r="S98">
        <v>33.4</v>
      </c>
      <c r="T98">
        <v>37.200000000000003</v>
      </c>
      <c r="U98">
        <v>69.099999999999994</v>
      </c>
      <c r="V98">
        <v>-11.4</v>
      </c>
      <c r="W98" cm="1">
        <f t="array" ref="W98">_xlfn.IFS(OR(X98="N/A",X98="NA"),0,OR(X98="R64",X98="R68"),1,X98="R32",2,X98="S16",3,X98="E8",4,X98="F4",5,X98="2ND",6,X98="Champions",7)</f>
        <v>0</v>
      </c>
      <c r="X98" t="s">
        <v>90</v>
      </c>
      <c r="Y98" t="s">
        <v>90</v>
      </c>
      <c r="Z98">
        <v>2018</v>
      </c>
    </row>
    <row r="99" spans="1:26" x14ac:dyDescent="0.3">
      <c r="A99" t="s">
        <v>98</v>
      </c>
      <c r="B99" t="s">
        <v>45</v>
      </c>
      <c r="C99">
        <v>32</v>
      </c>
      <c r="D99">
        <v>16</v>
      </c>
      <c r="E99" s="1">
        <f t="shared" si="1"/>
        <v>0.5</v>
      </c>
      <c r="F99">
        <v>104.5</v>
      </c>
      <c r="G99">
        <v>99.9</v>
      </c>
      <c r="H99">
        <v>0.628</v>
      </c>
      <c r="I99">
        <v>48.8</v>
      </c>
      <c r="J99">
        <v>49.6</v>
      </c>
      <c r="K99">
        <v>13.9</v>
      </c>
      <c r="L99">
        <v>16.2</v>
      </c>
      <c r="M99">
        <v>23.5</v>
      </c>
      <c r="N99">
        <v>24.5</v>
      </c>
      <c r="O99">
        <v>34.6</v>
      </c>
      <c r="P99">
        <v>24.6</v>
      </c>
      <c r="Q99">
        <v>47.7</v>
      </c>
      <c r="R99">
        <v>48.9</v>
      </c>
      <c r="S99">
        <v>33.700000000000003</v>
      </c>
      <c r="T99">
        <v>33.700000000000003</v>
      </c>
      <c r="U99">
        <v>71.599999999999994</v>
      </c>
      <c r="V99">
        <v>-8.1</v>
      </c>
      <c r="W99" cm="1">
        <f t="array" ref="W99">_xlfn.IFS(OR(X99="N/A",X99="NA"),0,OR(X99="R64",X99="R68"),1,X99="R32",2,X99="S16",3,X99="E8",4,X99="F4",5,X99="2ND",6,X99="Champions",7)</f>
        <v>0</v>
      </c>
      <c r="X99" t="s">
        <v>90</v>
      </c>
      <c r="Y99" t="s">
        <v>90</v>
      </c>
      <c r="Z99">
        <v>2018</v>
      </c>
    </row>
    <row r="100" spans="1:26" x14ac:dyDescent="0.3">
      <c r="A100" t="s">
        <v>99</v>
      </c>
      <c r="B100" t="s">
        <v>45</v>
      </c>
      <c r="C100">
        <v>32</v>
      </c>
      <c r="D100">
        <v>17</v>
      </c>
      <c r="E100" s="1">
        <f t="shared" si="1"/>
        <v>0.53125</v>
      </c>
      <c r="F100">
        <v>101.3</v>
      </c>
      <c r="G100">
        <v>99.3</v>
      </c>
      <c r="H100">
        <v>0.55720000000000003</v>
      </c>
      <c r="I100">
        <v>47.1</v>
      </c>
      <c r="J100">
        <v>49.3</v>
      </c>
      <c r="K100">
        <v>19.5</v>
      </c>
      <c r="L100">
        <v>18.3</v>
      </c>
      <c r="M100">
        <v>33.799999999999997</v>
      </c>
      <c r="N100">
        <v>27</v>
      </c>
      <c r="O100">
        <v>45.8</v>
      </c>
      <c r="P100">
        <v>35.1</v>
      </c>
      <c r="Q100">
        <v>46.6</v>
      </c>
      <c r="R100">
        <v>47.7</v>
      </c>
      <c r="S100">
        <v>32</v>
      </c>
      <c r="T100">
        <v>34.799999999999997</v>
      </c>
      <c r="U100">
        <v>65.3</v>
      </c>
      <c r="V100">
        <v>-7.9</v>
      </c>
      <c r="W100" cm="1">
        <f t="array" ref="W100">_xlfn.IFS(OR(X100="N/A",X100="NA"),0,OR(X100="R64",X100="R68"),1,X100="R32",2,X100="S16",3,X100="E8",4,X100="F4",5,X100="2ND",6,X100="Champions",7)</f>
        <v>0</v>
      </c>
      <c r="X100" t="s">
        <v>90</v>
      </c>
      <c r="Y100" t="s">
        <v>90</v>
      </c>
      <c r="Z100">
        <v>2018</v>
      </c>
    </row>
    <row r="101" spans="1:26" x14ac:dyDescent="0.3">
      <c r="A101" t="s">
        <v>102</v>
      </c>
      <c r="B101" t="s">
        <v>45</v>
      </c>
      <c r="C101">
        <v>33</v>
      </c>
      <c r="D101">
        <v>18</v>
      </c>
      <c r="E101" s="1">
        <f t="shared" si="1"/>
        <v>0.54545454545454541</v>
      </c>
      <c r="F101">
        <v>105.5</v>
      </c>
      <c r="G101">
        <v>102.7</v>
      </c>
      <c r="H101">
        <v>0.57879999999999998</v>
      </c>
      <c r="I101">
        <v>52.6</v>
      </c>
      <c r="J101">
        <v>51.5</v>
      </c>
      <c r="K101">
        <v>18.7</v>
      </c>
      <c r="L101">
        <v>17.8</v>
      </c>
      <c r="M101">
        <v>29</v>
      </c>
      <c r="N101">
        <v>27</v>
      </c>
      <c r="O101">
        <v>28.1</v>
      </c>
      <c r="P101">
        <v>29.4</v>
      </c>
      <c r="Q101">
        <v>52.4</v>
      </c>
      <c r="R101">
        <v>50.9</v>
      </c>
      <c r="S101">
        <v>35.200000000000003</v>
      </c>
      <c r="T101">
        <v>35.1</v>
      </c>
      <c r="U101">
        <v>72</v>
      </c>
      <c r="V101">
        <v>-7</v>
      </c>
      <c r="W101" cm="1">
        <f t="array" ref="W101">_xlfn.IFS(OR(X101="N/A",X101="NA"),0,OR(X101="R64",X101="R68"),1,X101="R32",2,X101="S16",3,X101="E8",4,X101="F4",5,X101="2ND",6,X101="Champions",7)</f>
        <v>0</v>
      </c>
      <c r="X101" t="s">
        <v>90</v>
      </c>
      <c r="Y101" t="s">
        <v>90</v>
      </c>
      <c r="Z101">
        <v>2018</v>
      </c>
    </row>
    <row r="102" spans="1:26" x14ac:dyDescent="0.3">
      <c r="A102" t="s">
        <v>101</v>
      </c>
      <c r="B102" t="s">
        <v>45</v>
      </c>
      <c r="C102">
        <v>33</v>
      </c>
      <c r="D102">
        <v>24</v>
      </c>
      <c r="E102" s="1">
        <f t="shared" si="1"/>
        <v>0.72727272727272729</v>
      </c>
      <c r="F102">
        <v>107.3</v>
      </c>
      <c r="G102">
        <v>99.8</v>
      </c>
      <c r="H102">
        <v>0.69740000000000002</v>
      </c>
      <c r="I102">
        <v>53.1</v>
      </c>
      <c r="J102">
        <v>48.3</v>
      </c>
      <c r="K102">
        <v>16.7</v>
      </c>
      <c r="L102">
        <v>16.7</v>
      </c>
      <c r="M102">
        <v>23.3</v>
      </c>
      <c r="N102">
        <v>24.8</v>
      </c>
      <c r="O102">
        <v>28.3</v>
      </c>
      <c r="P102">
        <v>30</v>
      </c>
      <c r="Q102">
        <v>52.8</v>
      </c>
      <c r="R102">
        <v>47.3</v>
      </c>
      <c r="S102">
        <v>35.6</v>
      </c>
      <c r="T102">
        <v>33</v>
      </c>
      <c r="U102">
        <v>66.099999999999994</v>
      </c>
      <c r="V102">
        <v>-0.9</v>
      </c>
      <c r="W102" cm="1">
        <f t="array" ref="W102">_xlfn.IFS(OR(X102="N/A",X102="NA"),0,OR(X102="R64",X102="R68"),1,X102="R32",2,X102="S16",3,X102="E8",4,X102="F4",5,X102="2ND",6,X102="Champions",7)</f>
        <v>0</v>
      </c>
      <c r="X102" t="s">
        <v>90</v>
      </c>
      <c r="Y102" t="s">
        <v>90</v>
      </c>
      <c r="Z102">
        <v>2019</v>
      </c>
    </row>
    <row r="103" spans="1:26" x14ac:dyDescent="0.3">
      <c r="A103" t="s">
        <v>79</v>
      </c>
      <c r="B103" t="s">
        <v>45</v>
      </c>
      <c r="C103">
        <v>33</v>
      </c>
      <c r="D103">
        <v>21</v>
      </c>
      <c r="E103" s="1">
        <f t="shared" si="1"/>
        <v>0.63636363636363635</v>
      </c>
      <c r="F103">
        <v>111.1</v>
      </c>
      <c r="G103">
        <v>98.9</v>
      </c>
      <c r="H103">
        <v>0.79149999999999998</v>
      </c>
      <c r="I103">
        <v>56.1</v>
      </c>
      <c r="J103">
        <v>47.9</v>
      </c>
      <c r="K103">
        <v>18.8</v>
      </c>
      <c r="L103">
        <v>16.8</v>
      </c>
      <c r="M103">
        <v>26.9</v>
      </c>
      <c r="N103">
        <v>27.4</v>
      </c>
      <c r="O103">
        <v>32.1</v>
      </c>
      <c r="P103">
        <v>23.8</v>
      </c>
      <c r="Q103">
        <v>59.5</v>
      </c>
      <c r="R103">
        <v>47.7</v>
      </c>
      <c r="S103">
        <v>33.200000000000003</v>
      </c>
      <c r="T103">
        <v>32.1</v>
      </c>
      <c r="U103">
        <v>66.099999999999994</v>
      </c>
      <c r="V103">
        <v>-2.2999999999999998</v>
      </c>
      <c r="W103" cm="1">
        <f t="array" ref="W103">_xlfn.IFS(OR(X103="N/A",X103="NA"),0,OR(X103="R64",X103="R68"),1,X103="R32",2,X103="S16",3,X103="E8",4,X103="F4",5,X103="2ND",6,X103="Champions",7)</f>
        <v>0</v>
      </c>
      <c r="X103" t="s">
        <v>90</v>
      </c>
      <c r="Y103" t="s">
        <v>90</v>
      </c>
      <c r="Z103">
        <v>2019</v>
      </c>
    </row>
    <row r="104" spans="1:26" x14ac:dyDescent="0.3">
      <c r="A104" t="s">
        <v>89</v>
      </c>
      <c r="B104" t="s">
        <v>45</v>
      </c>
      <c r="C104">
        <v>32</v>
      </c>
      <c r="D104">
        <v>19</v>
      </c>
      <c r="E104" s="1">
        <f t="shared" si="1"/>
        <v>0.59375</v>
      </c>
      <c r="F104">
        <v>103.8</v>
      </c>
      <c r="G104">
        <v>104.4</v>
      </c>
      <c r="H104">
        <v>0.4824</v>
      </c>
      <c r="I104">
        <v>49.9</v>
      </c>
      <c r="J104">
        <v>49.9</v>
      </c>
      <c r="K104">
        <v>19.8</v>
      </c>
      <c r="L104">
        <v>21.6</v>
      </c>
      <c r="M104">
        <v>31.9</v>
      </c>
      <c r="N104">
        <v>35.1</v>
      </c>
      <c r="O104">
        <v>35</v>
      </c>
      <c r="P104">
        <v>31.9</v>
      </c>
      <c r="Q104">
        <v>51.1</v>
      </c>
      <c r="R104">
        <v>49.5</v>
      </c>
      <c r="S104">
        <v>32.200000000000003</v>
      </c>
      <c r="T104">
        <v>33.799999999999997</v>
      </c>
      <c r="U104">
        <v>71</v>
      </c>
      <c r="V104">
        <v>-6.7</v>
      </c>
      <c r="W104" cm="1">
        <f t="array" ref="W104">_xlfn.IFS(OR(X104="N/A",X104="NA"),0,OR(X104="R64",X104="R68"),1,X104="R32",2,X104="S16",3,X104="E8",4,X104="F4",5,X104="2ND",6,X104="Champions",7)</f>
        <v>0</v>
      </c>
      <c r="X104" t="s">
        <v>90</v>
      </c>
      <c r="Y104" t="s">
        <v>90</v>
      </c>
      <c r="Z104">
        <v>2019</v>
      </c>
    </row>
    <row r="105" spans="1:26" x14ac:dyDescent="0.3">
      <c r="A105" t="s">
        <v>91</v>
      </c>
      <c r="B105" t="s">
        <v>45</v>
      </c>
      <c r="C105">
        <v>31</v>
      </c>
      <c r="D105">
        <v>12</v>
      </c>
      <c r="E105" s="1">
        <f t="shared" si="1"/>
        <v>0.38709677419354838</v>
      </c>
      <c r="F105">
        <v>96</v>
      </c>
      <c r="G105">
        <v>102.6</v>
      </c>
      <c r="H105">
        <v>0.31809999999999999</v>
      </c>
      <c r="I105">
        <v>46.8</v>
      </c>
      <c r="J105">
        <v>49.5</v>
      </c>
      <c r="K105">
        <v>16.399999999999999</v>
      </c>
      <c r="L105">
        <v>19.100000000000001</v>
      </c>
      <c r="M105">
        <v>25.1</v>
      </c>
      <c r="N105">
        <v>28</v>
      </c>
      <c r="O105">
        <v>24.5</v>
      </c>
      <c r="P105">
        <v>36.9</v>
      </c>
      <c r="Q105">
        <v>44.7</v>
      </c>
      <c r="R105">
        <v>49.6</v>
      </c>
      <c r="S105">
        <v>33</v>
      </c>
      <c r="T105">
        <v>32.9</v>
      </c>
      <c r="U105">
        <v>66.3</v>
      </c>
      <c r="V105">
        <v>-14.9</v>
      </c>
      <c r="W105" cm="1">
        <f t="array" ref="W105">_xlfn.IFS(OR(X105="N/A",X105="NA"),0,OR(X105="R64",X105="R68"),1,X105="R32",2,X105="S16",3,X105="E8",4,X105="F4",5,X105="2ND",6,X105="Champions",7)</f>
        <v>0</v>
      </c>
      <c r="X105" t="s">
        <v>90</v>
      </c>
      <c r="Y105" t="s">
        <v>90</v>
      </c>
      <c r="Z105">
        <v>2019</v>
      </c>
    </row>
    <row r="106" spans="1:26" x14ac:dyDescent="0.3">
      <c r="A106" t="s">
        <v>92</v>
      </c>
      <c r="B106" t="s">
        <v>45</v>
      </c>
      <c r="C106">
        <v>33</v>
      </c>
      <c r="D106">
        <v>18</v>
      </c>
      <c r="E106" s="1">
        <f t="shared" si="1"/>
        <v>0.54545454545454541</v>
      </c>
      <c r="F106">
        <v>102.8</v>
      </c>
      <c r="G106">
        <v>103.9</v>
      </c>
      <c r="H106">
        <v>0.46879999999999999</v>
      </c>
      <c r="I106">
        <v>50.1</v>
      </c>
      <c r="J106">
        <v>50.2</v>
      </c>
      <c r="K106">
        <v>18.899999999999999</v>
      </c>
      <c r="L106">
        <v>18.2</v>
      </c>
      <c r="M106">
        <v>29</v>
      </c>
      <c r="N106">
        <v>27.2</v>
      </c>
      <c r="O106">
        <v>34.200000000000003</v>
      </c>
      <c r="P106">
        <v>30.6</v>
      </c>
      <c r="Q106">
        <v>50.5</v>
      </c>
      <c r="R106">
        <v>51.6</v>
      </c>
      <c r="S106">
        <v>33</v>
      </c>
      <c r="T106">
        <v>32</v>
      </c>
      <c r="U106">
        <v>69.2</v>
      </c>
      <c r="V106">
        <v>-6.8</v>
      </c>
      <c r="W106" cm="1">
        <f t="array" ref="W106">_xlfn.IFS(OR(X106="N/A",X106="NA"),0,OR(X106="R64",X106="R68"),1,X106="R32",2,X106="S16",3,X106="E8",4,X106="F4",5,X106="2ND",6,X106="Champions",7)</f>
        <v>0</v>
      </c>
      <c r="X106" t="s">
        <v>90</v>
      </c>
      <c r="Y106" t="s">
        <v>90</v>
      </c>
      <c r="Z106">
        <v>2019</v>
      </c>
    </row>
    <row r="107" spans="1:26" x14ac:dyDescent="0.3">
      <c r="A107" t="s">
        <v>93</v>
      </c>
      <c r="B107" t="s">
        <v>45</v>
      </c>
      <c r="C107">
        <v>33</v>
      </c>
      <c r="D107">
        <v>9</v>
      </c>
      <c r="E107" s="1">
        <f t="shared" si="1"/>
        <v>0.27272727272727271</v>
      </c>
      <c r="F107">
        <v>95.4</v>
      </c>
      <c r="G107">
        <v>104.5</v>
      </c>
      <c r="H107">
        <v>0.25900000000000001</v>
      </c>
      <c r="I107">
        <v>45.8</v>
      </c>
      <c r="J107">
        <v>51.2</v>
      </c>
      <c r="K107">
        <v>18.2</v>
      </c>
      <c r="L107">
        <v>17.100000000000001</v>
      </c>
      <c r="M107">
        <v>23.4</v>
      </c>
      <c r="N107">
        <v>28.5</v>
      </c>
      <c r="O107">
        <v>32.6</v>
      </c>
      <c r="P107">
        <v>30.2</v>
      </c>
      <c r="Q107">
        <v>45.3</v>
      </c>
      <c r="R107">
        <v>49.8</v>
      </c>
      <c r="S107">
        <v>31.1</v>
      </c>
      <c r="T107">
        <v>35.6</v>
      </c>
      <c r="U107">
        <v>68.8</v>
      </c>
      <c r="V107">
        <v>-15.8</v>
      </c>
      <c r="W107" cm="1">
        <f t="array" ref="W107">_xlfn.IFS(OR(X107="N/A",X107="NA"),0,OR(X107="R64",X107="R68"),1,X107="R32",2,X107="S16",3,X107="E8",4,X107="F4",5,X107="2ND",6,X107="Champions",7)</f>
        <v>0</v>
      </c>
      <c r="X107" t="s">
        <v>90</v>
      </c>
      <c r="Y107" t="s">
        <v>90</v>
      </c>
      <c r="Z107">
        <v>2019</v>
      </c>
    </row>
    <row r="108" spans="1:26" x14ac:dyDescent="0.3">
      <c r="A108" t="s">
        <v>94</v>
      </c>
      <c r="B108" t="s">
        <v>45</v>
      </c>
      <c r="C108">
        <v>31</v>
      </c>
      <c r="D108">
        <v>10</v>
      </c>
      <c r="E108" s="1">
        <f t="shared" si="1"/>
        <v>0.32258064516129031</v>
      </c>
      <c r="F108">
        <v>99.7</v>
      </c>
      <c r="G108">
        <v>102.5</v>
      </c>
      <c r="H108">
        <v>0.42199999999999999</v>
      </c>
      <c r="I108">
        <v>47.2</v>
      </c>
      <c r="J108">
        <v>51.3</v>
      </c>
      <c r="K108">
        <v>20.2</v>
      </c>
      <c r="L108">
        <v>19.8</v>
      </c>
      <c r="M108">
        <v>28.9</v>
      </c>
      <c r="N108">
        <v>28.9</v>
      </c>
      <c r="O108">
        <v>28.5</v>
      </c>
      <c r="P108">
        <v>41.3</v>
      </c>
      <c r="Q108">
        <v>45.3</v>
      </c>
      <c r="R108">
        <v>51.2</v>
      </c>
      <c r="S108">
        <v>33.1</v>
      </c>
      <c r="T108">
        <v>34.200000000000003</v>
      </c>
      <c r="U108">
        <v>70.599999999999994</v>
      </c>
      <c r="V108">
        <v>-13.3</v>
      </c>
      <c r="W108" cm="1">
        <f t="array" ref="W108">_xlfn.IFS(OR(X108="N/A",X108="NA"),0,OR(X108="R64",X108="R68"),1,X108="R32",2,X108="S16",3,X108="E8",4,X108="F4",5,X108="2ND",6,X108="Champions",7)</f>
        <v>0</v>
      </c>
      <c r="X108" t="s">
        <v>90</v>
      </c>
      <c r="Y108" t="s">
        <v>90</v>
      </c>
      <c r="Z108">
        <v>2019</v>
      </c>
    </row>
    <row r="109" spans="1:26" x14ac:dyDescent="0.3">
      <c r="A109" t="s">
        <v>95</v>
      </c>
      <c r="B109" t="s">
        <v>45</v>
      </c>
      <c r="C109">
        <v>32</v>
      </c>
      <c r="D109">
        <v>11</v>
      </c>
      <c r="E109" s="1">
        <f t="shared" si="1"/>
        <v>0.34375</v>
      </c>
      <c r="F109">
        <v>102.6</v>
      </c>
      <c r="G109">
        <v>108.6</v>
      </c>
      <c r="H109">
        <v>0.34329999999999999</v>
      </c>
      <c r="I109">
        <v>51.1</v>
      </c>
      <c r="J109">
        <v>51.2</v>
      </c>
      <c r="K109">
        <v>20.2</v>
      </c>
      <c r="L109">
        <v>16.8</v>
      </c>
      <c r="M109">
        <v>31.5</v>
      </c>
      <c r="N109">
        <v>27.1</v>
      </c>
      <c r="O109">
        <v>31.3</v>
      </c>
      <c r="P109">
        <v>41.4</v>
      </c>
      <c r="Q109">
        <v>50.2</v>
      </c>
      <c r="R109">
        <v>50.6</v>
      </c>
      <c r="S109">
        <v>35</v>
      </c>
      <c r="T109">
        <v>35</v>
      </c>
      <c r="U109">
        <v>69</v>
      </c>
      <c r="V109">
        <v>-13.8</v>
      </c>
      <c r="W109" cm="1">
        <f t="array" ref="W109">_xlfn.IFS(OR(X109="N/A",X109="NA"),0,OR(X109="R64",X109="R68"),1,X109="R32",2,X109="S16",3,X109="E8",4,X109="F4",5,X109="2ND",6,X109="Champions",7)</f>
        <v>0</v>
      </c>
      <c r="X109" t="s">
        <v>90</v>
      </c>
      <c r="Y109" t="s">
        <v>90</v>
      </c>
      <c r="Z109">
        <v>2019</v>
      </c>
    </row>
    <row r="110" spans="1:26" x14ac:dyDescent="0.3">
      <c r="A110" t="s">
        <v>96</v>
      </c>
      <c r="B110" t="s">
        <v>45</v>
      </c>
      <c r="C110">
        <v>33</v>
      </c>
      <c r="D110">
        <v>18</v>
      </c>
      <c r="E110" s="1">
        <f t="shared" si="1"/>
        <v>0.54545454545454541</v>
      </c>
      <c r="F110">
        <v>103.5</v>
      </c>
      <c r="G110">
        <v>99.9</v>
      </c>
      <c r="H110">
        <v>0.60089999999999999</v>
      </c>
      <c r="I110">
        <v>47.4</v>
      </c>
      <c r="J110">
        <v>48.7</v>
      </c>
      <c r="K110">
        <v>17.8</v>
      </c>
      <c r="L110">
        <v>20.2</v>
      </c>
      <c r="M110">
        <v>31.3</v>
      </c>
      <c r="N110">
        <v>27.9</v>
      </c>
      <c r="O110">
        <v>36.799999999999997</v>
      </c>
      <c r="P110">
        <v>35.700000000000003</v>
      </c>
      <c r="Q110">
        <v>50</v>
      </c>
      <c r="R110">
        <v>48.8</v>
      </c>
      <c r="S110">
        <v>28</v>
      </c>
      <c r="T110">
        <v>32.299999999999997</v>
      </c>
      <c r="U110">
        <v>68.900000000000006</v>
      </c>
      <c r="V110">
        <v>-6.8</v>
      </c>
      <c r="W110" cm="1">
        <f t="array" ref="W110">_xlfn.IFS(OR(X110="N/A",X110="NA"),0,OR(X110="R64",X110="R68"),1,X110="R32",2,X110="S16",3,X110="E8",4,X110="F4",5,X110="2ND",6,X110="Champions",7)</f>
        <v>0</v>
      </c>
      <c r="X110" t="s">
        <v>90</v>
      </c>
      <c r="Y110" t="s">
        <v>90</v>
      </c>
      <c r="Z110">
        <v>2019</v>
      </c>
    </row>
    <row r="111" spans="1:26" x14ac:dyDescent="0.3">
      <c r="A111" t="s">
        <v>97</v>
      </c>
      <c r="B111" t="s">
        <v>45</v>
      </c>
      <c r="C111">
        <v>33</v>
      </c>
      <c r="D111">
        <v>13</v>
      </c>
      <c r="E111" s="1">
        <f t="shared" si="1"/>
        <v>0.39393939393939392</v>
      </c>
      <c r="F111">
        <v>108</v>
      </c>
      <c r="G111">
        <v>107.6</v>
      </c>
      <c r="H111">
        <v>0.51060000000000005</v>
      </c>
      <c r="I111">
        <v>54.1</v>
      </c>
      <c r="J111">
        <v>53.1</v>
      </c>
      <c r="K111">
        <v>15.3</v>
      </c>
      <c r="L111">
        <v>18.5</v>
      </c>
      <c r="M111">
        <v>19.100000000000001</v>
      </c>
      <c r="N111">
        <v>29.9</v>
      </c>
      <c r="O111">
        <v>30.7</v>
      </c>
      <c r="P111">
        <v>28.7</v>
      </c>
      <c r="Q111">
        <v>55.5</v>
      </c>
      <c r="R111">
        <v>54</v>
      </c>
      <c r="S111">
        <v>34.700000000000003</v>
      </c>
      <c r="T111">
        <v>34.4</v>
      </c>
      <c r="U111">
        <v>67.2</v>
      </c>
      <c r="V111">
        <v>-13.5</v>
      </c>
      <c r="W111" cm="1">
        <f t="array" ref="W111">_xlfn.IFS(OR(X111="N/A",X111="NA"),0,OR(X111="R64",X111="R68"),1,X111="R32",2,X111="S16",3,X111="E8",4,X111="F4",5,X111="2ND",6,X111="Champions",7)</f>
        <v>0</v>
      </c>
      <c r="X111" t="s">
        <v>90</v>
      </c>
      <c r="Y111" t="s">
        <v>90</v>
      </c>
      <c r="Z111">
        <v>2019</v>
      </c>
    </row>
    <row r="112" spans="1:26" x14ac:dyDescent="0.3">
      <c r="A112" t="s">
        <v>98</v>
      </c>
      <c r="B112" t="s">
        <v>45</v>
      </c>
      <c r="C112">
        <v>33</v>
      </c>
      <c r="D112">
        <v>14</v>
      </c>
      <c r="E112" s="1">
        <f t="shared" si="1"/>
        <v>0.42424242424242425</v>
      </c>
      <c r="F112">
        <v>105.3</v>
      </c>
      <c r="G112">
        <v>105.3</v>
      </c>
      <c r="H112">
        <v>0.501</v>
      </c>
      <c r="I112">
        <v>48</v>
      </c>
      <c r="J112">
        <v>51.7</v>
      </c>
      <c r="K112">
        <v>13.5</v>
      </c>
      <c r="L112">
        <v>15.7</v>
      </c>
      <c r="M112">
        <v>22</v>
      </c>
      <c r="N112">
        <v>24.4</v>
      </c>
      <c r="O112">
        <v>31.7</v>
      </c>
      <c r="P112">
        <v>27.1</v>
      </c>
      <c r="Q112">
        <v>47.8</v>
      </c>
      <c r="R112">
        <v>49.9</v>
      </c>
      <c r="S112">
        <v>32.200000000000003</v>
      </c>
      <c r="T112">
        <v>36</v>
      </c>
      <c r="U112">
        <v>69.8</v>
      </c>
      <c r="V112">
        <v>-10.5</v>
      </c>
      <c r="W112" cm="1">
        <f t="array" ref="W112">_xlfn.IFS(OR(X112="N/A",X112="NA"),0,OR(X112="R64",X112="R68"),1,X112="R32",2,X112="S16",3,X112="E8",4,X112="F4",5,X112="2ND",6,X112="Champions",7)</f>
        <v>0</v>
      </c>
      <c r="X112" t="s">
        <v>90</v>
      </c>
      <c r="Y112" t="s">
        <v>90</v>
      </c>
      <c r="Z112">
        <v>2019</v>
      </c>
    </row>
    <row r="113" spans="1:26" x14ac:dyDescent="0.3">
      <c r="A113" t="s">
        <v>100</v>
      </c>
      <c r="B113" t="s">
        <v>45</v>
      </c>
      <c r="C113">
        <v>34</v>
      </c>
      <c r="D113">
        <v>18</v>
      </c>
      <c r="E113" s="1">
        <f t="shared" si="1"/>
        <v>0.52941176470588236</v>
      </c>
      <c r="F113">
        <v>101.1</v>
      </c>
      <c r="G113">
        <v>95.1</v>
      </c>
      <c r="H113">
        <v>0.66700000000000004</v>
      </c>
      <c r="I113">
        <v>48.3</v>
      </c>
      <c r="J113">
        <v>47.2</v>
      </c>
      <c r="K113">
        <v>18.7</v>
      </c>
      <c r="L113">
        <v>19.8</v>
      </c>
      <c r="M113">
        <v>29.2</v>
      </c>
      <c r="N113">
        <v>28.7</v>
      </c>
      <c r="O113">
        <v>28.2</v>
      </c>
      <c r="P113">
        <v>31.5</v>
      </c>
      <c r="Q113">
        <v>47.9</v>
      </c>
      <c r="R113">
        <v>46.2</v>
      </c>
      <c r="S113">
        <v>32.799999999999997</v>
      </c>
      <c r="T113">
        <v>32.299999999999997</v>
      </c>
      <c r="U113">
        <v>65.599999999999994</v>
      </c>
      <c r="V113">
        <v>-8.3000000000000007</v>
      </c>
      <c r="W113" cm="1">
        <f t="array" ref="W113">_xlfn.IFS(OR(X113="N/A",X113="NA"),0,OR(X113="R64",X113="R68"),1,X113="R32",2,X113="S16",3,X113="E8",4,X113="F4",5,X113="2ND",6,X113="Champions",7)</f>
        <v>0</v>
      </c>
      <c r="X113" t="s">
        <v>90</v>
      </c>
      <c r="Y113" t="s">
        <v>90</v>
      </c>
      <c r="Z113">
        <v>2019</v>
      </c>
    </row>
    <row r="114" spans="1:26" x14ac:dyDescent="0.3">
      <c r="A114" t="s">
        <v>103</v>
      </c>
      <c r="B114" t="s">
        <v>26</v>
      </c>
      <c r="C114">
        <v>32</v>
      </c>
      <c r="D114">
        <v>13</v>
      </c>
      <c r="E114" s="1">
        <f t="shared" si="1"/>
        <v>0.40625</v>
      </c>
      <c r="F114">
        <v>108.6</v>
      </c>
      <c r="G114">
        <v>99.2</v>
      </c>
      <c r="H114">
        <v>0.74</v>
      </c>
      <c r="I114">
        <v>50.8</v>
      </c>
      <c r="J114">
        <v>49.4</v>
      </c>
      <c r="K114">
        <v>18.8</v>
      </c>
      <c r="L114">
        <v>18.8</v>
      </c>
      <c r="M114">
        <v>26</v>
      </c>
      <c r="N114">
        <v>30.9</v>
      </c>
      <c r="O114">
        <v>35</v>
      </c>
      <c r="P114">
        <v>40.799999999999997</v>
      </c>
      <c r="Q114">
        <v>52.1</v>
      </c>
      <c r="R114">
        <v>49</v>
      </c>
      <c r="S114">
        <v>32.4</v>
      </c>
      <c r="T114">
        <v>33.5</v>
      </c>
      <c r="U114">
        <v>63.9</v>
      </c>
      <c r="V114">
        <v>-5.8</v>
      </c>
      <c r="W114" cm="1">
        <f t="array" ref="W114">_xlfn.IFS(OR(X114="N/A",X114="NA"),0,OR(X114="R64",X114="R68"),1,X114="R32",2,X114="S16",3,X114="E8",4,X114="F4",5,X114="2ND",6,X114="Champions",7)</f>
        <v>0</v>
      </c>
      <c r="X114" t="s">
        <v>90</v>
      </c>
      <c r="Y114" t="s">
        <v>90</v>
      </c>
      <c r="Z114">
        <v>2015</v>
      </c>
    </row>
    <row r="115" spans="1:26" x14ac:dyDescent="0.3">
      <c r="A115" t="s">
        <v>104</v>
      </c>
      <c r="B115" t="s">
        <v>26</v>
      </c>
      <c r="C115">
        <v>31</v>
      </c>
      <c r="D115">
        <v>16</v>
      </c>
      <c r="E115" s="1">
        <f t="shared" si="1"/>
        <v>0.5161290322580645</v>
      </c>
      <c r="F115">
        <v>104.2</v>
      </c>
      <c r="G115">
        <v>92.7</v>
      </c>
      <c r="H115">
        <v>0.79420000000000002</v>
      </c>
      <c r="I115">
        <v>46</v>
      </c>
      <c r="J115">
        <v>45.6</v>
      </c>
      <c r="K115">
        <v>18.600000000000001</v>
      </c>
      <c r="L115">
        <v>17.7</v>
      </c>
      <c r="M115">
        <v>34.1</v>
      </c>
      <c r="N115">
        <v>31.4</v>
      </c>
      <c r="O115">
        <v>34.4</v>
      </c>
      <c r="P115">
        <v>31.2</v>
      </c>
      <c r="Q115">
        <v>46.5</v>
      </c>
      <c r="R115">
        <v>43.9</v>
      </c>
      <c r="S115">
        <v>29.9</v>
      </c>
      <c r="T115">
        <v>32.799999999999997</v>
      </c>
      <c r="U115">
        <v>62.2</v>
      </c>
      <c r="V115">
        <v>-3</v>
      </c>
      <c r="W115" cm="1">
        <f t="array" ref="W115">_xlfn.IFS(OR(X115="N/A",X115="NA"),0,OR(X115="R64",X115="R68"),1,X115="R32",2,X115="S16",3,X115="E8",4,X115="F4",5,X115="2ND",6,X115="Champions",7)</f>
        <v>0</v>
      </c>
      <c r="X115" t="s">
        <v>90</v>
      </c>
      <c r="Y115" t="s">
        <v>90</v>
      </c>
      <c r="Z115">
        <v>2015</v>
      </c>
    </row>
    <row r="116" spans="1:26" x14ac:dyDescent="0.3">
      <c r="A116" t="s">
        <v>60</v>
      </c>
      <c r="B116" t="s">
        <v>26</v>
      </c>
      <c r="C116">
        <v>33</v>
      </c>
      <c r="D116">
        <v>17</v>
      </c>
      <c r="E116" s="1">
        <f t="shared" si="1"/>
        <v>0.51515151515151514</v>
      </c>
      <c r="F116">
        <v>104.1</v>
      </c>
      <c r="G116">
        <v>96.2</v>
      </c>
      <c r="H116">
        <v>0.71050000000000002</v>
      </c>
      <c r="I116">
        <v>50.1</v>
      </c>
      <c r="J116">
        <v>47.3</v>
      </c>
      <c r="K116">
        <v>21.9</v>
      </c>
      <c r="L116">
        <v>18</v>
      </c>
      <c r="M116">
        <v>31.8</v>
      </c>
      <c r="N116">
        <v>31.9</v>
      </c>
      <c r="O116">
        <v>46.9</v>
      </c>
      <c r="P116">
        <v>37.9</v>
      </c>
      <c r="Q116">
        <v>51.4</v>
      </c>
      <c r="R116">
        <v>46.5</v>
      </c>
      <c r="S116">
        <v>31.3</v>
      </c>
      <c r="T116">
        <v>32.5</v>
      </c>
      <c r="U116">
        <v>66.599999999999994</v>
      </c>
      <c r="V116">
        <v>-3.3</v>
      </c>
      <c r="W116" cm="1">
        <f t="array" ref="W116">_xlfn.IFS(OR(X116="N/A",X116="NA"),0,OR(X116="R64",X116="R68"),1,X116="R32",2,X116="S16",3,X116="E8",4,X116="F4",5,X116="2ND",6,X116="Champions",7)</f>
        <v>0</v>
      </c>
      <c r="X116" t="s">
        <v>90</v>
      </c>
      <c r="Y116" t="s">
        <v>90</v>
      </c>
      <c r="Z116">
        <v>2015</v>
      </c>
    </row>
    <row r="117" spans="1:26" x14ac:dyDescent="0.3">
      <c r="A117" t="s">
        <v>105</v>
      </c>
      <c r="B117" t="s">
        <v>26</v>
      </c>
      <c r="C117">
        <v>31</v>
      </c>
      <c r="D117">
        <v>12</v>
      </c>
      <c r="E117" s="1">
        <f t="shared" si="1"/>
        <v>0.38709677419354838</v>
      </c>
      <c r="F117">
        <v>102.1</v>
      </c>
      <c r="G117">
        <v>92.9</v>
      </c>
      <c r="H117">
        <v>0.74629999999999996</v>
      </c>
      <c r="I117">
        <v>44.4</v>
      </c>
      <c r="J117">
        <v>49.2</v>
      </c>
      <c r="K117">
        <v>19.600000000000001</v>
      </c>
      <c r="L117">
        <v>18</v>
      </c>
      <c r="M117">
        <v>38.700000000000003</v>
      </c>
      <c r="N117">
        <v>25.8</v>
      </c>
      <c r="O117">
        <v>31.1</v>
      </c>
      <c r="P117">
        <v>33.799999999999997</v>
      </c>
      <c r="Q117">
        <v>46.1</v>
      </c>
      <c r="R117">
        <v>49.9</v>
      </c>
      <c r="S117">
        <v>26.7</v>
      </c>
      <c r="T117">
        <v>31.9</v>
      </c>
      <c r="U117">
        <v>64.2</v>
      </c>
      <c r="V117">
        <v>-6.1</v>
      </c>
      <c r="W117" cm="1">
        <f t="array" ref="W117">_xlfn.IFS(OR(X117="N/A",X117="NA"),0,OR(X117="R64",X117="R68"),1,X117="R32",2,X117="S16",3,X117="E8",4,X117="F4",5,X117="2ND",6,X117="Champions",7)</f>
        <v>0</v>
      </c>
      <c r="X117" t="s">
        <v>90</v>
      </c>
      <c r="Y117" t="s">
        <v>90</v>
      </c>
      <c r="Z117">
        <v>2015</v>
      </c>
    </row>
    <row r="118" spans="1:26" x14ac:dyDescent="0.3">
      <c r="A118" t="s">
        <v>106</v>
      </c>
      <c r="B118" t="s">
        <v>26</v>
      </c>
      <c r="C118">
        <v>38</v>
      </c>
      <c r="D118">
        <v>25</v>
      </c>
      <c r="E118" s="1">
        <f t="shared" si="1"/>
        <v>0.65789473684210531</v>
      </c>
      <c r="F118">
        <v>111.2</v>
      </c>
      <c r="G118">
        <v>96</v>
      </c>
      <c r="H118">
        <v>0.84460000000000002</v>
      </c>
      <c r="I118">
        <v>49.9</v>
      </c>
      <c r="J118">
        <v>47.6</v>
      </c>
      <c r="K118">
        <v>15.9</v>
      </c>
      <c r="L118">
        <v>17.3</v>
      </c>
      <c r="M118">
        <v>29.5</v>
      </c>
      <c r="N118">
        <v>29.3</v>
      </c>
      <c r="O118">
        <v>35.5</v>
      </c>
      <c r="P118">
        <v>28.5</v>
      </c>
      <c r="Q118">
        <v>47.4</v>
      </c>
      <c r="R118">
        <v>47.1</v>
      </c>
      <c r="S118">
        <v>35.799999999999997</v>
      </c>
      <c r="T118">
        <v>32.4</v>
      </c>
      <c r="U118">
        <v>62.9</v>
      </c>
      <c r="V118">
        <v>0.7</v>
      </c>
      <c r="W118" cm="1">
        <f t="array" ref="W118">_xlfn.IFS(OR(X118="N/A",X118="NA"),0,OR(X118="R64",X118="R68"),1,X118="R32",2,X118="S16",3,X118="E8",4,X118="F4",5,X118="2ND",6,X118="Champions",7)</f>
        <v>0</v>
      </c>
      <c r="X118" t="s">
        <v>90</v>
      </c>
      <c r="Y118" t="s">
        <v>90</v>
      </c>
      <c r="Z118">
        <v>2015</v>
      </c>
    </row>
    <row r="119" spans="1:26" x14ac:dyDescent="0.3">
      <c r="A119" t="s">
        <v>107</v>
      </c>
      <c r="B119" t="s">
        <v>26</v>
      </c>
      <c r="C119">
        <v>33</v>
      </c>
      <c r="D119">
        <v>18</v>
      </c>
      <c r="E119" s="1">
        <f t="shared" si="1"/>
        <v>0.54545454545454541</v>
      </c>
      <c r="F119">
        <v>113.2</v>
      </c>
      <c r="G119">
        <v>101.7</v>
      </c>
      <c r="H119">
        <v>0.77490000000000003</v>
      </c>
      <c r="I119">
        <v>49.1</v>
      </c>
      <c r="J119">
        <v>50</v>
      </c>
      <c r="K119">
        <v>15.7</v>
      </c>
      <c r="L119">
        <v>17.399999999999999</v>
      </c>
      <c r="M119">
        <v>34.299999999999997</v>
      </c>
      <c r="N119">
        <v>31.6</v>
      </c>
      <c r="O119">
        <v>34.799999999999997</v>
      </c>
      <c r="P119">
        <v>37.799999999999997</v>
      </c>
      <c r="Q119">
        <v>48.6</v>
      </c>
      <c r="R119">
        <v>49</v>
      </c>
      <c r="S119">
        <v>33.6</v>
      </c>
      <c r="T119">
        <v>34.9</v>
      </c>
      <c r="U119">
        <v>60.9</v>
      </c>
      <c r="V119">
        <v>-1.5</v>
      </c>
      <c r="W119" cm="1">
        <f t="array" ref="W119">_xlfn.IFS(OR(X119="N/A",X119="NA"),0,OR(X119="R64",X119="R68"),1,X119="R32",2,X119="S16",3,X119="E8",4,X119="F4",5,X119="2ND",6,X119="Champions",7)</f>
        <v>0</v>
      </c>
      <c r="X119" t="s">
        <v>90</v>
      </c>
      <c r="Y119" t="s">
        <v>90</v>
      </c>
      <c r="Z119">
        <v>2015</v>
      </c>
    </row>
    <row r="120" spans="1:26" x14ac:dyDescent="0.3">
      <c r="A120" t="s">
        <v>82</v>
      </c>
      <c r="B120" t="s">
        <v>26</v>
      </c>
      <c r="C120">
        <v>31</v>
      </c>
      <c r="D120">
        <v>18</v>
      </c>
      <c r="E120" s="1">
        <f t="shared" si="1"/>
        <v>0.58064516129032262</v>
      </c>
      <c r="F120">
        <v>106.1</v>
      </c>
      <c r="G120">
        <v>90.8</v>
      </c>
      <c r="H120">
        <v>0.85650000000000004</v>
      </c>
      <c r="I120">
        <v>47.3</v>
      </c>
      <c r="J120">
        <v>46.4</v>
      </c>
      <c r="K120">
        <v>17.899999999999999</v>
      </c>
      <c r="L120">
        <v>21.1</v>
      </c>
      <c r="M120">
        <v>33.5</v>
      </c>
      <c r="N120">
        <v>31.3</v>
      </c>
      <c r="O120">
        <v>35.4</v>
      </c>
      <c r="P120">
        <v>30</v>
      </c>
      <c r="Q120">
        <v>48.3</v>
      </c>
      <c r="R120">
        <v>45.9</v>
      </c>
      <c r="S120">
        <v>30</v>
      </c>
      <c r="T120">
        <v>31.4</v>
      </c>
      <c r="U120">
        <v>66.400000000000006</v>
      </c>
      <c r="V120">
        <v>-0.3</v>
      </c>
      <c r="W120" cm="1">
        <f t="array" ref="W120">_xlfn.IFS(OR(X120="N/A",X120="NA"),0,OR(X120="R64",X120="R68"),1,X120="R32",2,X120="S16",3,X120="E8",4,X120="F4",5,X120="2ND",6,X120="Champions",7)</f>
        <v>0</v>
      </c>
      <c r="X120" t="s">
        <v>90</v>
      </c>
      <c r="Y120" t="s">
        <v>90</v>
      </c>
      <c r="Z120">
        <v>2015</v>
      </c>
    </row>
    <row r="121" spans="1:26" x14ac:dyDescent="0.3">
      <c r="A121" t="s">
        <v>108</v>
      </c>
      <c r="B121" t="s">
        <v>26</v>
      </c>
      <c r="C121">
        <v>33</v>
      </c>
      <c r="D121">
        <v>11</v>
      </c>
      <c r="E121" s="1">
        <f t="shared" si="1"/>
        <v>0.33333333333333331</v>
      </c>
      <c r="F121">
        <v>105.5</v>
      </c>
      <c r="G121">
        <v>104.8</v>
      </c>
      <c r="H121">
        <v>0.52039999999999997</v>
      </c>
      <c r="I121">
        <v>51.5</v>
      </c>
      <c r="J121">
        <v>50.8</v>
      </c>
      <c r="K121">
        <v>18.100000000000001</v>
      </c>
      <c r="L121">
        <v>18.899999999999999</v>
      </c>
      <c r="M121">
        <v>26</v>
      </c>
      <c r="N121">
        <v>36.6</v>
      </c>
      <c r="O121">
        <v>31.9</v>
      </c>
      <c r="P121">
        <v>33.799999999999997</v>
      </c>
      <c r="Q121">
        <v>47.7</v>
      </c>
      <c r="R121">
        <v>49.6</v>
      </c>
      <c r="S121">
        <v>38.9</v>
      </c>
      <c r="T121">
        <v>35.1</v>
      </c>
      <c r="U121">
        <v>64.2</v>
      </c>
      <c r="V121">
        <v>-8.9</v>
      </c>
      <c r="W121" cm="1">
        <f t="array" ref="W121">_xlfn.IFS(OR(X121="N/A",X121="NA"),0,OR(X121="R64",X121="R68"),1,X121="R32",2,X121="S16",3,X121="E8",4,X121="F4",5,X121="2ND",6,X121="Champions",7)</f>
        <v>0</v>
      </c>
      <c r="X121" t="s">
        <v>90</v>
      </c>
      <c r="Y121" t="s">
        <v>90</v>
      </c>
      <c r="Z121">
        <v>2015</v>
      </c>
    </row>
    <row r="122" spans="1:26" x14ac:dyDescent="0.3">
      <c r="A122" t="s">
        <v>109</v>
      </c>
      <c r="B122" t="s">
        <v>26</v>
      </c>
      <c r="C122">
        <v>32</v>
      </c>
      <c r="D122">
        <v>13</v>
      </c>
      <c r="E122" s="1">
        <f t="shared" si="1"/>
        <v>0.40625</v>
      </c>
      <c r="F122">
        <v>104.8</v>
      </c>
      <c r="G122">
        <v>98.1</v>
      </c>
      <c r="H122">
        <v>0.68259999999999998</v>
      </c>
      <c r="I122">
        <v>47.8</v>
      </c>
      <c r="J122">
        <v>50.9</v>
      </c>
      <c r="K122">
        <v>19.3</v>
      </c>
      <c r="L122">
        <v>17.100000000000001</v>
      </c>
      <c r="M122">
        <v>31.8</v>
      </c>
      <c r="N122">
        <v>26.4</v>
      </c>
      <c r="O122">
        <v>41.5</v>
      </c>
      <c r="P122">
        <v>35.200000000000003</v>
      </c>
      <c r="Q122">
        <v>46.5</v>
      </c>
      <c r="R122">
        <v>51.1</v>
      </c>
      <c r="S122">
        <v>33.6</v>
      </c>
      <c r="T122">
        <v>33.799999999999997</v>
      </c>
      <c r="U122">
        <v>68.7</v>
      </c>
      <c r="V122">
        <v>-5.7</v>
      </c>
      <c r="W122" cm="1">
        <f t="array" ref="W122">_xlfn.IFS(OR(X122="N/A",X122="NA"),0,OR(X122="R64",X122="R68"),1,X122="R32",2,X122="S16",3,X122="E8",4,X122="F4",5,X122="2ND",6,X122="Champions",7)</f>
        <v>0</v>
      </c>
      <c r="X122" t="s">
        <v>90</v>
      </c>
      <c r="Y122" t="s">
        <v>90</v>
      </c>
      <c r="Z122">
        <v>2015</v>
      </c>
    </row>
    <row r="123" spans="1:26" x14ac:dyDescent="0.3">
      <c r="A123" t="s">
        <v>103</v>
      </c>
      <c r="B123" t="s">
        <v>26</v>
      </c>
      <c r="C123">
        <v>32</v>
      </c>
      <c r="D123">
        <v>7</v>
      </c>
      <c r="E123" s="1">
        <f t="shared" si="1"/>
        <v>0.21875</v>
      </c>
      <c r="F123">
        <v>95</v>
      </c>
      <c r="G123">
        <v>99.1</v>
      </c>
      <c r="H123">
        <v>0.38200000000000001</v>
      </c>
      <c r="I123">
        <v>47.5</v>
      </c>
      <c r="J123">
        <v>52.4</v>
      </c>
      <c r="K123">
        <v>20</v>
      </c>
      <c r="L123">
        <v>19.5</v>
      </c>
      <c r="M123">
        <v>21.8</v>
      </c>
      <c r="N123">
        <v>28.6</v>
      </c>
      <c r="O123">
        <v>25.9</v>
      </c>
      <c r="P123">
        <v>37</v>
      </c>
      <c r="Q123">
        <v>46.9</v>
      </c>
      <c r="R123">
        <v>50</v>
      </c>
      <c r="S123">
        <v>32.299999999999997</v>
      </c>
      <c r="T123">
        <v>38.200000000000003</v>
      </c>
      <c r="U123">
        <v>67.8</v>
      </c>
      <c r="V123">
        <v>-12.2</v>
      </c>
      <c r="W123" cm="1">
        <f t="array" ref="W123">_xlfn.IFS(OR(X123="N/A",X123="NA"),0,OR(X123="R64",X123="R68"),1,X123="R32",2,X123="S16",3,X123="E8",4,X123="F4",5,X123="2ND",6,X123="Champions",7)</f>
        <v>0</v>
      </c>
      <c r="X123" t="s">
        <v>90</v>
      </c>
      <c r="Y123" t="s">
        <v>90</v>
      </c>
      <c r="Z123">
        <v>2016</v>
      </c>
    </row>
    <row r="124" spans="1:26" x14ac:dyDescent="0.3">
      <c r="A124" t="s">
        <v>104</v>
      </c>
      <c r="B124" t="s">
        <v>26</v>
      </c>
      <c r="C124">
        <v>31</v>
      </c>
      <c r="D124">
        <v>17</v>
      </c>
      <c r="E124" s="1">
        <f t="shared" si="1"/>
        <v>0.54838709677419351</v>
      </c>
      <c r="F124">
        <v>112.1</v>
      </c>
      <c r="G124">
        <v>98</v>
      </c>
      <c r="H124">
        <v>0.82410000000000005</v>
      </c>
      <c r="I124">
        <v>50.6</v>
      </c>
      <c r="J124">
        <v>47.9</v>
      </c>
      <c r="K124">
        <v>15.8</v>
      </c>
      <c r="L124">
        <v>18</v>
      </c>
      <c r="M124">
        <v>30.3</v>
      </c>
      <c r="N124">
        <v>30.3</v>
      </c>
      <c r="O124">
        <v>33.299999999999997</v>
      </c>
      <c r="P124">
        <v>28.5</v>
      </c>
      <c r="Q124">
        <v>49.1</v>
      </c>
      <c r="R124">
        <v>45.5</v>
      </c>
      <c r="S124">
        <v>35.200000000000003</v>
      </c>
      <c r="T124">
        <v>34.9</v>
      </c>
      <c r="U124">
        <v>64.5</v>
      </c>
      <c r="V124">
        <v>-2.4</v>
      </c>
      <c r="W124" cm="1">
        <f t="array" ref="W124">_xlfn.IFS(OR(X124="N/A",X124="NA"),0,OR(X124="R64",X124="R68"),1,X124="R32",2,X124="S16",3,X124="E8",4,X124="F4",5,X124="2ND",6,X124="Champions",7)</f>
        <v>0</v>
      </c>
      <c r="X124" t="s">
        <v>90</v>
      </c>
      <c r="Y124" t="s">
        <v>90</v>
      </c>
      <c r="Z124">
        <v>2016</v>
      </c>
    </row>
    <row r="125" spans="1:26" x14ac:dyDescent="0.3">
      <c r="A125" t="s">
        <v>60</v>
      </c>
      <c r="B125" t="s">
        <v>26</v>
      </c>
      <c r="C125">
        <v>34</v>
      </c>
      <c r="D125">
        <v>20</v>
      </c>
      <c r="E125" s="1">
        <f t="shared" si="1"/>
        <v>0.58823529411764708</v>
      </c>
      <c r="F125">
        <v>112.2</v>
      </c>
      <c r="G125">
        <v>99.1</v>
      </c>
      <c r="H125">
        <v>0.80689999999999995</v>
      </c>
      <c r="I125">
        <v>51.8</v>
      </c>
      <c r="J125">
        <v>50.9</v>
      </c>
      <c r="K125">
        <v>18</v>
      </c>
      <c r="L125">
        <v>18.899999999999999</v>
      </c>
      <c r="M125">
        <v>32.799999999999997</v>
      </c>
      <c r="N125">
        <v>28.3</v>
      </c>
      <c r="O125">
        <v>37.799999999999997</v>
      </c>
      <c r="P125">
        <v>36.700000000000003</v>
      </c>
      <c r="Q125">
        <v>52.1</v>
      </c>
      <c r="R125">
        <v>48.9</v>
      </c>
      <c r="S125">
        <v>34.1</v>
      </c>
      <c r="T125">
        <v>36.200000000000003</v>
      </c>
      <c r="U125">
        <v>72.7</v>
      </c>
      <c r="V125">
        <v>0.1</v>
      </c>
      <c r="W125" cm="1">
        <f t="array" ref="W125">_xlfn.IFS(OR(X125="N/A",X125="NA"),0,OR(X125="R64",X125="R68"),1,X125="R32",2,X125="S16",3,X125="E8",4,X125="F4",5,X125="2ND",6,X125="Champions",7)</f>
        <v>0</v>
      </c>
      <c r="X125" t="s">
        <v>90</v>
      </c>
      <c r="Y125" t="s">
        <v>90</v>
      </c>
      <c r="Z125">
        <v>2016</v>
      </c>
    </row>
    <row r="126" spans="1:26" x14ac:dyDescent="0.3">
      <c r="A126" t="s">
        <v>105</v>
      </c>
      <c r="B126" t="s">
        <v>26</v>
      </c>
      <c r="C126">
        <v>36</v>
      </c>
      <c r="D126">
        <v>21</v>
      </c>
      <c r="E126" s="1">
        <f t="shared" si="1"/>
        <v>0.58333333333333337</v>
      </c>
      <c r="F126">
        <v>113.9</v>
      </c>
      <c r="G126">
        <v>98.2</v>
      </c>
      <c r="H126">
        <v>0.84499999999999997</v>
      </c>
      <c r="I126">
        <v>49.8</v>
      </c>
      <c r="J126">
        <v>49.1</v>
      </c>
      <c r="K126">
        <v>16.7</v>
      </c>
      <c r="L126">
        <v>14.6</v>
      </c>
      <c r="M126">
        <v>37.5</v>
      </c>
      <c r="N126">
        <v>27.2</v>
      </c>
      <c r="O126">
        <v>31.7</v>
      </c>
      <c r="P126">
        <v>31.7</v>
      </c>
      <c r="Q126">
        <v>48.4</v>
      </c>
      <c r="R126">
        <v>49.5</v>
      </c>
      <c r="S126">
        <v>35.700000000000003</v>
      </c>
      <c r="T126">
        <v>32</v>
      </c>
      <c r="U126">
        <v>67.8</v>
      </c>
      <c r="V126">
        <v>0</v>
      </c>
      <c r="W126" cm="1">
        <f t="array" ref="W126">_xlfn.IFS(OR(X126="N/A",X126="NA"),0,OR(X126="R64",X126="R68"),1,X126="R32",2,X126="S16",3,X126="E8",4,X126="F4",5,X126="2ND",6,X126="Champions",7)</f>
        <v>0</v>
      </c>
      <c r="X126" t="s">
        <v>90</v>
      </c>
      <c r="Y126" t="s">
        <v>90</v>
      </c>
      <c r="Z126">
        <v>2016</v>
      </c>
    </row>
    <row r="127" spans="1:26" x14ac:dyDescent="0.3">
      <c r="A127" t="s">
        <v>52</v>
      </c>
      <c r="B127" t="s">
        <v>26</v>
      </c>
      <c r="C127">
        <v>31</v>
      </c>
      <c r="D127">
        <v>23</v>
      </c>
      <c r="E127" s="1">
        <f t="shared" si="1"/>
        <v>0.74193548387096775</v>
      </c>
      <c r="F127">
        <v>111.5</v>
      </c>
      <c r="G127">
        <v>89.6</v>
      </c>
      <c r="H127">
        <v>0.92500000000000004</v>
      </c>
      <c r="I127">
        <v>51.9</v>
      </c>
      <c r="J127">
        <v>44.7</v>
      </c>
      <c r="K127">
        <v>17.100000000000001</v>
      </c>
      <c r="L127">
        <v>21.6</v>
      </c>
      <c r="M127">
        <v>38.5</v>
      </c>
      <c r="N127">
        <v>29.2</v>
      </c>
      <c r="O127">
        <v>31.8</v>
      </c>
      <c r="P127">
        <v>40.5</v>
      </c>
      <c r="Q127">
        <v>51.9</v>
      </c>
      <c r="R127">
        <v>42.8</v>
      </c>
      <c r="S127">
        <v>34.700000000000003</v>
      </c>
      <c r="T127">
        <v>32.1</v>
      </c>
      <c r="U127">
        <v>67.2</v>
      </c>
      <c r="V127">
        <v>4.3</v>
      </c>
      <c r="W127" cm="1">
        <f t="array" ref="W127">_xlfn.IFS(OR(X127="N/A",X127="NA"),0,OR(X127="R64",X127="R68"),1,X127="R32",2,X127="S16",3,X127="E8",4,X127="F4",5,X127="2ND",6,X127="Champions",7)</f>
        <v>0</v>
      </c>
      <c r="X127" t="s">
        <v>90</v>
      </c>
      <c r="Y127" t="s">
        <v>90</v>
      </c>
      <c r="Z127">
        <v>2016</v>
      </c>
    </row>
    <row r="128" spans="1:26" x14ac:dyDescent="0.3">
      <c r="A128" t="s">
        <v>110</v>
      </c>
      <c r="B128" t="s">
        <v>26</v>
      </c>
      <c r="C128">
        <v>33</v>
      </c>
      <c r="D128">
        <v>16</v>
      </c>
      <c r="E128" s="1">
        <f t="shared" si="1"/>
        <v>0.48484848484848486</v>
      </c>
      <c r="F128">
        <v>113.6</v>
      </c>
      <c r="G128">
        <v>102.9</v>
      </c>
      <c r="H128">
        <v>0.75609999999999999</v>
      </c>
      <c r="I128">
        <v>48.5</v>
      </c>
      <c r="J128">
        <v>50.6</v>
      </c>
      <c r="K128">
        <v>16.100000000000001</v>
      </c>
      <c r="L128">
        <v>15</v>
      </c>
      <c r="M128">
        <v>36.299999999999997</v>
      </c>
      <c r="N128">
        <v>30.4</v>
      </c>
      <c r="O128">
        <v>38.9</v>
      </c>
      <c r="P128">
        <v>29.7</v>
      </c>
      <c r="Q128">
        <v>46.9</v>
      </c>
      <c r="R128">
        <v>47.5</v>
      </c>
      <c r="S128">
        <v>34.799999999999997</v>
      </c>
      <c r="T128">
        <v>37.4</v>
      </c>
      <c r="U128">
        <v>68.5</v>
      </c>
      <c r="V128">
        <v>-4</v>
      </c>
      <c r="W128" cm="1">
        <f t="array" ref="W128">_xlfn.IFS(OR(X128="N/A",X128="NA"),0,OR(X128="R64",X128="R68"),1,X128="R32",2,X128="S16",3,X128="E8",4,X128="F4",5,X128="2ND",6,X128="Champions",7)</f>
        <v>0</v>
      </c>
      <c r="X128" t="s">
        <v>90</v>
      </c>
      <c r="Y128" t="s">
        <v>90</v>
      </c>
      <c r="Z128">
        <v>2016</v>
      </c>
    </row>
    <row r="129" spans="1:26" x14ac:dyDescent="0.3">
      <c r="A129" t="s">
        <v>108</v>
      </c>
      <c r="B129" t="s">
        <v>26</v>
      </c>
      <c r="C129">
        <v>35</v>
      </c>
      <c r="D129">
        <v>20</v>
      </c>
      <c r="E129" s="1">
        <f t="shared" si="1"/>
        <v>0.5714285714285714</v>
      </c>
      <c r="F129">
        <v>109.5</v>
      </c>
      <c r="G129">
        <v>97.8</v>
      </c>
      <c r="H129">
        <v>0.78549999999999998</v>
      </c>
      <c r="I129">
        <v>50</v>
      </c>
      <c r="J129">
        <v>49</v>
      </c>
      <c r="K129">
        <v>18</v>
      </c>
      <c r="L129">
        <v>17.899999999999999</v>
      </c>
      <c r="M129">
        <v>30.3</v>
      </c>
      <c r="N129">
        <v>31.8</v>
      </c>
      <c r="O129">
        <v>49.4</v>
      </c>
      <c r="P129">
        <v>33.5</v>
      </c>
      <c r="Q129">
        <v>49.1</v>
      </c>
      <c r="R129">
        <v>50.1</v>
      </c>
      <c r="S129">
        <v>34.799999999999997</v>
      </c>
      <c r="T129">
        <v>31.3</v>
      </c>
      <c r="U129">
        <v>70.5</v>
      </c>
      <c r="V129">
        <v>-0.5</v>
      </c>
      <c r="W129" cm="1">
        <f t="array" ref="W129">_xlfn.IFS(OR(X129="N/A",X129="NA"),0,OR(X129="R64",X129="R68"),1,X129="R32",2,X129="S16",3,X129="E8",4,X129="F4",5,X129="2ND",6,X129="Champions",7)</f>
        <v>0</v>
      </c>
      <c r="X129" t="s">
        <v>90</v>
      </c>
      <c r="Y129" t="s">
        <v>90</v>
      </c>
      <c r="Z129">
        <v>2016</v>
      </c>
    </row>
    <row r="130" spans="1:26" x14ac:dyDescent="0.3">
      <c r="A130" t="s">
        <v>109</v>
      </c>
      <c r="B130" t="s">
        <v>26</v>
      </c>
      <c r="C130">
        <v>31</v>
      </c>
      <c r="D130">
        <v>11</v>
      </c>
      <c r="E130" s="1">
        <f t="shared" si="1"/>
        <v>0.35483870967741937</v>
      </c>
      <c r="F130">
        <v>106.9</v>
      </c>
      <c r="G130">
        <v>99.4</v>
      </c>
      <c r="H130">
        <v>0.69769999999999999</v>
      </c>
      <c r="I130">
        <v>49.4</v>
      </c>
      <c r="J130">
        <v>49.5</v>
      </c>
      <c r="K130">
        <v>20.100000000000001</v>
      </c>
      <c r="L130">
        <v>15.2</v>
      </c>
      <c r="M130">
        <v>32.700000000000003</v>
      </c>
      <c r="N130">
        <v>31.2</v>
      </c>
      <c r="O130">
        <v>43.2</v>
      </c>
      <c r="P130">
        <v>38.6</v>
      </c>
      <c r="Q130">
        <v>50.4</v>
      </c>
      <c r="R130">
        <v>49.2</v>
      </c>
      <c r="S130">
        <v>31.6</v>
      </c>
      <c r="T130">
        <v>33.4</v>
      </c>
      <c r="U130">
        <v>72.400000000000006</v>
      </c>
      <c r="V130">
        <v>-6.2</v>
      </c>
      <c r="W130" cm="1">
        <f t="array" ref="W130">_xlfn.IFS(OR(X130="N/A",X130="NA"),0,OR(X130="R64",X130="R68"),1,X130="R32",2,X130="S16",3,X130="E8",4,X130="F4",5,X130="2ND",6,X130="Champions",7)</f>
        <v>0</v>
      </c>
      <c r="X130" t="s">
        <v>90</v>
      </c>
      <c r="Y130" t="s">
        <v>90</v>
      </c>
      <c r="Z130">
        <v>2016</v>
      </c>
    </row>
    <row r="131" spans="1:26" x14ac:dyDescent="0.3">
      <c r="A131" t="s">
        <v>103</v>
      </c>
      <c r="B131" t="s">
        <v>26</v>
      </c>
      <c r="C131">
        <v>32</v>
      </c>
      <c r="D131">
        <v>9</v>
      </c>
      <c r="E131" s="1">
        <f t="shared" ref="E131:E194" si="2">D131/C131</f>
        <v>0.28125</v>
      </c>
      <c r="F131">
        <v>104.1</v>
      </c>
      <c r="G131">
        <v>101.9</v>
      </c>
      <c r="H131">
        <v>0.56179999999999997</v>
      </c>
      <c r="I131">
        <v>51.6</v>
      </c>
      <c r="J131">
        <v>53.2</v>
      </c>
      <c r="K131">
        <v>20.100000000000001</v>
      </c>
      <c r="L131">
        <v>17.2</v>
      </c>
      <c r="M131">
        <v>25.6</v>
      </c>
      <c r="N131">
        <v>24.2</v>
      </c>
      <c r="O131">
        <v>29.6</v>
      </c>
      <c r="P131">
        <v>39.6</v>
      </c>
      <c r="Q131">
        <v>49.1</v>
      </c>
      <c r="R131">
        <v>53.2</v>
      </c>
      <c r="S131">
        <v>37.4</v>
      </c>
      <c r="T131">
        <v>35.4</v>
      </c>
      <c r="U131">
        <v>72.5</v>
      </c>
      <c r="V131">
        <v>-9.8000000000000007</v>
      </c>
      <c r="W131" cm="1">
        <f t="array" ref="W131">_xlfn.IFS(OR(X131="N/A",X131="NA"),0,OR(X131="R64",X131="R68"),1,X131="R32",2,X131="S16",3,X131="E8",4,X131="F4",5,X131="2ND",6,X131="Champions",7)</f>
        <v>0</v>
      </c>
      <c r="X131" t="s">
        <v>90</v>
      </c>
      <c r="Y131" t="s">
        <v>90</v>
      </c>
      <c r="Z131">
        <v>2017</v>
      </c>
    </row>
    <row r="132" spans="1:26" x14ac:dyDescent="0.3">
      <c r="A132" t="s">
        <v>104</v>
      </c>
      <c r="B132" t="s">
        <v>26</v>
      </c>
      <c r="C132">
        <v>33</v>
      </c>
      <c r="D132">
        <v>17</v>
      </c>
      <c r="E132" s="1">
        <f t="shared" si="2"/>
        <v>0.51515151515151514</v>
      </c>
      <c r="F132">
        <v>115.3</v>
      </c>
      <c r="G132">
        <v>98.9</v>
      </c>
      <c r="H132">
        <v>0.85319999999999996</v>
      </c>
      <c r="I132">
        <v>51.1</v>
      </c>
      <c r="J132">
        <v>51.9</v>
      </c>
      <c r="K132">
        <v>15.8</v>
      </c>
      <c r="L132">
        <v>20.100000000000001</v>
      </c>
      <c r="M132">
        <v>31.4</v>
      </c>
      <c r="N132">
        <v>32.200000000000003</v>
      </c>
      <c r="O132">
        <v>34.299999999999997</v>
      </c>
      <c r="P132">
        <v>24.1</v>
      </c>
      <c r="Q132">
        <v>49.8</v>
      </c>
      <c r="R132">
        <v>51</v>
      </c>
      <c r="S132">
        <v>35.700000000000003</v>
      </c>
      <c r="T132">
        <v>35.6</v>
      </c>
      <c r="U132">
        <v>67.8</v>
      </c>
      <c r="V132">
        <v>-0.3</v>
      </c>
      <c r="W132" cm="1">
        <f t="array" ref="W132">_xlfn.IFS(OR(X132="N/A",X132="NA"),0,OR(X132="R64",X132="R68"),1,X132="R32",2,X132="S16",3,X132="E8",4,X132="F4",5,X132="2ND",6,X132="Champions",7)</f>
        <v>0</v>
      </c>
      <c r="X132" t="s">
        <v>90</v>
      </c>
      <c r="Y132" t="s">
        <v>90</v>
      </c>
      <c r="Z132">
        <v>2017</v>
      </c>
    </row>
    <row r="133" spans="1:26" x14ac:dyDescent="0.3">
      <c r="A133" t="s">
        <v>105</v>
      </c>
      <c r="B133" t="s">
        <v>26</v>
      </c>
      <c r="C133">
        <v>36</v>
      </c>
      <c r="D133">
        <v>21</v>
      </c>
      <c r="E133" s="1">
        <f t="shared" si="2"/>
        <v>0.58333333333333337</v>
      </c>
      <c r="F133">
        <v>99.4</v>
      </c>
      <c r="G133">
        <v>90.6</v>
      </c>
      <c r="H133">
        <v>0.74299999999999999</v>
      </c>
      <c r="I133">
        <v>47.4</v>
      </c>
      <c r="J133">
        <v>46</v>
      </c>
      <c r="K133">
        <v>19.3</v>
      </c>
      <c r="L133">
        <v>18.8</v>
      </c>
      <c r="M133">
        <v>27.7</v>
      </c>
      <c r="N133">
        <v>30.8</v>
      </c>
      <c r="O133">
        <v>35.799999999999997</v>
      </c>
      <c r="P133">
        <v>27.4</v>
      </c>
      <c r="Q133">
        <v>46.9</v>
      </c>
      <c r="R133">
        <v>43.9</v>
      </c>
      <c r="S133">
        <v>32.5</v>
      </c>
      <c r="T133">
        <v>33.1</v>
      </c>
      <c r="U133">
        <v>69.2</v>
      </c>
      <c r="V133">
        <v>-2.1</v>
      </c>
      <c r="W133" cm="1">
        <f t="array" ref="W133">_xlfn.IFS(OR(X133="N/A",X133="NA"),0,OR(X133="R64",X133="R68"),1,X133="R32",2,X133="S16",3,X133="E8",4,X133="F4",5,X133="2ND",6,X133="Champions",7)</f>
        <v>0</v>
      </c>
      <c r="X133" t="s">
        <v>90</v>
      </c>
      <c r="Y133" t="s">
        <v>90</v>
      </c>
      <c r="Z133">
        <v>2017</v>
      </c>
    </row>
    <row r="134" spans="1:26" x14ac:dyDescent="0.3">
      <c r="A134" t="s">
        <v>110</v>
      </c>
      <c r="B134" t="s">
        <v>26</v>
      </c>
      <c r="C134">
        <v>32</v>
      </c>
      <c r="D134">
        <v>15</v>
      </c>
      <c r="E134" s="1">
        <f t="shared" si="2"/>
        <v>0.46875</v>
      </c>
      <c r="F134">
        <v>111.9</v>
      </c>
      <c r="G134">
        <v>105.2</v>
      </c>
      <c r="H134">
        <v>0.66879999999999995</v>
      </c>
      <c r="I134">
        <v>52.7</v>
      </c>
      <c r="J134">
        <v>51.6</v>
      </c>
      <c r="K134">
        <v>18.5</v>
      </c>
      <c r="L134">
        <v>15.6</v>
      </c>
      <c r="M134">
        <v>29.8</v>
      </c>
      <c r="N134">
        <v>31.4</v>
      </c>
      <c r="O134">
        <v>36.200000000000003</v>
      </c>
      <c r="P134">
        <v>30.4</v>
      </c>
      <c r="Q134">
        <v>52.4</v>
      </c>
      <c r="R134">
        <v>49.5</v>
      </c>
      <c r="S134">
        <v>35.6</v>
      </c>
      <c r="T134">
        <v>36.9</v>
      </c>
      <c r="U134">
        <v>71.900000000000006</v>
      </c>
      <c r="V134">
        <v>-4.0999999999999996</v>
      </c>
      <c r="W134" cm="1">
        <f t="array" ref="W134">_xlfn.IFS(OR(X134="N/A",X134="NA"),0,OR(X134="R64",X134="R68"),1,X134="R32",2,X134="S16",3,X134="E8",4,X134="F4",5,X134="2ND",6,X134="Champions",7)</f>
        <v>0</v>
      </c>
      <c r="X134" t="s">
        <v>90</v>
      </c>
      <c r="Y134" t="s">
        <v>90</v>
      </c>
      <c r="Z134">
        <v>2017</v>
      </c>
    </row>
    <row r="135" spans="1:26" x14ac:dyDescent="0.3">
      <c r="A135" t="s">
        <v>107</v>
      </c>
      <c r="B135" t="s">
        <v>26</v>
      </c>
      <c r="C135">
        <v>33</v>
      </c>
      <c r="D135">
        <v>16</v>
      </c>
      <c r="E135" s="1">
        <f t="shared" si="2"/>
        <v>0.48484848484848486</v>
      </c>
      <c r="F135">
        <v>112.7</v>
      </c>
      <c r="G135">
        <v>101.2</v>
      </c>
      <c r="H135">
        <v>0.77539999999999998</v>
      </c>
      <c r="I135">
        <v>51.4</v>
      </c>
      <c r="J135">
        <v>51.3</v>
      </c>
      <c r="K135">
        <v>17.600000000000001</v>
      </c>
      <c r="L135">
        <v>14.3</v>
      </c>
      <c r="M135">
        <v>28.2</v>
      </c>
      <c r="N135">
        <v>29.5</v>
      </c>
      <c r="O135">
        <v>39.4</v>
      </c>
      <c r="P135">
        <v>26.6</v>
      </c>
      <c r="Q135">
        <v>49.6</v>
      </c>
      <c r="R135">
        <v>50.2</v>
      </c>
      <c r="S135">
        <v>36.1</v>
      </c>
      <c r="T135">
        <v>35.6</v>
      </c>
      <c r="U135">
        <v>67</v>
      </c>
      <c r="V135">
        <v>-2</v>
      </c>
      <c r="W135" cm="1">
        <f t="array" ref="W135">_xlfn.IFS(OR(X135="N/A",X135="NA"),0,OR(X135="R64",X135="R68"),1,X135="R32",2,X135="S16",3,X135="E8",4,X135="F4",5,X135="2ND",6,X135="Champions",7)</f>
        <v>0</v>
      </c>
      <c r="X135" t="s">
        <v>90</v>
      </c>
      <c r="Y135" t="s">
        <v>90</v>
      </c>
      <c r="Z135">
        <v>2017</v>
      </c>
    </row>
    <row r="136" spans="1:26" x14ac:dyDescent="0.3">
      <c r="A136" t="s">
        <v>82</v>
      </c>
      <c r="B136" t="s">
        <v>26</v>
      </c>
      <c r="C136">
        <v>34</v>
      </c>
      <c r="D136">
        <v>19</v>
      </c>
      <c r="E136" s="1">
        <f t="shared" si="2"/>
        <v>0.55882352941176472</v>
      </c>
      <c r="F136">
        <v>116.2</v>
      </c>
      <c r="G136">
        <v>100.6</v>
      </c>
      <c r="H136">
        <v>0.84</v>
      </c>
      <c r="I136">
        <v>53.5</v>
      </c>
      <c r="J136">
        <v>50.3</v>
      </c>
      <c r="K136">
        <v>18</v>
      </c>
      <c r="L136">
        <v>19.7</v>
      </c>
      <c r="M136">
        <v>31.6</v>
      </c>
      <c r="N136">
        <v>34.5</v>
      </c>
      <c r="O136">
        <v>35.1</v>
      </c>
      <c r="P136">
        <v>29.2</v>
      </c>
      <c r="Q136">
        <v>51.3</v>
      </c>
      <c r="R136">
        <v>49.6</v>
      </c>
      <c r="S136">
        <v>37.9</v>
      </c>
      <c r="T136">
        <v>34.299999999999997</v>
      </c>
      <c r="U136">
        <v>68.2</v>
      </c>
      <c r="V136">
        <v>-1.1000000000000001</v>
      </c>
      <c r="W136" cm="1">
        <f t="array" ref="W136">_xlfn.IFS(OR(X136="N/A",X136="NA"),0,OR(X136="R64",X136="R68"),1,X136="R32",2,X136="S16",3,X136="E8",4,X136="F4",5,X136="2ND",6,X136="Champions",7)</f>
        <v>0</v>
      </c>
      <c r="X136" t="s">
        <v>90</v>
      </c>
      <c r="Y136" t="s">
        <v>90</v>
      </c>
      <c r="Z136">
        <v>2017</v>
      </c>
    </row>
    <row r="137" spans="1:26" x14ac:dyDescent="0.3">
      <c r="A137" t="s">
        <v>103</v>
      </c>
      <c r="B137" t="s">
        <v>26</v>
      </c>
      <c r="C137">
        <v>35</v>
      </c>
      <c r="D137">
        <v>19</v>
      </c>
      <c r="E137" s="1">
        <f t="shared" si="2"/>
        <v>0.54285714285714282</v>
      </c>
      <c r="F137">
        <v>112.6</v>
      </c>
      <c r="G137">
        <v>102.8</v>
      </c>
      <c r="H137">
        <v>0.7399</v>
      </c>
      <c r="I137">
        <v>52.1</v>
      </c>
      <c r="J137">
        <v>51.8</v>
      </c>
      <c r="K137">
        <v>18.2</v>
      </c>
      <c r="L137">
        <v>17.600000000000001</v>
      </c>
      <c r="M137">
        <v>30.1</v>
      </c>
      <c r="N137">
        <v>26</v>
      </c>
      <c r="O137">
        <v>30.7</v>
      </c>
      <c r="P137">
        <v>27.1</v>
      </c>
      <c r="Q137">
        <v>51.1</v>
      </c>
      <c r="R137">
        <v>50.1</v>
      </c>
      <c r="S137">
        <v>35.9</v>
      </c>
      <c r="T137">
        <v>36.1</v>
      </c>
      <c r="U137">
        <v>70.900000000000006</v>
      </c>
      <c r="V137">
        <v>-1.9</v>
      </c>
      <c r="W137" cm="1">
        <f t="array" ref="W137">_xlfn.IFS(OR(X137="N/A",X137="NA"),0,OR(X137="R64",X137="R68"),1,X137="R32",2,X137="S16",3,X137="E8",4,X137="F4",5,X137="2ND",6,X137="Champions",7)</f>
        <v>0</v>
      </c>
      <c r="X137" t="s">
        <v>90</v>
      </c>
      <c r="Y137" t="s">
        <v>90</v>
      </c>
      <c r="Z137">
        <v>2018</v>
      </c>
    </row>
    <row r="138" spans="1:26" x14ac:dyDescent="0.3">
      <c r="A138" t="s">
        <v>105</v>
      </c>
      <c r="B138" t="s">
        <v>26</v>
      </c>
      <c r="C138">
        <v>32</v>
      </c>
      <c r="D138">
        <v>13</v>
      </c>
      <c r="E138" s="1">
        <f t="shared" si="2"/>
        <v>0.40625</v>
      </c>
      <c r="F138">
        <v>103.4</v>
      </c>
      <c r="G138">
        <v>98.5</v>
      </c>
      <c r="H138">
        <v>0.63849999999999996</v>
      </c>
      <c r="I138">
        <v>46.9</v>
      </c>
      <c r="J138">
        <v>49.2</v>
      </c>
      <c r="K138">
        <v>19.2</v>
      </c>
      <c r="L138">
        <v>18.899999999999999</v>
      </c>
      <c r="M138">
        <v>30.8</v>
      </c>
      <c r="N138">
        <v>30.6</v>
      </c>
      <c r="O138">
        <v>34.799999999999997</v>
      </c>
      <c r="P138">
        <v>31.8</v>
      </c>
      <c r="Q138">
        <v>46.6</v>
      </c>
      <c r="R138">
        <v>45.4</v>
      </c>
      <c r="S138">
        <v>31.8</v>
      </c>
      <c r="T138">
        <v>37.9</v>
      </c>
      <c r="U138">
        <v>67</v>
      </c>
      <c r="V138">
        <v>-6.7</v>
      </c>
      <c r="W138" cm="1">
        <f t="array" ref="W138">_xlfn.IFS(OR(X138="N/A",X138="NA"),0,OR(X138="R64",X138="R68"),1,X138="R32",2,X138="S16",3,X138="E8",4,X138="F4",5,X138="2ND",6,X138="Champions",7)</f>
        <v>0</v>
      </c>
      <c r="X138" t="s">
        <v>90</v>
      </c>
      <c r="Y138" t="s">
        <v>90</v>
      </c>
      <c r="Z138">
        <v>2018</v>
      </c>
    </row>
    <row r="139" spans="1:26" x14ac:dyDescent="0.3">
      <c r="A139" t="s">
        <v>52</v>
      </c>
      <c r="B139" t="s">
        <v>26</v>
      </c>
      <c r="C139">
        <v>36</v>
      </c>
      <c r="D139">
        <v>22</v>
      </c>
      <c r="E139" s="1">
        <f t="shared" si="2"/>
        <v>0.61111111111111116</v>
      </c>
      <c r="F139">
        <v>112</v>
      </c>
      <c r="G139">
        <v>96.4</v>
      </c>
      <c r="H139">
        <v>0.84860000000000002</v>
      </c>
      <c r="I139">
        <v>51.8</v>
      </c>
      <c r="J139">
        <v>47</v>
      </c>
      <c r="K139">
        <v>16.7</v>
      </c>
      <c r="L139">
        <v>18.899999999999999</v>
      </c>
      <c r="M139">
        <v>28.6</v>
      </c>
      <c r="N139">
        <v>31.4</v>
      </c>
      <c r="O139">
        <v>31.9</v>
      </c>
      <c r="P139">
        <v>29.3</v>
      </c>
      <c r="Q139">
        <v>49.7</v>
      </c>
      <c r="R139">
        <v>45.8</v>
      </c>
      <c r="S139">
        <v>37.1</v>
      </c>
      <c r="T139">
        <v>32.9</v>
      </c>
      <c r="U139">
        <v>70.599999999999994</v>
      </c>
      <c r="V139">
        <v>0.5</v>
      </c>
      <c r="W139" cm="1">
        <f t="array" ref="W139">_xlfn.IFS(OR(X139="N/A",X139="NA"),0,OR(X139="R64",X139="R68"),1,X139="R32",2,X139="S16",3,X139="E8",4,X139="F4",5,X139="2ND",6,X139="Champions",7)</f>
        <v>0</v>
      </c>
      <c r="X139" t="s">
        <v>90</v>
      </c>
      <c r="Y139" t="s">
        <v>90</v>
      </c>
      <c r="Z139">
        <v>2018</v>
      </c>
    </row>
    <row r="140" spans="1:26" x14ac:dyDescent="0.3">
      <c r="A140" t="s">
        <v>56</v>
      </c>
      <c r="B140" t="s">
        <v>26</v>
      </c>
      <c r="C140">
        <v>35</v>
      </c>
      <c r="D140">
        <v>21</v>
      </c>
      <c r="E140" s="1">
        <f t="shared" si="2"/>
        <v>0.6</v>
      </c>
      <c r="F140">
        <v>114.1</v>
      </c>
      <c r="G140">
        <v>99.4</v>
      </c>
      <c r="H140">
        <v>0.83050000000000002</v>
      </c>
      <c r="I140">
        <v>51.1</v>
      </c>
      <c r="J140">
        <v>49.3</v>
      </c>
      <c r="K140">
        <v>14.7</v>
      </c>
      <c r="L140">
        <v>16.399999999999999</v>
      </c>
      <c r="M140">
        <v>31.1</v>
      </c>
      <c r="N140">
        <v>28.8</v>
      </c>
      <c r="O140">
        <v>31</v>
      </c>
      <c r="P140">
        <v>22.6</v>
      </c>
      <c r="Q140">
        <v>49.6</v>
      </c>
      <c r="R140">
        <v>47</v>
      </c>
      <c r="S140">
        <v>35.6</v>
      </c>
      <c r="T140">
        <v>35.4</v>
      </c>
      <c r="U140">
        <v>66.7</v>
      </c>
      <c r="V140">
        <v>-0.7</v>
      </c>
      <c r="W140" cm="1">
        <f t="array" ref="W140">_xlfn.IFS(OR(X140="N/A",X140="NA"),0,OR(X140="R64",X140="R68"),1,X140="R32",2,X140="S16",3,X140="E8",4,X140="F4",5,X140="2ND",6,X140="Champions",7)</f>
        <v>0</v>
      </c>
      <c r="X140" t="s">
        <v>90</v>
      </c>
      <c r="Y140" t="s">
        <v>90</v>
      </c>
      <c r="Z140">
        <v>2018</v>
      </c>
    </row>
    <row r="141" spans="1:26" x14ac:dyDescent="0.3">
      <c r="A141" t="s">
        <v>107</v>
      </c>
      <c r="B141" t="s">
        <v>26</v>
      </c>
      <c r="C141">
        <v>32</v>
      </c>
      <c r="D141">
        <v>8</v>
      </c>
      <c r="E141" s="1">
        <f t="shared" si="2"/>
        <v>0.25</v>
      </c>
      <c r="F141">
        <v>98.2</v>
      </c>
      <c r="G141">
        <v>103.3</v>
      </c>
      <c r="H141">
        <v>0.35709999999999997</v>
      </c>
      <c r="I141">
        <v>48.2</v>
      </c>
      <c r="J141">
        <v>50.1</v>
      </c>
      <c r="K141">
        <v>20.9</v>
      </c>
      <c r="L141">
        <v>16.600000000000001</v>
      </c>
      <c r="M141">
        <v>22.7</v>
      </c>
      <c r="N141">
        <v>34.799999999999997</v>
      </c>
      <c r="O141">
        <v>31.9</v>
      </c>
      <c r="P141">
        <v>31.3</v>
      </c>
      <c r="Q141">
        <v>47.8</v>
      </c>
      <c r="R141">
        <v>50.1</v>
      </c>
      <c r="S141">
        <v>32.5</v>
      </c>
      <c r="T141">
        <v>33.4</v>
      </c>
      <c r="U141">
        <v>66.5</v>
      </c>
      <c r="V141">
        <v>-10.9</v>
      </c>
      <c r="W141" cm="1">
        <f t="array" ref="W141">_xlfn.IFS(OR(X141="N/A",X141="NA"),0,OR(X141="R64",X141="R68"),1,X141="R32",2,X141="S16",3,X141="E8",4,X141="F4",5,X141="2ND",6,X141="Champions",7)</f>
        <v>0</v>
      </c>
      <c r="X141" t="s">
        <v>90</v>
      </c>
      <c r="Y141" t="s">
        <v>90</v>
      </c>
      <c r="Z141">
        <v>2018</v>
      </c>
    </row>
    <row r="142" spans="1:26" x14ac:dyDescent="0.3">
      <c r="A142" t="s">
        <v>109</v>
      </c>
      <c r="B142" t="s">
        <v>26</v>
      </c>
      <c r="C142">
        <v>31</v>
      </c>
      <c r="D142">
        <v>11</v>
      </c>
      <c r="E142" s="1">
        <f t="shared" si="2"/>
        <v>0.35483870967741937</v>
      </c>
      <c r="F142">
        <v>110.4</v>
      </c>
      <c r="G142">
        <v>101.6</v>
      </c>
      <c r="H142">
        <v>0.72419999999999995</v>
      </c>
      <c r="I142">
        <v>50.5</v>
      </c>
      <c r="J142">
        <v>51.5</v>
      </c>
      <c r="K142">
        <v>18.8</v>
      </c>
      <c r="L142">
        <v>17.5</v>
      </c>
      <c r="M142">
        <v>30.5</v>
      </c>
      <c r="N142">
        <v>27.7</v>
      </c>
      <c r="O142">
        <v>31.9</v>
      </c>
      <c r="P142">
        <v>39</v>
      </c>
      <c r="Q142">
        <v>47.4</v>
      </c>
      <c r="R142">
        <v>48.1</v>
      </c>
      <c r="S142">
        <v>37.4</v>
      </c>
      <c r="T142">
        <v>37.700000000000003</v>
      </c>
      <c r="U142">
        <v>70.7</v>
      </c>
      <c r="V142">
        <v>-7.9</v>
      </c>
      <c r="W142" cm="1">
        <f t="array" ref="W142">_xlfn.IFS(OR(X142="N/A",X142="NA"),0,OR(X142="R64",X142="R68"),1,X142="R32",2,X142="S16",3,X142="E8",4,X142="F4",5,X142="2ND",6,X142="Champions",7)</f>
        <v>0</v>
      </c>
      <c r="X142" t="s">
        <v>90</v>
      </c>
      <c r="Y142" t="s">
        <v>90</v>
      </c>
      <c r="Z142">
        <v>2018</v>
      </c>
    </row>
    <row r="143" spans="1:26" x14ac:dyDescent="0.3">
      <c r="A143" t="s">
        <v>103</v>
      </c>
      <c r="B143" t="s">
        <v>26</v>
      </c>
      <c r="C143">
        <v>31</v>
      </c>
      <c r="D143">
        <v>14</v>
      </c>
      <c r="E143" s="1">
        <f t="shared" si="2"/>
        <v>0.45161290322580644</v>
      </c>
      <c r="F143">
        <v>106.2</v>
      </c>
      <c r="G143">
        <v>101.5</v>
      </c>
      <c r="H143">
        <v>0.628</v>
      </c>
      <c r="I143">
        <v>48.5</v>
      </c>
      <c r="J143">
        <v>48.4</v>
      </c>
      <c r="K143">
        <v>17.5</v>
      </c>
      <c r="L143">
        <v>16.600000000000001</v>
      </c>
      <c r="M143">
        <v>28.6</v>
      </c>
      <c r="N143">
        <v>31.5</v>
      </c>
      <c r="O143">
        <v>35</v>
      </c>
      <c r="P143">
        <v>29.4</v>
      </c>
      <c r="Q143">
        <v>49.1</v>
      </c>
      <c r="R143">
        <v>48.8</v>
      </c>
      <c r="S143">
        <v>31.7</v>
      </c>
      <c r="T143">
        <v>32</v>
      </c>
      <c r="U143">
        <v>68.8</v>
      </c>
      <c r="V143">
        <v>-5.4</v>
      </c>
      <c r="W143" cm="1">
        <f t="array" ref="W143">_xlfn.IFS(OR(X143="N/A",X143="NA"),0,OR(X143="R64",X143="R68"),1,X143="R32",2,X143="S16",3,X143="E8",4,X143="F4",5,X143="2ND",6,X143="Champions",7)</f>
        <v>0</v>
      </c>
      <c r="X143" t="s">
        <v>90</v>
      </c>
      <c r="Y143" t="s">
        <v>90</v>
      </c>
      <c r="Z143">
        <v>2019</v>
      </c>
    </row>
    <row r="144" spans="1:26" x14ac:dyDescent="0.3">
      <c r="A144" t="s">
        <v>104</v>
      </c>
      <c r="B144" t="s">
        <v>26</v>
      </c>
      <c r="C144">
        <v>34</v>
      </c>
      <c r="D144">
        <v>20</v>
      </c>
      <c r="E144" s="1">
        <f t="shared" si="2"/>
        <v>0.58823529411764708</v>
      </c>
      <c r="F144">
        <v>107.2</v>
      </c>
      <c r="G144">
        <v>90.3</v>
      </c>
      <c r="H144">
        <v>0.87729999999999997</v>
      </c>
      <c r="I144">
        <v>50.7</v>
      </c>
      <c r="J144">
        <v>47.6</v>
      </c>
      <c r="K144">
        <v>19.7</v>
      </c>
      <c r="L144">
        <v>19.8</v>
      </c>
      <c r="M144">
        <v>27.8</v>
      </c>
      <c r="N144">
        <v>24.5</v>
      </c>
      <c r="O144">
        <v>33.5</v>
      </c>
      <c r="P144">
        <v>30</v>
      </c>
      <c r="Q144">
        <v>51.5</v>
      </c>
      <c r="R144">
        <v>44.4</v>
      </c>
      <c r="S144">
        <v>32.799999999999997</v>
      </c>
      <c r="T144">
        <v>35</v>
      </c>
      <c r="U144">
        <v>67.400000000000006</v>
      </c>
      <c r="V144">
        <v>0.1</v>
      </c>
      <c r="W144" cm="1">
        <f t="array" ref="W144">_xlfn.IFS(OR(X144="N/A",X144="NA"),0,OR(X144="R64",X144="R68"),1,X144="R32",2,X144="S16",3,X144="E8",4,X144="F4",5,X144="2ND",6,X144="Champions",7)</f>
        <v>0</v>
      </c>
      <c r="X144" t="s">
        <v>90</v>
      </c>
      <c r="Y144" t="s">
        <v>90</v>
      </c>
      <c r="Z144">
        <v>2019</v>
      </c>
    </row>
    <row r="145" spans="1:26" x14ac:dyDescent="0.3">
      <c r="A145" t="s">
        <v>105</v>
      </c>
      <c r="B145" t="s">
        <v>26</v>
      </c>
      <c r="C145">
        <v>32</v>
      </c>
      <c r="D145">
        <v>14</v>
      </c>
      <c r="E145" s="1">
        <f t="shared" si="2"/>
        <v>0.4375</v>
      </c>
      <c r="F145">
        <v>99.9</v>
      </c>
      <c r="G145">
        <v>95.7</v>
      </c>
      <c r="H145">
        <v>0.62050000000000005</v>
      </c>
      <c r="I145">
        <v>49.2</v>
      </c>
      <c r="J145">
        <v>45.7</v>
      </c>
      <c r="K145">
        <v>21</v>
      </c>
      <c r="L145">
        <v>18.7</v>
      </c>
      <c r="M145">
        <v>25.3</v>
      </c>
      <c r="N145">
        <v>31.6</v>
      </c>
      <c r="O145">
        <v>34.299999999999997</v>
      </c>
      <c r="P145">
        <v>34.799999999999997</v>
      </c>
      <c r="Q145">
        <v>50.7</v>
      </c>
      <c r="R145">
        <v>46.3</v>
      </c>
      <c r="S145">
        <v>30.7</v>
      </c>
      <c r="T145">
        <v>29.7</v>
      </c>
      <c r="U145">
        <v>68.5</v>
      </c>
      <c r="V145">
        <v>-4.8</v>
      </c>
      <c r="W145" cm="1">
        <f t="array" ref="W145">_xlfn.IFS(OR(X145="N/A",X145="NA"),0,OR(X145="R64",X145="R68"),1,X145="R32",2,X145="S16",3,X145="E8",4,X145="F4",5,X145="2ND",6,X145="Champions",7)</f>
        <v>0</v>
      </c>
      <c r="X145" t="s">
        <v>90</v>
      </c>
      <c r="Y145" t="s">
        <v>90</v>
      </c>
      <c r="Z145">
        <v>2019</v>
      </c>
    </row>
    <row r="146" spans="1:26" x14ac:dyDescent="0.3">
      <c r="A146" t="s">
        <v>106</v>
      </c>
      <c r="B146" t="s">
        <v>26</v>
      </c>
      <c r="C146">
        <v>32</v>
      </c>
      <c r="D146">
        <v>14</v>
      </c>
      <c r="E146" s="1">
        <f t="shared" si="2"/>
        <v>0.4375</v>
      </c>
      <c r="F146">
        <v>109.3</v>
      </c>
      <c r="G146">
        <v>98.8</v>
      </c>
      <c r="H146">
        <v>0.76319999999999999</v>
      </c>
      <c r="I146">
        <v>50.8</v>
      </c>
      <c r="J146">
        <v>52</v>
      </c>
      <c r="K146">
        <v>16.899999999999999</v>
      </c>
      <c r="L146">
        <v>19.8</v>
      </c>
      <c r="M146">
        <v>25.9</v>
      </c>
      <c r="N146">
        <v>29.8</v>
      </c>
      <c r="O146">
        <v>30.8</v>
      </c>
      <c r="P146">
        <v>22.7</v>
      </c>
      <c r="Q146">
        <v>51.4</v>
      </c>
      <c r="R146">
        <v>51.7</v>
      </c>
      <c r="S146">
        <v>33.299999999999997</v>
      </c>
      <c r="T146">
        <v>34.9</v>
      </c>
      <c r="U146">
        <v>68.3</v>
      </c>
      <c r="V146">
        <v>-5.0999999999999996</v>
      </c>
      <c r="W146" cm="1">
        <f t="array" ref="W146">_xlfn.IFS(OR(X146="N/A",X146="NA"),0,OR(X146="R64",X146="R68"),1,X146="R32",2,X146="S16",3,X146="E8",4,X146="F4",5,X146="2ND",6,X146="Champions",7)</f>
        <v>0</v>
      </c>
      <c r="X146" t="s">
        <v>90</v>
      </c>
      <c r="Y146" t="s">
        <v>90</v>
      </c>
      <c r="Z146">
        <v>2019</v>
      </c>
    </row>
    <row r="147" spans="1:26" x14ac:dyDescent="0.3">
      <c r="A147" t="s">
        <v>110</v>
      </c>
      <c r="B147" t="s">
        <v>26</v>
      </c>
      <c r="C147">
        <v>36</v>
      </c>
      <c r="D147">
        <v>24</v>
      </c>
      <c r="E147" s="1">
        <f t="shared" si="2"/>
        <v>0.66666666666666663</v>
      </c>
      <c r="F147">
        <v>112.4</v>
      </c>
      <c r="G147">
        <v>97.5</v>
      </c>
      <c r="H147">
        <v>0.83679999999999999</v>
      </c>
      <c r="I147">
        <v>52</v>
      </c>
      <c r="J147">
        <v>49.4</v>
      </c>
      <c r="K147">
        <v>17.3</v>
      </c>
      <c r="L147">
        <v>21.5</v>
      </c>
      <c r="M147">
        <v>36</v>
      </c>
      <c r="N147">
        <v>28.8</v>
      </c>
      <c r="O147">
        <v>28.5</v>
      </c>
      <c r="P147">
        <v>38.799999999999997</v>
      </c>
      <c r="Q147">
        <v>51.6</v>
      </c>
      <c r="R147">
        <v>51</v>
      </c>
      <c r="S147">
        <v>35.200000000000003</v>
      </c>
      <c r="T147">
        <v>30.9</v>
      </c>
      <c r="U147">
        <v>72.8</v>
      </c>
      <c r="V147">
        <v>1.9</v>
      </c>
      <c r="W147" cm="1">
        <f t="array" ref="W147">_xlfn.IFS(OR(X147="N/A",X147="NA"),0,OR(X147="R64",X147="R68"),1,X147="R32",2,X147="S16",3,X147="E8",4,X147="F4",5,X147="2ND",6,X147="Champions",7)</f>
        <v>0</v>
      </c>
      <c r="X147" t="s">
        <v>90</v>
      </c>
      <c r="Y147" t="s">
        <v>90</v>
      </c>
      <c r="Z147">
        <v>2019</v>
      </c>
    </row>
    <row r="148" spans="1:26" x14ac:dyDescent="0.3">
      <c r="A148" t="s">
        <v>56</v>
      </c>
      <c r="B148" t="s">
        <v>26</v>
      </c>
      <c r="C148">
        <v>33</v>
      </c>
      <c r="D148">
        <v>14</v>
      </c>
      <c r="E148" s="1">
        <f t="shared" si="2"/>
        <v>0.42424242424242425</v>
      </c>
      <c r="F148">
        <v>107.3</v>
      </c>
      <c r="G148">
        <v>99.8</v>
      </c>
      <c r="H148">
        <v>0.69810000000000005</v>
      </c>
      <c r="I148">
        <v>46.2</v>
      </c>
      <c r="J148">
        <v>49</v>
      </c>
      <c r="K148">
        <v>14</v>
      </c>
      <c r="L148">
        <v>16.399999999999999</v>
      </c>
      <c r="M148">
        <v>29</v>
      </c>
      <c r="N148">
        <v>31.1</v>
      </c>
      <c r="O148">
        <v>30.1</v>
      </c>
      <c r="P148">
        <v>21.8</v>
      </c>
      <c r="Q148">
        <v>45.4</v>
      </c>
      <c r="R148">
        <v>48.6</v>
      </c>
      <c r="S148">
        <v>31.5</v>
      </c>
      <c r="T148">
        <v>33.1</v>
      </c>
      <c r="U148">
        <v>66.599999999999994</v>
      </c>
      <c r="V148">
        <v>-5.7</v>
      </c>
      <c r="W148" cm="1">
        <f t="array" ref="W148">_xlfn.IFS(OR(X148="N/A",X148="NA"),0,OR(X148="R64",X148="R68"),1,X148="R32",2,X148="S16",3,X148="E8",4,X148="F4",5,X148="2ND",6,X148="Champions",7)</f>
        <v>0</v>
      </c>
      <c r="X148" t="s">
        <v>90</v>
      </c>
      <c r="Y148" t="s">
        <v>90</v>
      </c>
      <c r="Z148">
        <v>2019</v>
      </c>
    </row>
    <row r="149" spans="1:26" x14ac:dyDescent="0.3">
      <c r="A149" t="s">
        <v>107</v>
      </c>
      <c r="B149" t="s">
        <v>26</v>
      </c>
      <c r="C149">
        <v>33</v>
      </c>
      <c r="D149">
        <v>14</v>
      </c>
      <c r="E149" s="1">
        <f t="shared" si="2"/>
        <v>0.42424242424242425</v>
      </c>
      <c r="F149">
        <v>103.3</v>
      </c>
      <c r="G149">
        <v>98.2</v>
      </c>
      <c r="H149">
        <v>0.6421</v>
      </c>
      <c r="I149">
        <v>47.9</v>
      </c>
      <c r="J149">
        <v>47.7</v>
      </c>
      <c r="K149">
        <v>19.600000000000001</v>
      </c>
      <c r="L149">
        <v>21.3</v>
      </c>
      <c r="M149">
        <v>32.1</v>
      </c>
      <c r="N149">
        <v>32.799999999999997</v>
      </c>
      <c r="O149">
        <v>42.3</v>
      </c>
      <c r="P149">
        <v>32.9</v>
      </c>
      <c r="Q149">
        <v>46.9</v>
      </c>
      <c r="R149">
        <v>45.8</v>
      </c>
      <c r="S149">
        <v>33.1</v>
      </c>
      <c r="T149">
        <v>33.6</v>
      </c>
      <c r="U149">
        <v>68.7</v>
      </c>
      <c r="V149">
        <v>-6.3</v>
      </c>
      <c r="W149" cm="1">
        <f t="array" ref="W149">_xlfn.IFS(OR(X149="N/A",X149="NA"),0,OR(X149="R64",X149="R68"),1,X149="R32",2,X149="S16",3,X149="E8",4,X149="F4",5,X149="2ND",6,X149="Champions",7)</f>
        <v>0</v>
      </c>
      <c r="X149" t="s">
        <v>90</v>
      </c>
      <c r="Y149" t="s">
        <v>90</v>
      </c>
      <c r="Z149">
        <v>2019</v>
      </c>
    </row>
    <row r="150" spans="1:26" x14ac:dyDescent="0.3">
      <c r="A150" t="s">
        <v>109</v>
      </c>
      <c r="B150" t="s">
        <v>26</v>
      </c>
      <c r="C150">
        <v>31</v>
      </c>
      <c r="D150">
        <v>11</v>
      </c>
      <c r="E150" s="1">
        <f t="shared" si="2"/>
        <v>0.35483870967741937</v>
      </c>
      <c r="F150">
        <v>103.5</v>
      </c>
      <c r="G150">
        <v>103.2</v>
      </c>
      <c r="H150">
        <v>0.50870000000000004</v>
      </c>
      <c r="I150">
        <v>44.8</v>
      </c>
      <c r="J150">
        <v>53.3</v>
      </c>
      <c r="K150">
        <v>19.399999999999999</v>
      </c>
      <c r="L150">
        <v>16.100000000000001</v>
      </c>
      <c r="M150">
        <v>33.9</v>
      </c>
      <c r="N150">
        <v>27.3</v>
      </c>
      <c r="O150">
        <v>37.6</v>
      </c>
      <c r="P150">
        <v>35.200000000000003</v>
      </c>
      <c r="Q150">
        <v>44.1</v>
      </c>
      <c r="R150">
        <v>54.7</v>
      </c>
      <c r="S150">
        <v>30.8</v>
      </c>
      <c r="T150">
        <v>34.1</v>
      </c>
      <c r="U150">
        <v>68.900000000000006</v>
      </c>
      <c r="V150">
        <v>-7.5</v>
      </c>
      <c r="W150" cm="1">
        <f t="array" ref="W150">_xlfn.IFS(OR(X150="N/A",X150="NA"),0,OR(X150="R64",X150="R68"),1,X150="R32",2,X150="S16",3,X150="E8",4,X150="F4",5,X150="2ND",6,X150="Champions",7)</f>
        <v>0</v>
      </c>
      <c r="X150" t="s">
        <v>90</v>
      </c>
      <c r="Y150" t="s">
        <v>90</v>
      </c>
      <c r="Z150">
        <v>2019</v>
      </c>
    </row>
    <row r="151" spans="1:26" x14ac:dyDescent="0.3">
      <c r="A151" t="s">
        <v>111</v>
      </c>
      <c r="B151" t="s">
        <v>112</v>
      </c>
      <c r="C151">
        <v>30</v>
      </c>
      <c r="D151">
        <v>5</v>
      </c>
      <c r="E151" s="1">
        <f t="shared" si="2"/>
        <v>0.16666666666666666</v>
      </c>
      <c r="F151">
        <v>91.4</v>
      </c>
      <c r="G151">
        <v>109.2</v>
      </c>
      <c r="H151">
        <v>0.11509999999999999</v>
      </c>
      <c r="I151">
        <v>44.6</v>
      </c>
      <c r="J151">
        <v>52.3</v>
      </c>
      <c r="K151">
        <v>21.6</v>
      </c>
      <c r="L151">
        <v>20.399999999999999</v>
      </c>
      <c r="M151">
        <v>26.2</v>
      </c>
      <c r="N151">
        <v>32.5</v>
      </c>
      <c r="O151">
        <v>39.799999999999997</v>
      </c>
      <c r="P151">
        <v>33.799999999999997</v>
      </c>
      <c r="Q151">
        <v>43.9</v>
      </c>
      <c r="R151">
        <v>49.8</v>
      </c>
      <c r="S151">
        <v>30.6</v>
      </c>
      <c r="T151">
        <v>37.5</v>
      </c>
      <c r="U151">
        <v>63.6</v>
      </c>
      <c r="V151">
        <v>-19.3</v>
      </c>
      <c r="W151" cm="1">
        <f t="array" ref="W151">_xlfn.IFS(OR(X151="N/A",X151="NA"),0,OR(X151="R64",X151="R68"),1,X151="R32",2,X151="S16",3,X151="E8",4,X151="F4",5,X151="2ND",6,X151="Champions",7)</f>
        <v>0</v>
      </c>
      <c r="X151" t="s">
        <v>90</v>
      </c>
      <c r="Y151" t="s">
        <v>90</v>
      </c>
      <c r="Z151">
        <v>2015</v>
      </c>
    </row>
    <row r="152" spans="1:26" x14ac:dyDescent="0.3">
      <c r="A152" t="s">
        <v>113</v>
      </c>
      <c r="B152" t="s">
        <v>112</v>
      </c>
      <c r="C152">
        <v>29</v>
      </c>
      <c r="D152">
        <v>13</v>
      </c>
      <c r="E152" s="1">
        <f t="shared" si="2"/>
        <v>0.44827586206896552</v>
      </c>
      <c r="F152">
        <v>95.2</v>
      </c>
      <c r="G152">
        <v>105.4</v>
      </c>
      <c r="H152">
        <v>0.23710000000000001</v>
      </c>
      <c r="I152">
        <v>47.3</v>
      </c>
      <c r="J152">
        <v>50.4</v>
      </c>
      <c r="K152">
        <v>19</v>
      </c>
      <c r="L152">
        <v>20.9</v>
      </c>
      <c r="M152">
        <v>25.3</v>
      </c>
      <c r="N152">
        <v>29.5</v>
      </c>
      <c r="O152">
        <v>29.8</v>
      </c>
      <c r="P152">
        <v>42.1</v>
      </c>
      <c r="Q152">
        <v>46</v>
      </c>
      <c r="R152">
        <v>52</v>
      </c>
      <c r="S152">
        <v>32.5</v>
      </c>
      <c r="T152">
        <v>31.6</v>
      </c>
      <c r="U152">
        <v>63.8</v>
      </c>
      <c r="V152">
        <v>-11.2</v>
      </c>
      <c r="W152" cm="1">
        <f t="array" ref="W152">_xlfn.IFS(OR(X152="N/A",X152="NA"),0,OR(X152="R64",X152="R68"),1,X152="R32",2,X152="S16",3,X152="E8",4,X152="F4",5,X152="2ND",6,X152="Champions",7)</f>
        <v>0</v>
      </c>
      <c r="X152" t="s">
        <v>90</v>
      </c>
      <c r="Y152" t="s">
        <v>90</v>
      </c>
      <c r="Z152">
        <v>2015</v>
      </c>
    </row>
    <row r="153" spans="1:26" x14ac:dyDescent="0.3">
      <c r="A153" t="s">
        <v>114</v>
      </c>
      <c r="B153" t="s">
        <v>112</v>
      </c>
      <c r="C153">
        <v>30</v>
      </c>
      <c r="D153">
        <v>3</v>
      </c>
      <c r="E153" s="1">
        <f t="shared" si="2"/>
        <v>0.1</v>
      </c>
      <c r="F153">
        <v>92.3</v>
      </c>
      <c r="G153">
        <v>113.3</v>
      </c>
      <c r="H153">
        <v>8.6300000000000002E-2</v>
      </c>
      <c r="I153">
        <v>46.7</v>
      </c>
      <c r="J153">
        <v>55.8</v>
      </c>
      <c r="K153">
        <v>21.6</v>
      </c>
      <c r="L153">
        <v>19</v>
      </c>
      <c r="M153">
        <v>23.5</v>
      </c>
      <c r="N153">
        <v>31.7</v>
      </c>
      <c r="O153">
        <v>27.7</v>
      </c>
      <c r="P153">
        <v>36.6</v>
      </c>
      <c r="Q153">
        <v>45.5</v>
      </c>
      <c r="R153">
        <v>55.6</v>
      </c>
      <c r="S153">
        <v>32.6</v>
      </c>
      <c r="T153">
        <v>37.4</v>
      </c>
      <c r="U153">
        <v>66.599999999999994</v>
      </c>
      <c r="V153">
        <v>-20.9</v>
      </c>
      <c r="W153" cm="1">
        <f t="array" ref="W153">_xlfn.IFS(OR(X153="N/A",X153="NA"),0,OR(X153="R64",X153="R68"),1,X153="R32",2,X153="S16",3,X153="E8",4,X153="F4",5,X153="2ND",6,X153="Champions",7)</f>
        <v>0</v>
      </c>
      <c r="X153" t="s">
        <v>90</v>
      </c>
      <c r="Y153" t="s">
        <v>90</v>
      </c>
      <c r="Z153">
        <v>2015</v>
      </c>
    </row>
    <row r="154" spans="1:26" x14ac:dyDescent="0.3">
      <c r="A154" t="s">
        <v>115</v>
      </c>
      <c r="B154" t="s">
        <v>112</v>
      </c>
      <c r="C154">
        <v>30</v>
      </c>
      <c r="D154">
        <v>17</v>
      </c>
      <c r="E154" s="1">
        <f t="shared" si="2"/>
        <v>0.56666666666666665</v>
      </c>
      <c r="F154">
        <v>98.4</v>
      </c>
      <c r="G154">
        <v>101</v>
      </c>
      <c r="H154">
        <v>0.4249</v>
      </c>
      <c r="I154">
        <v>49.7</v>
      </c>
      <c r="J154">
        <v>46</v>
      </c>
      <c r="K154">
        <v>18.7</v>
      </c>
      <c r="L154">
        <v>17.100000000000001</v>
      </c>
      <c r="M154">
        <v>27.2</v>
      </c>
      <c r="N154">
        <v>23.7</v>
      </c>
      <c r="O154">
        <v>36.1</v>
      </c>
      <c r="P154">
        <v>42.6</v>
      </c>
      <c r="Q154">
        <v>45.9</v>
      </c>
      <c r="R154">
        <v>45.6</v>
      </c>
      <c r="S154">
        <v>37.4</v>
      </c>
      <c r="T154">
        <v>31.1</v>
      </c>
      <c r="U154">
        <v>64.2</v>
      </c>
      <c r="V154">
        <v>-8.1</v>
      </c>
      <c r="W154" cm="1">
        <f t="array" ref="W154">_xlfn.IFS(OR(X154="N/A",X154="NA"),0,OR(X154="R64",X154="R68"),1,X154="R32",2,X154="S16",3,X154="E8",4,X154="F4",5,X154="2ND",6,X154="Champions",7)</f>
        <v>0</v>
      </c>
      <c r="X154" t="s">
        <v>90</v>
      </c>
      <c r="Y154" t="s">
        <v>90</v>
      </c>
      <c r="Z154">
        <v>2015</v>
      </c>
    </row>
    <row r="155" spans="1:26" x14ac:dyDescent="0.3">
      <c r="A155" t="s">
        <v>116</v>
      </c>
      <c r="B155" t="s">
        <v>112</v>
      </c>
      <c r="C155">
        <v>33</v>
      </c>
      <c r="D155">
        <v>21</v>
      </c>
      <c r="E155" s="1">
        <f t="shared" si="2"/>
        <v>0.63636363636363635</v>
      </c>
      <c r="F155">
        <v>99.9</v>
      </c>
      <c r="G155">
        <v>98.1</v>
      </c>
      <c r="H155">
        <v>0.55210000000000004</v>
      </c>
      <c r="I155">
        <v>46</v>
      </c>
      <c r="J155">
        <v>46</v>
      </c>
      <c r="K155">
        <v>18.600000000000001</v>
      </c>
      <c r="L155">
        <v>17.7</v>
      </c>
      <c r="M155">
        <v>37.1</v>
      </c>
      <c r="N155">
        <v>25.4</v>
      </c>
      <c r="O155">
        <v>32.4</v>
      </c>
      <c r="P155">
        <v>32.200000000000003</v>
      </c>
      <c r="Q155">
        <v>45.1</v>
      </c>
      <c r="R155">
        <v>43</v>
      </c>
      <c r="S155">
        <v>32.1</v>
      </c>
      <c r="T155">
        <v>34.299999999999997</v>
      </c>
      <c r="U155">
        <v>64.5</v>
      </c>
      <c r="V155">
        <v>-4.8</v>
      </c>
      <c r="W155" cm="1">
        <f t="array" ref="W155">_xlfn.IFS(OR(X155="N/A",X155="NA"),0,OR(X155="R64",X155="R68"),1,X155="R32",2,X155="S16",3,X155="E8",4,X155="F4",5,X155="2ND",6,X155="Champions",7)</f>
        <v>0</v>
      </c>
      <c r="X155" t="s">
        <v>90</v>
      </c>
      <c r="Y155" t="s">
        <v>90</v>
      </c>
      <c r="Z155">
        <v>2015</v>
      </c>
    </row>
    <row r="156" spans="1:26" x14ac:dyDescent="0.3">
      <c r="A156" t="s">
        <v>117</v>
      </c>
      <c r="B156" t="s">
        <v>112</v>
      </c>
      <c r="C156">
        <v>28</v>
      </c>
      <c r="D156">
        <v>11</v>
      </c>
      <c r="E156" s="1">
        <f t="shared" si="2"/>
        <v>0.39285714285714285</v>
      </c>
      <c r="F156">
        <v>91.6</v>
      </c>
      <c r="G156">
        <v>107.2</v>
      </c>
      <c r="H156">
        <v>0.14119999999999999</v>
      </c>
      <c r="I156">
        <v>47.9</v>
      </c>
      <c r="J156">
        <v>53.9</v>
      </c>
      <c r="K156">
        <v>20.5</v>
      </c>
      <c r="L156">
        <v>23.3</v>
      </c>
      <c r="M156">
        <v>21.6</v>
      </c>
      <c r="N156">
        <v>30.4</v>
      </c>
      <c r="O156">
        <v>34.299999999999997</v>
      </c>
      <c r="P156">
        <v>34.1</v>
      </c>
      <c r="Q156">
        <v>44.6</v>
      </c>
      <c r="R156">
        <v>54.1</v>
      </c>
      <c r="S156">
        <v>34.9</v>
      </c>
      <c r="T156">
        <v>35.799999999999997</v>
      </c>
      <c r="U156">
        <v>64.099999999999994</v>
      </c>
      <c r="V156">
        <v>-11.8</v>
      </c>
      <c r="W156" cm="1">
        <f t="array" ref="W156">_xlfn.IFS(OR(X156="N/A",X156="NA"),0,OR(X156="R64",X156="R68"),1,X156="R32",2,X156="S16",3,X156="E8",4,X156="F4",5,X156="2ND",6,X156="Champions",7)</f>
        <v>0</v>
      </c>
      <c r="X156" t="s">
        <v>90</v>
      </c>
      <c r="Y156" t="s">
        <v>90</v>
      </c>
      <c r="Z156">
        <v>2015</v>
      </c>
    </row>
    <row r="157" spans="1:26" x14ac:dyDescent="0.3">
      <c r="A157" t="s">
        <v>118</v>
      </c>
      <c r="B157" t="s">
        <v>112</v>
      </c>
      <c r="C157">
        <v>30</v>
      </c>
      <c r="D157">
        <v>4</v>
      </c>
      <c r="E157" s="1">
        <f t="shared" si="2"/>
        <v>0.13333333333333333</v>
      </c>
      <c r="F157">
        <v>87</v>
      </c>
      <c r="G157">
        <v>108.6</v>
      </c>
      <c r="H157">
        <v>7.2700000000000001E-2</v>
      </c>
      <c r="I157">
        <v>46.3</v>
      </c>
      <c r="J157">
        <v>51.2</v>
      </c>
      <c r="K157">
        <v>24.1</v>
      </c>
      <c r="L157">
        <v>19.7</v>
      </c>
      <c r="M157">
        <v>23.5</v>
      </c>
      <c r="N157">
        <v>30.5</v>
      </c>
      <c r="O157">
        <v>37.200000000000003</v>
      </c>
      <c r="P157">
        <v>33</v>
      </c>
      <c r="Q157">
        <v>45</v>
      </c>
      <c r="R157">
        <v>49.6</v>
      </c>
      <c r="S157">
        <v>32.6</v>
      </c>
      <c r="T157">
        <v>36.1</v>
      </c>
      <c r="U157">
        <v>65.099999999999994</v>
      </c>
      <c r="V157">
        <v>-20.7</v>
      </c>
      <c r="W157" cm="1">
        <f t="array" ref="W157">_xlfn.IFS(OR(X157="N/A",X157="NA"),0,OR(X157="R64",X157="R68"),1,X157="R32",2,X157="S16",3,X157="E8",4,X157="F4",5,X157="2ND",6,X157="Champions",7)</f>
        <v>0</v>
      </c>
      <c r="X157" t="s">
        <v>90</v>
      </c>
      <c r="Y157" t="s">
        <v>90</v>
      </c>
      <c r="Z157">
        <v>2015</v>
      </c>
    </row>
    <row r="158" spans="1:26" x14ac:dyDescent="0.3">
      <c r="A158" t="s">
        <v>119</v>
      </c>
      <c r="B158" t="s">
        <v>112</v>
      </c>
      <c r="C158">
        <v>33</v>
      </c>
      <c r="D158">
        <v>19</v>
      </c>
      <c r="E158" s="1">
        <f t="shared" si="2"/>
        <v>0.5757575757575758</v>
      </c>
      <c r="F158">
        <v>100.7</v>
      </c>
      <c r="G158">
        <v>97.6</v>
      </c>
      <c r="H158">
        <v>0.58789999999999998</v>
      </c>
      <c r="I158">
        <v>51.9</v>
      </c>
      <c r="J158">
        <v>43.4</v>
      </c>
      <c r="K158">
        <v>20.100000000000001</v>
      </c>
      <c r="L158">
        <v>20.100000000000001</v>
      </c>
      <c r="M158">
        <v>26.7</v>
      </c>
      <c r="N158">
        <v>29</v>
      </c>
      <c r="O158">
        <v>42.4</v>
      </c>
      <c r="P158">
        <v>40.4</v>
      </c>
      <c r="Q158">
        <v>51.7</v>
      </c>
      <c r="R158">
        <v>42.2</v>
      </c>
      <c r="S158">
        <v>34.9</v>
      </c>
      <c r="T158">
        <v>30.9</v>
      </c>
      <c r="U158">
        <v>64.7</v>
      </c>
      <c r="V158">
        <v>-9</v>
      </c>
      <c r="W158" cm="1">
        <f t="array" ref="W158">_xlfn.IFS(OR(X158="N/A",X158="NA"),0,OR(X158="R64",X158="R68"),1,X158="R32",2,X158="S16",3,X158="E8",4,X158="F4",5,X158="2ND",6,X158="Champions",7)</f>
        <v>0</v>
      </c>
      <c r="X158" t="s">
        <v>90</v>
      </c>
      <c r="Y158" t="s">
        <v>90</v>
      </c>
      <c r="Z158">
        <v>2015</v>
      </c>
    </row>
    <row r="159" spans="1:26" x14ac:dyDescent="0.3">
      <c r="A159" t="s">
        <v>120</v>
      </c>
      <c r="B159" t="s">
        <v>112</v>
      </c>
      <c r="C159">
        <v>32</v>
      </c>
      <c r="D159">
        <v>23</v>
      </c>
      <c r="E159" s="1">
        <f t="shared" si="2"/>
        <v>0.71875</v>
      </c>
      <c r="F159">
        <v>104.7</v>
      </c>
      <c r="G159">
        <v>102.1</v>
      </c>
      <c r="H159">
        <v>0.57030000000000003</v>
      </c>
      <c r="I159">
        <v>50.7</v>
      </c>
      <c r="J159">
        <v>48.7</v>
      </c>
      <c r="K159">
        <v>18.399999999999999</v>
      </c>
      <c r="L159">
        <v>18.7</v>
      </c>
      <c r="M159">
        <v>34.799999999999997</v>
      </c>
      <c r="N159">
        <v>25.6</v>
      </c>
      <c r="O159">
        <v>43.3</v>
      </c>
      <c r="P159">
        <v>27.2</v>
      </c>
      <c r="Q159">
        <v>51.8</v>
      </c>
      <c r="R159">
        <v>50.2</v>
      </c>
      <c r="S159">
        <v>32.299999999999997</v>
      </c>
      <c r="T159">
        <v>30.9</v>
      </c>
      <c r="U159">
        <v>67.3</v>
      </c>
      <c r="V159">
        <v>-4</v>
      </c>
      <c r="W159" cm="1">
        <f t="array" ref="W159">_xlfn.IFS(OR(X159="N/A",X159="NA"),0,OR(X159="R64",X159="R68"),1,X159="R32",2,X159="S16",3,X159="E8",4,X159="F4",5,X159="2ND",6,X159="Champions",7)</f>
        <v>0</v>
      </c>
      <c r="X159" t="s">
        <v>90</v>
      </c>
      <c r="Y159" t="s">
        <v>90</v>
      </c>
      <c r="Z159">
        <v>2016</v>
      </c>
    </row>
    <row r="160" spans="1:26" x14ac:dyDescent="0.3">
      <c r="A160" t="s">
        <v>111</v>
      </c>
      <c r="B160" t="s">
        <v>112</v>
      </c>
      <c r="C160">
        <v>30</v>
      </c>
      <c r="D160">
        <v>8</v>
      </c>
      <c r="E160" s="1">
        <f t="shared" si="2"/>
        <v>0.26666666666666666</v>
      </c>
      <c r="F160">
        <v>89.3</v>
      </c>
      <c r="G160">
        <v>102.1</v>
      </c>
      <c r="H160">
        <v>0.17630000000000001</v>
      </c>
      <c r="I160">
        <v>44.1</v>
      </c>
      <c r="J160">
        <v>49.6</v>
      </c>
      <c r="K160">
        <v>20.7</v>
      </c>
      <c r="L160">
        <v>18.2</v>
      </c>
      <c r="M160">
        <v>25.3</v>
      </c>
      <c r="N160">
        <v>28.5</v>
      </c>
      <c r="O160">
        <v>36.200000000000003</v>
      </c>
      <c r="P160">
        <v>34.4</v>
      </c>
      <c r="Q160">
        <v>45</v>
      </c>
      <c r="R160">
        <v>49</v>
      </c>
      <c r="S160">
        <v>28.4</v>
      </c>
      <c r="T160">
        <v>33.700000000000003</v>
      </c>
      <c r="U160">
        <v>66.599999999999994</v>
      </c>
      <c r="V160">
        <v>-17.3</v>
      </c>
      <c r="W160" cm="1">
        <f t="array" ref="W160">_xlfn.IFS(OR(X160="N/A",X160="NA"),0,OR(X160="R64",X160="R68"),1,X160="R32",2,X160="S16",3,X160="E8",4,X160="F4",5,X160="2ND",6,X160="Champions",7)</f>
        <v>0</v>
      </c>
      <c r="X160" t="s">
        <v>90</v>
      </c>
      <c r="Y160" t="s">
        <v>90</v>
      </c>
      <c r="Z160">
        <v>2016</v>
      </c>
    </row>
    <row r="161" spans="1:26" x14ac:dyDescent="0.3">
      <c r="A161" t="s">
        <v>113</v>
      </c>
      <c r="B161" t="s">
        <v>112</v>
      </c>
      <c r="C161">
        <v>32</v>
      </c>
      <c r="D161">
        <v>9</v>
      </c>
      <c r="E161" s="1">
        <f t="shared" si="2"/>
        <v>0.28125</v>
      </c>
      <c r="F161">
        <v>99.4</v>
      </c>
      <c r="G161">
        <v>114.2</v>
      </c>
      <c r="H161">
        <v>0.16850000000000001</v>
      </c>
      <c r="I161">
        <v>49.1</v>
      </c>
      <c r="J161">
        <v>53.3</v>
      </c>
      <c r="K161">
        <v>16.3</v>
      </c>
      <c r="L161">
        <v>18.5</v>
      </c>
      <c r="M161">
        <v>18.899999999999999</v>
      </c>
      <c r="N161">
        <v>35.799999999999997</v>
      </c>
      <c r="O161">
        <v>33.200000000000003</v>
      </c>
      <c r="P161">
        <v>41.1</v>
      </c>
      <c r="Q161">
        <v>45.6</v>
      </c>
      <c r="R161">
        <v>54</v>
      </c>
      <c r="S161">
        <v>35.4</v>
      </c>
      <c r="T161">
        <v>34.700000000000003</v>
      </c>
      <c r="U161">
        <v>70.2</v>
      </c>
      <c r="V161">
        <v>-17.7</v>
      </c>
      <c r="W161" cm="1">
        <f t="array" ref="W161">_xlfn.IFS(OR(X161="N/A",X161="NA"),0,OR(X161="R64",X161="R68"),1,X161="R32",2,X161="S16",3,X161="E8",4,X161="F4",5,X161="2ND",6,X161="Champions",7)</f>
        <v>0</v>
      </c>
      <c r="X161" t="s">
        <v>90</v>
      </c>
      <c r="Y161" t="s">
        <v>90</v>
      </c>
      <c r="Z161">
        <v>2016</v>
      </c>
    </row>
    <row r="162" spans="1:26" x14ac:dyDescent="0.3">
      <c r="A162" t="s">
        <v>114</v>
      </c>
      <c r="B162" t="s">
        <v>112</v>
      </c>
      <c r="C162">
        <v>30</v>
      </c>
      <c r="D162">
        <v>8</v>
      </c>
      <c r="E162" s="1">
        <f t="shared" si="2"/>
        <v>0.26666666666666666</v>
      </c>
      <c r="F162">
        <v>94.5</v>
      </c>
      <c r="G162">
        <v>113.6</v>
      </c>
      <c r="H162">
        <v>0.1081</v>
      </c>
      <c r="I162">
        <v>49.2</v>
      </c>
      <c r="J162">
        <v>55.5</v>
      </c>
      <c r="K162">
        <v>20.8</v>
      </c>
      <c r="L162">
        <v>21</v>
      </c>
      <c r="M162">
        <v>27.9</v>
      </c>
      <c r="N162">
        <v>32.299999999999997</v>
      </c>
      <c r="O162">
        <v>32</v>
      </c>
      <c r="P162">
        <v>38</v>
      </c>
      <c r="Q162">
        <v>48.3</v>
      </c>
      <c r="R162">
        <v>55.6</v>
      </c>
      <c r="S162">
        <v>33.9</v>
      </c>
      <c r="T162">
        <v>36.9</v>
      </c>
      <c r="U162">
        <v>77.8</v>
      </c>
      <c r="V162">
        <v>-17.399999999999999</v>
      </c>
      <c r="W162" cm="1">
        <f t="array" ref="W162">_xlfn.IFS(OR(X162="N/A",X162="NA"),0,OR(X162="R64",X162="R68"),1,X162="R32",2,X162="S16",3,X162="E8",4,X162="F4",5,X162="2ND",6,X162="Champions",7)</f>
        <v>0</v>
      </c>
      <c r="X162" t="s">
        <v>90</v>
      </c>
      <c r="Y162" t="s">
        <v>90</v>
      </c>
      <c r="Z162">
        <v>2016</v>
      </c>
    </row>
    <row r="163" spans="1:26" x14ac:dyDescent="0.3">
      <c r="A163" t="s">
        <v>115</v>
      </c>
      <c r="B163" t="s">
        <v>112</v>
      </c>
      <c r="C163">
        <v>31</v>
      </c>
      <c r="D163">
        <v>18</v>
      </c>
      <c r="E163" s="1">
        <f t="shared" si="2"/>
        <v>0.58064516129032262</v>
      </c>
      <c r="F163">
        <v>98.7</v>
      </c>
      <c r="G163">
        <v>104.5</v>
      </c>
      <c r="H163">
        <v>0.3402</v>
      </c>
      <c r="I163">
        <v>46.7</v>
      </c>
      <c r="J163">
        <v>50.2</v>
      </c>
      <c r="K163">
        <v>16.8</v>
      </c>
      <c r="L163">
        <v>15.1</v>
      </c>
      <c r="M163">
        <v>29.5</v>
      </c>
      <c r="N163">
        <v>21.7</v>
      </c>
      <c r="O163">
        <v>36.6</v>
      </c>
      <c r="P163">
        <v>34.5</v>
      </c>
      <c r="Q163">
        <v>45</v>
      </c>
      <c r="R163">
        <v>48.6</v>
      </c>
      <c r="S163">
        <v>33.200000000000003</v>
      </c>
      <c r="T163">
        <v>35.299999999999997</v>
      </c>
      <c r="U163">
        <v>68.099999999999994</v>
      </c>
      <c r="V163">
        <v>-7.6</v>
      </c>
      <c r="W163" cm="1">
        <f t="array" ref="W163">_xlfn.IFS(OR(X163="N/A",X163="NA"),0,OR(X163="R64",X163="R68"),1,X163="R32",2,X163="S16",3,X163="E8",4,X163="F4",5,X163="2ND",6,X163="Champions",7)</f>
        <v>0</v>
      </c>
      <c r="X163" t="s">
        <v>90</v>
      </c>
      <c r="Y163" t="s">
        <v>90</v>
      </c>
      <c r="Z163">
        <v>2016</v>
      </c>
    </row>
    <row r="164" spans="1:26" x14ac:dyDescent="0.3">
      <c r="A164" t="s">
        <v>117</v>
      </c>
      <c r="B164" t="s">
        <v>112</v>
      </c>
      <c r="C164">
        <v>28</v>
      </c>
      <c r="D164">
        <v>10</v>
      </c>
      <c r="E164" s="1">
        <f t="shared" si="2"/>
        <v>0.35714285714285715</v>
      </c>
      <c r="F164">
        <v>99.4</v>
      </c>
      <c r="G164">
        <v>115</v>
      </c>
      <c r="H164">
        <v>0.15809999999999999</v>
      </c>
      <c r="I164">
        <v>53.6</v>
      </c>
      <c r="J164">
        <v>54.5</v>
      </c>
      <c r="K164">
        <v>21.3</v>
      </c>
      <c r="L164">
        <v>19.2</v>
      </c>
      <c r="M164">
        <v>25.1</v>
      </c>
      <c r="N164">
        <v>32.9</v>
      </c>
      <c r="O164">
        <v>33.200000000000003</v>
      </c>
      <c r="P164">
        <v>38.4</v>
      </c>
      <c r="Q164">
        <v>53.2</v>
      </c>
      <c r="R164">
        <v>53.9</v>
      </c>
      <c r="S164">
        <v>36.200000000000003</v>
      </c>
      <c r="T164">
        <v>37.1</v>
      </c>
      <c r="U164">
        <v>73.7</v>
      </c>
      <c r="V164">
        <v>-13.2</v>
      </c>
      <c r="W164" cm="1">
        <f t="array" ref="W164">_xlfn.IFS(OR(X164="N/A",X164="NA"),0,OR(X164="R64",X164="R68"),1,X164="R32",2,X164="S16",3,X164="E8",4,X164="F4",5,X164="2ND",6,X164="Champions",7)</f>
        <v>0</v>
      </c>
      <c r="X164" t="s">
        <v>90</v>
      </c>
      <c r="Y164" t="s">
        <v>90</v>
      </c>
      <c r="Z164">
        <v>2016</v>
      </c>
    </row>
    <row r="165" spans="1:26" x14ac:dyDescent="0.3">
      <c r="A165" t="s">
        <v>118</v>
      </c>
      <c r="B165" t="s">
        <v>112</v>
      </c>
      <c r="C165">
        <v>32</v>
      </c>
      <c r="D165">
        <v>7</v>
      </c>
      <c r="E165" s="1">
        <f t="shared" si="2"/>
        <v>0.21875</v>
      </c>
      <c r="F165">
        <v>98.6</v>
      </c>
      <c r="G165">
        <v>117.3</v>
      </c>
      <c r="H165">
        <v>0.1193</v>
      </c>
      <c r="I165">
        <v>50.1</v>
      </c>
      <c r="J165">
        <v>56.6</v>
      </c>
      <c r="K165">
        <v>17.399999999999999</v>
      </c>
      <c r="L165">
        <v>19.399999999999999</v>
      </c>
      <c r="M165">
        <v>24.9</v>
      </c>
      <c r="N165">
        <v>28.9</v>
      </c>
      <c r="O165">
        <v>42.2</v>
      </c>
      <c r="P165">
        <v>38.799999999999997</v>
      </c>
      <c r="Q165">
        <v>50.4</v>
      </c>
      <c r="R165">
        <v>56.4</v>
      </c>
      <c r="S165">
        <v>33.1</v>
      </c>
      <c r="T165">
        <v>38</v>
      </c>
      <c r="U165">
        <v>70.099999999999994</v>
      </c>
      <c r="V165">
        <v>-20.5</v>
      </c>
      <c r="W165" cm="1">
        <f t="array" ref="W165">_xlfn.IFS(OR(X165="N/A",X165="NA"),0,OR(X165="R64",X165="R68"),1,X165="R32",2,X165="S16",3,X165="E8",4,X165="F4",5,X165="2ND",6,X165="Champions",7)</f>
        <v>0</v>
      </c>
      <c r="X165" t="s">
        <v>90</v>
      </c>
      <c r="Y165" t="s">
        <v>90</v>
      </c>
      <c r="Z165">
        <v>2016</v>
      </c>
    </row>
    <row r="166" spans="1:26" x14ac:dyDescent="0.3">
      <c r="A166" t="s">
        <v>119</v>
      </c>
      <c r="B166" t="s">
        <v>112</v>
      </c>
      <c r="C166">
        <v>36</v>
      </c>
      <c r="D166">
        <v>22</v>
      </c>
      <c r="E166" s="1">
        <f t="shared" si="2"/>
        <v>0.61111111111111116</v>
      </c>
      <c r="F166">
        <v>107.3</v>
      </c>
      <c r="G166">
        <v>105.8</v>
      </c>
      <c r="H166">
        <v>0.54139999999999999</v>
      </c>
      <c r="I166">
        <v>54.1</v>
      </c>
      <c r="J166">
        <v>49.3</v>
      </c>
      <c r="K166">
        <v>19.2</v>
      </c>
      <c r="L166">
        <v>16.7</v>
      </c>
      <c r="M166">
        <v>28.5</v>
      </c>
      <c r="N166">
        <v>28.2</v>
      </c>
      <c r="O166">
        <v>38.200000000000003</v>
      </c>
      <c r="P166">
        <v>37.4</v>
      </c>
      <c r="Q166">
        <v>52.6</v>
      </c>
      <c r="R166">
        <v>46.3</v>
      </c>
      <c r="S166">
        <v>38.200000000000003</v>
      </c>
      <c r="T166">
        <v>37</v>
      </c>
      <c r="U166">
        <v>68.5</v>
      </c>
      <c r="V166">
        <v>-6.6</v>
      </c>
      <c r="W166" cm="1">
        <f t="array" ref="W166">_xlfn.IFS(OR(X166="N/A",X166="NA"),0,OR(X166="R64",X166="R68"),1,X166="R32",2,X166="S16",3,X166="E8",4,X166="F4",5,X166="2ND",6,X166="Champions",7)</f>
        <v>0</v>
      </c>
      <c r="X166" t="s">
        <v>90</v>
      </c>
      <c r="Y166" t="s">
        <v>90</v>
      </c>
      <c r="Z166">
        <v>2016</v>
      </c>
    </row>
    <row r="167" spans="1:26" x14ac:dyDescent="0.3">
      <c r="A167" t="s">
        <v>120</v>
      </c>
      <c r="B167" t="s">
        <v>112</v>
      </c>
      <c r="C167">
        <v>34</v>
      </c>
      <c r="D167">
        <v>21</v>
      </c>
      <c r="E167" s="1">
        <f t="shared" si="2"/>
        <v>0.61764705882352944</v>
      </c>
      <c r="F167">
        <v>107.1</v>
      </c>
      <c r="G167">
        <v>103.7</v>
      </c>
      <c r="H167">
        <v>0.59109999999999996</v>
      </c>
      <c r="I167">
        <v>51.7</v>
      </c>
      <c r="J167">
        <v>51.2</v>
      </c>
      <c r="K167">
        <v>18.3</v>
      </c>
      <c r="L167">
        <v>17.5</v>
      </c>
      <c r="M167">
        <v>33</v>
      </c>
      <c r="N167">
        <v>23.6</v>
      </c>
      <c r="O167">
        <v>33.4</v>
      </c>
      <c r="P167">
        <v>31.4</v>
      </c>
      <c r="Q167">
        <v>50.3</v>
      </c>
      <c r="R167">
        <v>50.7</v>
      </c>
      <c r="S167">
        <v>37.1</v>
      </c>
      <c r="T167">
        <v>34.700000000000003</v>
      </c>
      <c r="U167">
        <v>65.5</v>
      </c>
      <c r="V167">
        <v>-6.9</v>
      </c>
      <c r="W167" cm="1">
        <f t="array" ref="W167">_xlfn.IFS(OR(X167="N/A",X167="NA"),0,OR(X167="R64",X167="R68"),1,X167="R32",2,X167="S16",3,X167="E8",4,X167="F4",5,X167="2ND",6,X167="Champions",7)</f>
        <v>0</v>
      </c>
      <c r="X167" t="s">
        <v>90</v>
      </c>
      <c r="Y167" t="s">
        <v>90</v>
      </c>
      <c r="Z167">
        <v>2017</v>
      </c>
    </row>
    <row r="168" spans="1:26" x14ac:dyDescent="0.3">
      <c r="A168" t="s">
        <v>111</v>
      </c>
      <c r="B168" t="s">
        <v>112</v>
      </c>
      <c r="C168">
        <v>29</v>
      </c>
      <c r="D168">
        <v>12</v>
      </c>
      <c r="E168" s="1">
        <f t="shared" si="2"/>
        <v>0.41379310344827586</v>
      </c>
      <c r="F168">
        <v>94.8</v>
      </c>
      <c r="G168">
        <v>109.5</v>
      </c>
      <c r="H168">
        <v>0.1598</v>
      </c>
      <c r="I168">
        <v>48.8</v>
      </c>
      <c r="J168">
        <v>52.2</v>
      </c>
      <c r="K168">
        <v>18.600000000000001</v>
      </c>
      <c r="L168">
        <v>17.100000000000001</v>
      </c>
      <c r="M168">
        <v>23.5</v>
      </c>
      <c r="N168">
        <v>28.2</v>
      </c>
      <c r="O168">
        <v>30.8</v>
      </c>
      <c r="P168">
        <v>32.200000000000003</v>
      </c>
      <c r="Q168">
        <v>47.1</v>
      </c>
      <c r="R168">
        <v>51.3</v>
      </c>
      <c r="S168">
        <v>34.4</v>
      </c>
      <c r="T168">
        <v>35.700000000000003</v>
      </c>
      <c r="U168">
        <v>67.2</v>
      </c>
      <c r="V168">
        <v>-15.3</v>
      </c>
      <c r="W168" cm="1">
        <f t="array" ref="W168">_xlfn.IFS(OR(X168="N/A",X168="NA"),0,OR(X168="R64",X168="R68"),1,X168="R32",2,X168="S16",3,X168="E8",4,X168="F4",5,X168="2ND",6,X168="Champions",7)</f>
        <v>0</v>
      </c>
      <c r="X168" t="s">
        <v>90</v>
      </c>
      <c r="Y168" t="s">
        <v>90</v>
      </c>
      <c r="Z168">
        <v>2017</v>
      </c>
    </row>
    <row r="169" spans="1:26" x14ac:dyDescent="0.3">
      <c r="A169" t="s">
        <v>113</v>
      </c>
      <c r="B169" t="s">
        <v>112</v>
      </c>
      <c r="C169">
        <v>32</v>
      </c>
      <c r="D169">
        <v>9</v>
      </c>
      <c r="E169" s="1">
        <f t="shared" si="2"/>
        <v>0.28125</v>
      </c>
      <c r="F169">
        <v>92.1</v>
      </c>
      <c r="G169">
        <v>109.9</v>
      </c>
      <c r="H169">
        <v>0.11650000000000001</v>
      </c>
      <c r="I169">
        <v>47.5</v>
      </c>
      <c r="J169">
        <v>51.9</v>
      </c>
      <c r="K169">
        <v>20.399999999999999</v>
      </c>
      <c r="L169">
        <v>18.399999999999999</v>
      </c>
      <c r="M169">
        <v>24.7</v>
      </c>
      <c r="N169">
        <v>34.299999999999997</v>
      </c>
      <c r="O169">
        <v>32.6</v>
      </c>
      <c r="P169">
        <v>34.9</v>
      </c>
      <c r="Q169">
        <v>45</v>
      </c>
      <c r="R169">
        <v>48.7</v>
      </c>
      <c r="S169">
        <v>33.9</v>
      </c>
      <c r="T169">
        <v>38.9</v>
      </c>
      <c r="U169">
        <v>70.3</v>
      </c>
      <c r="V169">
        <v>-18.100000000000001</v>
      </c>
      <c r="W169" cm="1">
        <f t="array" ref="W169">_xlfn.IFS(OR(X169="N/A",X169="NA"),0,OR(X169="R64",X169="R68"),1,X169="R32",2,X169="S16",3,X169="E8",4,X169="F4",5,X169="2ND",6,X169="Champions",7)</f>
        <v>0</v>
      </c>
      <c r="X169" t="s">
        <v>90</v>
      </c>
      <c r="Y169" t="s">
        <v>90</v>
      </c>
      <c r="Z169">
        <v>2017</v>
      </c>
    </row>
    <row r="170" spans="1:26" x14ac:dyDescent="0.3">
      <c r="A170" t="s">
        <v>114</v>
      </c>
      <c r="B170" t="s">
        <v>112</v>
      </c>
      <c r="C170">
        <v>31</v>
      </c>
      <c r="D170">
        <v>7</v>
      </c>
      <c r="E170" s="1">
        <f t="shared" si="2"/>
        <v>0.22580645161290322</v>
      </c>
      <c r="F170">
        <v>90.5</v>
      </c>
      <c r="G170">
        <v>109.4</v>
      </c>
      <c r="H170">
        <v>0.1021</v>
      </c>
      <c r="I170">
        <v>45.5</v>
      </c>
      <c r="J170">
        <v>53</v>
      </c>
      <c r="K170">
        <v>19.100000000000001</v>
      </c>
      <c r="L170">
        <v>16.600000000000001</v>
      </c>
      <c r="M170">
        <v>26.9</v>
      </c>
      <c r="N170">
        <v>28.8</v>
      </c>
      <c r="O170">
        <v>29.6</v>
      </c>
      <c r="P170">
        <v>33.5</v>
      </c>
      <c r="Q170">
        <v>44.8</v>
      </c>
      <c r="R170">
        <v>52.2</v>
      </c>
      <c r="S170">
        <v>31.2</v>
      </c>
      <c r="T170">
        <v>36.4</v>
      </c>
      <c r="U170">
        <v>69.599999999999994</v>
      </c>
      <c r="V170">
        <v>-18.8</v>
      </c>
      <c r="W170" cm="1">
        <f t="array" ref="W170">_xlfn.IFS(OR(X170="N/A",X170="NA"),0,OR(X170="R64",X170="R68"),1,X170="R32",2,X170="S16",3,X170="E8",4,X170="F4",5,X170="2ND",6,X170="Champions",7)</f>
        <v>0</v>
      </c>
      <c r="X170" t="s">
        <v>90</v>
      </c>
      <c r="Y170" t="s">
        <v>90</v>
      </c>
      <c r="Z170">
        <v>2017</v>
      </c>
    </row>
    <row r="171" spans="1:26" x14ac:dyDescent="0.3">
      <c r="A171" t="s">
        <v>115</v>
      </c>
      <c r="B171" t="s">
        <v>112</v>
      </c>
      <c r="C171">
        <v>29</v>
      </c>
      <c r="D171">
        <v>20</v>
      </c>
      <c r="E171" s="1">
        <f t="shared" si="2"/>
        <v>0.68965517241379315</v>
      </c>
      <c r="F171">
        <v>100.6</v>
      </c>
      <c r="G171">
        <v>102.3</v>
      </c>
      <c r="H171">
        <v>0.45379999999999998</v>
      </c>
      <c r="I171">
        <v>50.2</v>
      </c>
      <c r="J171">
        <v>49.9</v>
      </c>
      <c r="K171">
        <v>18.3</v>
      </c>
      <c r="L171">
        <v>14.6</v>
      </c>
      <c r="M171">
        <v>27.2</v>
      </c>
      <c r="N171">
        <v>21.7</v>
      </c>
      <c r="O171">
        <v>34.1</v>
      </c>
      <c r="P171">
        <v>29.3</v>
      </c>
      <c r="Q171">
        <v>49.5</v>
      </c>
      <c r="R171">
        <v>50.1</v>
      </c>
      <c r="S171">
        <v>34.200000000000003</v>
      </c>
      <c r="T171">
        <v>32.9</v>
      </c>
      <c r="U171">
        <v>66.900000000000006</v>
      </c>
      <c r="V171">
        <v>-6.3</v>
      </c>
      <c r="W171" cm="1">
        <f t="array" ref="W171">_xlfn.IFS(OR(X171="N/A",X171="NA"),0,OR(X171="R64",X171="R68"),1,X171="R32",2,X171="S16",3,X171="E8",4,X171="F4",5,X171="2ND",6,X171="Champions",7)</f>
        <v>0</v>
      </c>
      <c r="X171" t="s">
        <v>90</v>
      </c>
      <c r="Y171" t="s">
        <v>90</v>
      </c>
      <c r="Z171">
        <v>2017</v>
      </c>
    </row>
    <row r="172" spans="1:26" x14ac:dyDescent="0.3">
      <c r="A172" t="s">
        <v>116</v>
      </c>
      <c r="B172" t="s">
        <v>112</v>
      </c>
      <c r="C172">
        <v>32</v>
      </c>
      <c r="D172">
        <v>18</v>
      </c>
      <c r="E172" s="1">
        <f t="shared" si="2"/>
        <v>0.5625</v>
      </c>
      <c r="F172">
        <v>100</v>
      </c>
      <c r="G172">
        <v>104.7</v>
      </c>
      <c r="H172">
        <v>0.3695</v>
      </c>
      <c r="I172">
        <v>47.1</v>
      </c>
      <c r="J172">
        <v>50.7</v>
      </c>
      <c r="K172">
        <v>15.2</v>
      </c>
      <c r="L172">
        <v>19.7</v>
      </c>
      <c r="M172">
        <v>29.5</v>
      </c>
      <c r="N172">
        <v>28.8</v>
      </c>
      <c r="O172">
        <v>32.799999999999997</v>
      </c>
      <c r="P172">
        <v>40.1</v>
      </c>
      <c r="Q172">
        <v>45.7</v>
      </c>
      <c r="R172">
        <v>47.5</v>
      </c>
      <c r="S172">
        <v>32.700000000000003</v>
      </c>
      <c r="T172">
        <v>37.5</v>
      </c>
      <c r="U172">
        <v>67.2</v>
      </c>
      <c r="V172">
        <v>-8.3000000000000007</v>
      </c>
      <c r="W172" cm="1">
        <f t="array" ref="W172">_xlfn.IFS(OR(X172="N/A",X172="NA"),0,OR(X172="R64",X172="R68"),1,X172="R32",2,X172="S16",3,X172="E8",4,X172="F4",5,X172="2ND",6,X172="Champions",7)</f>
        <v>0</v>
      </c>
      <c r="X172" t="s">
        <v>90</v>
      </c>
      <c r="Y172" t="s">
        <v>90</v>
      </c>
      <c r="Z172">
        <v>2017</v>
      </c>
    </row>
    <row r="173" spans="1:26" x14ac:dyDescent="0.3">
      <c r="A173" t="s">
        <v>117</v>
      </c>
      <c r="B173" t="s">
        <v>112</v>
      </c>
      <c r="C173">
        <v>30</v>
      </c>
      <c r="D173">
        <v>11</v>
      </c>
      <c r="E173" s="1">
        <f t="shared" si="2"/>
        <v>0.36666666666666664</v>
      </c>
      <c r="F173">
        <v>102.9</v>
      </c>
      <c r="G173">
        <v>115.4</v>
      </c>
      <c r="H173">
        <v>0.2112</v>
      </c>
      <c r="I173">
        <v>54.7</v>
      </c>
      <c r="J173">
        <v>53.4</v>
      </c>
      <c r="K173">
        <v>20.8</v>
      </c>
      <c r="L173">
        <v>17.8</v>
      </c>
      <c r="M173">
        <v>27.1</v>
      </c>
      <c r="N173">
        <v>30.7</v>
      </c>
      <c r="O173">
        <v>31.5</v>
      </c>
      <c r="P173">
        <v>38.1</v>
      </c>
      <c r="Q173">
        <v>53.1</v>
      </c>
      <c r="R173">
        <v>52.3</v>
      </c>
      <c r="S173">
        <v>38.4</v>
      </c>
      <c r="T173">
        <v>37</v>
      </c>
      <c r="U173">
        <v>73.599999999999994</v>
      </c>
      <c r="V173">
        <v>-15.6</v>
      </c>
      <c r="W173" cm="1">
        <f t="array" ref="W173">_xlfn.IFS(OR(X173="N/A",X173="NA"),0,OR(X173="R64",X173="R68"),1,X173="R32",2,X173="S16",3,X173="E8",4,X173="F4",5,X173="2ND",6,X173="Champions",7)</f>
        <v>0</v>
      </c>
      <c r="X173" t="s">
        <v>90</v>
      </c>
      <c r="Y173" t="s">
        <v>90</v>
      </c>
      <c r="Z173">
        <v>2017</v>
      </c>
    </row>
    <row r="174" spans="1:26" x14ac:dyDescent="0.3">
      <c r="A174" t="s">
        <v>118</v>
      </c>
      <c r="B174" t="s">
        <v>112</v>
      </c>
      <c r="C174">
        <v>32</v>
      </c>
      <c r="D174">
        <v>21</v>
      </c>
      <c r="E174" s="1">
        <f t="shared" si="2"/>
        <v>0.65625</v>
      </c>
      <c r="F174">
        <v>107.5</v>
      </c>
      <c r="G174">
        <v>110.2</v>
      </c>
      <c r="H174">
        <v>0.42909999999999998</v>
      </c>
      <c r="I174">
        <v>54</v>
      </c>
      <c r="J174">
        <v>52.4</v>
      </c>
      <c r="K174">
        <v>16.3</v>
      </c>
      <c r="L174">
        <v>17.7</v>
      </c>
      <c r="M174">
        <v>24.4</v>
      </c>
      <c r="N174">
        <v>27.3</v>
      </c>
      <c r="O174">
        <v>35</v>
      </c>
      <c r="P174">
        <v>35.1</v>
      </c>
      <c r="Q174">
        <v>51.5</v>
      </c>
      <c r="R174">
        <v>52.2</v>
      </c>
      <c r="S174">
        <v>38.5</v>
      </c>
      <c r="T174">
        <v>35.200000000000003</v>
      </c>
      <c r="U174">
        <v>72</v>
      </c>
      <c r="V174">
        <v>-7.4</v>
      </c>
      <c r="W174" cm="1">
        <f t="array" ref="W174">_xlfn.IFS(OR(X174="N/A",X174="NA"),0,OR(X174="R64",X174="R68"),1,X174="R32",2,X174="S16",3,X174="E8",4,X174="F4",5,X174="2ND",6,X174="Champions",7)</f>
        <v>0</v>
      </c>
      <c r="X174" t="s">
        <v>90</v>
      </c>
      <c r="Y174" t="s">
        <v>90</v>
      </c>
      <c r="Z174">
        <v>2017</v>
      </c>
    </row>
    <row r="175" spans="1:26" x14ac:dyDescent="0.3">
      <c r="A175" t="s">
        <v>120</v>
      </c>
      <c r="B175" t="s">
        <v>112</v>
      </c>
      <c r="C175">
        <v>31</v>
      </c>
      <c r="D175">
        <v>22</v>
      </c>
      <c r="E175" s="1">
        <f t="shared" si="2"/>
        <v>0.70967741935483875</v>
      </c>
      <c r="F175">
        <v>106.1</v>
      </c>
      <c r="G175">
        <v>104.8</v>
      </c>
      <c r="H175">
        <v>0.53710000000000002</v>
      </c>
      <c r="I175">
        <v>50.5</v>
      </c>
      <c r="J175">
        <v>50.6</v>
      </c>
      <c r="K175">
        <v>17.5</v>
      </c>
      <c r="L175">
        <v>17</v>
      </c>
      <c r="M175">
        <v>34.6</v>
      </c>
      <c r="N175">
        <v>24.3</v>
      </c>
      <c r="O175">
        <v>37</v>
      </c>
      <c r="P175">
        <v>27.1</v>
      </c>
      <c r="Q175">
        <v>48.7</v>
      </c>
      <c r="R175">
        <v>51.6</v>
      </c>
      <c r="S175">
        <v>36.799999999999997</v>
      </c>
      <c r="T175">
        <v>32.6</v>
      </c>
      <c r="U175">
        <v>67.400000000000006</v>
      </c>
      <c r="V175">
        <v>-6</v>
      </c>
      <c r="W175" cm="1">
        <f t="array" ref="W175">_xlfn.IFS(OR(X175="N/A",X175="NA"),0,OR(X175="R64",X175="R68"),1,X175="R32",2,X175="S16",3,X175="E8",4,X175="F4",5,X175="2ND",6,X175="Champions",7)</f>
        <v>0</v>
      </c>
      <c r="X175" t="s">
        <v>90</v>
      </c>
      <c r="Y175" t="s">
        <v>90</v>
      </c>
      <c r="Z175">
        <v>2018</v>
      </c>
    </row>
    <row r="176" spans="1:26" x14ac:dyDescent="0.3">
      <c r="A176" t="s">
        <v>111</v>
      </c>
      <c r="B176" t="s">
        <v>112</v>
      </c>
      <c r="C176">
        <v>29</v>
      </c>
      <c r="D176">
        <v>11</v>
      </c>
      <c r="E176" s="1">
        <f t="shared" si="2"/>
        <v>0.37931034482758619</v>
      </c>
      <c r="F176">
        <v>96.1</v>
      </c>
      <c r="G176">
        <v>108.2</v>
      </c>
      <c r="H176">
        <v>0.20300000000000001</v>
      </c>
      <c r="I176">
        <v>49.7</v>
      </c>
      <c r="J176">
        <v>51.6</v>
      </c>
      <c r="K176">
        <v>18.3</v>
      </c>
      <c r="L176">
        <v>17</v>
      </c>
      <c r="M176">
        <v>25.9</v>
      </c>
      <c r="N176">
        <v>26.7</v>
      </c>
      <c r="O176">
        <v>30</v>
      </c>
      <c r="P176">
        <v>32.4</v>
      </c>
      <c r="Q176">
        <v>48.1</v>
      </c>
      <c r="R176">
        <v>48.2</v>
      </c>
      <c r="S176">
        <v>34.799999999999997</v>
      </c>
      <c r="T176">
        <v>38.700000000000003</v>
      </c>
      <c r="U176">
        <v>67.400000000000006</v>
      </c>
      <c r="V176">
        <v>-16</v>
      </c>
      <c r="W176" cm="1">
        <f t="array" ref="W176">_xlfn.IFS(OR(X176="N/A",X176="NA"),0,OR(X176="R64",X176="R68"),1,X176="R32",2,X176="S16",3,X176="E8",4,X176="F4",5,X176="2ND",6,X176="Champions",7)</f>
        <v>0</v>
      </c>
      <c r="X176" t="s">
        <v>90</v>
      </c>
      <c r="Y176" t="s">
        <v>90</v>
      </c>
      <c r="Z176">
        <v>2018</v>
      </c>
    </row>
    <row r="177" spans="1:26" x14ac:dyDescent="0.3">
      <c r="A177" t="s">
        <v>113</v>
      </c>
      <c r="B177" t="s">
        <v>112</v>
      </c>
      <c r="C177">
        <v>32</v>
      </c>
      <c r="D177">
        <v>19</v>
      </c>
      <c r="E177" s="1">
        <f t="shared" si="2"/>
        <v>0.59375</v>
      </c>
      <c r="F177">
        <v>101.8</v>
      </c>
      <c r="G177">
        <v>107</v>
      </c>
      <c r="H177">
        <v>0.36020000000000002</v>
      </c>
      <c r="I177">
        <v>52.7</v>
      </c>
      <c r="J177">
        <v>51.1</v>
      </c>
      <c r="K177">
        <v>18.100000000000001</v>
      </c>
      <c r="L177">
        <v>18.100000000000001</v>
      </c>
      <c r="M177">
        <v>24.9</v>
      </c>
      <c r="N177">
        <v>28.5</v>
      </c>
      <c r="O177">
        <v>31.2</v>
      </c>
      <c r="P177">
        <v>33.4</v>
      </c>
      <c r="Q177">
        <v>53.6</v>
      </c>
      <c r="R177">
        <v>50.8</v>
      </c>
      <c r="S177">
        <v>34.4</v>
      </c>
      <c r="T177">
        <v>34.4</v>
      </c>
      <c r="U177">
        <v>67.7</v>
      </c>
      <c r="V177">
        <v>-9</v>
      </c>
      <c r="W177" cm="1">
        <f t="array" ref="W177">_xlfn.IFS(OR(X177="N/A",X177="NA"),0,OR(X177="R64",X177="R68"),1,X177="R32",2,X177="S16",3,X177="E8",4,X177="F4",5,X177="2ND",6,X177="Champions",7)</f>
        <v>0</v>
      </c>
      <c r="X177" t="s">
        <v>90</v>
      </c>
      <c r="Y177" t="s">
        <v>90</v>
      </c>
      <c r="Z177">
        <v>2018</v>
      </c>
    </row>
    <row r="178" spans="1:26" x14ac:dyDescent="0.3">
      <c r="A178" t="s">
        <v>114</v>
      </c>
      <c r="B178" t="s">
        <v>112</v>
      </c>
      <c r="C178">
        <v>30</v>
      </c>
      <c r="D178">
        <v>6</v>
      </c>
      <c r="E178" s="1">
        <f t="shared" si="2"/>
        <v>0.2</v>
      </c>
      <c r="F178">
        <v>91</v>
      </c>
      <c r="G178">
        <v>107.2</v>
      </c>
      <c r="H178">
        <v>0.1328</v>
      </c>
      <c r="I178">
        <v>46</v>
      </c>
      <c r="J178">
        <v>51.4</v>
      </c>
      <c r="K178">
        <v>21.8</v>
      </c>
      <c r="L178">
        <v>18.100000000000001</v>
      </c>
      <c r="M178">
        <v>25.5</v>
      </c>
      <c r="N178">
        <v>30.7</v>
      </c>
      <c r="O178">
        <v>29.2</v>
      </c>
      <c r="P178">
        <v>36.700000000000003</v>
      </c>
      <c r="Q178">
        <v>47.1</v>
      </c>
      <c r="R178">
        <v>51.3</v>
      </c>
      <c r="S178">
        <v>29.6</v>
      </c>
      <c r="T178">
        <v>34.4</v>
      </c>
      <c r="U178">
        <v>72.2</v>
      </c>
      <c r="V178">
        <v>-20.2</v>
      </c>
      <c r="W178" cm="1">
        <f t="array" ref="W178">_xlfn.IFS(OR(X178="N/A",X178="NA"),0,OR(X178="R64",X178="R68"),1,X178="R32",2,X178="S16",3,X178="E8",4,X178="F4",5,X178="2ND",6,X178="Champions",7)</f>
        <v>0</v>
      </c>
      <c r="X178" t="s">
        <v>90</v>
      </c>
      <c r="Y178" t="s">
        <v>90</v>
      </c>
      <c r="Z178">
        <v>2018</v>
      </c>
    </row>
    <row r="179" spans="1:26" x14ac:dyDescent="0.3">
      <c r="A179" t="s">
        <v>115</v>
      </c>
      <c r="B179" t="s">
        <v>112</v>
      </c>
      <c r="C179">
        <v>29</v>
      </c>
      <c r="D179">
        <v>10</v>
      </c>
      <c r="E179" s="1">
        <f t="shared" si="2"/>
        <v>0.34482758620689657</v>
      </c>
      <c r="F179">
        <v>98</v>
      </c>
      <c r="G179">
        <v>107</v>
      </c>
      <c r="H179">
        <v>0.2671</v>
      </c>
      <c r="I179">
        <v>46.3</v>
      </c>
      <c r="J179">
        <v>50.8</v>
      </c>
      <c r="K179">
        <v>17.399999999999999</v>
      </c>
      <c r="L179">
        <v>13.7</v>
      </c>
      <c r="M179">
        <v>28.4</v>
      </c>
      <c r="N179">
        <v>21.4</v>
      </c>
      <c r="O179">
        <v>30.5</v>
      </c>
      <c r="P179">
        <v>41.5</v>
      </c>
      <c r="Q179">
        <v>44.3</v>
      </c>
      <c r="R179">
        <v>50.6</v>
      </c>
      <c r="S179">
        <v>32.6</v>
      </c>
      <c r="T179">
        <v>34.1</v>
      </c>
      <c r="U179">
        <v>66.7</v>
      </c>
      <c r="V179">
        <v>-16</v>
      </c>
      <c r="W179" cm="1">
        <f t="array" ref="W179">_xlfn.IFS(OR(X179="N/A",X179="NA"),0,OR(X179="R64",X179="R68"),1,X179="R32",2,X179="S16",3,X179="E8",4,X179="F4",5,X179="2ND",6,X179="Champions",7)</f>
        <v>0</v>
      </c>
      <c r="X179" t="s">
        <v>90</v>
      </c>
      <c r="Y179" t="s">
        <v>90</v>
      </c>
      <c r="Z179">
        <v>2018</v>
      </c>
    </row>
    <row r="180" spans="1:26" x14ac:dyDescent="0.3">
      <c r="A180" t="s">
        <v>116</v>
      </c>
      <c r="B180" t="s">
        <v>112</v>
      </c>
      <c r="C180">
        <v>31</v>
      </c>
      <c r="D180">
        <v>13</v>
      </c>
      <c r="E180" s="1">
        <f t="shared" si="2"/>
        <v>0.41935483870967744</v>
      </c>
      <c r="F180">
        <v>96.1</v>
      </c>
      <c r="G180">
        <v>100.9</v>
      </c>
      <c r="H180">
        <v>0.36520000000000002</v>
      </c>
      <c r="I180">
        <v>47.9</v>
      </c>
      <c r="J180">
        <v>50.5</v>
      </c>
      <c r="K180">
        <v>20</v>
      </c>
      <c r="L180">
        <v>20.8</v>
      </c>
      <c r="M180">
        <v>30.5</v>
      </c>
      <c r="N180">
        <v>28.2</v>
      </c>
      <c r="O180">
        <v>32</v>
      </c>
      <c r="P180">
        <v>41.8</v>
      </c>
      <c r="Q180">
        <v>47.5</v>
      </c>
      <c r="R180">
        <v>49.1</v>
      </c>
      <c r="S180">
        <v>32.200000000000003</v>
      </c>
      <c r="T180">
        <v>35.299999999999997</v>
      </c>
      <c r="U180">
        <v>69.599999999999994</v>
      </c>
      <c r="V180">
        <v>-12.7</v>
      </c>
      <c r="W180" cm="1">
        <f t="array" ref="W180">_xlfn.IFS(OR(X180="N/A",X180="NA"),0,OR(X180="R64",X180="R68"),1,X180="R32",2,X180="S16",3,X180="E8",4,X180="F4",5,X180="2ND",6,X180="Champions",7)</f>
        <v>0</v>
      </c>
      <c r="X180" t="s">
        <v>90</v>
      </c>
      <c r="Y180" t="s">
        <v>90</v>
      </c>
      <c r="Z180">
        <v>2018</v>
      </c>
    </row>
    <row r="181" spans="1:26" x14ac:dyDescent="0.3">
      <c r="A181" t="s">
        <v>117</v>
      </c>
      <c r="B181" t="s">
        <v>112</v>
      </c>
      <c r="C181">
        <v>29</v>
      </c>
      <c r="D181">
        <v>12</v>
      </c>
      <c r="E181" s="1">
        <f t="shared" si="2"/>
        <v>0.41379310344827586</v>
      </c>
      <c r="F181">
        <v>103.5</v>
      </c>
      <c r="G181">
        <v>113.7</v>
      </c>
      <c r="H181">
        <v>0.25280000000000002</v>
      </c>
      <c r="I181">
        <v>52.1</v>
      </c>
      <c r="J181">
        <v>55.4</v>
      </c>
      <c r="K181">
        <v>18.7</v>
      </c>
      <c r="L181">
        <v>20.3</v>
      </c>
      <c r="M181">
        <v>26.3</v>
      </c>
      <c r="N181">
        <v>32.5</v>
      </c>
      <c r="O181">
        <v>39.200000000000003</v>
      </c>
      <c r="P181">
        <v>33.5</v>
      </c>
      <c r="Q181">
        <v>52.4</v>
      </c>
      <c r="R181">
        <v>55</v>
      </c>
      <c r="S181">
        <v>34.4</v>
      </c>
      <c r="T181">
        <v>37.5</v>
      </c>
      <c r="U181">
        <v>72.599999999999994</v>
      </c>
      <c r="V181">
        <v>-14.1</v>
      </c>
      <c r="W181" cm="1">
        <f t="array" ref="W181">_xlfn.IFS(OR(X181="N/A",X181="NA"),0,OR(X181="R64",X181="R68"),1,X181="R32",2,X181="S16",3,X181="E8",4,X181="F4",5,X181="2ND",6,X181="Champions",7)</f>
        <v>0</v>
      </c>
      <c r="X181" t="s">
        <v>90</v>
      </c>
      <c r="Y181" t="s">
        <v>90</v>
      </c>
      <c r="Z181">
        <v>2018</v>
      </c>
    </row>
    <row r="182" spans="1:26" x14ac:dyDescent="0.3">
      <c r="A182" t="s">
        <v>119</v>
      </c>
      <c r="B182" t="s">
        <v>112</v>
      </c>
      <c r="C182">
        <v>34</v>
      </c>
      <c r="D182">
        <v>27</v>
      </c>
      <c r="E182" s="1">
        <f t="shared" si="2"/>
        <v>0.79411764705882348</v>
      </c>
      <c r="F182">
        <v>110.7</v>
      </c>
      <c r="G182">
        <v>103.8</v>
      </c>
      <c r="H182">
        <v>0.67589999999999995</v>
      </c>
      <c r="I182">
        <v>55.9</v>
      </c>
      <c r="J182">
        <v>50.6</v>
      </c>
      <c r="K182">
        <v>16.899999999999999</v>
      </c>
      <c r="L182">
        <v>16.8</v>
      </c>
      <c r="M182">
        <v>26</v>
      </c>
      <c r="N182">
        <v>22.6</v>
      </c>
      <c r="O182">
        <v>41.8</v>
      </c>
      <c r="P182">
        <v>25</v>
      </c>
      <c r="Q182">
        <v>53.8</v>
      </c>
      <c r="R182">
        <v>49.9</v>
      </c>
      <c r="S182">
        <v>39.9</v>
      </c>
      <c r="T182">
        <v>34.6</v>
      </c>
      <c r="U182">
        <v>65.2</v>
      </c>
      <c r="V182">
        <v>-0.9</v>
      </c>
      <c r="W182" cm="1">
        <f t="array" ref="W182">_xlfn.IFS(OR(X182="N/A",X182="NA"),0,OR(X182="R64",X182="R68"),1,X182="R32",2,X182="S16",3,X182="E8",4,X182="F4",5,X182="2ND",6,X182="Champions",7)</f>
        <v>0</v>
      </c>
      <c r="X182" t="s">
        <v>90</v>
      </c>
      <c r="Y182" t="s">
        <v>90</v>
      </c>
      <c r="Z182">
        <v>2018</v>
      </c>
    </row>
    <row r="183" spans="1:26" x14ac:dyDescent="0.3">
      <c r="A183" t="s">
        <v>120</v>
      </c>
      <c r="B183" t="s">
        <v>112</v>
      </c>
      <c r="C183">
        <v>31</v>
      </c>
      <c r="D183">
        <v>12</v>
      </c>
      <c r="E183" s="1">
        <f t="shared" si="2"/>
        <v>0.38709677419354838</v>
      </c>
      <c r="F183">
        <v>97.9</v>
      </c>
      <c r="G183">
        <v>106.8</v>
      </c>
      <c r="H183">
        <v>0.26829999999999998</v>
      </c>
      <c r="I183">
        <v>49.3</v>
      </c>
      <c r="J183">
        <v>52.1</v>
      </c>
      <c r="K183">
        <v>20.9</v>
      </c>
      <c r="L183">
        <v>18.5</v>
      </c>
      <c r="M183">
        <v>27.3</v>
      </c>
      <c r="N183">
        <v>28.3</v>
      </c>
      <c r="O183">
        <v>32.5</v>
      </c>
      <c r="P183">
        <v>30.2</v>
      </c>
      <c r="Q183">
        <v>46.9</v>
      </c>
      <c r="R183">
        <v>51</v>
      </c>
      <c r="S183">
        <v>34.799999999999997</v>
      </c>
      <c r="T183">
        <v>35.9</v>
      </c>
      <c r="U183">
        <v>67.3</v>
      </c>
      <c r="V183">
        <v>-15.7</v>
      </c>
      <c r="W183" cm="1">
        <f t="array" ref="W183">_xlfn.IFS(OR(X183="N/A",X183="NA"),0,OR(X183="R64",X183="R68"),1,X183="R32",2,X183="S16",3,X183="E8",4,X183="F4",5,X183="2ND",6,X183="Champions",7)</f>
        <v>0</v>
      </c>
      <c r="X183" t="s">
        <v>90</v>
      </c>
      <c r="Y183" t="s">
        <v>90</v>
      </c>
      <c r="Z183">
        <v>2019</v>
      </c>
    </row>
    <row r="184" spans="1:26" x14ac:dyDescent="0.3">
      <c r="A184" t="s">
        <v>111</v>
      </c>
      <c r="B184" t="s">
        <v>112</v>
      </c>
      <c r="C184">
        <v>31</v>
      </c>
      <c r="D184">
        <v>10</v>
      </c>
      <c r="E184" s="1">
        <f t="shared" si="2"/>
        <v>0.32258064516129031</v>
      </c>
      <c r="F184">
        <v>95.9</v>
      </c>
      <c r="G184">
        <v>112.3</v>
      </c>
      <c r="H184">
        <v>0.14069999999999999</v>
      </c>
      <c r="I184">
        <v>49.5</v>
      </c>
      <c r="J184">
        <v>52.3</v>
      </c>
      <c r="K184">
        <v>18.5</v>
      </c>
      <c r="L184">
        <v>16.7</v>
      </c>
      <c r="M184">
        <v>20.9</v>
      </c>
      <c r="N184">
        <v>31.7</v>
      </c>
      <c r="O184">
        <v>24.3</v>
      </c>
      <c r="P184">
        <v>25.2</v>
      </c>
      <c r="Q184">
        <v>48.4</v>
      </c>
      <c r="R184">
        <v>49</v>
      </c>
      <c r="S184">
        <v>33.9</v>
      </c>
      <c r="T184">
        <v>38.4</v>
      </c>
      <c r="U184">
        <v>67.2</v>
      </c>
      <c r="V184">
        <v>-17.399999999999999</v>
      </c>
      <c r="W184" cm="1">
        <f t="array" ref="W184">_xlfn.IFS(OR(X184="N/A",X184="NA"),0,OR(X184="R64",X184="R68"),1,X184="R32",2,X184="S16",3,X184="E8",4,X184="F4",5,X184="2ND",6,X184="Champions",7)</f>
        <v>0</v>
      </c>
      <c r="X184" t="s">
        <v>90</v>
      </c>
      <c r="Y184" t="s">
        <v>90</v>
      </c>
      <c r="Z184">
        <v>2019</v>
      </c>
    </row>
    <row r="185" spans="1:26" x14ac:dyDescent="0.3">
      <c r="A185" t="s">
        <v>113</v>
      </c>
      <c r="B185" t="s">
        <v>112</v>
      </c>
      <c r="C185">
        <v>32</v>
      </c>
      <c r="D185">
        <v>18</v>
      </c>
      <c r="E185" s="1">
        <f t="shared" si="2"/>
        <v>0.5625</v>
      </c>
      <c r="F185">
        <v>106.8</v>
      </c>
      <c r="G185">
        <v>110.7</v>
      </c>
      <c r="H185">
        <v>0.39879999999999999</v>
      </c>
      <c r="I185">
        <v>54.2</v>
      </c>
      <c r="J185">
        <v>52.6</v>
      </c>
      <c r="K185">
        <v>17.8</v>
      </c>
      <c r="L185">
        <v>19.3</v>
      </c>
      <c r="M185">
        <v>25.3</v>
      </c>
      <c r="N185">
        <v>31</v>
      </c>
      <c r="O185">
        <v>33.1</v>
      </c>
      <c r="P185">
        <v>29.9</v>
      </c>
      <c r="Q185">
        <v>51.5</v>
      </c>
      <c r="R185">
        <v>53.2</v>
      </c>
      <c r="S185">
        <v>38.200000000000003</v>
      </c>
      <c r="T185">
        <v>34.4</v>
      </c>
      <c r="U185">
        <v>68.3</v>
      </c>
      <c r="V185">
        <v>-9.1999999999999993</v>
      </c>
      <c r="W185" cm="1">
        <f t="array" ref="W185">_xlfn.IFS(OR(X185="N/A",X185="NA"),0,OR(X185="R64",X185="R68"),1,X185="R32",2,X185="S16",3,X185="E8",4,X185="F4",5,X185="2ND",6,X185="Champions",7)</f>
        <v>0</v>
      </c>
      <c r="X185" t="s">
        <v>90</v>
      </c>
      <c r="Y185" t="s">
        <v>90</v>
      </c>
      <c r="Z185">
        <v>2019</v>
      </c>
    </row>
    <row r="186" spans="1:26" x14ac:dyDescent="0.3">
      <c r="A186" t="s">
        <v>114</v>
      </c>
      <c r="B186" t="s">
        <v>112</v>
      </c>
      <c r="C186">
        <v>31</v>
      </c>
      <c r="D186">
        <v>5</v>
      </c>
      <c r="E186" s="1">
        <f t="shared" si="2"/>
        <v>0.16129032258064516</v>
      </c>
      <c r="F186">
        <v>93</v>
      </c>
      <c r="G186">
        <v>110.9</v>
      </c>
      <c r="H186">
        <v>0.1163</v>
      </c>
      <c r="I186">
        <v>48.6</v>
      </c>
      <c r="J186">
        <v>55.3</v>
      </c>
      <c r="K186">
        <v>22.2</v>
      </c>
      <c r="L186">
        <v>19.100000000000001</v>
      </c>
      <c r="M186">
        <v>25.9</v>
      </c>
      <c r="N186">
        <v>27.2</v>
      </c>
      <c r="O186">
        <v>25.6</v>
      </c>
      <c r="P186">
        <v>38.6</v>
      </c>
      <c r="Q186">
        <v>49.9</v>
      </c>
      <c r="R186">
        <v>52.7</v>
      </c>
      <c r="S186">
        <v>31</v>
      </c>
      <c r="T186">
        <v>38.700000000000003</v>
      </c>
      <c r="U186">
        <v>65.3</v>
      </c>
      <c r="V186">
        <v>-20.9</v>
      </c>
      <c r="W186" cm="1">
        <f t="array" ref="W186">_xlfn.IFS(OR(X186="N/A",X186="NA"),0,OR(X186="R64",X186="R68"),1,X186="R32",2,X186="S16",3,X186="E8",4,X186="F4",5,X186="2ND",6,X186="Champions",7)</f>
        <v>0</v>
      </c>
      <c r="X186" t="s">
        <v>90</v>
      </c>
      <c r="Y186" t="s">
        <v>90</v>
      </c>
      <c r="Z186">
        <v>2019</v>
      </c>
    </row>
    <row r="187" spans="1:26" x14ac:dyDescent="0.3">
      <c r="A187" t="s">
        <v>115</v>
      </c>
      <c r="B187" t="s">
        <v>112</v>
      </c>
      <c r="C187">
        <v>27</v>
      </c>
      <c r="D187">
        <v>5</v>
      </c>
      <c r="E187" s="1">
        <f t="shared" si="2"/>
        <v>0.18518518518518517</v>
      </c>
      <c r="F187">
        <v>83.7</v>
      </c>
      <c r="G187">
        <v>106.1</v>
      </c>
      <c r="H187">
        <v>6.13E-2</v>
      </c>
      <c r="I187">
        <v>44</v>
      </c>
      <c r="J187">
        <v>51.5</v>
      </c>
      <c r="K187">
        <v>18.399999999999999</v>
      </c>
      <c r="L187">
        <v>16.899999999999999</v>
      </c>
      <c r="M187">
        <v>21.5</v>
      </c>
      <c r="N187">
        <v>24.7</v>
      </c>
      <c r="O187">
        <v>21.9</v>
      </c>
      <c r="P187">
        <v>38</v>
      </c>
      <c r="Q187">
        <v>39.4</v>
      </c>
      <c r="R187">
        <v>52.1</v>
      </c>
      <c r="S187">
        <v>32.6</v>
      </c>
      <c r="T187">
        <v>33.6</v>
      </c>
      <c r="U187">
        <v>67.099999999999994</v>
      </c>
      <c r="V187">
        <v>-20.2</v>
      </c>
      <c r="W187" cm="1">
        <f t="array" ref="W187">_xlfn.IFS(OR(X187="N/A",X187="NA"),0,OR(X187="R64",X187="R68"),1,X187="R32",2,X187="S16",3,X187="E8",4,X187="F4",5,X187="2ND",6,X187="Champions",7)</f>
        <v>0</v>
      </c>
      <c r="X187" t="s">
        <v>90</v>
      </c>
      <c r="Y187" t="s">
        <v>90</v>
      </c>
      <c r="Z187">
        <v>2019</v>
      </c>
    </row>
    <row r="188" spans="1:26" x14ac:dyDescent="0.3">
      <c r="A188" t="s">
        <v>116</v>
      </c>
      <c r="B188" t="s">
        <v>112</v>
      </c>
      <c r="C188">
        <v>32</v>
      </c>
      <c r="D188">
        <v>24</v>
      </c>
      <c r="E188" s="1">
        <f t="shared" si="2"/>
        <v>0.75</v>
      </c>
      <c r="F188">
        <v>97.5</v>
      </c>
      <c r="G188">
        <v>99.6</v>
      </c>
      <c r="H188">
        <v>0.44069999999999998</v>
      </c>
      <c r="I188">
        <v>48.1</v>
      </c>
      <c r="J188">
        <v>46</v>
      </c>
      <c r="K188">
        <v>20.7</v>
      </c>
      <c r="L188">
        <v>18.600000000000001</v>
      </c>
      <c r="M188">
        <v>33.200000000000003</v>
      </c>
      <c r="N188">
        <v>26.1</v>
      </c>
      <c r="O188">
        <v>35.4</v>
      </c>
      <c r="P188">
        <v>36.200000000000003</v>
      </c>
      <c r="Q188">
        <v>47.7</v>
      </c>
      <c r="R188">
        <v>46.6</v>
      </c>
      <c r="S188">
        <v>32.6</v>
      </c>
      <c r="T188">
        <v>30.1</v>
      </c>
      <c r="U188">
        <v>70.7</v>
      </c>
      <c r="V188">
        <v>-3.8</v>
      </c>
      <c r="W188" cm="1">
        <f t="array" ref="W188">_xlfn.IFS(OR(X188="N/A",X188="NA"),0,OR(X188="R64",X188="R68"),1,X188="R32",2,X188="S16",3,X188="E8",4,X188="F4",5,X188="2ND",6,X188="Champions",7)</f>
        <v>0</v>
      </c>
      <c r="X188" t="s">
        <v>90</v>
      </c>
      <c r="Y188" t="s">
        <v>90</v>
      </c>
      <c r="Z188">
        <v>2019</v>
      </c>
    </row>
    <row r="189" spans="1:26" x14ac:dyDescent="0.3">
      <c r="A189" t="s">
        <v>117</v>
      </c>
      <c r="B189" t="s">
        <v>112</v>
      </c>
      <c r="C189">
        <v>30</v>
      </c>
      <c r="D189">
        <v>15</v>
      </c>
      <c r="E189" s="1">
        <f t="shared" si="2"/>
        <v>0.5</v>
      </c>
      <c r="F189">
        <v>101.7</v>
      </c>
      <c r="G189">
        <v>112.7</v>
      </c>
      <c r="H189">
        <v>0.23449999999999999</v>
      </c>
      <c r="I189">
        <v>53.7</v>
      </c>
      <c r="J189">
        <v>52</v>
      </c>
      <c r="K189">
        <v>19.600000000000001</v>
      </c>
      <c r="L189">
        <v>17.899999999999999</v>
      </c>
      <c r="M189">
        <v>27</v>
      </c>
      <c r="N189">
        <v>29.8</v>
      </c>
      <c r="O189">
        <v>34.1</v>
      </c>
      <c r="P189">
        <v>32.6</v>
      </c>
      <c r="Q189">
        <v>55.1</v>
      </c>
      <c r="R189">
        <v>54.7</v>
      </c>
      <c r="S189">
        <v>34.299999999999997</v>
      </c>
      <c r="T189">
        <v>31.6</v>
      </c>
      <c r="U189">
        <v>71.599999999999994</v>
      </c>
      <c r="V189">
        <v>-13</v>
      </c>
      <c r="W189" cm="1">
        <f t="array" ref="W189">_xlfn.IFS(OR(X189="N/A",X189="NA"),0,OR(X189="R64",X189="R68"),1,X189="R32",2,X189="S16",3,X189="E8",4,X189="F4",5,X189="2ND",6,X189="Champions",7)</f>
        <v>0</v>
      </c>
      <c r="X189" t="s">
        <v>90</v>
      </c>
      <c r="Y189" t="s">
        <v>90</v>
      </c>
      <c r="Z189">
        <v>2019</v>
      </c>
    </row>
    <row r="190" spans="1:26" x14ac:dyDescent="0.3">
      <c r="A190" t="s">
        <v>118</v>
      </c>
      <c r="B190" t="s">
        <v>112</v>
      </c>
      <c r="C190">
        <v>31</v>
      </c>
      <c r="D190">
        <v>21</v>
      </c>
      <c r="E190" s="1">
        <f t="shared" si="2"/>
        <v>0.67741935483870963</v>
      </c>
      <c r="F190">
        <v>94.8</v>
      </c>
      <c r="G190">
        <v>101.3</v>
      </c>
      <c r="H190">
        <v>0.31809999999999999</v>
      </c>
      <c r="I190">
        <v>48.4</v>
      </c>
      <c r="J190">
        <v>51.4</v>
      </c>
      <c r="K190">
        <v>18.3</v>
      </c>
      <c r="L190">
        <v>22.9</v>
      </c>
      <c r="M190">
        <v>24.5</v>
      </c>
      <c r="N190">
        <v>24.4</v>
      </c>
      <c r="O190">
        <v>31.1</v>
      </c>
      <c r="P190">
        <v>32.9</v>
      </c>
      <c r="Q190">
        <v>49.5</v>
      </c>
      <c r="R190">
        <v>51.8</v>
      </c>
      <c r="S190">
        <v>31.3</v>
      </c>
      <c r="T190">
        <v>34</v>
      </c>
      <c r="U190">
        <v>66.2</v>
      </c>
      <c r="V190">
        <v>-8.1</v>
      </c>
      <c r="W190" cm="1">
        <f t="array" ref="W190">_xlfn.IFS(OR(X190="N/A",X190="NA"),0,OR(X190="R64",X190="R68"),1,X190="R32",2,X190="S16",3,X190="E8",4,X190="F4",5,X190="2ND",6,X190="Champions",7)</f>
        <v>0</v>
      </c>
      <c r="X190" t="s">
        <v>90</v>
      </c>
      <c r="Y190" t="s">
        <v>90</v>
      </c>
      <c r="Z190">
        <v>2019</v>
      </c>
    </row>
    <row r="191" spans="1:26" x14ac:dyDescent="0.3">
      <c r="A191" t="s">
        <v>49</v>
      </c>
      <c r="B191" t="s">
        <v>50</v>
      </c>
      <c r="C191">
        <v>35</v>
      </c>
      <c r="D191">
        <v>20</v>
      </c>
      <c r="E191" s="1">
        <f t="shared" si="2"/>
        <v>0.5714285714285714</v>
      </c>
      <c r="F191">
        <v>105.3</v>
      </c>
      <c r="G191">
        <v>97.4</v>
      </c>
      <c r="H191">
        <v>0.71089999999999998</v>
      </c>
      <c r="I191">
        <v>50</v>
      </c>
      <c r="J191">
        <v>45.2</v>
      </c>
      <c r="K191">
        <v>18.600000000000001</v>
      </c>
      <c r="L191">
        <v>17.899999999999999</v>
      </c>
      <c r="M191">
        <v>30.2</v>
      </c>
      <c r="N191">
        <v>30.5</v>
      </c>
      <c r="O191">
        <v>32.299999999999997</v>
      </c>
      <c r="P191">
        <v>32.6</v>
      </c>
      <c r="Q191">
        <v>48.4</v>
      </c>
      <c r="R191">
        <v>42.8</v>
      </c>
      <c r="S191">
        <v>35.4</v>
      </c>
      <c r="T191">
        <v>33.200000000000003</v>
      </c>
      <c r="U191">
        <v>62.5</v>
      </c>
      <c r="V191">
        <v>-3.3</v>
      </c>
      <c r="W191" cm="1">
        <f t="array" ref="W191">_xlfn.IFS(OR(X191="N/A",X191="NA"),0,OR(X191="R64",X191="R68"),1,X191="R32",2,X191="S16",3,X191="E8",4,X191="F4",5,X191="2ND",6,X191="Champions",7)</f>
        <v>0</v>
      </c>
      <c r="X191" t="s">
        <v>90</v>
      </c>
      <c r="Y191" t="s">
        <v>90</v>
      </c>
      <c r="Z191">
        <v>2015</v>
      </c>
    </row>
    <row r="192" spans="1:26" x14ac:dyDescent="0.3">
      <c r="A192" t="s">
        <v>121</v>
      </c>
      <c r="B192" t="s">
        <v>50</v>
      </c>
      <c r="C192">
        <v>31</v>
      </c>
      <c r="D192">
        <v>12</v>
      </c>
      <c r="E192" s="1">
        <f t="shared" si="2"/>
        <v>0.38709677419354838</v>
      </c>
      <c r="F192">
        <v>102.2</v>
      </c>
      <c r="G192">
        <v>106.1</v>
      </c>
      <c r="H192">
        <v>0.39300000000000002</v>
      </c>
      <c r="I192">
        <v>48.4</v>
      </c>
      <c r="J192">
        <v>50.9</v>
      </c>
      <c r="K192">
        <v>18</v>
      </c>
      <c r="L192">
        <v>19.2</v>
      </c>
      <c r="M192">
        <v>28.2</v>
      </c>
      <c r="N192">
        <v>34.700000000000003</v>
      </c>
      <c r="O192">
        <v>29.9</v>
      </c>
      <c r="P192">
        <v>34.1</v>
      </c>
      <c r="Q192">
        <v>45.2</v>
      </c>
      <c r="R192">
        <v>53</v>
      </c>
      <c r="S192">
        <v>35.6</v>
      </c>
      <c r="T192">
        <v>31.6</v>
      </c>
      <c r="U192">
        <v>61.9</v>
      </c>
      <c r="V192">
        <v>-10.8</v>
      </c>
      <c r="W192" cm="1">
        <f t="array" ref="W192">_xlfn.IFS(OR(X192="N/A",X192="NA"),0,OR(X192="R64",X192="R68"),1,X192="R32",2,X192="S16",3,X192="E8",4,X192="F4",5,X192="2ND",6,X192="Champions",7)</f>
        <v>0</v>
      </c>
      <c r="X192" t="s">
        <v>90</v>
      </c>
      <c r="Y192" t="s">
        <v>90</v>
      </c>
      <c r="Z192">
        <v>2015</v>
      </c>
    </row>
    <row r="193" spans="1:26" x14ac:dyDescent="0.3">
      <c r="A193" t="s">
        <v>122</v>
      </c>
      <c r="B193" t="s">
        <v>50</v>
      </c>
      <c r="C193">
        <v>32</v>
      </c>
      <c r="D193">
        <v>13</v>
      </c>
      <c r="E193" s="1">
        <f t="shared" si="2"/>
        <v>0.40625</v>
      </c>
      <c r="F193">
        <v>100.9</v>
      </c>
      <c r="G193">
        <v>102.3</v>
      </c>
      <c r="H193">
        <v>0.45929999999999999</v>
      </c>
      <c r="I193">
        <v>46.5</v>
      </c>
      <c r="J193">
        <v>49.1</v>
      </c>
      <c r="K193">
        <v>20.5</v>
      </c>
      <c r="L193">
        <v>19.899999999999999</v>
      </c>
      <c r="M193">
        <v>33.6</v>
      </c>
      <c r="N193">
        <v>33.700000000000003</v>
      </c>
      <c r="O193">
        <v>31.5</v>
      </c>
      <c r="P193">
        <v>33.200000000000003</v>
      </c>
      <c r="Q193">
        <v>45.2</v>
      </c>
      <c r="R193">
        <v>48.4</v>
      </c>
      <c r="S193">
        <v>32</v>
      </c>
      <c r="T193">
        <v>33.700000000000003</v>
      </c>
      <c r="U193">
        <v>64.599999999999994</v>
      </c>
      <c r="V193">
        <v>-11.6</v>
      </c>
      <c r="W193" cm="1">
        <f t="array" ref="W193">_xlfn.IFS(OR(X193="N/A",X193="NA"),0,OR(X193="R64",X193="R68"),1,X193="R32",2,X193="S16",3,X193="E8",4,X193="F4",5,X193="2ND",6,X193="Champions",7)</f>
        <v>0</v>
      </c>
      <c r="X193" t="s">
        <v>90</v>
      </c>
      <c r="Y193" t="s">
        <v>90</v>
      </c>
      <c r="Z193">
        <v>2015</v>
      </c>
    </row>
    <row r="194" spans="1:26" x14ac:dyDescent="0.3">
      <c r="A194" t="s">
        <v>123</v>
      </c>
      <c r="B194" t="s">
        <v>50</v>
      </c>
      <c r="C194">
        <v>32</v>
      </c>
      <c r="D194">
        <v>18</v>
      </c>
      <c r="E194" s="1">
        <f t="shared" si="2"/>
        <v>0.5625</v>
      </c>
      <c r="F194">
        <v>104.7</v>
      </c>
      <c r="G194">
        <v>95.1</v>
      </c>
      <c r="H194">
        <v>0.75090000000000001</v>
      </c>
      <c r="I194">
        <v>48.4</v>
      </c>
      <c r="J194">
        <v>44.4</v>
      </c>
      <c r="K194">
        <v>20.2</v>
      </c>
      <c r="L194">
        <v>19.2</v>
      </c>
      <c r="M194">
        <v>37</v>
      </c>
      <c r="N194">
        <v>31.6</v>
      </c>
      <c r="O194">
        <v>31.6</v>
      </c>
      <c r="P194">
        <v>38.700000000000003</v>
      </c>
      <c r="Q194">
        <v>48.1</v>
      </c>
      <c r="R194">
        <v>43.8</v>
      </c>
      <c r="S194">
        <v>32.799999999999997</v>
      </c>
      <c r="T194">
        <v>30.4</v>
      </c>
      <c r="U194">
        <v>66.599999999999994</v>
      </c>
      <c r="V194">
        <v>-5.4</v>
      </c>
      <c r="W194" cm="1">
        <f t="array" ref="W194">_xlfn.IFS(OR(X194="N/A",X194="NA"),0,OR(X194="R64",X194="R68"),1,X194="R32",2,X194="S16",3,X194="E8",4,X194="F4",5,X194="2ND",6,X194="Champions",7)</f>
        <v>0</v>
      </c>
      <c r="X194" t="s">
        <v>90</v>
      </c>
      <c r="Y194" t="s">
        <v>90</v>
      </c>
      <c r="Z194">
        <v>2015</v>
      </c>
    </row>
    <row r="195" spans="1:26" x14ac:dyDescent="0.3">
      <c r="A195" t="s">
        <v>124</v>
      </c>
      <c r="B195" t="s">
        <v>50</v>
      </c>
      <c r="C195">
        <v>31</v>
      </c>
      <c r="D195">
        <v>8</v>
      </c>
      <c r="E195" s="1">
        <f t="shared" ref="E195:E258" si="3">D195/C195</f>
        <v>0.25806451612903225</v>
      </c>
      <c r="F195">
        <v>97.2</v>
      </c>
      <c r="G195">
        <v>105.4</v>
      </c>
      <c r="H195">
        <v>0.28120000000000001</v>
      </c>
      <c r="I195">
        <v>47.3</v>
      </c>
      <c r="J195">
        <v>49.1</v>
      </c>
      <c r="K195">
        <v>20.9</v>
      </c>
      <c r="L195">
        <v>18.8</v>
      </c>
      <c r="M195">
        <v>31.3</v>
      </c>
      <c r="N195">
        <v>34.799999999999997</v>
      </c>
      <c r="O195">
        <v>31.6</v>
      </c>
      <c r="P195">
        <v>42.5</v>
      </c>
      <c r="Q195">
        <v>47.7</v>
      </c>
      <c r="R195">
        <v>45.4</v>
      </c>
      <c r="S195">
        <v>30.9</v>
      </c>
      <c r="T195">
        <v>37.4</v>
      </c>
      <c r="U195">
        <v>64.400000000000006</v>
      </c>
      <c r="V195">
        <v>-14.5</v>
      </c>
      <c r="W195" cm="1">
        <f t="array" ref="W195">_xlfn.IFS(OR(X195="N/A",X195="NA"),0,OR(X195="R64",X195="R68"),1,X195="R32",2,X195="S16",3,X195="E8",4,X195="F4",5,X195="2ND",6,X195="Champions",7)</f>
        <v>0</v>
      </c>
      <c r="X195" t="s">
        <v>90</v>
      </c>
      <c r="Y195" t="s">
        <v>90</v>
      </c>
      <c r="Z195">
        <v>2015</v>
      </c>
    </row>
    <row r="196" spans="1:26" x14ac:dyDescent="0.3">
      <c r="A196" t="s">
        <v>125</v>
      </c>
      <c r="B196" t="s">
        <v>50</v>
      </c>
      <c r="C196">
        <v>37</v>
      </c>
      <c r="D196">
        <v>26</v>
      </c>
      <c r="E196" s="1">
        <f t="shared" si="3"/>
        <v>0.70270270270270274</v>
      </c>
      <c r="F196">
        <v>104.3</v>
      </c>
      <c r="G196">
        <v>92.3</v>
      </c>
      <c r="H196">
        <v>0.80289999999999995</v>
      </c>
      <c r="I196">
        <v>44.2</v>
      </c>
      <c r="J196">
        <v>44.5</v>
      </c>
      <c r="K196">
        <v>14.6</v>
      </c>
      <c r="L196">
        <v>18.8</v>
      </c>
      <c r="M196">
        <v>31.8</v>
      </c>
      <c r="N196">
        <v>29.2</v>
      </c>
      <c r="O196">
        <v>35.6</v>
      </c>
      <c r="P196">
        <v>33.5</v>
      </c>
      <c r="Q196">
        <v>43.4</v>
      </c>
      <c r="R196">
        <v>43.3</v>
      </c>
      <c r="S196">
        <v>30.4</v>
      </c>
      <c r="T196">
        <v>31.4</v>
      </c>
      <c r="U196">
        <v>65.900000000000006</v>
      </c>
      <c r="V196">
        <v>-0.4</v>
      </c>
      <c r="W196" cm="1">
        <f t="array" ref="W196">_xlfn.IFS(OR(X196="N/A",X196="NA"),0,OR(X196="R64",X196="R68"),1,X196="R32",2,X196="S16",3,X196="E8",4,X196="F4",5,X196="2ND",6,X196="Champions",7)</f>
        <v>0</v>
      </c>
      <c r="X196" t="s">
        <v>90</v>
      </c>
      <c r="Y196" t="s">
        <v>90</v>
      </c>
      <c r="Z196">
        <v>2015</v>
      </c>
    </row>
    <row r="197" spans="1:26" x14ac:dyDescent="0.3">
      <c r="A197" t="s">
        <v>126</v>
      </c>
      <c r="B197" t="s">
        <v>50</v>
      </c>
      <c r="C197">
        <v>30</v>
      </c>
      <c r="D197">
        <v>14</v>
      </c>
      <c r="E197" s="1">
        <f t="shared" si="3"/>
        <v>0.46666666666666667</v>
      </c>
      <c r="F197">
        <v>97.6</v>
      </c>
      <c r="G197">
        <v>101.8</v>
      </c>
      <c r="H197">
        <v>0.38090000000000002</v>
      </c>
      <c r="I197">
        <v>46.4</v>
      </c>
      <c r="J197">
        <v>49.9</v>
      </c>
      <c r="K197">
        <v>19.899999999999999</v>
      </c>
      <c r="L197">
        <v>20.3</v>
      </c>
      <c r="M197">
        <v>32.6</v>
      </c>
      <c r="N197">
        <v>29.3</v>
      </c>
      <c r="O197">
        <v>34.700000000000003</v>
      </c>
      <c r="P197">
        <v>36.1</v>
      </c>
      <c r="Q197">
        <v>45.5</v>
      </c>
      <c r="R197">
        <v>49.6</v>
      </c>
      <c r="S197">
        <v>32</v>
      </c>
      <c r="T197">
        <v>33.700000000000003</v>
      </c>
      <c r="U197">
        <v>63.7</v>
      </c>
      <c r="V197">
        <v>-8.9</v>
      </c>
      <c r="W197" cm="1">
        <f t="array" ref="W197">_xlfn.IFS(OR(X197="N/A",X197="NA"),0,OR(X197="R64",X197="R68"),1,X197="R32",2,X197="S16",3,X197="E8",4,X197="F4",5,X197="2ND",6,X197="Champions",7)</f>
        <v>0</v>
      </c>
      <c r="X197" t="s">
        <v>90</v>
      </c>
      <c r="Y197" t="s">
        <v>90</v>
      </c>
      <c r="Z197">
        <v>2015</v>
      </c>
    </row>
    <row r="198" spans="1:26" x14ac:dyDescent="0.3">
      <c r="A198" t="s">
        <v>127</v>
      </c>
      <c r="B198" t="s">
        <v>50</v>
      </c>
      <c r="C198">
        <v>33</v>
      </c>
      <c r="D198">
        <v>23</v>
      </c>
      <c r="E198" s="1">
        <f t="shared" si="3"/>
        <v>0.69696969696969702</v>
      </c>
      <c r="F198">
        <v>100.6</v>
      </c>
      <c r="G198">
        <v>92.9</v>
      </c>
      <c r="H198">
        <v>0.71599999999999997</v>
      </c>
      <c r="I198">
        <v>47.1</v>
      </c>
      <c r="J198">
        <v>45.5</v>
      </c>
      <c r="K198">
        <v>17.7</v>
      </c>
      <c r="L198">
        <v>19.7</v>
      </c>
      <c r="M198">
        <v>30.8</v>
      </c>
      <c r="N198">
        <v>28.5</v>
      </c>
      <c r="O198">
        <v>41.4</v>
      </c>
      <c r="P198">
        <v>30.9</v>
      </c>
      <c r="Q198">
        <v>46.5</v>
      </c>
      <c r="R198">
        <v>42.8</v>
      </c>
      <c r="S198">
        <v>32.299999999999997</v>
      </c>
      <c r="T198">
        <v>33.299999999999997</v>
      </c>
      <c r="U198">
        <v>64.3</v>
      </c>
      <c r="V198">
        <v>-0.4</v>
      </c>
      <c r="W198" cm="1">
        <f t="array" ref="W198">_xlfn.IFS(OR(X198="N/A",X198="NA"),0,OR(X198="R64",X198="R68"),1,X198="R32",2,X198="S16",3,X198="E8",4,X198="F4",5,X198="2ND",6,X198="Champions",7)</f>
        <v>0</v>
      </c>
      <c r="X198" t="s">
        <v>90</v>
      </c>
      <c r="Y198" t="s">
        <v>90</v>
      </c>
      <c r="Z198">
        <v>2015</v>
      </c>
    </row>
    <row r="199" spans="1:26" x14ac:dyDescent="0.3">
      <c r="A199" t="s">
        <v>128</v>
      </c>
      <c r="B199" t="s">
        <v>50</v>
      </c>
      <c r="C199">
        <v>29</v>
      </c>
      <c r="D199">
        <v>11</v>
      </c>
      <c r="E199" s="1">
        <f t="shared" si="3"/>
        <v>0.37931034482758619</v>
      </c>
      <c r="F199">
        <v>101</v>
      </c>
      <c r="G199">
        <v>109.4</v>
      </c>
      <c r="H199">
        <v>0.28520000000000001</v>
      </c>
      <c r="I199">
        <v>49.1</v>
      </c>
      <c r="J199">
        <v>51.3</v>
      </c>
      <c r="K199">
        <v>19.7</v>
      </c>
      <c r="L199">
        <v>15.8</v>
      </c>
      <c r="M199">
        <v>30.7</v>
      </c>
      <c r="N199">
        <v>36.799999999999997</v>
      </c>
      <c r="O199">
        <v>35.1</v>
      </c>
      <c r="P199">
        <v>27.2</v>
      </c>
      <c r="Q199">
        <v>47.6</v>
      </c>
      <c r="R199">
        <v>50.3</v>
      </c>
      <c r="S199">
        <v>34.5</v>
      </c>
      <c r="T199">
        <v>35.6</v>
      </c>
      <c r="U199">
        <v>64.599999999999994</v>
      </c>
      <c r="V199">
        <v>-11.2</v>
      </c>
      <c r="W199" cm="1">
        <f t="array" ref="W199">_xlfn.IFS(OR(X199="N/A",X199="NA"),0,OR(X199="R64",X199="R68"),1,X199="R32",2,X199="S16",3,X199="E8",4,X199="F4",5,X199="2ND",6,X199="Champions",7)</f>
        <v>0</v>
      </c>
      <c r="X199" t="s">
        <v>90</v>
      </c>
      <c r="Y199" t="s">
        <v>90</v>
      </c>
      <c r="Z199">
        <v>2015</v>
      </c>
    </row>
    <row r="200" spans="1:26" x14ac:dyDescent="0.3">
      <c r="A200" t="s">
        <v>121</v>
      </c>
      <c r="B200" t="s">
        <v>50</v>
      </c>
      <c r="C200">
        <v>32</v>
      </c>
      <c r="D200">
        <v>12</v>
      </c>
      <c r="E200" s="1">
        <f t="shared" si="3"/>
        <v>0.375</v>
      </c>
      <c r="F200">
        <v>102.3</v>
      </c>
      <c r="G200">
        <v>104.2</v>
      </c>
      <c r="H200">
        <v>0.44719999999999999</v>
      </c>
      <c r="I200">
        <v>49</v>
      </c>
      <c r="J200">
        <v>51.2</v>
      </c>
      <c r="K200">
        <v>19.399999999999999</v>
      </c>
      <c r="L200">
        <v>18.399999999999999</v>
      </c>
      <c r="M200">
        <v>28.8</v>
      </c>
      <c r="N200">
        <v>32.299999999999997</v>
      </c>
      <c r="O200">
        <v>34.6</v>
      </c>
      <c r="P200">
        <v>26.8</v>
      </c>
      <c r="Q200">
        <v>47.8</v>
      </c>
      <c r="R200">
        <v>52.2</v>
      </c>
      <c r="S200">
        <v>33.9</v>
      </c>
      <c r="T200">
        <v>33.1</v>
      </c>
      <c r="U200">
        <v>68</v>
      </c>
      <c r="V200">
        <v>-10.6</v>
      </c>
      <c r="W200" cm="1">
        <f t="array" ref="W200">_xlfn.IFS(OR(X200="N/A",X200="NA"),0,OR(X200="R64",X200="R68"),1,X200="R32",2,X200="S16",3,X200="E8",4,X200="F4",5,X200="2ND",6,X200="Champions",7)</f>
        <v>0</v>
      </c>
      <c r="X200" t="s">
        <v>90</v>
      </c>
      <c r="Y200" t="s">
        <v>90</v>
      </c>
      <c r="Z200">
        <v>2016</v>
      </c>
    </row>
    <row r="201" spans="1:26" x14ac:dyDescent="0.3">
      <c r="A201" t="s">
        <v>122</v>
      </c>
      <c r="B201" t="s">
        <v>50</v>
      </c>
      <c r="C201">
        <v>32</v>
      </c>
      <c r="D201">
        <v>22</v>
      </c>
      <c r="E201" s="1">
        <f t="shared" si="3"/>
        <v>0.6875</v>
      </c>
      <c r="F201">
        <v>116.2</v>
      </c>
      <c r="G201">
        <v>104.6</v>
      </c>
      <c r="H201">
        <v>0.77029999999999998</v>
      </c>
      <c r="I201">
        <v>52.2</v>
      </c>
      <c r="J201">
        <v>47.3</v>
      </c>
      <c r="K201">
        <v>15.4</v>
      </c>
      <c r="L201">
        <v>18.399999999999999</v>
      </c>
      <c r="M201">
        <v>35.799999999999997</v>
      </c>
      <c r="N201">
        <v>33.299999999999997</v>
      </c>
      <c r="O201">
        <v>34.4</v>
      </c>
      <c r="P201">
        <v>36</v>
      </c>
      <c r="Q201">
        <v>52.1</v>
      </c>
      <c r="R201">
        <v>48.3</v>
      </c>
      <c r="S201">
        <v>34.799999999999997</v>
      </c>
      <c r="T201">
        <v>30.3</v>
      </c>
      <c r="U201">
        <v>67.3</v>
      </c>
      <c r="V201">
        <v>-1.2</v>
      </c>
      <c r="W201" cm="1">
        <f t="array" ref="W201">_xlfn.IFS(OR(X201="N/A",X201="NA"),0,OR(X201="R64",X201="R68"),1,X201="R32",2,X201="S16",3,X201="E8",4,X201="F4",5,X201="2ND",6,X201="Champions",7)</f>
        <v>0</v>
      </c>
      <c r="X201" t="s">
        <v>90</v>
      </c>
      <c r="Y201" t="s">
        <v>90</v>
      </c>
      <c r="Z201">
        <v>2016</v>
      </c>
    </row>
    <row r="202" spans="1:26" x14ac:dyDescent="0.3">
      <c r="A202" t="s">
        <v>123</v>
      </c>
      <c r="B202" t="s">
        <v>50</v>
      </c>
      <c r="C202">
        <v>34</v>
      </c>
      <c r="D202">
        <v>19</v>
      </c>
      <c r="E202" s="1">
        <f t="shared" si="3"/>
        <v>0.55882352941176472</v>
      </c>
      <c r="F202">
        <v>105.9</v>
      </c>
      <c r="G202">
        <v>96.4</v>
      </c>
      <c r="H202">
        <v>0.74639999999999995</v>
      </c>
      <c r="I202">
        <v>46.1</v>
      </c>
      <c r="J202">
        <v>44.9</v>
      </c>
      <c r="K202">
        <v>16.399999999999999</v>
      </c>
      <c r="L202">
        <v>18.899999999999999</v>
      </c>
      <c r="M202">
        <v>32.4</v>
      </c>
      <c r="N202">
        <v>29.6</v>
      </c>
      <c r="O202">
        <v>41.9</v>
      </c>
      <c r="P202">
        <v>38.4</v>
      </c>
      <c r="Q202">
        <v>45.1</v>
      </c>
      <c r="R202">
        <v>44.6</v>
      </c>
      <c r="S202">
        <v>32.4</v>
      </c>
      <c r="T202">
        <v>30.5</v>
      </c>
      <c r="U202">
        <v>74.400000000000006</v>
      </c>
      <c r="V202">
        <v>-5.6</v>
      </c>
      <c r="W202" cm="1">
        <f t="array" ref="W202">_xlfn.IFS(OR(X202="N/A",X202="NA"),0,OR(X202="R64",X202="R68"),1,X202="R32",2,X202="S16",3,X202="E8",4,X202="F4",5,X202="2ND",6,X202="Champions",7)</f>
        <v>0</v>
      </c>
      <c r="X202" t="s">
        <v>90</v>
      </c>
      <c r="Y202" t="s">
        <v>90</v>
      </c>
      <c r="Z202">
        <v>2016</v>
      </c>
    </row>
    <row r="203" spans="1:26" x14ac:dyDescent="0.3">
      <c r="A203" t="s">
        <v>129</v>
      </c>
      <c r="B203" t="s">
        <v>50</v>
      </c>
      <c r="C203">
        <v>30</v>
      </c>
      <c r="D203">
        <v>25</v>
      </c>
      <c r="E203" s="1">
        <f t="shared" si="3"/>
        <v>0.83333333333333337</v>
      </c>
      <c r="F203">
        <v>117.2</v>
      </c>
      <c r="G203">
        <v>97.1</v>
      </c>
      <c r="H203">
        <v>0.89739999999999998</v>
      </c>
      <c r="I203">
        <v>55.3</v>
      </c>
      <c r="J203">
        <v>46.6</v>
      </c>
      <c r="K203">
        <v>18.8</v>
      </c>
      <c r="L203">
        <v>18.3</v>
      </c>
      <c r="M203">
        <v>41.2</v>
      </c>
      <c r="N203">
        <v>28.5</v>
      </c>
      <c r="O203">
        <v>33.799999999999997</v>
      </c>
      <c r="P203">
        <v>30.4</v>
      </c>
      <c r="Q203">
        <v>52.5</v>
      </c>
      <c r="R203">
        <v>44.6</v>
      </c>
      <c r="S203">
        <v>42</v>
      </c>
      <c r="T203">
        <v>33.1</v>
      </c>
      <c r="U203">
        <v>66.599999999999994</v>
      </c>
      <c r="V203">
        <v>3.6</v>
      </c>
      <c r="W203" cm="1">
        <f t="array" ref="W203">_xlfn.IFS(OR(X203="N/A",X203="NA"),0,OR(X203="R64",X203="R68"),1,X203="R32",2,X203="S16",3,X203="E8",4,X203="F4",5,X203="2ND",6,X203="Champions",7)</f>
        <v>0</v>
      </c>
      <c r="X203" t="s">
        <v>90</v>
      </c>
      <c r="Y203" t="s">
        <v>90</v>
      </c>
      <c r="Z203">
        <v>2016</v>
      </c>
    </row>
    <row r="204" spans="1:26" x14ac:dyDescent="0.3">
      <c r="A204" t="s">
        <v>124</v>
      </c>
      <c r="B204" t="s">
        <v>50</v>
      </c>
      <c r="C204">
        <v>33</v>
      </c>
      <c r="D204">
        <v>8</v>
      </c>
      <c r="E204" s="1">
        <f t="shared" si="3"/>
        <v>0.24242424242424243</v>
      </c>
      <c r="F204">
        <v>97.6</v>
      </c>
      <c r="G204">
        <v>103.8</v>
      </c>
      <c r="H204">
        <v>0.33119999999999999</v>
      </c>
      <c r="I204">
        <v>45.4</v>
      </c>
      <c r="J204">
        <v>47.2</v>
      </c>
      <c r="K204">
        <v>21.9</v>
      </c>
      <c r="L204">
        <v>14.3</v>
      </c>
      <c r="M204">
        <v>34.6</v>
      </c>
      <c r="N204">
        <v>32.5</v>
      </c>
      <c r="O204">
        <v>33</v>
      </c>
      <c r="P204">
        <v>35.6</v>
      </c>
      <c r="Q204">
        <v>46.2</v>
      </c>
      <c r="R204">
        <v>46.9</v>
      </c>
      <c r="S204">
        <v>28.6</v>
      </c>
      <c r="T204">
        <v>31.9</v>
      </c>
      <c r="U204">
        <v>67.7</v>
      </c>
      <c r="V204">
        <v>-14.8</v>
      </c>
      <c r="W204" cm="1">
        <f t="array" ref="W204">_xlfn.IFS(OR(X204="N/A",X204="NA"),0,OR(X204="R64",X204="R68"),1,X204="R32",2,X204="S16",3,X204="E8",4,X204="F4",5,X204="2ND",6,X204="Champions",7)</f>
        <v>0</v>
      </c>
      <c r="X204" t="s">
        <v>90</v>
      </c>
      <c r="Y204" t="s">
        <v>90</v>
      </c>
      <c r="Z204">
        <v>2016</v>
      </c>
    </row>
    <row r="205" spans="1:26" x14ac:dyDescent="0.3">
      <c r="A205" t="s">
        <v>126</v>
      </c>
      <c r="B205" t="s">
        <v>50</v>
      </c>
      <c r="C205">
        <v>34</v>
      </c>
      <c r="D205">
        <v>13</v>
      </c>
      <c r="E205" s="1">
        <f t="shared" si="3"/>
        <v>0.38235294117647056</v>
      </c>
      <c r="F205">
        <v>96.8</v>
      </c>
      <c r="G205">
        <v>99.9</v>
      </c>
      <c r="H205">
        <v>0.4118</v>
      </c>
      <c r="I205">
        <v>45.4</v>
      </c>
      <c r="J205">
        <v>48.4</v>
      </c>
      <c r="K205">
        <v>19.5</v>
      </c>
      <c r="L205">
        <v>18.399999999999999</v>
      </c>
      <c r="M205">
        <v>32.1</v>
      </c>
      <c r="N205">
        <v>29.8</v>
      </c>
      <c r="O205">
        <v>31.3</v>
      </c>
      <c r="P205">
        <v>36.200000000000003</v>
      </c>
      <c r="Q205">
        <v>45.5</v>
      </c>
      <c r="R205">
        <v>46.4</v>
      </c>
      <c r="S205">
        <v>30.1</v>
      </c>
      <c r="T205">
        <v>35.200000000000003</v>
      </c>
      <c r="U205">
        <v>68.5</v>
      </c>
      <c r="V205">
        <v>-11.1</v>
      </c>
      <c r="W205" cm="1">
        <f t="array" ref="W205">_xlfn.IFS(OR(X205="N/A",X205="NA"),0,OR(X205="R64",X205="R68"),1,X205="R32",2,X205="S16",3,X205="E8",4,X205="F4",5,X205="2ND",6,X205="Champions",7)</f>
        <v>0</v>
      </c>
      <c r="X205" t="s">
        <v>90</v>
      </c>
      <c r="Y205" t="s">
        <v>90</v>
      </c>
      <c r="Z205">
        <v>2016</v>
      </c>
    </row>
    <row r="206" spans="1:26" x14ac:dyDescent="0.3">
      <c r="A206" t="s">
        <v>128</v>
      </c>
      <c r="B206" t="s">
        <v>50</v>
      </c>
      <c r="C206">
        <v>30</v>
      </c>
      <c r="D206">
        <v>12</v>
      </c>
      <c r="E206" s="1">
        <f t="shared" si="3"/>
        <v>0.4</v>
      </c>
      <c r="F206">
        <v>99.9</v>
      </c>
      <c r="G206">
        <v>102.1</v>
      </c>
      <c r="H206">
        <v>0.43759999999999999</v>
      </c>
      <c r="I206">
        <v>49.2</v>
      </c>
      <c r="J206">
        <v>47.1</v>
      </c>
      <c r="K206">
        <v>21.3</v>
      </c>
      <c r="L206">
        <v>13.4</v>
      </c>
      <c r="M206">
        <v>31.3</v>
      </c>
      <c r="N206">
        <v>30.5</v>
      </c>
      <c r="O206">
        <v>37.200000000000003</v>
      </c>
      <c r="P206">
        <v>25.1</v>
      </c>
      <c r="Q206">
        <v>50.1</v>
      </c>
      <c r="R206">
        <v>46.4</v>
      </c>
      <c r="S206">
        <v>31.8</v>
      </c>
      <c r="T206">
        <v>32.299999999999997</v>
      </c>
      <c r="U206">
        <v>68.599999999999994</v>
      </c>
      <c r="V206">
        <v>-10.1</v>
      </c>
      <c r="W206" cm="1">
        <f t="array" ref="W206">_xlfn.IFS(OR(X206="N/A",X206="NA"),0,OR(X206="R64",X206="R68"),1,X206="R32",2,X206="S16",3,X206="E8",4,X206="F4",5,X206="2ND",6,X206="Champions",7)</f>
        <v>0</v>
      </c>
      <c r="X206" t="s">
        <v>90</v>
      </c>
      <c r="Y206" t="s">
        <v>90</v>
      </c>
      <c r="Z206">
        <v>2016</v>
      </c>
    </row>
    <row r="207" spans="1:26" x14ac:dyDescent="0.3">
      <c r="A207" t="s">
        <v>49</v>
      </c>
      <c r="B207" t="s">
        <v>50</v>
      </c>
      <c r="C207">
        <v>32</v>
      </c>
      <c r="D207">
        <v>16</v>
      </c>
      <c r="E207" s="1">
        <f t="shared" si="3"/>
        <v>0.5</v>
      </c>
      <c r="F207">
        <v>105.6</v>
      </c>
      <c r="G207">
        <v>98.3</v>
      </c>
      <c r="H207">
        <v>0.69369999999999998</v>
      </c>
      <c r="I207">
        <v>48.5</v>
      </c>
      <c r="J207">
        <v>45.6</v>
      </c>
      <c r="K207">
        <v>18.7</v>
      </c>
      <c r="L207">
        <v>16.100000000000001</v>
      </c>
      <c r="M207">
        <v>29.9</v>
      </c>
      <c r="N207">
        <v>30.5</v>
      </c>
      <c r="O207">
        <v>34.5</v>
      </c>
      <c r="P207">
        <v>32</v>
      </c>
      <c r="Q207">
        <v>46.1</v>
      </c>
      <c r="R207">
        <v>43</v>
      </c>
      <c r="S207">
        <v>35.4</v>
      </c>
      <c r="T207">
        <v>33</v>
      </c>
      <c r="U207">
        <v>66.099999999999994</v>
      </c>
      <c r="V207">
        <v>-5.6</v>
      </c>
      <c r="W207" cm="1">
        <f t="array" ref="W207">_xlfn.IFS(OR(X207="N/A",X207="NA"),0,OR(X207="R64",X207="R68"),1,X207="R32",2,X207="S16",3,X207="E8",4,X207="F4",5,X207="2ND",6,X207="Champions",7)</f>
        <v>0</v>
      </c>
      <c r="X207" t="s">
        <v>90</v>
      </c>
      <c r="Y207" t="s">
        <v>90</v>
      </c>
      <c r="Z207">
        <v>2017</v>
      </c>
    </row>
    <row r="208" spans="1:26" x14ac:dyDescent="0.3">
      <c r="A208" t="s">
        <v>121</v>
      </c>
      <c r="B208" t="s">
        <v>50</v>
      </c>
      <c r="C208">
        <v>33</v>
      </c>
      <c r="D208">
        <v>15</v>
      </c>
      <c r="E208" s="1">
        <f t="shared" si="3"/>
        <v>0.45454545454545453</v>
      </c>
      <c r="F208">
        <v>96.6</v>
      </c>
      <c r="G208">
        <v>97.1</v>
      </c>
      <c r="H208">
        <v>0.48430000000000001</v>
      </c>
      <c r="I208">
        <v>45.8</v>
      </c>
      <c r="J208">
        <v>44.7</v>
      </c>
      <c r="K208">
        <v>20.8</v>
      </c>
      <c r="L208">
        <v>17</v>
      </c>
      <c r="M208">
        <v>30.7</v>
      </c>
      <c r="N208">
        <v>31.1</v>
      </c>
      <c r="O208">
        <v>37.4</v>
      </c>
      <c r="P208">
        <v>27.2</v>
      </c>
      <c r="Q208">
        <v>44.5</v>
      </c>
      <c r="R208">
        <v>42.6</v>
      </c>
      <c r="S208">
        <v>32</v>
      </c>
      <c r="T208">
        <v>32.5</v>
      </c>
      <c r="U208">
        <v>68.3</v>
      </c>
      <c r="V208">
        <v>-8.4</v>
      </c>
      <c r="W208" cm="1">
        <f t="array" ref="W208">_xlfn.IFS(OR(X208="N/A",X208="NA"),0,OR(X208="R64",X208="R68"),1,X208="R32",2,X208="S16",3,X208="E8",4,X208="F4",5,X208="2ND",6,X208="Champions",7)</f>
        <v>0</v>
      </c>
      <c r="X208" t="s">
        <v>90</v>
      </c>
      <c r="Y208" t="s">
        <v>90</v>
      </c>
      <c r="Z208">
        <v>2017</v>
      </c>
    </row>
    <row r="209" spans="1:26" x14ac:dyDescent="0.3">
      <c r="A209" t="s">
        <v>122</v>
      </c>
      <c r="B209" t="s">
        <v>50</v>
      </c>
      <c r="C209">
        <v>32</v>
      </c>
      <c r="D209">
        <v>22</v>
      </c>
      <c r="E209" s="1">
        <f t="shared" si="3"/>
        <v>0.6875</v>
      </c>
      <c r="F209">
        <v>112.8</v>
      </c>
      <c r="G209">
        <v>98.1</v>
      </c>
      <c r="H209">
        <v>0.83330000000000004</v>
      </c>
      <c r="I209">
        <v>51.7</v>
      </c>
      <c r="J209">
        <v>47.1</v>
      </c>
      <c r="K209">
        <v>14.9</v>
      </c>
      <c r="L209">
        <v>20.7</v>
      </c>
      <c r="M209">
        <v>31.8</v>
      </c>
      <c r="N209">
        <v>30.7</v>
      </c>
      <c r="O209">
        <v>28.6</v>
      </c>
      <c r="P209">
        <v>36.799999999999997</v>
      </c>
      <c r="Q209">
        <v>47.7</v>
      </c>
      <c r="R209">
        <v>45.7</v>
      </c>
      <c r="S209">
        <v>39.4</v>
      </c>
      <c r="T209">
        <v>32.9</v>
      </c>
      <c r="U209">
        <v>66.599999999999994</v>
      </c>
      <c r="V209">
        <v>-0.9</v>
      </c>
      <c r="W209" cm="1">
        <f t="array" ref="W209">_xlfn.IFS(OR(X209="N/A",X209="NA"),0,OR(X209="R64",X209="R68"),1,X209="R32",2,X209="S16",3,X209="E8",4,X209="F4",5,X209="2ND",6,X209="Champions",7)</f>
        <v>0</v>
      </c>
      <c r="X209" t="s">
        <v>90</v>
      </c>
      <c r="Y209" t="s">
        <v>90</v>
      </c>
      <c r="Z209">
        <v>2017</v>
      </c>
    </row>
    <row r="210" spans="1:26" x14ac:dyDescent="0.3">
      <c r="A210" t="s">
        <v>123</v>
      </c>
      <c r="B210" t="s">
        <v>50</v>
      </c>
      <c r="C210">
        <v>32</v>
      </c>
      <c r="D210">
        <v>19</v>
      </c>
      <c r="E210" s="1">
        <f t="shared" si="3"/>
        <v>0.59375</v>
      </c>
      <c r="F210">
        <v>105.8</v>
      </c>
      <c r="G210">
        <v>100.5</v>
      </c>
      <c r="H210">
        <v>0.64419999999999999</v>
      </c>
      <c r="I210">
        <v>48.9</v>
      </c>
      <c r="J210">
        <v>48.8</v>
      </c>
      <c r="K210">
        <v>16.3</v>
      </c>
      <c r="L210">
        <v>19.3</v>
      </c>
      <c r="M210">
        <v>31.6</v>
      </c>
      <c r="N210">
        <v>30.6</v>
      </c>
      <c r="O210">
        <v>36.700000000000003</v>
      </c>
      <c r="P210">
        <v>33.200000000000003</v>
      </c>
      <c r="Q210">
        <v>51.1</v>
      </c>
      <c r="R210">
        <v>47.7</v>
      </c>
      <c r="S210">
        <v>29.5</v>
      </c>
      <c r="T210">
        <v>33.700000000000003</v>
      </c>
      <c r="U210">
        <v>70</v>
      </c>
      <c r="V210">
        <v>-3.4</v>
      </c>
      <c r="W210" cm="1">
        <f t="array" ref="W210">_xlfn.IFS(OR(X210="N/A",X210="NA"),0,OR(X210="R64",X210="R68"),1,X210="R32",2,X210="S16",3,X210="E8",4,X210="F4",5,X210="2ND",6,X210="Champions",7)</f>
        <v>0</v>
      </c>
      <c r="X210" t="s">
        <v>90</v>
      </c>
      <c r="Y210" t="s">
        <v>90</v>
      </c>
      <c r="Z210">
        <v>2017</v>
      </c>
    </row>
    <row r="211" spans="1:26" x14ac:dyDescent="0.3">
      <c r="A211" t="s">
        <v>124</v>
      </c>
      <c r="B211" t="s">
        <v>50</v>
      </c>
      <c r="C211">
        <v>30</v>
      </c>
      <c r="D211">
        <v>7</v>
      </c>
      <c r="E211" s="1">
        <f t="shared" si="3"/>
        <v>0.23333333333333334</v>
      </c>
      <c r="F211">
        <v>96.5</v>
      </c>
      <c r="G211">
        <v>106.2</v>
      </c>
      <c r="H211">
        <v>0.25040000000000001</v>
      </c>
      <c r="I211">
        <v>47.7</v>
      </c>
      <c r="J211">
        <v>51</v>
      </c>
      <c r="K211">
        <v>23.5</v>
      </c>
      <c r="L211">
        <v>19.100000000000001</v>
      </c>
      <c r="M211">
        <v>30.6</v>
      </c>
      <c r="N211">
        <v>34</v>
      </c>
      <c r="O211">
        <v>30.7</v>
      </c>
      <c r="P211">
        <v>40.1</v>
      </c>
      <c r="Q211">
        <v>45.9</v>
      </c>
      <c r="R211">
        <v>45.1</v>
      </c>
      <c r="S211">
        <v>34.6</v>
      </c>
      <c r="T211">
        <v>39.6</v>
      </c>
      <c r="U211">
        <v>70.099999999999994</v>
      </c>
      <c r="V211">
        <v>-14.7</v>
      </c>
      <c r="W211" cm="1">
        <f t="array" ref="W211">_xlfn.IFS(OR(X211="N/A",X211="NA"),0,OR(X211="R64",X211="R68"),1,X211="R32",2,X211="S16",3,X211="E8",4,X211="F4",5,X211="2ND",6,X211="Champions",7)</f>
        <v>0</v>
      </c>
      <c r="X211" t="s">
        <v>90</v>
      </c>
      <c r="Y211" t="s">
        <v>90</v>
      </c>
      <c r="Z211">
        <v>2017</v>
      </c>
    </row>
    <row r="212" spans="1:26" x14ac:dyDescent="0.3">
      <c r="A212" t="s">
        <v>125</v>
      </c>
      <c r="B212" t="s">
        <v>50</v>
      </c>
      <c r="C212">
        <v>32</v>
      </c>
      <c r="D212">
        <v>16</v>
      </c>
      <c r="E212" s="1">
        <f t="shared" si="3"/>
        <v>0.5</v>
      </c>
      <c r="F212">
        <v>107.9</v>
      </c>
      <c r="G212">
        <v>102.4</v>
      </c>
      <c r="H212">
        <v>0.64610000000000001</v>
      </c>
      <c r="I212">
        <v>49.7</v>
      </c>
      <c r="J212">
        <v>49.1</v>
      </c>
      <c r="K212">
        <v>16.600000000000001</v>
      </c>
      <c r="L212">
        <v>18.3</v>
      </c>
      <c r="M212">
        <v>27.5</v>
      </c>
      <c r="N212">
        <v>32.200000000000003</v>
      </c>
      <c r="O212">
        <v>26.4</v>
      </c>
      <c r="P212">
        <v>32.1</v>
      </c>
      <c r="Q212">
        <v>47</v>
      </c>
      <c r="R212">
        <v>47.7</v>
      </c>
      <c r="S212">
        <v>35.6</v>
      </c>
      <c r="T212">
        <v>34.299999999999997</v>
      </c>
      <c r="U212">
        <v>68.7</v>
      </c>
      <c r="V212">
        <v>-5.8</v>
      </c>
      <c r="W212" cm="1">
        <f t="array" ref="W212">_xlfn.IFS(OR(X212="N/A",X212="NA"),0,OR(X212="R64",X212="R68"),1,X212="R32",2,X212="S16",3,X212="E8",4,X212="F4",5,X212="2ND",6,X212="Champions",7)</f>
        <v>0</v>
      </c>
      <c r="X212" t="s">
        <v>90</v>
      </c>
      <c r="Y212" t="s">
        <v>90</v>
      </c>
      <c r="Z212">
        <v>2017</v>
      </c>
    </row>
    <row r="213" spans="1:26" x14ac:dyDescent="0.3">
      <c r="A213" t="s">
        <v>126</v>
      </c>
      <c r="B213" t="s">
        <v>50</v>
      </c>
      <c r="C213">
        <v>31</v>
      </c>
      <c r="D213">
        <v>6</v>
      </c>
      <c r="E213" s="1">
        <f t="shared" si="3"/>
        <v>0.19354838709677419</v>
      </c>
      <c r="F213">
        <v>103.3</v>
      </c>
      <c r="G213">
        <v>106.5</v>
      </c>
      <c r="H213">
        <v>0.41289999999999999</v>
      </c>
      <c r="I213">
        <v>46.4</v>
      </c>
      <c r="J213">
        <v>53.7</v>
      </c>
      <c r="K213">
        <v>18.8</v>
      </c>
      <c r="L213">
        <v>19.7</v>
      </c>
      <c r="M213">
        <v>29.3</v>
      </c>
      <c r="N213">
        <v>32.5</v>
      </c>
      <c r="O213">
        <v>34.299999999999997</v>
      </c>
      <c r="P213">
        <v>40.799999999999997</v>
      </c>
      <c r="Q213">
        <v>45.2</v>
      </c>
      <c r="R213">
        <v>51.9</v>
      </c>
      <c r="S213">
        <v>32.4</v>
      </c>
      <c r="T213">
        <v>38.1</v>
      </c>
      <c r="U213">
        <v>72</v>
      </c>
      <c r="V213">
        <v>-15.5</v>
      </c>
      <c r="W213" cm="1">
        <f t="array" ref="W213">_xlfn.IFS(OR(X213="N/A",X213="NA"),0,OR(X213="R64",X213="R68"),1,X213="R32",2,X213="S16",3,X213="E8",4,X213="F4",5,X213="2ND",6,X213="Champions",7)</f>
        <v>0</v>
      </c>
      <c r="X213" t="s">
        <v>90</v>
      </c>
      <c r="Y213" t="s">
        <v>90</v>
      </c>
      <c r="Z213">
        <v>2017</v>
      </c>
    </row>
    <row r="214" spans="1:26" x14ac:dyDescent="0.3">
      <c r="A214" t="s">
        <v>127</v>
      </c>
      <c r="B214" t="s">
        <v>50</v>
      </c>
      <c r="C214">
        <v>32</v>
      </c>
      <c r="D214">
        <v>15</v>
      </c>
      <c r="E214" s="1">
        <f t="shared" si="3"/>
        <v>0.46875</v>
      </c>
      <c r="F214">
        <v>103.7</v>
      </c>
      <c r="G214">
        <v>102.3</v>
      </c>
      <c r="H214">
        <v>0.53949999999999998</v>
      </c>
      <c r="I214">
        <v>48.9</v>
      </c>
      <c r="J214">
        <v>50.4</v>
      </c>
      <c r="K214">
        <v>21.8</v>
      </c>
      <c r="L214">
        <v>18.399999999999999</v>
      </c>
      <c r="M214">
        <v>29.5</v>
      </c>
      <c r="N214">
        <v>28.3</v>
      </c>
      <c r="O214">
        <v>42.8</v>
      </c>
      <c r="P214">
        <v>33.1</v>
      </c>
      <c r="Q214">
        <v>47.2</v>
      </c>
      <c r="R214">
        <v>48.2</v>
      </c>
      <c r="S214">
        <v>34.299999999999997</v>
      </c>
      <c r="T214">
        <v>35.9</v>
      </c>
      <c r="U214">
        <v>69.599999999999994</v>
      </c>
      <c r="V214">
        <v>-6.2</v>
      </c>
      <c r="W214" cm="1">
        <f t="array" ref="W214">_xlfn.IFS(OR(X214="N/A",X214="NA"),0,OR(X214="R64",X214="R68"),1,X214="R32",2,X214="S16",3,X214="E8",4,X214="F4",5,X214="2ND",6,X214="Champions",7)</f>
        <v>0</v>
      </c>
      <c r="X214" t="s">
        <v>90</v>
      </c>
      <c r="Y214" t="s">
        <v>90</v>
      </c>
      <c r="Z214">
        <v>2017</v>
      </c>
    </row>
    <row r="215" spans="1:26" x14ac:dyDescent="0.3">
      <c r="A215" t="s">
        <v>128</v>
      </c>
      <c r="B215" t="s">
        <v>50</v>
      </c>
      <c r="C215">
        <v>36</v>
      </c>
      <c r="D215">
        <v>24</v>
      </c>
      <c r="E215" s="1">
        <f t="shared" si="3"/>
        <v>0.66666666666666663</v>
      </c>
      <c r="F215">
        <v>103.8</v>
      </c>
      <c r="G215">
        <v>92.1</v>
      </c>
      <c r="H215">
        <v>0.79749999999999999</v>
      </c>
      <c r="I215">
        <v>50.4</v>
      </c>
      <c r="J215">
        <v>42.7</v>
      </c>
      <c r="K215">
        <v>22</v>
      </c>
      <c r="L215">
        <v>14.7</v>
      </c>
      <c r="M215">
        <v>32.6</v>
      </c>
      <c r="N215">
        <v>25.5</v>
      </c>
      <c r="O215">
        <v>39.9</v>
      </c>
      <c r="P215">
        <v>22.3</v>
      </c>
      <c r="Q215">
        <v>48.9</v>
      </c>
      <c r="R215">
        <v>39.9</v>
      </c>
      <c r="S215">
        <v>35.200000000000003</v>
      </c>
      <c r="T215">
        <v>31.3</v>
      </c>
      <c r="U215">
        <v>67.099999999999994</v>
      </c>
      <c r="V215">
        <v>-1.8</v>
      </c>
      <c r="W215" cm="1">
        <f t="array" ref="W215">_xlfn.IFS(OR(X215="N/A",X215="NA"),0,OR(X215="R64",X215="R68"),1,X215="R32",2,X215="S16",3,X215="E8",4,X215="F4",5,X215="2ND",6,X215="Champions",7)</f>
        <v>0</v>
      </c>
      <c r="X215" t="s">
        <v>90</v>
      </c>
      <c r="Y215" t="s">
        <v>90</v>
      </c>
      <c r="Z215">
        <v>2017</v>
      </c>
    </row>
    <row r="216" spans="1:26" x14ac:dyDescent="0.3">
      <c r="A216" t="s">
        <v>49</v>
      </c>
      <c r="B216" t="s">
        <v>50</v>
      </c>
      <c r="C216">
        <v>32</v>
      </c>
      <c r="D216">
        <v>14</v>
      </c>
      <c r="E216" s="1">
        <f t="shared" si="3"/>
        <v>0.4375</v>
      </c>
      <c r="F216">
        <v>104.1</v>
      </c>
      <c r="G216">
        <v>105.8</v>
      </c>
      <c r="H216">
        <v>0.45490000000000003</v>
      </c>
      <c r="I216">
        <v>47.5</v>
      </c>
      <c r="J216">
        <v>51.1</v>
      </c>
      <c r="K216">
        <v>18.5</v>
      </c>
      <c r="L216">
        <v>18.3</v>
      </c>
      <c r="M216">
        <v>29.4</v>
      </c>
      <c r="N216">
        <v>32.700000000000003</v>
      </c>
      <c r="O216">
        <v>32.4</v>
      </c>
      <c r="P216">
        <v>33.9</v>
      </c>
      <c r="Q216">
        <v>46.6</v>
      </c>
      <c r="R216">
        <v>48.5</v>
      </c>
      <c r="S216">
        <v>32.6</v>
      </c>
      <c r="T216">
        <v>36.4</v>
      </c>
      <c r="U216">
        <v>68.099999999999994</v>
      </c>
      <c r="V216">
        <v>-7</v>
      </c>
      <c r="W216" cm="1">
        <f t="array" ref="W216">_xlfn.IFS(OR(X216="N/A",X216="NA"),0,OR(X216="R64",X216="R68"),1,X216="R32",2,X216="S16",3,X216="E8",4,X216="F4",5,X216="2ND",6,X216="Champions",7)</f>
        <v>0</v>
      </c>
      <c r="X216" t="s">
        <v>90</v>
      </c>
      <c r="Y216" t="s">
        <v>90</v>
      </c>
      <c r="Z216">
        <v>2018</v>
      </c>
    </row>
    <row r="217" spans="1:26" x14ac:dyDescent="0.3">
      <c r="A217" t="s">
        <v>121</v>
      </c>
      <c r="B217" t="s">
        <v>50</v>
      </c>
      <c r="C217">
        <v>30</v>
      </c>
      <c r="D217">
        <v>10</v>
      </c>
      <c r="E217" s="1">
        <f t="shared" si="3"/>
        <v>0.33333333333333331</v>
      </c>
      <c r="F217">
        <v>96.2</v>
      </c>
      <c r="G217">
        <v>108.7</v>
      </c>
      <c r="H217">
        <v>0.1968</v>
      </c>
      <c r="I217">
        <v>48.3</v>
      </c>
      <c r="J217">
        <v>51.5</v>
      </c>
      <c r="K217">
        <v>20.6</v>
      </c>
      <c r="L217">
        <v>17.3</v>
      </c>
      <c r="M217">
        <v>27.8</v>
      </c>
      <c r="N217">
        <v>32.5</v>
      </c>
      <c r="O217">
        <v>28.7</v>
      </c>
      <c r="P217">
        <v>31.1</v>
      </c>
      <c r="Q217">
        <v>49.6</v>
      </c>
      <c r="R217">
        <v>50.6</v>
      </c>
      <c r="S217">
        <v>30.5</v>
      </c>
      <c r="T217">
        <v>35.299999999999997</v>
      </c>
      <c r="U217">
        <v>70.099999999999994</v>
      </c>
      <c r="V217">
        <v>-13.5</v>
      </c>
      <c r="W217" cm="1">
        <f t="array" ref="W217">_xlfn.IFS(OR(X217="N/A",X217="NA"),0,OR(X217="R64",X217="R68"),1,X217="R32",2,X217="S16",3,X217="E8",4,X217="F4",5,X217="2ND",6,X217="Champions",7)</f>
        <v>0</v>
      </c>
      <c r="X217" t="s">
        <v>90</v>
      </c>
      <c r="Y217" t="s">
        <v>90</v>
      </c>
      <c r="Z217">
        <v>2018</v>
      </c>
    </row>
    <row r="218" spans="1:26" x14ac:dyDescent="0.3">
      <c r="A218" t="s">
        <v>123</v>
      </c>
      <c r="B218" t="s">
        <v>50</v>
      </c>
      <c r="C218">
        <v>34</v>
      </c>
      <c r="D218">
        <v>21</v>
      </c>
      <c r="E218" s="1">
        <f t="shared" si="3"/>
        <v>0.61764705882352944</v>
      </c>
      <c r="F218">
        <v>107.6</v>
      </c>
      <c r="G218">
        <v>106</v>
      </c>
      <c r="H218">
        <v>0.54390000000000005</v>
      </c>
      <c r="I218">
        <v>50.7</v>
      </c>
      <c r="J218">
        <v>50.8</v>
      </c>
      <c r="K218">
        <v>20.399999999999999</v>
      </c>
      <c r="L218">
        <v>18.899999999999999</v>
      </c>
      <c r="M218">
        <v>35.1</v>
      </c>
      <c r="N218">
        <v>33.700000000000003</v>
      </c>
      <c r="O218">
        <v>43.6</v>
      </c>
      <c r="P218">
        <v>32.4</v>
      </c>
      <c r="Q218">
        <v>52.3</v>
      </c>
      <c r="R218">
        <v>47.6</v>
      </c>
      <c r="S218">
        <v>31.7</v>
      </c>
      <c r="T218">
        <v>37</v>
      </c>
      <c r="U218">
        <v>67.400000000000006</v>
      </c>
      <c r="V218">
        <v>-4.4000000000000004</v>
      </c>
      <c r="W218" cm="1">
        <f t="array" ref="W218">_xlfn.IFS(OR(X218="N/A",X218="NA"),0,OR(X218="R64",X218="R68"),1,X218="R32",2,X218="S16",3,X218="E8",4,X218="F4",5,X218="2ND",6,X218="Champions",7)</f>
        <v>0</v>
      </c>
      <c r="X218" t="s">
        <v>90</v>
      </c>
      <c r="Y218" t="s">
        <v>90</v>
      </c>
      <c r="Z218">
        <v>2018</v>
      </c>
    </row>
    <row r="219" spans="1:26" x14ac:dyDescent="0.3">
      <c r="A219" t="s">
        <v>129</v>
      </c>
      <c r="B219" t="s">
        <v>50</v>
      </c>
      <c r="C219">
        <v>33</v>
      </c>
      <c r="D219">
        <v>17</v>
      </c>
      <c r="E219" s="1">
        <f t="shared" si="3"/>
        <v>0.51515151515151514</v>
      </c>
      <c r="F219">
        <v>107.6</v>
      </c>
      <c r="G219">
        <v>99.8</v>
      </c>
      <c r="H219">
        <v>0.70409999999999995</v>
      </c>
      <c r="I219">
        <v>52</v>
      </c>
      <c r="J219">
        <v>49.5</v>
      </c>
      <c r="K219">
        <v>18</v>
      </c>
      <c r="L219">
        <v>21.7</v>
      </c>
      <c r="M219">
        <v>32.700000000000003</v>
      </c>
      <c r="N219">
        <v>31.7</v>
      </c>
      <c r="O219">
        <v>30.5</v>
      </c>
      <c r="P219">
        <v>30.6</v>
      </c>
      <c r="Q219">
        <v>48.7</v>
      </c>
      <c r="R219">
        <v>48.6</v>
      </c>
      <c r="S219">
        <v>37.9</v>
      </c>
      <c r="T219">
        <v>33.799999999999997</v>
      </c>
      <c r="U219">
        <v>65.400000000000006</v>
      </c>
      <c r="V219">
        <v>-6.3</v>
      </c>
      <c r="W219" cm="1">
        <f t="array" ref="W219">_xlfn.IFS(OR(X219="N/A",X219="NA"),0,OR(X219="R64",X219="R68"),1,X219="R32",2,X219="S16",3,X219="E8",4,X219="F4",5,X219="2ND",6,X219="Champions",7)</f>
        <v>0</v>
      </c>
      <c r="X219" t="s">
        <v>90</v>
      </c>
      <c r="Y219" t="s">
        <v>90</v>
      </c>
      <c r="Z219">
        <v>2018</v>
      </c>
    </row>
    <row r="220" spans="1:26" x14ac:dyDescent="0.3">
      <c r="A220" t="s">
        <v>124</v>
      </c>
      <c r="B220" t="s">
        <v>50</v>
      </c>
      <c r="C220">
        <v>32</v>
      </c>
      <c r="D220">
        <v>10</v>
      </c>
      <c r="E220" s="1">
        <f t="shared" si="3"/>
        <v>0.3125</v>
      </c>
      <c r="F220">
        <v>98.9</v>
      </c>
      <c r="G220">
        <v>107.6</v>
      </c>
      <c r="H220">
        <v>0.27489999999999998</v>
      </c>
      <c r="I220">
        <v>48</v>
      </c>
      <c r="J220">
        <v>51.1</v>
      </c>
      <c r="K220">
        <v>21.4</v>
      </c>
      <c r="L220">
        <v>16.5</v>
      </c>
      <c r="M220">
        <v>28.8</v>
      </c>
      <c r="N220">
        <v>30.6</v>
      </c>
      <c r="O220">
        <v>33.1</v>
      </c>
      <c r="P220">
        <v>32.6</v>
      </c>
      <c r="Q220">
        <v>44.8</v>
      </c>
      <c r="R220">
        <v>52</v>
      </c>
      <c r="S220">
        <v>36.1</v>
      </c>
      <c r="T220">
        <v>33</v>
      </c>
      <c r="U220">
        <v>65.8</v>
      </c>
      <c r="V220">
        <v>-14.9</v>
      </c>
      <c r="W220" cm="1">
        <f t="array" ref="W220">_xlfn.IFS(OR(X220="N/A",X220="NA"),0,OR(X220="R64",X220="R68"),1,X220="R32",2,X220="S16",3,X220="E8",4,X220="F4",5,X220="2ND",6,X220="Champions",7)</f>
        <v>0</v>
      </c>
      <c r="X220" t="s">
        <v>90</v>
      </c>
      <c r="Y220" t="s">
        <v>90</v>
      </c>
      <c r="Z220">
        <v>2018</v>
      </c>
    </row>
    <row r="221" spans="1:26" x14ac:dyDescent="0.3">
      <c r="A221" t="s">
        <v>125</v>
      </c>
      <c r="B221" t="s">
        <v>50</v>
      </c>
      <c r="C221">
        <v>33</v>
      </c>
      <c r="D221">
        <v>17</v>
      </c>
      <c r="E221" s="1">
        <f t="shared" si="3"/>
        <v>0.51515151515151514</v>
      </c>
      <c r="F221">
        <v>107.4</v>
      </c>
      <c r="G221">
        <v>99.3</v>
      </c>
      <c r="H221">
        <v>0.71130000000000004</v>
      </c>
      <c r="I221">
        <v>49.3</v>
      </c>
      <c r="J221">
        <v>49.8</v>
      </c>
      <c r="K221">
        <v>15.9</v>
      </c>
      <c r="L221">
        <v>18.7</v>
      </c>
      <c r="M221">
        <v>27.7</v>
      </c>
      <c r="N221">
        <v>32.4</v>
      </c>
      <c r="O221">
        <v>25.6</v>
      </c>
      <c r="P221">
        <v>31.5</v>
      </c>
      <c r="Q221">
        <v>47.2</v>
      </c>
      <c r="R221">
        <v>50.5</v>
      </c>
      <c r="S221">
        <v>35</v>
      </c>
      <c r="T221">
        <v>32.4</v>
      </c>
      <c r="U221">
        <v>68.400000000000006</v>
      </c>
      <c r="V221">
        <v>-3.3</v>
      </c>
      <c r="W221" cm="1">
        <f t="array" ref="W221">_xlfn.IFS(OR(X221="N/A",X221="NA"),0,OR(X221="R64",X221="R68"),1,X221="R32",2,X221="S16",3,X221="E8",4,X221="F4",5,X221="2ND",6,X221="Champions",7)</f>
        <v>0</v>
      </c>
      <c r="X221" t="s">
        <v>90</v>
      </c>
      <c r="Y221" t="s">
        <v>90</v>
      </c>
      <c r="Z221">
        <v>2018</v>
      </c>
    </row>
    <row r="222" spans="1:26" x14ac:dyDescent="0.3">
      <c r="A222" t="s">
        <v>126</v>
      </c>
      <c r="B222" t="s">
        <v>50</v>
      </c>
      <c r="C222">
        <v>31</v>
      </c>
      <c r="D222">
        <v>14</v>
      </c>
      <c r="E222" s="1">
        <f t="shared" si="3"/>
        <v>0.45161290322580644</v>
      </c>
      <c r="F222">
        <v>105.4</v>
      </c>
      <c r="G222">
        <v>106.2</v>
      </c>
      <c r="H222">
        <v>0.47739999999999999</v>
      </c>
      <c r="I222">
        <v>51.5</v>
      </c>
      <c r="J222">
        <v>50.5</v>
      </c>
      <c r="K222">
        <v>18.8</v>
      </c>
      <c r="L222">
        <v>17.2</v>
      </c>
      <c r="M222">
        <v>27.5</v>
      </c>
      <c r="N222">
        <v>30</v>
      </c>
      <c r="O222">
        <v>34.5</v>
      </c>
      <c r="P222">
        <v>34.6</v>
      </c>
      <c r="Q222">
        <v>50.9</v>
      </c>
      <c r="R222">
        <v>49.8</v>
      </c>
      <c r="S222">
        <v>35</v>
      </c>
      <c r="T222">
        <v>34.5</v>
      </c>
      <c r="U222">
        <v>70.3</v>
      </c>
      <c r="V222">
        <v>-8.6999999999999993</v>
      </c>
      <c r="W222" cm="1">
        <f t="array" ref="W222">_xlfn.IFS(OR(X222="N/A",X222="NA"),0,OR(X222="R64",X222="R68"),1,X222="R32",2,X222="S16",3,X222="E8",4,X222="F4",5,X222="2ND",6,X222="Champions",7)</f>
        <v>0</v>
      </c>
      <c r="X222" t="s">
        <v>90</v>
      </c>
      <c r="Y222" t="s">
        <v>90</v>
      </c>
      <c r="Z222">
        <v>2018</v>
      </c>
    </row>
    <row r="223" spans="1:26" x14ac:dyDescent="0.3">
      <c r="A223" t="s">
        <v>127</v>
      </c>
      <c r="B223" t="s">
        <v>50</v>
      </c>
      <c r="C223">
        <v>31</v>
      </c>
      <c r="D223">
        <v>19</v>
      </c>
      <c r="E223" s="1">
        <f t="shared" si="3"/>
        <v>0.61290322580645162</v>
      </c>
      <c r="F223">
        <v>108.5</v>
      </c>
      <c r="G223">
        <v>101.4</v>
      </c>
      <c r="H223">
        <v>0.68530000000000002</v>
      </c>
      <c r="I223">
        <v>50.7</v>
      </c>
      <c r="J223">
        <v>49.5</v>
      </c>
      <c r="K223">
        <v>18.600000000000001</v>
      </c>
      <c r="L223">
        <v>17.899999999999999</v>
      </c>
      <c r="M223">
        <v>32</v>
      </c>
      <c r="N223">
        <v>29.6</v>
      </c>
      <c r="O223">
        <v>41.6</v>
      </c>
      <c r="P223">
        <v>25.3</v>
      </c>
      <c r="Q223">
        <v>49.7</v>
      </c>
      <c r="R223">
        <v>47.9</v>
      </c>
      <c r="S223">
        <v>34.700000000000003</v>
      </c>
      <c r="T223">
        <v>34.4</v>
      </c>
      <c r="U223">
        <v>68.8</v>
      </c>
      <c r="V223">
        <v>-4.0999999999999996</v>
      </c>
      <c r="W223" cm="1">
        <f t="array" ref="W223">_xlfn.IFS(OR(X223="N/A",X223="NA"),0,OR(X223="R64",X223="R68"),1,X223="R32",2,X223="S16",3,X223="E8",4,X223="F4",5,X223="2ND",6,X223="Champions",7)</f>
        <v>0</v>
      </c>
      <c r="X223" t="s">
        <v>90</v>
      </c>
      <c r="Y223" t="s">
        <v>90</v>
      </c>
      <c r="Z223">
        <v>2018</v>
      </c>
    </row>
    <row r="224" spans="1:26" x14ac:dyDescent="0.3">
      <c r="A224" t="s">
        <v>128</v>
      </c>
      <c r="B224" t="s">
        <v>50</v>
      </c>
      <c r="C224">
        <v>32</v>
      </c>
      <c r="D224">
        <v>19</v>
      </c>
      <c r="E224" s="1">
        <f t="shared" si="3"/>
        <v>0.59375</v>
      </c>
      <c r="F224">
        <v>97.4</v>
      </c>
      <c r="G224">
        <v>93.5</v>
      </c>
      <c r="H224">
        <v>0.61650000000000005</v>
      </c>
      <c r="I224">
        <v>47.8</v>
      </c>
      <c r="J224">
        <v>45.7</v>
      </c>
      <c r="K224">
        <v>20.7</v>
      </c>
      <c r="L224">
        <v>18.899999999999999</v>
      </c>
      <c r="M224">
        <v>28.5</v>
      </c>
      <c r="N224">
        <v>28.6</v>
      </c>
      <c r="O224">
        <v>43.1</v>
      </c>
      <c r="P224">
        <v>26.2</v>
      </c>
      <c r="Q224">
        <v>47.1</v>
      </c>
      <c r="R224">
        <v>43.7</v>
      </c>
      <c r="S224">
        <v>32.9</v>
      </c>
      <c r="T224">
        <v>33.1</v>
      </c>
      <c r="U224">
        <v>65.8</v>
      </c>
      <c r="V224">
        <v>-3.4</v>
      </c>
      <c r="W224" cm="1">
        <f t="array" ref="W224">_xlfn.IFS(OR(X224="N/A",X224="NA"),0,OR(X224="R64",X224="R68"),1,X224="R32",2,X224="S16",3,X224="E8",4,X224="F4",5,X224="2ND",6,X224="Champions",7)</f>
        <v>0</v>
      </c>
      <c r="X224" t="s">
        <v>90</v>
      </c>
      <c r="Y224" t="s">
        <v>90</v>
      </c>
      <c r="Z224">
        <v>2018</v>
      </c>
    </row>
    <row r="225" spans="1:26" x14ac:dyDescent="0.3">
      <c r="A225" t="s">
        <v>49</v>
      </c>
      <c r="B225" t="s">
        <v>50</v>
      </c>
      <c r="C225">
        <v>33</v>
      </c>
      <c r="D225">
        <v>16</v>
      </c>
      <c r="E225" s="1">
        <f t="shared" si="3"/>
        <v>0.48484848484848486</v>
      </c>
      <c r="F225">
        <v>107.8</v>
      </c>
      <c r="G225">
        <v>101</v>
      </c>
      <c r="H225">
        <v>0.67969999999999997</v>
      </c>
      <c r="I225">
        <v>51</v>
      </c>
      <c r="J225">
        <v>49.6</v>
      </c>
      <c r="K225">
        <v>18.5</v>
      </c>
      <c r="L225">
        <v>20</v>
      </c>
      <c r="M225">
        <v>32.299999999999997</v>
      </c>
      <c r="N225">
        <v>30.2</v>
      </c>
      <c r="O225">
        <v>32.700000000000003</v>
      </c>
      <c r="P225">
        <v>39.200000000000003</v>
      </c>
      <c r="Q225">
        <v>50.7</v>
      </c>
      <c r="R225">
        <v>49.2</v>
      </c>
      <c r="S225">
        <v>34.4</v>
      </c>
      <c r="T225">
        <v>33.5</v>
      </c>
      <c r="U225">
        <v>70.400000000000006</v>
      </c>
      <c r="V225">
        <v>-5.7</v>
      </c>
      <c r="W225" cm="1">
        <f t="array" ref="W225">_xlfn.IFS(OR(X225="N/A",X225="NA"),0,OR(X225="R64",X225="R68"),1,X225="R32",2,X225="S16",3,X225="E8",4,X225="F4",5,X225="2ND",6,X225="Champions",7)</f>
        <v>0</v>
      </c>
      <c r="X225" t="s">
        <v>90</v>
      </c>
      <c r="Y225" t="s">
        <v>90</v>
      </c>
      <c r="Z225">
        <v>2019</v>
      </c>
    </row>
    <row r="226" spans="1:26" x14ac:dyDescent="0.3">
      <c r="A226" t="s">
        <v>121</v>
      </c>
      <c r="B226" t="s">
        <v>50</v>
      </c>
      <c r="C226">
        <v>31</v>
      </c>
      <c r="D226">
        <v>10</v>
      </c>
      <c r="E226" s="1">
        <f t="shared" si="3"/>
        <v>0.32258064516129031</v>
      </c>
      <c r="F226">
        <v>98.8</v>
      </c>
      <c r="G226">
        <v>105.2</v>
      </c>
      <c r="H226">
        <v>0.32729999999999998</v>
      </c>
      <c r="I226">
        <v>46.1</v>
      </c>
      <c r="J226">
        <v>51</v>
      </c>
      <c r="K226">
        <v>19</v>
      </c>
      <c r="L226">
        <v>19.5</v>
      </c>
      <c r="M226">
        <v>28.2</v>
      </c>
      <c r="N226">
        <v>31</v>
      </c>
      <c r="O226">
        <v>35.6</v>
      </c>
      <c r="P226">
        <v>41.8</v>
      </c>
      <c r="Q226">
        <v>47.7</v>
      </c>
      <c r="R226">
        <v>52</v>
      </c>
      <c r="S226">
        <v>28.4</v>
      </c>
      <c r="T226">
        <v>32.9</v>
      </c>
      <c r="U226">
        <v>69.900000000000006</v>
      </c>
      <c r="V226">
        <v>-12.3</v>
      </c>
      <c r="W226" cm="1">
        <f t="array" ref="W226">_xlfn.IFS(OR(X226="N/A",X226="NA"),0,OR(X226="R64",X226="R68"),1,X226="R32",2,X226="S16",3,X226="E8",4,X226="F4",5,X226="2ND",6,X226="Champions",7)</f>
        <v>0</v>
      </c>
      <c r="X226" t="s">
        <v>90</v>
      </c>
      <c r="Y226" t="s">
        <v>90</v>
      </c>
      <c r="Z226">
        <v>2019</v>
      </c>
    </row>
    <row r="227" spans="1:26" x14ac:dyDescent="0.3">
      <c r="A227" t="s">
        <v>123</v>
      </c>
      <c r="B227" t="s">
        <v>50</v>
      </c>
      <c r="C227">
        <v>36</v>
      </c>
      <c r="D227">
        <v>22</v>
      </c>
      <c r="E227" s="1">
        <f t="shared" si="3"/>
        <v>0.61111111111111116</v>
      </c>
      <c r="F227">
        <v>108.1</v>
      </c>
      <c r="G227">
        <v>96</v>
      </c>
      <c r="H227">
        <v>0.79730000000000001</v>
      </c>
      <c r="I227">
        <v>51</v>
      </c>
      <c r="J227">
        <v>48.6</v>
      </c>
      <c r="K227">
        <v>19.8</v>
      </c>
      <c r="L227">
        <v>21.3</v>
      </c>
      <c r="M227">
        <v>33.4</v>
      </c>
      <c r="N227">
        <v>30.9</v>
      </c>
      <c r="O227">
        <v>37.299999999999997</v>
      </c>
      <c r="P227">
        <v>37.5</v>
      </c>
      <c r="Q227">
        <v>52.5</v>
      </c>
      <c r="R227">
        <v>48.9</v>
      </c>
      <c r="S227">
        <v>32.200000000000003</v>
      </c>
      <c r="T227">
        <v>32.200000000000003</v>
      </c>
      <c r="U227">
        <v>75.7</v>
      </c>
      <c r="V227">
        <v>-1.4</v>
      </c>
      <c r="W227" cm="1">
        <f t="array" ref="W227">_xlfn.IFS(OR(X227="N/A",X227="NA"),0,OR(X227="R64",X227="R68"),1,X227="R32",2,X227="S16",3,X227="E8",4,X227="F4",5,X227="2ND",6,X227="Champions",7)</f>
        <v>0</v>
      </c>
      <c r="X227" t="s">
        <v>90</v>
      </c>
      <c r="Y227" t="s">
        <v>90</v>
      </c>
      <c r="Z227">
        <v>2019</v>
      </c>
    </row>
    <row r="228" spans="1:26" x14ac:dyDescent="0.3">
      <c r="A228" t="s">
        <v>129</v>
      </c>
      <c r="B228" t="s">
        <v>50</v>
      </c>
      <c r="C228">
        <v>32</v>
      </c>
      <c r="D228">
        <v>15</v>
      </c>
      <c r="E228" s="1">
        <f t="shared" si="3"/>
        <v>0.46875</v>
      </c>
      <c r="F228">
        <v>112.2</v>
      </c>
      <c r="G228">
        <v>104.2</v>
      </c>
      <c r="H228">
        <v>0.70209999999999995</v>
      </c>
      <c r="I228">
        <v>51.2</v>
      </c>
      <c r="J228">
        <v>50</v>
      </c>
      <c r="K228">
        <v>16.600000000000001</v>
      </c>
      <c r="L228">
        <v>17.5</v>
      </c>
      <c r="M228">
        <v>33.4</v>
      </c>
      <c r="N228">
        <v>31.6</v>
      </c>
      <c r="O228">
        <v>27.8</v>
      </c>
      <c r="P228">
        <v>29.5</v>
      </c>
      <c r="Q228">
        <v>51.3</v>
      </c>
      <c r="R228">
        <v>48.2</v>
      </c>
      <c r="S228">
        <v>34.1</v>
      </c>
      <c r="T228">
        <v>35.1</v>
      </c>
      <c r="U228">
        <v>66.400000000000006</v>
      </c>
      <c r="V228">
        <v>-6.4</v>
      </c>
      <c r="W228" cm="1">
        <f t="array" ref="W228">_xlfn.IFS(OR(X228="N/A",X228="NA"),0,OR(X228="R64",X228="R68"),1,X228="R32",2,X228="S16",3,X228="E8",4,X228="F4",5,X228="2ND",6,X228="Champions",7)</f>
        <v>0</v>
      </c>
      <c r="X228" t="s">
        <v>90</v>
      </c>
      <c r="Y228" t="s">
        <v>90</v>
      </c>
      <c r="Z228">
        <v>2019</v>
      </c>
    </row>
    <row r="229" spans="1:26" x14ac:dyDescent="0.3">
      <c r="A229" t="s">
        <v>124</v>
      </c>
      <c r="B229" t="s">
        <v>50</v>
      </c>
      <c r="C229">
        <v>37</v>
      </c>
      <c r="D229">
        <v>24</v>
      </c>
      <c r="E229" s="1">
        <f t="shared" si="3"/>
        <v>0.64864864864864868</v>
      </c>
      <c r="F229">
        <v>101.8</v>
      </c>
      <c r="G229">
        <v>95.4</v>
      </c>
      <c r="H229">
        <v>0.67779999999999996</v>
      </c>
      <c r="I229">
        <v>49.1</v>
      </c>
      <c r="J229">
        <v>48.4</v>
      </c>
      <c r="K229">
        <v>22.6</v>
      </c>
      <c r="L229">
        <v>21.9</v>
      </c>
      <c r="M229">
        <v>36.299999999999997</v>
      </c>
      <c r="N229">
        <v>26.8</v>
      </c>
      <c r="O229">
        <v>48.1</v>
      </c>
      <c r="P229">
        <v>43.1</v>
      </c>
      <c r="Q229">
        <v>48.5</v>
      </c>
      <c r="R229">
        <v>48.2</v>
      </c>
      <c r="S229">
        <v>33.299999999999997</v>
      </c>
      <c r="T229">
        <v>32.5</v>
      </c>
      <c r="U229">
        <v>68.599999999999994</v>
      </c>
      <c r="V229">
        <v>-4.5</v>
      </c>
      <c r="W229" cm="1">
        <f t="array" ref="W229">_xlfn.IFS(OR(X229="N/A",X229="NA"),0,OR(X229="R64",X229="R68"),1,X229="R32",2,X229="S16",3,X229="E8",4,X229="F4",5,X229="2ND",6,X229="Champions",7)</f>
        <v>0</v>
      </c>
      <c r="X229" t="s">
        <v>90</v>
      </c>
      <c r="Y229" t="s">
        <v>90</v>
      </c>
      <c r="Z229">
        <v>2019</v>
      </c>
    </row>
    <row r="230" spans="1:26" x14ac:dyDescent="0.3">
      <c r="A230" t="s">
        <v>126</v>
      </c>
      <c r="B230" t="s">
        <v>50</v>
      </c>
      <c r="C230">
        <v>31</v>
      </c>
      <c r="D230">
        <v>4</v>
      </c>
      <c r="E230" s="1">
        <f t="shared" si="3"/>
        <v>0.12903225806451613</v>
      </c>
      <c r="F230">
        <v>97</v>
      </c>
      <c r="G230">
        <v>105</v>
      </c>
      <c r="H230">
        <v>0.28560000000000002</v>
      </c>
      <c r="I230">
        <v>47.1</v>
      </c>
      <c r="J230">
        <v>50.6</v>
      </c>
      <c r="K230">
        <v>21</v>
      </c>
      <c r="L230">
        <v>15.1</v>
      </c>
      <c r="M230">
        <v>27</v>
      </c>
      <c r="N230">
        <v>30.9</v>
      </c>
      <c r="O230">
        <v>32.799999999999997</v>
      </c>
      <c r="P230">
        <v>31.6</v>
      </c>
      <c r="Q230">
        <v>46.7</v>
      </c>
      <c r="R230">
        <v>50.7</v>
      </c>
      <c r="S230">
        <v>31.8</v>
      </c>
      <c r="T230">
        <v>33.6</v>
      </c>
      <c r="U230">
        <v>71.2</v>
      </c>
      <c r="V230">
        <v>-17.2</v>
      </c>
      <c r="W230" cm="1">
        <f t="array" ref="W230">_xlfn.IFS(OR(X230="N/A",X230="NA"),0,OR(X230="R64",X230="R68"),1,X230="R32",2,X230="S16",3,X230="E8",4,X230="F4",5,X230="2ND",6,X230="Champions",7)</f>
        <v>0</v>
      </c>
      <c r="X230" t="s">
        <v>90</v>
      </c>
      <c r="Y230" t="s">
        <v>90</v>
      </c>
      <c r="Z230">
        <v>2019</v>
      </c>
    </row>
    <row r="231" spans="1:26" x14ac:dyDescent="0.3">
      <c r="A231" t="s">
        <v>127</v>
      </c>
      <c r="B231" t="s">
        <v>50</v>
      </c>
      <c r="C231">
        <v>32</v>
      </c>
      <c r="D231">
        <v>18</v>
      </c>
      <c r="E231" s="1">
        <f t="shared" si="3"/>
        <v>0.5625</v>
      </c>
      <c r="F231">
        <v>104.8</v>
      </c>
      <c r="G231">
        <v>99.2</v>
      </c>
      <c r="H231">
        <v>0.65069999999999995</v>
      </c>
      <c r="I231">
        <v>51.2</v>
      </c>
      <c r="J231">
        <v>48.1</v>
      </c>
      <c r="K231">
        <v>18</v>
      </c>
      <c r="L231">
        <v>17.600000000000001</v>
      </c>
      <c r="M231">
        <v>23</v>
      </c>
      <c r="N231">
        <v>29.4</v>
      </c>
      <c r="O231">
        <v>43.4</v>
      </c>
      <c r="P231">
        <v>30.3</v>
      </c>
      <c r="Q231">
        <v>51.3</v>
      </c>
      <c r="R231">
        <v>47.3</v>
      </c>
      <c r="S231">
        <v>34</v>
      </c>
      <c r="T231">
        <v>32.799999999999997</v>
      </c>
      <c r="U231">
        <v>70.099999999999994</v>
      </c>
      <c r="V231">
        <v>-3.5</v>
      </c>
      <c r="W231" cm="1">
        <f t="array" ref="W231">_xlfn.IFS(OR(X231="N/A",X231="NA"),0,OR(X231="R64",X231="R68"),1,X231="R32",2,X231="S16",3,X231="E8",4,X231="F4",5,X231="2ND",6,X231="Champions",7)</f>
        <v>0</v>
      </c>
      <c r="X231" t="s">
        <v>90</v>
      </c>
      <c r="Y231" t="s">
        <v>90</v>
      </c>
      <c r="Z231">
        <v>2019</v>
      </c>
    </row>
    <row r="232" spans="1:26" x14ac:dyDescent="0.3">
      <c r="A232" t="s">
        <v>88</v>
      </c>
      <c r="B232" t="s">
        <v>50</v>
      </c>
      <c r="C232">
        <v>37</v>
      </c>
      <c r="D232">
        <v>22</v>
      </c>
      <c r="E232" s="1">
        <f t="shared" si="3"/>
        <v>0.59459459459459463</v>
      </c>
      <c r="F232">
        <v>106.5</v>
      </c>
      <c r="G232">
        <v>94.7</v>
      </c>
      <c r="H232">
        <v>0.79459999999999997</v>
      </c>
      <c r="I232">
        <v>46.9</v>
      </c>
      <c r="J232">
        <v>47.6</v>
      </c>
      <c r="K232">
        <v>17.399999999999999</v>
      </c>
      <c r="L232">
        <v>17.600000000000001</v>
      </c>
      <c r="M232">
        <v>32.5</v>
      </c>
      <c r="N232">
        <v>26.9</v>
      </c>
      <c r="O232">
        <v>28.8</v>
      </c>
      <c r="P232">
        <v>38.799999999999997</v>
      </c>
      <c r="Q232">
        <v>47.1</v>
      </c>
      <c r="R232">
        <v>46.5</v>
      </c>
      <c r="S232">
        <v>31</v>
      </c>
      <c r="T232">
        <v>33</v>
      </c>
      <c r="U232">
        <v>69.400000000000006</v>
      </c>
      <c r="V232">
        <v>-2.9</v>
      </c>
      <c r="W232" cm="1">
        <f t="array" ref="W232">_xlfn.IFS(OR(X232="N/A",X232="NA"),0,OR(X232="R64",X232="R68"),1,X232="R32",2,X232="S16",3,X232="E8",4,X232="F4",5,X232="2ND",6,X232="Champions",7)</f>
        <v>0</v>
      </c>
      <c r="X232" t="s">
        <v>90</v>
      </c>
      <c r="Y232" t="s">
        <v>90</v>
      </c>
      <c r="Z232">
        <v>2019</v>
      </c>
    </row>
    <row r="233" spans="1:26" x14ac:dyDescent="0.3">
      <c r="A233" t="s">
        <v>130</v>
      </c>
      <c r="B233" t="s">
        <v>131</v>
      </c>
      <c r="C233">
        <v>30</v>
      </c>
      <c r="D233">
        <v>19</v>
      </c>
      <c r="E233" s="1">
        <f t="shared" si="3"/>
        <v>0.6333333333333333</v>
      </c>
      <c r="F233">
        <v>99.4</v>
      </c>
      <c r="G233">
        <v>102</v>
      </c>
      <c r="H233">
        <v>0.42609999999999998</v>
      </c>
      <c r="I233">
        <v>48.2</v>
      </c>
      <c r="J233">
        <v>45.3</v>
      </c>
      <c r="K233">
        <v>17.7</v>
      </c>
      <c r="L233">
        <v>17.3</v>
      </c>
      <c r="M233">
        <v>34.4</v>
      </c>
      <c r="N233">
        <v>32.1</v>
      </c>
      <c r="O233">
        <v>33.1</v>
      </c>
      <c r="P233">
        <v>34.6</v>
      </c>
      <c r="Q233">
        <v>47</v>
      </c>
      <c r="R233">
        <v>45.8</v>
      </c>
      <c r="S233">
        <v>33.9</v>
      </c>
      <c r="T233">
        <v>29.6</v>
      </c>
      <c r="U233">
        <v>64.8</v>
      </c>
      <c r="V233">
        <v>-5.0999999999999996</v>
      </c>
      <c r="W233" cm="1">
        <f t="array" ref="W233">_xlfn.IFS(OR(X233="N/A",X233="NA"),0,OR(X233="R64",X233="R68"),1,X233="R32",2,X233="S16",3,X233="E8",4,X233="F4",5,X233="2ND",6,X233="Champions",7)</f>
        <v>0</v>
      </c>
      <c r="X233" t="s">
        <v>90</v>
      </c>
      <c r="Y233" t="s">
        <v>90</v>
      </c>
      <c r="Z233">
        <v>2015</v>
      </c>
    </row>
    <row r="234" spans="1:26" x14ac:dyDescent="0.3">
      <c r="A234" t="s">
        <v>132</v>
      </c>
      <c r="B234" t="s">
        <v>131</v>
      </c>
      <c r="C234">
        <v>29</v>
      </c>
      <c r="D234">
        <v>7</v>
      </c>
      <c r="E234" s="1">
        <f t="shared" si="3"/>
        <v>0.2413793103448276</v>
      </c>
      <c r="F234">
        <v>95.6</v>
      </c>
      <c r="G234">
        <v>114.9</v>
      </c>
      <c r="H234">
        <v>0.1067</v>
      </c>
      <c r="I234">
        <v>46.6</v>
      </c>
      <c r="J234">
        <v>54.5</v>
      </c>
      <c r="K234">
        <v>18.600000000000001</v>
      </c>
      <c r="L234">
        <v>19.100000000000001</v>
      </c>
      <c r="M234">
        <v>27.7</v>
      </c>
      <c r="N234">
        <v>33.799999999999997</v>
      </c>
      <c r="O234">
        <v>39.299999999999997</v>
      </c>
      <c r="P234">
        <v>38.799999999999997</v>
      </c>
      <c r="Q234">
        <v>43.1</v>
      </c>
      <c r="R234">
        <v>54.1</v>
      </c>
      <c r="S234">
        <v>35.799999999999997</v>
      </c>
      <c r="T234">
        <v>36.799999999999997</v>
      </c>
      <c r="U234">
        <v>64</v>
      </c>
      <c r="V234">
        <v>-17.600000000000001</v>
      </c>
      <c r="W234" cm="1">
        <f t="array" ref="W234">_xlfn.IFS(OR(X234="N/A",X234="NA"),0,OR(X234="R64",X234="R68"),1,X234="R32",2,X234="S16",3,X234="E8",4,X234="F4",5,X234="2ND",6,X234="Champions",7)</f>
        <v>0</v>
      </c>
      <c r="X234" t="s">
        <v>90</v>
      </c>
      <c r="Y234" t="s">
        <v>90</v>
      </c>
      <c r="Z234">
        <v>2015</v>
      </c>
    </row>
    <row r="235" spans="1:26" x14ac:dyDescent="0.3">
      <c r="A235" t="s">
        <v>133</v>
      </c>
      <c r="B235" t="s">
        <v>131</v>
      </c>
      <c r="C235">
        <v>30</v>
      </c>
      <c r="D235">
        <v>8</v>
      </c>
      <c r="E235" s="1">
        <f t="shared" si="3"/>
        <v>0.26666666666666666</v>
      </c>
      <c r="F235">
        <v>91.3</v>
      </c>
      <c r="G235">
        <v>113.1</v>
      </c>
      <c r="H235">
        <v>7.8200000000000006E-2</v>
      </c>
      <c r="I235">
        <v>45.3</v>
      </c>
      <c r="J235">
        <v>50.7</v>
      </c>
      <c r="K235">
        <v>21.3</v>
      </c>
      <c r="L235">
        <v>16.2</v>
      </c>
      <c r="M235">
        <v>29.6</v>
      </c>
      <c r="N235">
        <v>35.1</v>
      </c>
      <c r="O235">
        <v>29.8</v>
      </c>
      <c r="P235">
        <v>35.700000000000003</v>
      </c>
      <c r="Q235">
        <v>44.1</v>
      </c>
      <c r="R235">
        <v>51.1</v>
      </c>
      <c r="S235">
        <v>31.5</v>
      </c>
      <c r="T235">
        <v>33.4</v>
      </c>
      <c r="U235">
        <v>66.099999999999994</v>
      </c>
      <c r="V235">
        <v>-16.8</v>
      </c>
      <c r="W235" cm="1">
        <f t="array" ref="W235">_xlfn.IFS(OR(X235="N/A",X235="NA"),0,OR(X235="R64",X235="R68"),1,X235="R32",2,X235="S16",3,X235="E8",4,X235="F4",5,X235="2ND",6,X235="Champions",7)</f>
        <v>0</v>
      </c>
      <c r="X235" t="s">
        <v>90</v>
      </c>
      <c r="Y235" t="s">
        <v>90</v>
      </c>
      <c r="Z235">
        <v>2015</v>
      </c>
    </row>
    <row r="236" spans="1:26" x14ac:dyDescent="0.3">
      <c r="A236" t="s">
        <v>134</v>
      </c>
      <c r="B236" t="s">
        <v>131</v>
      </c>
      <c r="C236">
        <v>28</v>
      </c>
      <c r="D236">
        <v>11</v>
      </c>
      <c r="E236" s="1">
        <f t="shared" si="3"/>
        <v>0.39285714285714285</v>
      </c>
      <c r="F236">
        <v>98</v>
      </c>
      <c r="G236">
        <v>110.6</v>
      </c>
      <c r="H236">
        <v>0.19869999999999999</v>
      </c>
      <c r="I236">
        <v>48.1</v>
      </c>
      <c r="J236">
        <v>54.1</v>
      </c>
      <c r="K236">
        <v>18.7</v>
      </c>
      <c r="L236">
        <v>17.8</v>
      </c>
      <c r="M236">
        <v>29.2</v>
      </c>
      <c r="N236">
        <v>29.4</v>
      </c>
      <c r="O236">
        <v>39.700000000000003</v>
      </c>
      <c r="P236">
        <v>47</v>
      </c>
      <c r="Q236">
        <v>47.5</v>
      </c>
      <c r="R236">
        <v>51.8</v>
      </c>
      <c r="S236">
        <v>32.6</v>
      </c>
      <c r="T236">
        <v>38.299999999999997</v>
      </c>
      <c r="U236">
        <v>68.2</v>
      </c>
      <c r="V236">
        <v>-12</v>
      </c>
      <c r="W236" cm="1">
        <f t="array" ref="W236">_xlfn.IFS(OR(X236="N/A",X236="NA"),0,OR(X236="R64",X236="R68"),1,X236="R32",2,X236="S16",3,X236="E8",4,X236="F4",5,X236="2ND",6,X236="Champions",7)</f>
        <v>0</v>
      </c>
      <c r="X236" t="s">
        <v>90</v>
      </c>
      <c r="Y236" t="s">
        <v>90</v>
      </c>
      <c r="Z236">
        <v>2015</v>
      </c>
    </row>
    <row r="237" spans="1:26" x14ac:dyDescent="0.3">
      <c r="A237" t="s">
        <v>135</v>
      </c>
      <c r="B237" t="s">
        <v>131</v>
      </c>
      <c r="C237">
        <v>28</v>
      </c>
      <c r="D237">
        <v>11</v>
      </c>
      <c r="E237" s="1">
        <f t="shared" si="3"/>
        <v>0.39285714285714285</v>
      </c>
      <c r="F237">
        <v>102.4</v>
      </c>
      <c r="G237">
        <v>108.7</v>
      </c>
      <c r="H237">
        <v>0.33479999999999999</v>
      </c>
      <c r="I237">
        <v>51.2</v>
      </c>
      <c r="J237">
        <v>50.6</v>
      </c>
      <c r="K237">
        <v>17.8</v>
      </c>
      <c r="L237">
        <v>16.600000000000001</v>
      </c>
      <c r="M237">
        <v>28.5</v>
      </c>
      <c r="N237">
        <v>30</v>
      </c>
      <c r="O237">
        <v>30</v>
      </c>
      <c r="P237">
        <v>45.3</v>
      </c>
      <c r="Q237">
        <v>51.9</v>
      </c>
      <c r="R237">
        <v>49.2</v>
      </c>
      <c r="S237">
        <v>33.4</v>
      </c>
      <c r="T237">
        <v>35.5</v>
      </c>
      <c r="U237">
        <v>64.099999999999994</v>
      </c>
      <c r="V237">
        <v>-12.1</v>
      </c>
      <c r="W237" cm="1">
        <f t="array" ref="W237">_xlfn.IFS(OR(X237="N/A",X237="NA"),0,OR(X237="R64",X237="R68"),1,X237="R32",2,X237="S16",3,X237="E8",4,X237="F4",5,X237="2ND",6,X237="Champions",7)</f>
        <v>0</v>
      </c>
      <c r="X237" t="s">
        <v>90</v>
      </c>
      <c r="Y237" t="s">
        <v>90</v>
      </c>
      <c r="Z237">
        <v>2015</v>
      </c>
    </row>
    <row r="238" spans="1:26" x14ac:dyDescent="0.3">
      <c r="A238" t="s">
        <v>136</v>
      </c>
      <c r="B238" t="s">
        <v>131</v>
      </c>
      <c r="C238">
        <v>28</v>
      </c>
      <c r="D238">
        <v>6</v>
      </c>
      <c r="E238" s="1">
        <f t="shared" si="3"/>
        <v>0.21428571428571427</v>
      </c>
      <c r="F238">
        <v>93.9</v>
      </c>
      <c r="G238">
        <v>114.3</v>
      </c>
      <c r="H238">
        <v>9.4200000000000006E-2</v>
      </c>
      <c r="I238">
        <v>48.1</v>
      </c>
      <c r="J238">
        <v>51.6</v>
      </c>
      <c r="K238">
        <v>18.3</v>
      </c>
      <c r="L238">
        <v>16.399999999999999</v>
      </c>
      <c r="M238">
        <v>26.1</v>
      </c>
      <c r="N238">
        <v>35.1</v>
      </c>
      <c r="O238">
        <v>34.1</v>
      </c>
      <c r="P238">
        <v>31.5</v>
      </c>
      <c r="Q238">
        <v>48.3</v>
      </c>
      <c r="R238">
        <v>49.1</v>
      </c>
      <c r="S238">
        <v>31.8</v>
      </c>
      <c r="T238">
        <v>37.1</v>
      </c>
      <c r="U238">
        <v>66.3</v>
      </c>
      <c r="V238">
        <v>-17.8</v>
      </c>
      <c r="W238" cm="1">
        <f t="array" ref="W238">_xlfn.IFS(OR(X238="N/A",X238="NA"),0,OR(X238="R64",X238="R68"),1,X238="R32",2,X238="S16",3,X238="E8",4,X238="F4",5,X238="2ND",6,X238="Champions",7)</f>
        <v>0</v>
      </c>
      <c r="X238" t="s">
        <v>90</v>
      </c>
      <c r="Y238" t="s">
        <v>90</v>
      </c>
      <c r="Z238">
        <v>2015</v>
      </c>
    </row>
    <row r="239" spans="1:26" x14ac:dyDescent="0.3">
      <c r="A239" t="s">
        <v>137</v>
      </c>
      <c r="B239" t="s">
        <v>131</v>
      </c>
      <c r="C239">
        <v>32</v>
      </c>
      <c r="D239">
        <v>20</v>
      </c>
      <c r="E239" s="1">
        <f t="shared" si="3"/>
        <v>0.625</v>
      </c>
      <c r="F239">
        <v>102</v>
      </c>
      <c r="G239">
        <v>103.1</v>
      </c>
      <c r="H239">
        <v>0.4677</v>
      </c>
      <c r="I239">
        <v>49.5</v>
      </c>
      <c r="J239">
        <v>47.1</v>
      </c>
      <c r="K239">
        <v>16.899999999999999</v>
      </c>
      <c r="L239">
        <v>20.3</v>
      </c>
      <c r="M239">
        <v>35.200000000000003</v>
      </c>
      <c r="N239">
        <v>33.5</v>
      </c>
      <c r="O239">
        <v>30.4</v>
      </c>
      <c r="P239">
        <v>30.3</v>
      </c>
      <c r="Q239">
        <v>49.2</v>
      </c>
      <c r="R239">
        <v>46.6</v>
      </c>
      <c r="S239">
        <v>33.200000000000003</v>
      </c>
      <c r="T239">
        <v>31.9</v>
      </c>
      <c r="U239">
        <v>63.6</v>
      </c>
      <c r="V239">
        <v>-6.8</v>
      </c>
      <c r="W239" cm="1">
        <f t="array" ref="W239">_xlfn.IFS(OR(X239="N/A",X239="NA"),0,OR(X239="R64",X239="R68"),1,X239="R32",2,X239="S16",3,X239="E8",4,X239="F4",5,X239="2ND",6,X239="Champions",7)</f>
        <v>0</v>
      </c>
      <c r="X239" t="s">
        <v>90</v>
      </c>
      <c r="Y239" t="s">
        <v>90</v>
      </c>
      <c r="Z239">
        <v>2015</v>
      </c>
    </row>
    <row r="240" spans="1:26" x14ac:dyDescent="0.3">
      <c r="A240" t="s">
        <v>132</v>
      </c>
      <c r="B240" t="s">
        <v>131</v>
      </c>
      <c r="C240">
        <v>28</v>
      </c>
      <c r="D240">
        <v>12</v>
      </c>
      <c r="E240" s="1">
        <f t="shared" si="3"/>
        <v>0.42857142857142855</v>
      </c>
      <c r="F240">
        <v>100.3</v>
      </c>
      <c r="G240">
        <v>108.4</v>
      </c>
      <c r="H240">
        <v>0.28949999999999998</v>
      </c>
      <c r="I240">
        <v>49.7</v>
      </c>
      <c r="J240">
        <v>53.6</v>
      </c>
      <c r="K240">
        <v>15.4</v>
      </c>
      <c r="L240">
        <v>17.399999999999999</v>
      </c>
      <c r="M240">
        <v>27</v>
      </c>
      <c r="N240">
        <v>26.1</v>
      </c>
      <c r="O240">
        <v>31.4</v>
      </c>
      <c r="P240">
        <v>33.5</v>
      </c>
      <c r="Q240">
        <v>45</v>
      </c>
      <c r="R240">
        <v>52.7</v>
      </c>
      <c r="S240">
        <v>38.9</v>
      </c>
      <c r="T240">
        <v>36.6</v>
      </c>
      <c r="U240">
        <v>71.3</v>
      </c>
      <c r="V240">
        <v>-11.7</v>
      </c>
      <c r="W240" cm="1">
        <f t="array" ref="W240">_xlfn.IFS(OR(X240="N/A",X240="NA"),0,OR(X240="R64",X240="R68"),1,X240="R32",2,X240="S16",3,X240="E8",4,X240="F4",5,X240="2ND",6,X240="Champions",7)</f>
        <v>0</v>
      </c>
      <c r="X240" t="s">
        <v>90</v>
      </c>
      <c r="Y240" t="s">
        <v>90</v>
      </c>
      <c r="Z240">
        <v>2016</v>
      </c>
    </row>
    <row r="241" spans="1:26" x14ac:dyDescent="0.3">
      <c r="A241" t="s">
        <v>133</v>
      </c>
      <c r="B241" t="s">
        <v>131</v>
      </c>
      <c r="C241">
        <v>29</v>
      </c>
      <c r="D241">
        <v>9</v>
      </c>
      <c r="E241" s="1">
        <f t="shared" si="3"/>
        <v>0.31034482758620691</v>
      </c>
      <c r="F241">
        <v>100.7</v>
      </c>
      <c r="G241">
        <v>107.9</v>
      </c>
      <c r="H241">
        <v>0.31090000000000001</v>
      </c>
      <c r="I241">
        <v>48.7</v>
      </c>
      <c r="J241">
        <v>53.2</v>
      </c>
      <c r="K241">
        <v>18.5</v>
      </c>
      <c r="L241">
        <v>18</v>
      </c>
      <c r="M241">
        <v>28.3</v>
      </c>
      <c r="N241">
        <v>34.6</v>
      </c>
      <c r="O241">
        <v>33.5</v>
      </c>
      <c r="P241">
        <v>39</v>
      </c>
      <c r="Q241">
        <v>47.2</v>
      </c>
      <c r="R241">
        <v>54</v>
      </c>
      <c r="S241">
        <v>35.1</v>
      </c>
      <c r="T241">
        <v>34.5</v>
      </c>
      <c r="U241">
        <v>69.7</v>
      </c>
      <c r="V241">
        <v>-13</v>
      </c>
      <c r="W241" cm="1">
        <f t="array" ref="W241">_xlfn.IFS(OR(X241="N/A",X241="NA"),0,OR(X241="R64",X241="R68"),1,X241="R32",2,X241="S16",3,X241="E8",4,X241="F4",5,X241="2ND",6,X241="Champions",7)</f>
        <v>0</v>
      </c>
      <c r="X241" t="s">
        <v>90</v>
      </c>
      <c r="Y241" t="s">
        <v>90</v>
      </c>
      <c r="Z241">
        <v>2016</v>
      </c>
    </row>
    <row r="242" spans="1:26" x14ac:dyDescent="0.3">
      <c r="A242" t="s">
        <v>134</v>
      </c>
      <c r="B242" t="s">
        <v>131</v>
      </c>
      <c r="C242">
        <v>31</v>
      </c>
      <c r="D242">
        <v>10</v>
      </c>
      <c r="E242" s="1">
        <f t="shared" si="3"/>
        <v>0.32258064516129031</v>
      </c>
      <c r="F242">
        <v>101.5</v>
      </c>
      <c r="G242">
        <v>109.1</v>
      </c>
      <c r="H242">
        <v>0.30320000000000003</v>
      </c>
      <c r="I242">
        <v>51.5</v>
      </c>
      <c r="J242">
        <v>52.9</v>
      </c>
      <c r="K242">
        <v>18.600000000000001</v>
      </c>
      <c r="L242">
        <v>17.7</v>
      </c>
      <c r="M242">
        <v>26.9</v>
      </c>
      <c r="N242">
        <v>30.2</v>
      </c>
      <c r="O242">
        <v>34.700000000000003</v>
      </c>
      <c r="P242">
        <v>35.799999999999997</v>
      </c>
      <c r="Q242">
        <v>50.5</v>
      </c>
      <c r="R242">
        <v>51.1</v>
      </c>
      <c r="S242">
        <v>35.200000000000003</v>
      </c>
      <c r="T242">
        <v>37</v>
      </c>
      <c r="U242">
        <v>73.900000000000006</v>
      </c>
      <c r="V242">
        <v>-16</v>
      </c>
      <c r="W242" cm="1">
        <f t="array" ref="W242">_xlfn.IFS(OR(X242="N/A",X242="NA"),0,OR(X242="R64",X242="R68"),1,X242="R32",2,X242="S16",3,X242="E8",4,X242="F4",5,X242="2ND",6,X242="Champions",7)</f>
        <v>0</v>
      </c>
      <c r="X242" t="s">
        <v>90</v>
      </c>
      <c r="Y242" t="s">
        <v>90</v>
      </c>
      <c r="Z242">
        <v>2016</v>
      </c>
    </row>
    <row r="243" spans="1:26" x14ac:dyDescent="0.3">
      <c r="A243" t="s">
        <v>138</v>
      </c>
      <c r="B243" t="s">
        <v>131</v>
      </c>
      <c r="C243">
        <v>34</v>
      </c>
      <c r="D243">
        <v>19</v>
      </c>
      <c r="E243" s="1">
        <f t="shared" si="3"/>
        <v>0.55882352941176472</v>
      </c>
      <c r="F243">
        <v>100.7</v>
      </c>
      <c r="G243">
        <v>104.6</v>
      </c>
      <c r="H243">
        <v>0.39190000000000003</v>
      </c>
      <c r="I243">
        <v>51.8</v>
      </c>
      <c r="J243">
        <v>51.3</v>
      </c>
      <c r="K243">
        <v>18.2</v>
      </c>
      <c r="L243">
        <v>19.2</v>
      </c>
      <c r="M243">
        <v>26.8</v>
      </c>
      <c r="N243">
        <v>31.1</v>
      </c>
      <c r="O243">
        <v>33.700000000000003</v>
      </c>
      <c r="P243">
        <v>35.700000000000003</v>
      </c>
      <c r="Q243">
        <v>51.1</v>
      </c>
      <c r="R243">
        <v>50.6</v>
      </c>
      <c r="S243">
        <v>35.1</v>
      </c>
      <c r="T243">
        <v>34.9</v>
      </c>
      <c r="U243">
        <v>69.900000000000006</v>
      </c>
      <c r="V243">
        <v>-8.8000000000000007</v>
      </c>
      <c r="W243" cm="1">
        <f t="array" ref="W243">_xlfn.IFS(OR(X243="N/A",X243="NA"),0,OR(X243="R64",X243="R68"),1,X243="R32",2,X243="S16",3,X243="E8",4,X243="F4",5,X243="2ND",6,X243="Champions",7)</f>
        <v>0</v>
      </c>
      <c r="X243" t="s">
        <v>90</v>
      </c>
      <c r="Y243" t="s">
        <v>90</v>
      </c>
      <c r="Z243">
        <v>2016</v>
      </c>
    </row>
    <row r="244" spans="1:26" x14ac:dyDescent="0.3">
      <c r="A244" t="s">
        <v>139</v>
      </c>
      <c r="B244" t="s">
        <v>131</v>
      </c>
      <c r="C244">
        <v>31</v>
      </c>
      <c r="D244">
        <v>19</v>
      </c>
      <c r="E244" s="1">
        <f t="shared" si="3"/>
        <v>0.61290322580645162</v>
      </c>
      <c r="F244">
        <v>113.5</v>
      </c>
      <c r="G244">
        <v>113.1</v>
      </c>
      <c r="H244">
        <v>0.51029999999999998</v>
      </c>
      <c r="I244">
        <v>57.9</v>
      </c>
      <c r="J244">
        <v>51.8</v>
      </c>
      <c r="K244">
        <v>15.3</v>
      </c>
      <c r="L244">
        <v>14.4</v>
      </c>
      <c r="M244">
        <v>24.1</v>
      </c>
      <c r="N244">
        <v>33.4</v>
      </c>
      <c r="O244">
        <v>28.7</v>
      </c>
      <c r="P244">
        <v>27.1</v>
      </c>
      <c r="Q244">
        <v>54.7</v>
      </c>
      <c r="R244">
        <v>51.8</v>
      </c>
      <c r="S244">
        <v>40.9</v>
      </c>
      <c r="T244">
        <v>34.6</v>
      </c>
      <c r="U244">
        <v>71.3</v>
      </c>
      <c r="V244">
        <v>-5.0999999999999996</v>
      </c>
      <c r="W244" cm="1">
        <f t="array" ref="W244">_xlfn.IFS(OR(X244="N/A",X244="NA"),0,OR(X244="R64",X244="R68"),1,X244="R32",2,X244="S16",3,X244="E8",4,X244="F4",5,X244="2ND",6,X244="Champions",7)</f>
        <v>0</v>
      </c>
      <c r="X244" t="s">
        <v>90</v>
      </c>
      <c r="Y244" t="s">
        <v>90</v>
      </c>
      <c r="Z244">
        <v>2016</v>
      </c>
    </row>
    <row r="245" spans="1:26" x14ac:dyDescent="0.3">
      <c r="A245" t="s">
        <v>136</v>
      </c>
      <c r="B245" t="s">
        <v>131</v>
      </c>
      <c r="C245">
        <v>30</v>
      </c>
      <c r="D245">
        <v>8</v>
      </c>
      <c r="E245" s="1">
        <f t="shared" si="3"/>
        <v>0.26666666666666666</v>
      </c>
      <c r="F245">
        <v>103</v>
      </c>
      <c r="G245">
        <v>113.7</v>
      </c>
      <c r="H245">
        <v>0.24360000000000001</v>
      </c>
      <c r="I245">
        <v>51.2</v>
      </c>
      <c r="J245">
        <v>54.5</v>
      </c>
      <c r="K245">
        <v>16.8</v>
      </c>
      <c r="L245">
        <v>15.7</v>
      </c>
      <c r="M245">
        <v>25.2</v>
      </c>
      <c r="N245">
        <v>32.9</v>
      </c>
      <c r="O245">
        <v>33.799999999999997</v>
      </c>
      <c r="P245">
        <v>30.8</v>
      </c>
      <c r="Q245">
        <v>49.4</v>
      </c>
      <c r="R245">
        <v>54.7</v>
      </c>
      <c r="S245">
        <v>36.200000000000003</v>
      </c>
      <c r="T245">
        <v>35.9</v>
      </c>
      <c r="U245">
        <v>71.400000000000006</v>
      </c>
      <c r="V245">
        <v>-16.600000000000001</v>
      </c>
      <c r="W245" cm="1">
        <f t="array" ref="W245">_xlfn.IFS(OR(X245="N/A",X245="NA"),0,OR(X245="R64",X245="R68"),1,X245="R32",2,X245="S16",3,X245="E8",4,X245="F4",5,X245="2ND",6,X245="Champions",7)</f>
        <v>0</v>
      </c>
      <c r="X245" t="s">
        <v>90</v>
      </c>
      <c r="Y245" t="s">
        <v>90</v>
      </c>
      <c r="Z245">
        <v>2016</v>
      </c>
    </row>
    <row r="246" spans="1:26" x14ac:dyDescent="0.3">
      <c r="A246" t="s">
        <v>137</v>
      </c>
      <c r="B246" t="s">
        <v>131</v>
      </c>
      <c r="C246">
        <v>28</v>
      </c>
      <c r="D246">
        <v>7</v>
      </c>
      <c r="E246" s="1">
        <f t="shared" si="3"/>
        <v>0.25</v>
      </c>
      <c r="F246">
        <v>100</v>
      </c>
      <c r="G246">
        <v>114.3</v>
      </c>
      <c r="H246">
        <v>0.1782</v>
      </c>
      <c r="I246">
        <v>50.1</v>
      </c>
      <c r="J246">
        <v>54.6</v>
      </c>
      <c r="K246">
        <v>20.2</v>
      </c>
      <c r="L246">
        <v>15.1</v>
      </c>
      <c r="M246">
        <v>33.1</v>
      </c>
      <c r="N246">
        <v>31.9</v>
      </c>
      <c r="O246">
        <v>30.9</v>
      </c>
      <c r="P246">
        <v>36.6</v>
      </c>
      <c r="Q246">
        <v>48.4</v>
      </c>
      <c r="R246">
        <v>53.1</v>
      </c>
      <c r="S246">
        <v>35.700000000000003</v>
      </c>
      <c r="T246">
        <v>38.1</v>
      </c>
      <c r="U246">
        <v>67.2</v>
      </c>
      <c r="V246">
        <v>-16.2</v>
      </c>
      <c r="W246" cm="1">
        <f t="array" ref="W246">_xlfn.IFS(OR(X246="N/A",X246="NA"),0,OR(X246="R64",X246="R68"),1,X246="R32",2,X246="S16",3,X246="E8",4,X246="F4",5,X246="2ND",6,X246="Champions",7)</f>
        <v>0</v>
      </c>
      <c r="X246" t="s">
        <v>90</v>
      </c>
      <c r="Y246" t="s">
        <v>90</v>
      </c>
      <c r="Z246">
        <v>2016</v>
      </c>
    </row>
    <row r="247" spans="1:26" x14ac:dyDescent="0.3">
      <c r="A247" t="s">
        <v>132</v>
      </c>
      <c r="B247" t="s">
        <v>131</v>
      </c>
      <c r="C247">
        <v>29</v>
      </c>
      <c r="D247">
        <v>17</v>
      </c>
      <c r="E247" s="1">
        <f t="shared" si="3"/>
        <v>0.58620689655172409</v>
      </c>
      <c r="F247">
        <v>100.3</v>
      </c>
      <c r="G247">
        <v>111.2</v>
      </c>
      <c r="H247">
        <v>0.23319999999999999</v>
      </c>
      <c r="I247">
        <v>53.8</v>
      </c>
      <c r="J247">
        <v>56.6</v>
      </c>
      <c r="K247">
        <v>18.5</v>
      </c>
      <c r="L247">
        <v>20.9</v>
      </c>
      <c r="M247">
        <v>26.3</v>
      </c>
      <c r="N247">
        <v>28.5</v>
      </c>
      <c r="O247">
        <v>34.6</v>
      </c>
      <c r="P247">
        <v>36.799999999999997</v>
      </c>
      <c r="Q247">
        <v>50.4</v>
      </c>
      <c r="R247">
        <v>56.5</v>
      </c>
      <c r="S247">
        <v>38.799999999999997</v>
      </c>
      <c r="T247">
        <v>37.799999999999997</v>
      </c>
      <c r="U247">
        <v>69.2</v>
      </c>
      <c r="V247">
        <v>-11.8</v>
      </c>
      <c r="W247" cm="1">
        <f t="array" ref="W247">_xlfn.IFS(OR(X247="N/A",X247="NA"),0,OR(X247="R64",X247="R68"),1,X247="R32",2,X247="S16",3,X247="E8",4,X247="F4",5,X247="2ND",6,X247="Champions",7)</f>
        <v>0</v>
      </c>
      <c r="X247" t="s">
        <v>90</v>
      </c>
      <c r="Y247" t="s">
        <v>90</v>
      </c>
      <c r="Z247">
        <v>2017</v>
      </c>
    </row>
    <row r="248" spans="1:26" x14ac:dyDescent="0.3">
      <c r="A248" t="s">
        <v>133</v>
      </c>
      <c r="B248" t="s">
        <v>131</v>
      </c>
      <c r="C248">
        <v>30</v>
      </c>
      <c r="D248">
        <v>14</v>
      </c>
      <c r="E248" s="1">
        <f t="shared" si="3"/>
        <v>0.46666666666666667</v>
      </c>
      <c r="F248">
        <v>100.9</v>
      </c>
      <c r="G248">
        <v>109.3</v>
      </c>
      <c r="H248">
        <v>0.2848</v>
      </c>
      <c r="I248">
        <v>51.3</v>
      </c>
      <c r="J248">
        <v>53.8</v>
      </c>
      <c r="K248">
        <v>18.899999999999999</v>
      </c>
      <c r="L248">
        <v>17.5</v>
      </c>
      <c r="M248">
        <v>31.1</v>
      </c>
      <c r="N248">
        <v>28.5</v>
      </c>
      <c r="O248">
        <v>30.6</v>
      </c>
      <c r="P248">
        <v>36.200000000000003</v>
      </c>
      <c r="Q248">
        <v>47.7</v>
      </c>
      <c r="R248">
        <v>52.8</v>
      </c>
      <c r="S248">
        <v>41.2</v>
      </c>
      <c r="T248">
        <v>37.299999999999997</v>
      </c>
      <c r="U248">
        <v>70.599999999999994</v>
      </c>
      <c r="V248">
        <v>-13</v>
      </c>
      <c r="W248" cm="1">
        <f t="array" ref="W248">_xlfn.IFS(OR(X248="N/A",X248="NA"),0,OR(X248="R64",X248="R68"),1,X248="R32",2,X248="S16",3,X248="E8",4,X248="F4",5,X248="2ND",6,X248="Champions",7)</f>
        <v>0</v>
      </c>
      <c r="X248" t="s">
        <v>90</v>
      </c>
      <c r="Y248" t="s">
        <v>90</v>
      </c>
      <c r="Z248">
        <v>2017</v>
      </c>
    </row>
    <row r="249" spans="1:26" x14ac:dyDescent="0.3">
      <c r="A249" t="s">
        <v>134</v>
      </c>
      <c r="B249" t="s">
        <v>131</v>
      </c>
      <c r="C249">
        <v>30</v>
      </c>
      <c r="D249">
        <v>20</v>
      </c>
      <c r="E249" s="1">
        <f t="shared" si="3"/>
        <v>0.66666666666666663</v>
      </c>
      <c r="F249">
        <v>106.3</v>
      </c>
      <c r="G249">
        <v>106.3</v>
      </c>
      <c r="H249">
        <v>0.4995</v>
      </c>
      <c r="I249">
        <v>55</v>
      </c>
      <c r="J249">
        <v>52</v>
      </c>
      <c r="K249">
        <v>20.100000000000001</v>
      </c>
      <c r="L249">
        <v>20.3</v>
      </c>
      <c r="M249">
        <v>28.3</v>
      </c>
      <c r="N249">
        <v>30.9</v>
      </c>
      <c r="O249">
        <v>41.2</v>
      </c>
      <c r="P249">
        <v>44.2</v>
      </c>
      <c r="Q249">
        <v>55.7</v>
      </c>
      <c r="R249">
        <v>50.9</v>
      </c>
      <c r="S249">
        <v>36</v>
      </c>
      <c r="T249">
        <v>36</v>
      </c>
      <c r="U249">
        <v>75.7</v>
      </c>
      <c r="V249">
        <v>-8.1</v>
      </c>
      <c r="W249" cm="1">
        <f t="array" ref="W249">_xlfn.IFS(OR(X249="N/A",X249="NA"),0,OR(X249="R64",X249="R68"),1,X249="R32",2,X249="S16",3,X249="E8",4,X249="F4",5,X249="2ND",6,X249="Champions",7)</f>
        <v>0</v>
      </c>
      <c r="X249" t="s">
        <v>90</v>
      </c>
      <c r="Y249" t="s">
        <v>90</v>
      </c>
      <c r="Z249">
        <v>2017</v>
      </c>
    </row>
    <row r="250" spans="1:26" x14ac:dyDescent="0.3">
      <c r="A250" t="s">
        <v>138</v>
      </c>
      <c r="B250" t="s">
        <v>131</v>
      </c>
      <c r="C250">
        <v>29</v>
      </c>
      <c r="D250">
        <v>11</v>
      </c>
      <c r="E250" s="1">
        <f t="shared" si="3"/>
        <v>0.37931034482758619</v>
      </c>
      <c r="F250">
        <v>98</v>
      </c>
      <c r="G250">
        <v>109.3</v>
      </c>
      <c r="H250">
        <v>0.22109999999999999</v>
      </c>
      <c r="I250">
        <v>48.7</v>
      </c>
      <c r="J250">
        <v>55.2</v>
      </c>
      <c r="K250">
        <v>19.7</v>
      </c>
      <c r="L250">
        <v>18.399999999999999</v>
      </c>
      <c r="M250">
        <v>30.5</v>
      </c>
      <c r="N250">
        <v>25.2</v>
      </c>
      <c r="O250">
        <v>33.299999999999997</v>
      </c>
      <c r="P250">
        <v>36.299999999999997</v>
      </c>
      <c r="Q250">
        <v>47.7</v>
      </c>
      <c r="R250">
        <v>53.7</v>
      </c>
      <c r="S250">
        <v>33.4</v>
      </c>
      <c r="T250">
        <v>38.4</v>
      </c>
      <c r="U250">
        <v>69.5</v>
      </c>
      <c r="V250">
        <v>-14.6</v>
      </c>
      <c r="W250" cm="1">
        <f t="array" ref="W250">_xlfn.IFS(OR(X250="N/A",X250="NA"),0,OR(X250="R64",X250="R68"),1,X250="R32",2,X250="S16",3,X250="E8",4,X250="F4",5,X250="2ND",6,X250="Champions",7)</f>
        <v>0</v>
      </c>
      <c r="X250" t="s">
        <v>90</v>
      </c>
      <c r="Y250" t="s">
        <v>90</v>
      </c>
      <c r="Z250">
        <v>2017</v>
      </c>
    </row>
    <row r="251" spans="1:26" x14ac:dyDescent="0.3">
      <c r="A251" t="s">
        <v>139</v>
      </c>
      <c r="B251" t="s">
        <v>131</v>
      </c>
      <c r="C251">
        <v>30</v>
      </c>
      <c r="D251">
        <v>15</v>
      </c>
      <c r="E251" s="1">
        <f t="shared" si="3"/>
        <v>0.5</v>
      </c>
      <c r="F251">
        <v>100.7</v>
      </c>
      <c r="G251">
        <v>108.6</v>
      </c>
      <c r="H251">
        <v>0.29570000000000002</v>
      </c>
      <c r="I251">
        <v>51.3</v>
      </c>
      <c r="J251">
        <v>52.7</v>
      </c>
      <c r="K251">
        <v>22.2</v>
      </c>
      <c r="L251">
        <v>16.7</v>
      </c>
      <c r="M251">
        <v>33.299999999999997</v>
      </c>
      <c r="N251">
        <v>31.8</v>
      </c>
      <c r="O251">
        <v>34.9</v>
      </c>
      <c r="P251">
        <v>35</v>
      </c>
      <c r="Q251">
        <v>50.7</v>
      </c>
      <c r="R251">
        <v>51.6</v>
      </c>
      <c r="S251">
        <v>34.700000000000003</v>
      </c>
      <c r="T251">
        <v>36.6</v>
      </c>
      <c r="U251">
        <v>71.099999999999994</v>
      </c>
      <c r="V251">
        <v>-12.1</v>
      </c>
      <c r="W251" cm="1">
        <f t="array" ref="W251">_xlfn.IFS(OR(X251="N/A",X251="NA"),0,OR(X251="R64",X251="R68"),1,X251="R32",2,X251="S16",3,X251="E8",4,X251="F4",5,X251="2ND",6,X251="Champions",7)</f>
        <v>0</v>
      </c>
      <c r="X251" t="s">
        <v>90</v>
      </c>
      <c r="Y251" t="s">
        <v>90</v>
      </c>
      <c r="Z251">
        <v>2017</v>
      </c>
    </row>
    <row r="252" spans="1:26" x14ac:dyDescent="0.3">
      <c r="A252" t="s">
        <v>136</v>
      </c>
      <c r="B252" t="s">
        <v>131</v>
      </c>
      <c r="C252">
        <v>29</v>
      </c>
      <c r="D252">
        <v>11</v>
      </c>
      <c r="E252" s="1">
        <f t="shared" si="3"/>
        <v>0.37931034482758619</v>
      </c>
      <c r="F252">
        <v>99.3</v>
      </c>
      <c r="G252">
        <v>114.2</v>
      </c>
      <c r="H252">
        <v>0.16589999999999999</v>
      </c>
      <c r="I252">
        <v>49.9</v>
      </c>
      <c r="J252">
        <v>52.9</v>
      </c>
      <c r="K252">
        <v>14.9</v>
      </c>
      <c r="L252">
        <v>15.1</v>
      </c>
      <c r="M252">
        <v>21.1</v>
      </c>
      <c r="N252">
        <v>33</v>
      </c>
      <c r="O252">
        <v>32.6</v>
      </c>
      <c r="P252">
        <v>32.200000000000003</v>
      </c>
      <c r="Q252">
        <v>49.9</v>
      </c>
      <c r="R252">
        <v>52.6</v>
      </c>
      <c r="S252">
        <v>33.4</v>
      </c>
      <c r="T252">
        <v>35.6</v>
      </c>
      <c r="U252">
        <v>73.900000000000006</v>
      </c>
      <c r="V252">
        <v>-16.3</v>
      </c>
      <c r="W252" cm="1">
        <f t="array" ref="W252">_xlfn.IFS(OR(X252="N/A",X252="NA"),0,OR(X252="R64",X252="R68"),1,X252="R32",2,X252="S16",3,X252="E8",4,X252="F4",5,X252="2ND",6,X252="Champions",7)</f>
        <v>0</v>
      </c>
      <c r="X252" t="s">
        <v>90</v>
      </c>
      <c r="Y252" t="s">
        <v>90</v>
      </c>
      <c r="Z252">
        <v>2017</v>
      </c>
    </row>
    <row r="253" spans="1:26" x14ac:dyDescent="0.3">
      <c r="A253" t="s">
        <v>137</v>
      </c>
      <c r="B253" t="s">
        <v>131</v>
      </c>
      <c r="C253">
        <v>29</v>
      </c>
      <c r="D253">
        <v>17</v>
      </c>
      <c r="E253" s="1">
        <f t="shared" si="3"/>
        <v>0.58620689655172409</v>
      </c>
      <c r="F253">
        <v>102.1</v>
      </c>
      <c r="G253">
        <v>111.5</v>
      </c>
      <c r="H253">
        <v>0.26650000000000001</v>
      </c>
      <c r="I253">
        <v>52.4</v>
      </c>
      <c r="J253">
        <v>50.7</v>
      </c>
      <c r="K253">
        <v>17.899999999999999</v>
      </c>
      <c r="L253">
        <v>14.5</v>
      </c>
      <c r="M253">
        <v>30.2</v>
      </c>
      <c r="N253">
        <v>30.2</v>
      </c>
      <c r="O253">
        <v>31.9</v>
      </c>
      <c r="P253">
        <v>29.9</v>
      </c>
      <c r="Q253">
        <v>52.8</v>
      </c>
      <c r="R253">
        <v>51.2</v>
      </c>
      <c r="S253">
        <v>34.6</v>
      </c>
      <c r="T253">
        <v>33.200000000000003</v>
      </c>
      <c r="U253">
        <v>69.599999999999994</v>
      </c>
      <c r="V253">
        <v>-10.5</v>
      </c>
      <c r="W253" cm="1">
        <f t="array" ref="W253">_xlfn.IFS(OR(X253="N/A",X253="NA"),0,OR(X253="R64",X253="R68"),1,X253="R32",2,X253="S16",3,X253="E8",4,X253="F4",5,X253="2ND",6,X253="Champions",7)</f>
        <v>0</v>
      </c>
      <c r="X253" t="s">
        <v>90</v>
      </c>
      <c r="Y253" t="s">
        <v>90</v>
      </c>
      <c r="Z253">
        <v>2017</v>
      </c>
    </row>
    <row r="254" spans="1:26" x14ac:dyDescent="0.3">
      <c r="A254" t="s">
        <v>130</v>
      </c>
      <c r="B254" t="s">
        <v>131</v>
      </c>
      <c r="C254">
        <v>32</v>
      </c>
      <c r="D254">
        <v>23</v>
      </c>
      <c r="E254" s="1">
        <f t="shared" si="3"/>
        <v>0.71875</v>
      </c>
      <c r="F254">
        <v>105.8</v>
      </c>
      <c r="G254">
        <v>103.2</v>
      </c>
      <c r="H254">
        <v>0.57069999999999999</v>
      </c>
      <c r="I254">
        <v>55.3</v>
      </c>
      <c r="J254">
        <v>49.9</v>
      </c>
      <c r="K254">
        <v>19.5</v>
      </c>
      <c r="L254">
        <v>18.899999999999999</v>
      </c>
      <c r="M254">
        <v>31.3</v>
      </c>
      <c r="N254">
        <v>26.7</v>
      </c>
      <c r="O254">
        <v>33.4</v>
      </c>
      <c r="P254">
        <v>35.1</v>
      </c>
      <c r="Q254">
        <v>54.9</v>
      </c>
      <c r="R254">
        <v>49.2</v>
      </c>
      <c r="S254">
        <v>37.299999999999997</v>
      </c>
      <c r="T254">
        <v>34</v>
      </c>
      <c r="U254">
        <v>72.2</v>
      </c>
      <c r="V254">
        <v>-6.4</v>
      </c>
      <c r="W254" cm="1">
        <f t="array" ref="W254">_xlfn.IFS(OR(X254="N/A",X254="NA"),0,OR(X254="R64",X254="R68"),1,X254="R32",2,X254="S16",3,X254="E8",4,X254="F4",5,X254="2ND",6,X254="Champions",7)</f>
        <v>0</v>
      </c>
      <c r="X254" t="s">
        <v>90</v>
      </c>
      <c r="Y254" t="s">
        <v>90</v>
      </c>
      <c r="Z254">
        <v>2018</v>
      </c>
    </row>
    <row r="255" spans="1:26" x14ac:dyDescent="0.3">
      <c r="A255" t="s">
        <v>132</v>
      </c>
      <c r="B255" t="s">
        <v>131</v>
      </c>
      <c r="C255">
        <v>29</v>
      </c>
      <c r="D255">
        <v>15</v>
      </c>
      <c r="E255" s="1">
        <f t="shared" si="3"/>
        <v>0.51724137931034486</v>
      </c>
      <c r="F255">
        <v>93.6</v>
      </c>
      <c r="G255">
        <v>107.9</v>
      </c>
      <c r="H255">
        <v>0.1636</v>
      </c>
      <c r="I255">
        <v>49</v>
      </c>
      <c r="J255">
        <v>51.9</v>
      </c>
      <c r="K255">
        <v>19.2</v>
      </c>
      <c r="L255">
        <v>17.8</v>
      </c>
      <c r="M255">
        <v>25.9</v>
      </c>
      <c r="N255">
        <v>29.7</v>
      </c>
      <c r="O255">
        <v>30</v>
      </c>
      <c r="P255">
        <v>28.4</v>
      </c>
      <c r="Q255">
        <v>48.8</v>
      </c>
      <c r="R255">
        <v>53.3</v>
      </c>
      <c r="S255">
        <v>33</v>
      </c>
      <c r="T255">
        <v>33</v>
      </c>
      <c r="U255">
        <v>69.7</v>
      </c>
      <c r="V255">
        <v>-13.1</v>
      </c>
      <c r="W255" cm="1">
        <f t="array" ref="W255">_xlfn.IFS(OR(X255="N/A",X255="NA"),0,OR(X255="R64",X255="R68"),1,X255="R32",2,X255="S16",3,X255="E8",4,X255="F4",5,X255="2ND",6,X255="Champions",7)</f>
        <v>0</v>
      </c>
      <c r="X255" t="s">
        <v>90</v>
      </c>
      <c r="Y255" t="s">
        <v>90</v>
      </c>
      <c r="Z255">
        <v>2018</v>
      </c>
    </row>
    <row r="256" spans="1:26" x14ac:dyDescent="0.3">
      <c r="A256" t="s">
        <v>133</v>
      </c>
      <c r="B256" t="s">
        <v>131</v>
      </c>
      <c r="C256">
        <v>28</v>
      </c>
      <c r="D256">
        <v>10</v>
      </c>
      <c r="E256" s="1">
        <f t="shared" si="3"/>
        <v>0.35714285714285715</v>
      </c>
      <c r="F256">
        <v>98.3</v>
      </c>
      <c r="G256">
        <v>111.9</v>
      </c>
      <c r="H256">
        <v>0.1845</v>
      </c>
      <c r="I256">
        <v>49.4</v>
      </c>
      <c r="J256">
        <v>54.2</v>
      </c>
      <c r="K256">
        <v>19.2</v>
      </c>
      <c r="L256">
        <v>18.8</v>
      </c>
      <c r="M256">
        <v>29.6</v>
      </c>
      <c r="N256">
        <v>33.6</v>
      </c>
      <c r="O256">
        <v>35</v>
      </c>
      <c r="P256">
        <v>32.9</v>
      </c>
      <c r="Q256">
        <v>47.5</v>
      </c>
      <c r="R256">
        <v>56.8</v>
      </c>
      <c r="S256">
        <v>36.9</v>
      </c>
      <c r="T256">
        <v>32.799999999999997</v>
      </c>
      <c r="U256">
        <v>69.5</v>
      </c>
      <c r="V256">
        <v>-14.5</v>
      </c>
      <c r="W256" cm="1">
        <f t="array" ref="W256">_xlfn.IFS(OR(X256="N/A",X256="NA"),0,OR(X256="R64",X256="R68"),1,X256="R32",2,X256="S16",3,X256="E8",4,X256="F4",5,X256="2ND",6,X256="Champions",7)</f>
        <v>0</v>
      </c>
      <c r="X256" t="s">
        <v>90</v>
      </c>
      <c r="Y256" t="s">
        <v>90</v>
      </c>
      <c r="Z256">
        <v>2018</v>
      </c>
    </row>
    <row r="257" spans="1:26" x14ac:dyDescent="0.3">
      <c r="A257" t="s">
        <v>138</v>
      </c>
      <c r="B257" t="s">
        <v>131</v>
      </c>
      <c r="C257">
        <v>28</v>
      </c>
      <c r="D257">
        <v>14</v>
      </c>
      <c r="E257" s="1">
        <f t="shared" si="3"/>
        <v>0.5</v>
      </c>
      <c r="F257">
        <v>99.1</v>
      </c>
      <c r="G257">
        <v>105</v>
      </c>
      <c r="H257">
        <v>0.34100000000000003</v>
      </c>
      <c r="I257">
        <v>49.8</v>
      </c>
      <c r="J257">
        <v>53</v>
      </c>
      <c r="K257">
        <v>18.5</v>
      </c>
      <c r="L257">
        <v>20.3</v>
      </c>
      <c r="M257">
        <v>30</v>
      </c>
      <c r="N257">
        <v>28.6</v>
      </c>
      <c r="O257">
        <v>32.9</v>
      </c>
      <c r="P257">
        <v>33.700000000000003</v>
      </c>
      <c r="Q257">
        <v>48.1</v>
      </c>
      <c r="R257">
        <v>51.9</v>
      </c>
      <c r="S257">
        <v>35.299999999999997</v>
      </c>
      <c r="T257">
        <v>36.9</v>
      </c>
      <c r="U257">
        <v>68.400000000000006</v>
      </c>
      <c r="V257">
        <v>-11.5</v>
      </c>
      <c r="W257" cm="1">
        <f t="array" ref="W257">_xlfn.IFS(OR(X257="N/A",X257="NA"),0,OR(X257="R64",X257="R68"),1,X257="R32",2,X257="S16",3,X257="E8",4,X257="F4",5,X257="2ND",6,X257="Champions",7)</f>
        <v>0</v>
      </c>
      <c r="X257" t="s">
        <v>90</v>
      </c>
      <c r="Y257" t="s">
        <v>90</v>
      </c>
      <c r="Z257">
        <v>2018</v>
      </c>
    </row>
    <row r="258" spans="1:26" x14ac:dyDescent="0.3">
      <c r="A258" t="s">
        <v>139</v>
      </c>
      <c r="B258" t="s">
        <v>131</v>
      </c>
      <c r="C258">
        <v>30</v>
      </c>
      <c r="D258">
        <v>14</v>
      </c>
      <c r="E258" s="1">
        <f t="shared" si="3"/>
        <v>0.46666666666666667</v>
      </c>
      <c r="F258">
        <v>107.1</v>
      </c>
      <c r="G258">
        <v>117.9</v>
      </c>
      <c r="H258">
        <v>0.24959999999999999</v>
      </c>
      <c r="I258">
        <v>53.6</v>
      </c>
      <c r="J258">
        <v>54</v>
      </c>
      <c r="K258">
        <v>19.3</v>
      </c>
      <c r="L258">
        <v>13.7</v>
      </c>
      <c r="M258">
        <v>25</v>
      </c>
      <c r="N258">
        <v>35</v>
      </c>
      <c r="O258">
        <v>27.7</v>
      </c>
      <c r="P258">
        <v>23.5</v>
      </c>
      <c r="Q258">
        <v>51.5</v>
      </c>
      <c r="R258">
        <v>54.3</v>
      </c>
      <c r="S258">
        <v>37.5</v>
      </c>
      <c r="T258">
        <v>35.4</v>
      </c>
      <c r="U258">
        <v>75.099999999999994</v>
      </c>
      <c r="V258">
        <v>-10.9</v>
      </c>
      <c r="W258" cm="1">
        <f t="array" ref="W258">_xlfn.IFS(OR(X258="N/A",X258="NA"),0,OR(X258="R64",X258="R68"),1,X258="R32",2,X258="S16",3,X258="E8",4,X258="F4",5,X258="2ND",6,X258="Champions",7)</f>
        <v>0</v>
      </c>
      <c r="X258" t="s">
        <v>90</v>
      </c>
      <c r="Y258" t="s">
        <v>90</v>
      </c>
      <c r="Z258">
        <v>2018</v>
      </c>
    </row>
    <row r="259" spans="1:26" x14ac:dyDescent="0.3">
      <c r="A259" t="s">
        <v>136</v>
      </c>
      <c r="B259" t="s">
        <v>131</v>
      </c>
      <c r="C259">
        <v>28</v>
      </c>
      <c r="D259">
        <v>12</v>
      </c>
      <c r="E259" s="1">
        <f t="shared" ref="E259:E322" si="4">D259/C259</f>
        <v>0.42857142857142855</v>
      </c>
      <c r="F259">
        <v>97.8</v>
      </c>
      <c r="G259">
        <v>111.3</v>
      </c>
      <c r="H259">
        <v>0.18410000000000001</v>
      </c>
      <c r="I259">
        <v>48.9</v>
      </c>
      <c r="J259">
        <v>54.6</v>
      </c>
      <c r="K259">
        <v>14.9</v>
      </c>
      <c r="L259">
        <v>18.5</v>
      </c>
      <c r="M259">
        <v>23.2</v>
      </c>
      <c r="N259">
        <v>27.5</v>
      </c>
      <c r="O259">
        <v>25</v>
      </c>
      <c r="P259">
        <v>37</v>
      </c>
      <c r="Q259">
        <v>48.7</v>
      </c>
      <c r="R259">
        <v>53.6</v>
      </c>
      <c r="S259">
        <v>32.9</v>
      </c>
      <c r="T259">
        <v>37.4</v>
      </c>
      <c r="U259">
        <v>71</v>
      </c>
      <c r="V259">
        <v>-16.100000000000001</v>
      </c>
      <c r="W259" cm="1">
        <f t="array" ref="W259">_xlfn.IFS(OR(X259="N/A",X259="NA"),0,OR(X259="R64",X259="R68"),1,X259="R32",2,X259="S16",3,X259="E8",4,X259="F4",5,X259="2ND",6,X259="Champions",7)</f>
        <v>0</v>
      </c>
      <c r="X259" t="s">
        <v>90</v>
      </c>
      <c r="Y259" t="s">
        <v>90</v>
      </c>
      <c r="Z259">
        <v>2018</v>
      </c>
    </row>
    <row r="260" spans="1:26" x14ac:dyDescent="0.3">
      <c r="A260" t="s">
        <v>137</v>
      </c>
      <c r="B260" t="s">
        <v>131</v>
      </c>
      <c r="C260">
        <v>28</v>
      </c>
      <c r="D260">
        <v>7</v>
      </c>
      <c r="E260" s="1">
        <f t="shared" si="4"/>
        <v>0.25</v>
      </c>
      <c r="F260">
        <v>105.1</v>
      </c>
      <c r="G260">
        <v>123</v>
      </c>
      <c r="H260">
        <v>0.14130000000000001</v>
      </c>
      <c r="I260">
        <v>50.1</v>
      </c>
      <c r="J260">
        <v>59.5</v>
      </c>
      <c r="K260">
        <v>16.100000000000001</v>
      </c>
      <c r="L260">
        <v>15</v>
      </c>
      <c r="M260">
        <v>27</v>
      </c>
      <c r="N260">
        <v>30.8</v>
      </c>
      <c r="O260">
        <v>21.6</v>
      </c>
      <c r="P260">
        <v>36.1</v>
      </c>
      <c r="Q260">
        <v>49.3</v>
      </c>
      <c r="R260">
        <v>56.7</v>
      </c>
      <c r="S260">
        <v>34.1</v>
      </c>
      <c r="T260">
        <v>43.1</v>
      </c>
      <c r="U260">
        <v>70.099999999999994</v>
      </c>
      <c r="V260">
        <v>-19.5</v>
      </c>
      <c r="W260" cm="1">
        <f t="array" ref="W260">_xlfn.IFS(OR(X260="N/A",X260="NA"),0,OR(X260="R64",X260="R68"),1,X260="R32",2,X260="S16",3,X260="E8",4,X260="F4",5,X260="2ND",6,X260="Champions",7)</f>
        <v>0</v>
      </c>
      <c r="X260" t="s">
        <v>90</v>
      </c>
      <c r="Y260" t="s">
        <v>90</v>
      </c>
      <c r="Z260">
        <v>2018</v>
      </c>
    </row>
    <row r="261" spans="1:26" x14ac:dyDescent="0.3">
      <c r="A261" t="s">
        <v>130</v>
      </c>
      <c r="B261" t="s">
        <v>131</v>
      </c>
      <c r="C261">
        <v>30</v>
      </c>
      <c r="D261">
        <v>14</v>
      </c>
      <c r="E261" s="1">
        <f t="shared" si="4"/>
        <v>0.46666666666666667</v>
      </c>
      <c r="F261">
        <v>99.9</v>
      </c>
      <c r="G261">
        <v>104.8</v>
      </c>
      <c r="H261">
        <v>0.36749999999999999</v>
      </c>
      <c r="I261">
        <v>52.6</v>
      </c>
      <c r="J261">
        <v>52.1</v>
      </c>
      <c r="K261">
        <v>21.2</v>
      </c>
      <c r="L261">
        <v>19.2</v>
      </c>
      <c r="M261">
        <v>25.6</v>
      </c>
      <c r="N261">
        <v>30.8</v>
      </c>
      <c r="O261">
        <v>31.9</v>
      </c>
      <c r="P261">
        <v>27.4</v>
      </c>
      <c r="Q261">
        <v>50.7</v>
      </c>
      <c r="R261">
        <v>49.9</v>
      </c>
      <c r="S261">
        <v>36.9</v>
      </c>
      <c r="T261">
        <v>36.799999999999997</v>
      </c>
      <c r="U261">
        <v>69.8</v>
      </c>
      <c r="V261">
        <v>-11.1</v>
      </c>
      <c r="W261" cm="1">
        <f t="array" ref="W261">_xlfn.IFS(OR(X261="N/A",X261="NA"),0,OR(X261="R64",X261="R68"),1,X261="R32",2,X261="S16",3,X261="E8",4,X261="F4",5,X261="2ND",6,X261="Champions",7)</f>
        <v>0</v>
      </c>
      <c r="X261" t="s">
        <v>90</v>
      </c>
      <c r="Y261" t="s">
        <v>90</v>
      </c>
      <c r="Z261">
        <v>2019</v>
      </c>
    </row>
    <row r="262" spans="1:26" x14ac:dyDescent="0.3">
      <c r="A262" t="s">
        <v>132</v>
      </c>
      <c r="B262" t="s">
        <v>131</v>
      </c>
      <c r="C262">
        <v>30</v>
      </c>
      <c r="D262">
        <v>12</v>
      </c>
      <c r="E262" s="1">
        <f t="shared" si="4"/>
        <v>0.4</v>
      </c>
      <c r="F262">
        <v>97</v>
      </c>
      <c r="G262">
        <v>106.3</v>
      </c>
      <c r="H262">
        <v>0.2581</v>
      </c>
      <c r="I262">
        <v>49.6</v>
      </c>
      <c r="J262">
        <v>52.1</v>
      </c>
      <c r="K262">
        <v>19.899999999999999</v>
      </c>
      <c r="L262">
        <v>18.2</v>
      </c>
      <c r="M262">
        <v>28.3</v>
      </c>
      <c r="N262">
        <v>27.4</v>
      </c>
      <c r="O262">
        <v>30.5</v>
      </c>
      <c r="P262">
        <v>28.8</v>
      </c>
      <c r="Q262">
        <v>51</v>
      </c>
      <c r="R262">
        <v>50.3</v>
      </c>
      <c r="S262">
        <v>31.2</v>
      </c>
      <c r="T262">
        <v>37</v>
      </c>
      <c r="U262">
        <v>72.5</v>
      </c>
      <c r="V262">
        <v>-14.3</v>
      </c>
      <c r="W262" cm="1">
        <f t="array" ref="W262">_xlfn.IFS(OR(X262="N/A",X262="NA"),0,OR(X262="R64",X262="R68"),1,X262="R32",2,X262="S16",3,X262="E8",4,X262="F4",5,X262="2ND",6,X262="Champions",7)</f>
        <v>0</v>
      </c>
      <c r="X262" t="s">
        <v>90</v>
      </c>
      <c r="Y262" t="s">
        <v>90</v>
      </c>
      <c r="Z262">
        <v>2019</v>
      </c>
    </row>
    <row r="263" spans="1:26" x14ac:dyDescent="0.3">
      <c r="A263" t="s">
        <v>133</v>
      </c>
      <c r="B263" t="s">
        <v>131</v>
      </c>
      <c r="C263">
        <v>30</v>
      </c>
      <c r="D263">
        <v>5</v>
      </c>
      <c r="E263" s="1">
        <f t="shared" si="4"/>
        <v>0.16666666666666666</v>
      </c>
      <c r="F263">
        <v>91.2</v>
      </c>
      <c r="G263">
        <v>108.9</v>
      </c>
      <c r="H263">
        <v>0.11509999999999999</v>
      </c>
      <c r="I263">
        <v>40.9</v>
      </c>
      <c r="J263">
        <v>53.7</v>
      </c>
      <c r="K263">
        <v>19</v>
      </c>
      <c r="L263">
        <v>17.100000000000001</v>
      </c>
      <c r="M263">
        <v>29.2</v>
      </c>
      <c r="N263">
        <v>30.8</v>
      </c>
      <c r="O263">
        <v>30.1</v>
      </c>
      <c r="P263">
        <v>27.7</v>
      </c>
      <c r="Q263">
        <v>39.1</v>
      </c>
      <c r="R263">
        <v>53.7</v>
      </c>
      <c r="S263">
        <v>31.4</v>
      </c>
      <c r="T263">
        <v>35.9</v>
      </c>
      <c r="U263">
        <v>69.599999999999994</v>
      </c>
      <c r="V263">
        <v>-18.600000000000001</v>
      </c>
      <c r="W263" cm="1">
        <f t="array" ref="W263">_xlfn.IFS(OR(X263="N/A",X263="NA"),0,OR(X263="R64",X263="R68"),1,X263="R32",2,X263="S16",3,X263="E8",4,X263="F4",5,X263="2ND",6,X263="Champions",7)</f>
        <v>0</v>
      </c>
      <c r="X263" t="s">
        <v>90</v>
      </c>
      <c r="Y263" t="s">
        <v>90</v>
      </c>
      <c r="Z263">
        <v>2019</v>
      </c>
    </row>
    <row r="264" spans="1:26" x14ac:dyDescent="0.3">
      <c r="A264" t="s">
        <v>134</v>
      </c>
      <c r="B264" t="s">
        <v>131</v>
      </c>
      <c r="C264">
        <v>35</v>
      </c>
      <c r="D264">
        <v>29</v>
      </c>
      <c r="E264" s="1">
        <f t="shared" si="4"/>
        <v>0.82857142857142863</v>
      </c>
      <c r="F264">
        <v>110.2</v>
      </c>
      <c r="G264">
        <v>98.1</v>
      </c>
      <c r="H264">
        <v>0.79290000000000005</v>
      </c>
      <c r="I264">
        <v>54.8</v>
      </c>
      <c r="J264">
        <v>48.4</v>
      </c>
      <c r="K264">
        <v>17.8</v>
      </c>
      <c r="L264">
        <v>19.600000000000001</v>
      </c>
      <c r="M264">
        <v>26</v>
      </c>
      <c r="N264">
        <v>23.8</v>
      </c>
      <c r="O264">
        <v>36.299999999999997</v>
      </c>
      <c r="P264">
        <v>27.9</v>
      </c>
      <c r="Q264">
        <v>53.8</v>
      </c>
      <c r="R264">
        <v>48.5</v>
      </c>
      <c r="S264">
        <v>37.5</v>
      </c>
      <c r="T264">
        <v>32.1</v>
      </c>
      <c r="U264">
        <v>74.400000000000006</v>
      </c>
      <c r="V264">
        <v>-0.5</v>
      </c>
      <c r="W264" cm="1">
        <f t="array" ref="W264">_xlfn.IFS(OR(X264="N/A",X264="NA"),0,OR(X264="R64",X264="R68"),1,X264="R32",2,X264="S16",3,X264="E8",4,X264="F4",5,X264="2ND",6,X264="Champions",7)</f>
        <v>0</v>
      </c>
      <c r="X264" t="s">
        <v>90</v>
      </c>
      <c r="Y264" t="s">
        <v>90</v>
      </c>
      <c r="Z264">
        <v>2019</v>
      </c>
    </row>
    <row r="265" spans="1:26" x14ac:dyDescent="0.3">
      <c r="A265" t="s">
        <v>138</v>
      </c>
      <c r="B265" t="s">
        <v>131</v>
      </c>
      <c r="C265">
        <v>34</v>
      </c>
      <c r="D265">
        <v>22</v>
      </c>
      <c r="E265" s="1">
        <f t="shared" si="4"/>
        <v>0.6470588235294118</v>
      </c>
      <c r="F265">
        <v>99.7</v>
      </c>
      <c r="G265">
        <v>103.6</v>
      </c>
      <c r="H265">
        <v>0.3896</v>
      </c>
      <c r="I265">
        <v>50.7</v>
      </c>
      <c r="J265">
        <v>49</v>
      </c>
      <c r="K265">
        <v>17.100000000000001</v>
      </c>
      <c r="L265">
        <v>17.899999999999999</v>
      </c>
      <c r="M265">
        <v>21.9</v>
      </c>
      <c r="N265">
        <v>27.1</v>
      </c>
      <c r="O265">
        <v>38.4</v>
      </c>
      <c r="P265">
        <v>29.7</v>
      </c>
      <c r="Q265">
        <v>49.8</v>
      </c>
      <c r="R265">
        <v>48.8</v>
      </c>
      <c r="S265">
        <v>34.799999999999997</v>
      </c>
      <c r="T265">
        <v>32.799999999999997</v>
      </c>
      <c r="U265">
        <v>68.2</v>
      </c>
      <c r="V265">
        <v>-6.2</v>
      </c>
      <c r="W265" cm="1">
        <f t="array" ref="W265">_xlfn.IFS(OR(X265="N/A",X265="NA"),0,OR(X265="R64",X265="R68"),1,X265="R32",2,X265="S16",3,X265="E8",4,X265="F4",5,X265="2ND",6,X265="Champions",7)</f>
        <v>0</v>
      </c>
      <c r="X265" t="s">
        <v>90</v>
      </c>
      <c r="Y265" t="s">
        <v>90</v>
      </c>
      <c r="Z265">
        <v>2019</v>
      </c>
    </row>
    <row r="266" spans="1:26" x14ac:dyDescent="0.3">
      <c r="A266" t="s">
        <v>140</v>
      </c>
      <c r="B266" t="s">
        <v>131</v>
      </c>
      <c r="C266">
        <v>29</v>
      </c>
      <c r="D266">
        <v>10</v>
      </c>
      <c r="E266" s="1">
        <f t="shared" si="4"/>
        <v>0.34482758620689657</v>
      </c>
      <c r="F266">
        <v>94.1</v>
      </c>
      <c r="G266">
        <v>104.8</v>
      </c>
      <c r="H266">
        <v>0.22559999999999999</v>
      </c>
      <c r="I266">
        <v>44.5</v>
      </c>
      <c r="J266">
        <v>52.6</v>
      </c>
      <c r="K266">
        <v>19.3</v>
      </c>
      <c r="L266">
        <v>17.2</v>
      </c>
      <c r="M266">
        <v>27.3</v>
      </c>
      <c r="N266">
        <v>25.1</v>
      </c>
      <c r="O266">
        <v>30.8</v>
      </c>
      <c r="P266">
        <v>38</v>
      </c>
      <c r="Q266">
        <v>44.4</v>
      </c>
      <c r="R266">
        <v>52.6</v>
      </c>
      <c r="S266">
        <v>29.7</v>
      </c>
      <c r="T266">
        <v>35.1</v>
      </c>
      <c r="U266">
        <v>69.900000000000006</v>
      </c>
      <c r="V266">
        <v>-14.7</v>
      </c>
      <c r="W266" cm="1">
        <f t="array" ref="W266">_xlfn.IFS(OR(X266="N/A",X266="NA"),0,OR(X266="R64",X266="R68"),1,X266="R32",2,X266="S16",3,X266="E8",4,X266="F4",5,X266="2ND",6,X266="Champions",7)</f>
        <v>0</v>
      </c>
      <c r="X266" t="s">
        <v>90</v>
      </c>
      <c r="Y266" t="s">
        <v>90</v>
      </c>
      <c r="Z266">
        <v>2019</v>
      </c>
    </row>
    <row r="267" spans="1:26" x14ac:dyDescent="0.3">
      <c r="A267" t="s">
        <v>139</v>
      </c>
      <c r="B267" t="s">
        <v>131</v>
      </c>
      <c r="C267">
        <v>31</v>
      </c>
      <c r="D267">
        <v>16</v>
      </c>
      <c r="E267" s="1">
        <f t="shared" si="4"/>
        <v>0.5161290322580645</v>
      </c>
      <c r="F267">
        <v>102.5</v>
      </c>
      <c r="G267">
        <v>103.8</v>
      </c>
      <c r="H267">
        <v>0.4632</v>
      </c>
      <c r="I267">
        <v>52.1</v>
      </c>
      <c r="J267">
        <v>48.1</v>
      </c>
      <c r="K267">
        <v>21.8</v>
      </c>
      <c r="L267">
        <v>16.899999999999999</v>
      </c>
      <c r="M267">
        <v>29.4</v>
      </c>
      <c r="N267">
        <v>32.700000000000003</v>
      </c>
      <c r="O267">
        <v>25.3</v>
      </c>
      <c r="P267">
        <v>30.6</v>
      </c>
      <c r="Q267">
        <v>53.2</v>
      </c>
      <c r="R267">
        <v>47.4</v>
      </c>
      <c r="S267">
        <v>33.9</v>
      </c>
      <c r="T267">
        <v>33.200000000000003</v>
      </c>
      <c r="U267">
        <v>73.400000000000006</v>
      </c>
      <c r="V267">
        <v>-7.9</v>
      </c>
      <c r="W267" cm="1">
        <f t="array" ref="W267">_xlfn.IFS(OR(X267="N/A",X267="NA"),0,OR(X267="R64",X267="R68"),1,X267="R32",2,X267="S16",3,X267="E8",4,X267="F4",5,X267="2ND",6,X267="Champions",7)</f>
        <v>0</v>
      </c>
      <c r="X267" t="s">
        <v>90</v>
      </c>
      <c r="Y267" t="s">
        <v>90</v>
      </c>
      <c r="Z267">
        <v>2019</v>
      </c>
    </row>
    <row r="268" spans="1:26" x14ac:dyDescent="0.3">
      <c r="A268" t="s">
        <v>136</v>
      </c>
      <c r="B268" t="s">
        <v>131</v>
      </c>
      <c r="C268">
        <v>29</v>
      </c>
      <c r="D268">
        <v>7</v>
      </c>
      <c r="E268" s="1">
        <f t="shared" si="4"/>
        <v>0.2413793103448276</v>
      </c>
      <c r="F268">
        <v>96</v>
      </c>
      <c r="G268">
        <v>112.6</v>
      </c>
      <c r="H268">
        <v>0.13789999999999999</v>
      </c>
      <c r="I268">
        <v>45.5</v>
      </c>
      <c r="J268">
        <v>54.5</v>
      </c>
      <c r="K268">
        <v>17.5</v>
      </c>
      <c r="L268">
        <v>18</v>
      </c>
      <c r="M268">
        <v>27.9</v>
      </c>
      <c r="N268">
        <v>32</v>
      </c>
      <c r="O268">
        <v>25</v>
      </c>
      <c r="P268">
        <v>33</v>
      </c>
      <c r="Q268">
        <v>45</v>
      </c>
      <c r="R268">
        <v>54.2</v>
      </c>
      <c r="S268">
        <v>31</v>
      </c>
      <c r="T268">
        <v>36.6</v>
      </c>
      <c r="U268">
        <v>70.7</v>
      </c>
      <c r="V268">
        <v>-17.7</v>
      </c>
      <c r="W268" cm="1">
        <f t="array" ref="W268">_xlfn.IFS(OR(X268="N/A",X268="NA"),0,OR(X268="R64",X268="R68"),1,X268="R32",2,X268="S16",3,X268="E8",4,X268="F4",5,X268="2ND",6,X268="Champions",7)</f>
        <v>0</v>
      </c>
      <c r="X268" t="s">
        <v>90</v>
      </c>
      <c r="Y268" t="s">
        <v>90</v>
      </c>
      <c r="Z268">
        <v>2019</v>
      </c>
    </row>
    <row r="269" spans="1:26" x14ac:dyDescent="0.3">
      <c r="A269" t="s">
        <v>141</v>
      </c>
      <c r="B269" t="s">
        <v>31</v>
      </c>
      <c r="C269">
        <v>33</v>
      </c>
      <c r="D269">
        <v>19</v>
      </c>
      <c r="E269" s="1">
        <f t="shared" si="4"/>
        <v>0.5757575757575758</v>
      </c>
      <c r="F269">
        <v>107.1</v>
      </c>
      <c r="G269">
        <v>94.4</v>
      </c>
      <c r="H269">
        <v>0.81030000000000002</v>
      </c>
      <c r="I269">
        <v>47.6</v>
      </c>
      <c r="J269">
        <v>48</v>
      </c>
      <c r="K269">
        <v>15.2</v>
      </c>
      <c r="L269">
        <v>19.7</v>
      </c>
      <c r="M269">
        <v>30.2</v>
      </c>
      <c r="N269">
        <v>28</v>
      </c>
      <c r="O269">
        <v>31.2</v>
      </c>
      <c r="P269">
        <v>30.4</v>
      </c>
      <c r="Q269">
        <v>44.4</v>
      </c>
      <c r="R269">
        <v>47.3</v>
      </c>
      <c r="S269">
        <v>35.5</v>
      </c>
      <c r="T269">
        <v>32.9</v>
      </c>
      <c r="U269">
        <v>65.599999999999994</v>
      </c>
      <c r="V269">
        <v>-0.6</v>
      </c>
      <c r="W269" cm="1">
        <f t="array" ref="W269">_xlfn.IFS(OR(X269="N/A",X269="NA"),0,OR(X269="R64",X269="R68"),1,X269="R32",2,X269="S16",3,X269="E8",4,X269="F4",5,X269="2ND",6,X269="Champions",7)</f>
        <v>0</v>
      </c>
      <c r="X269" t="s">
        <v>90</v>
      </c>
      <c r="Y269" t="s">
        <v>90</v>
      </c>
      <c r="Z269">
        <v>2015</v>
      </c>
    </row>
    <row r="270" spans="1:26" x14ac:dyDescent="0.3">
      <c r="A270" t="s">
        <v>32</v>
      </c>
      <c r="B270" t="s">
        <v>31</v>
      </c>
      <c r="C270">
        <v>31</v>
      </c>
      <c r="D270">
        <v>15</v>
      </c>
      <c r="E270" s="1">
        <f t="shared" si="4"/>
        <v>0.4838709677419355</v>
      </c>
      <c r="F270">
        <v>110.9</v>
      </c>
      <c r="G270">
        <v>97.1</v>
      </c>
      <c r="H270">
        <v>0.8226</v>
      </c>
      <c r="I270">
        <v>49.4</v>
      </c>
      <c r="J270">
        <v>50.9</v>
      </c>
      <c r="K270">
        <v>15.6</v>
      </c>
      <c r="L270">
        <v>19.399999999999999</v>
      </c>
      <c r="M270">
        <v>25.5</v>
      </c>
      <c r="N270">
        <v>31.2</v>
      </c>
      <c r="O270">
        <v>26.6</v>
      </c>
      <c r="P270">
        <v>26.7</v>
      </c>
      <c r="Q270">
        <v>47</v>
      </c>
      <c r="R270">
        <v>50.8</v>
      </c>
      <c r="S270">
        <v>35.299999999999997</v>
      </c>
      <c r="T270">
        <v>34</v>
      </c>
      <c r="U270">
        <v>60.2</v>
      </c>
      <c r="V270">
        <v>-2.4</v>
      </c>
      <c r="W270" cm="1">
        <f t="array" ref="W270">_xlfn.IFS(OR(X270="N/A",X270="NA"),0,OR(X270="R64",X270="R68"),1,X270="R32",2,X270="S16",3,X270="E8",4,X270="F4",5,X270="2ND",6,X270="Champions",7)</f>
        <v>0</v>
      </c>
      <c r="X270" t="s">
        <v>90</v>
      </c>
      <c r="Y270" t="s">
        <v>90</v>
      </c>
      <c r="Z270">
        <v>2015</v>
      </c>
    </row>
    <row r="271" spans="1:26" x14ac:dyDescent="0.3">
      <c r="A271" t="s">
        <v>142</v>
      </c>
      <c r="B271" t="s">
        <v>31</v>
      </c>
      <c r="C271">
        <v>32</v>
      </c>
      <c r="D271">
        <v>17</v>
      </c>
      <c r="E271" s="1">
        <f t="shared" si="4"/>
        <v>0.53125</v>
      </c>
      <c r="F271">
        <v>111.2</v>
      </c>
      <c r="G271">
        <v>97.6</v>
      </c>
      <c r="H271">
        <v>0.81759999999999999</v>
      </c>
      <c r="I271">
        <v>52.1</v>
      </c>
      <c r="J271">
        <v>50.8</v>
      </c>
      <c r="K271">
        <v>17.7</v>
      </c>
      <c r="L271">
        <v>24.2</v>
      </c>
      <c r="M271">
        <v>30</v>
      </c>
      <c r="N271">
        <v>33.4</v>
      </c>
      <c r="O271">
        <v>32.9</v>
      </c>
      <c r="P271">
        <v>34.5</v>
      </c>
      <c r="Q271">
        <v>50.1</v>
      </c>
      <c r="R271">
        <v>48.3</v>
      </c>
      <c r="S271">
        <v>37.200000000000003</v>
      </c>
      <c r="T271">
        <v>36.799999999999997</v>
      </c>
      <c r="U271">
        <v>68.099999999999994</v>
      </c>
      <c r="V271">
        <v>-2.4</v>
      </c>
      <c r="W271" cm="1">
        <f t="array" ref="W271">_xlfn.IFS(OR(X271="N/A",X271="NA"),0,OR(X271="R64",X271="R68"),1,X271="R32",2,X271="S16",3,X271="E8",4,X271="F4",5,X271="2ND",6,X271="Champions",7)</f>
        <v>0</v>
      </c>
      <c r="X271" t="s">
        <v>90</v>
      </c>
      <c r="Y271" t="s">
        <v>90</v>
      </c>
      <c r="Z271">
        <v>2015</v>
      </c>
    </row>
    <row r="272" spans="1:26" x14ac:dyDescent="0.3">
      <c r="A272" t="s">
        <v>143</v>
      </c>
      <c r="B272" t="s">
        <v>31</v>
      </c>
      <c r="C272">
        <v>31</v>
      </c>
      <c r="D272">
        <v>13</v>
      </c>
      <c r="E272" s="1">
        <f t="shared" si="4"/>
        <v>0.41935483870967744</v>
      </c>
      <c r="F272">
        <v>98.5</v>
      </c>
      <c r="G272">
        <v>93.2</v>
      </c>
      <c r="H272">
        <v>0.65429999999999999</v>
      </c>
      <c r="I272">
        <v>46.2</v>
      </c>
      <c r="J272">
        <v>46.8</v>
      </c>
      <c r="K272">
        <v>19.399999999999999</v>
      </c>
      <c r="L272">
        <v>20.6</v>
      </c>
      <c r="M272">
        <v>26.7</v>
      </c>
      <c r="N272">
        <v>30.3</v>
      </c>
      <c r="O272">
        <v>36.5</v>
      </c>
      <c r="P272">
        <v>38.5</v>
      </c>
      <c r="Q272">
        <v>48</v>
      </c>
      <c r="R272">
        <v>44.7</v>
      </c>
      <c r="S272">
        <v>28.4</v>
      </c>
      <c r="T272">
        <v>33.4</v>
      </c>
      <c r="U272">
        <v>63.7</v>
      </c>
      <c r="V272">
        <v>-5.3</v>
      </c>
      <c r="W272" cm="1">
        <f t="array" ref="W272">_xlfn.IFS(OR(X272="N/A",X272="NA"),0,OR(X272="R64",X272="R68"),1,X272="R32",2,X272="S16",3,X272="E8",4,X272="F4",5,X272="2ND",6,X272="Champions",7)</f>
        <v>0</v>
      </c>
      <c r="X272" t="s">
        <v>90</v>
      </c>
      <c r="Y272" t="s">
        <v>90</v>
      </c>
      <c r="Z272">
        <v>2015</v>
      </c>
    </row>
    <row r="273" spans="1:26" x14ac:dyDescent="0.3">
      <c r="A273" t="s">
        <v>144</v>
      </c>
      <c r="B273" t="s">
        <v>31</v>
      </c>
      <c r="C273">
        <v>32</v>
      </c>
      <c r="D273">
        <v>15</v>
      </c>
      <c r="E273" s="1">
        <f t="shared" si="4"/>
        <v>0.46875</v>
      </c>
      <c r="F273">
        <v>105.7</v>
      </c>
      <c r="G273">
        <v>100.8</v>
      </c>
      <c r="H273">
        <v>0.63219999999999998</v>
      </c>
      <c r="I273">
        <v>50.4</v>
      </c>
      <c r="J273">
        <v>48.4</v>
      </c>
      <c r="K273">
        <v>18.100000000000001</v>
      </c>
      <c r="L273">
        <v>15.5</v>
      </c>
      <c r="M273">
        <v>27.6</v>
      </c>
      <c r="N273">
        <v>30.9</v>
      </c>
      <c r="O273">
        <v>28.6</v>
      </c>
      <c r="P273">
        <v>32.799999999999997</v>
      </c>
      <c r="Q273">
        <v>48.3</v>
      </c>
      <c r="R273">
        <v>43.8</v>
      </c>
      <c r="S273">
        <v>35.9</v>
      </c>
      <c r="T273">
        <v>37.700000000000003</v>
      </c>
      <c r="U273">
        <v>60.6</v>
      </c>
      <c r="V273">
        <v>-4.2</v>
      </c>
      <c r="W273" cm="1">
        <f t="array" ref="W273">_xlfn.IFS(OR(X273="N/A",X273="NA"),0,OR(X273="R64",X273="R68"),1,X273="R32",2,X273="S16",3,X273="E8",4,X273="F4",5,X273="2ND",6,X273="Champions",7)</f>
        <v>0</v>
      </c>
      <c r="X273" t="s">
        <v>90</v>
      </c>
      <c r="Y273" t="s">
        <v>90</v>
      </c>
      <c r="Z273">
        <v>2015</v>
      </c>
    </row>
    <row r="274" spans="1:26" x14ac:dyDescent="0.3">
      <c r="A274" t="s">
        <v>145</v>
      </c>
      <c r="B274" t="s">
        <v>31</v>
      </c>
      <c r="C274">
        <v>34</v>
      </c>
      <c r="D274">
        <v>18</v>
      </c>
      <c r="E274" s="1">
        <f t="shared" si="4"/>
        <v>0.52941176470588236</v>
      </c>
      <c r="F274">
        <v>103.9</v>
      </c>
      <c r="G274">
        <v>93.9</v>
      </c>
      <c r="H274">
        <v>0.76170000000000004</v>
      </c>
      <c r="I274">
        <v>48</v>
      </c>
      <c r="J274">
        <v>45.3</v>
      </c>
      <c r="K274">
        <v>18.2</v>
      </c>
      <c r="L274">
        <v>17.8</v>
      </c>
      <c r="M274">
        <v>29.7</v>
      </c>
      <c r="N274">
        <v>31</v>
      </c>
      <c r="O274">
        <v>34.700000000000003</v>
      </c>
      <c r="P274">
        <v>41.5</v>
      </c>
      <c r="Q274">
        <v>46.8</v>
      </c>
      <c r="R274">
        <v>43.6</v>
      </c>
      <c r="S274">
        <v>33.4</v>
      </c>
      <c r="T274">
        <v>32.6</v>
      </c>
      <c r="U274">
        <v>65.900000000000006</v>
      </c>
      <c r="V274">
        <v>-3.6</v>
      </c>
      <c r="W274" cm="1">
        <f t="array" ref="W274">_xlfn.IFS(OR(X274="N/A",X274="NA"),0,OR(X274="R64",X274="R68"),1,X274="R32",2,X274="S16",3,X274="E8",4,X274="F4",5,X274="2ND",6,X274="Champions",7)</f>
        <v>0</v>
      </c>
      <c r="X274" t="s">
        <v>90</v>
      </c>
      <c r="Y274" t="s">
        <v>90</v>
      </c>
      <c r="Z274">
        <v>2015</v>
      </c>
    </row>
    <row r="275" spans="1:26" x14ac:dyDescent="0.3">
      <c r="A275" t="s">
        <v>146</v>
      </c>
      <c r="B275" t="s">
        <v>31</v>
      </c>
      <c r="C275">
        <v>32</v>
      </c>
      <c r="D275">
        <v>10</v>
      </c>
      <c r="E275" s="1">
        <f t="shared" si="4"/>
        <v>0.3125</v>
      </c>
      <c r="F275">
        <v>96.4</v>
      </c>
      <c r="G275">
        <v>98</v>
      </c>
      <c r="H275">
        <v>0.45390000000000003</v>
      </c>
      <c r="I275">
        <v>43.6</v>
      </c>
      <c r="J275">
        <v>49.8</v>
      </c>
      <c r="K275">
        <v>20.100000000000001</v>
      </c>
      <c r="L275">
        <v>18.100000000000001</v>
      </c>
      <c r="M275">
        <v>30.5</v>
      </c>
      <c r="N275">
        <v>31.4</v>
      </c>
      <c r="O275">
        <v>32.6</v>
      </c>
      <c r="P275">
        <v>32</v>
      </c>
      <c r="Q275">
        <v>43.3</v>
      </c>
      <c r="R275">
        <v>49.3</v>
      </c>
      <c r="S275">
        <v>29.5</v>
      </c>
      <c r="T275">
        <v>33.700000000000003</v>
      </c>
      <c r="U275">
        <v>65.400000000000006</v>
      </c>
      <c r="V275">
        <v>-8.6999999999999993</v>
      </c>
      <c r="W275" cm="1">
        <f t="array" ref="W275">_xlfn.IFS(OR(X275="N/A",X275="NA"),0,OR(X275="R64",X275="R68"),1,X275="R32",2,X275="S16",3,X275="E8",4,X275="F4",5,X275="2ND",6,X275="Champions",7)</f>
        <v>0</v>
      </c>
      <c r="X275" t="s">
        <v>90</v>
      </c>
      <c r="Y275" t="s">
        <v>90</v>
      </c>
      <c r="Z275">
        <v>2015</v>
      </c>
    </row>
    <row r="276" spans="1:26" x14ac:dyDescent="0.3">
      <c r="A276" t="s">
        <v>141</v>
      </c>
      <c r="B276" t="s">
        <v>31</v>
      </c>
      <c r="C276">
        <v>34</v>
      </c>
      <c r="D276">
        <v>15</v>
      </c>
      <c r="E276" s="1">
        <f t="shared" si="4"/>
        <v>0.44117647058823528</v>
      </c>
      <c r="F276">
        <v>105.5</v>
      </c>
      <c r="G276">
        <v>102</v>
      </c>
      <c r="H276">
        <v>0.59589999999999999</v>
      </c>
      <c r="I276">
        <v>50.2</v>
      </c>
      <c r="J276">
        <v>53.6</v>
      </c>
      <c r="K276">
        <v>14.9</v>
      </c>
      <c r="L276">
        <v>19</v>
      </c>
      <c r="M276">
        <v>21.5</v>
      </c>
      <c r="N276">
        <v>28.1</v>
      </c>
      <c r="O276">
        <v>30.5</v>
      </c>
      <c r="P276">
        <v>26.5</v>
      </c>
      <c r="Q276">
        <v>47.5</v>
      </c>
      <c r="R276">
        <v>51</v>
      </c>
      <c r="S276">
        <v>36.299999999999997</v>
      </c>
      <c r="T276">
        <v>38.6</v>
      </c>
      <c r="U276">
        <v>69</v>
      </c>
      <c r="V276">
        <v>-7.2</v>
      </c>
      <c r="W276" cm="1">
        <f t="array" ref="W276">_xlfn.IFS(OR(X276="N/A",X276="NA"),0,OR(X276="R64",X276="R68"),1,X276="R32",2,X276="S16",3,X276="E8",4,X276="F4",5,X276="2ND",6,X276="Champions",7)</f>
        <v>0</v>
      </c>
      <c r="X276" t="s">
        <v>90</v>
      </c>
      <c r="Y276" t="s">
        <v>90</v>
      </c>
      <c r="Z276">
        <v>2016</v>
      </c>
    </row>
    <row r="277" spans="1:26" x14ac:dyDescent="0.3">
      <c r="A277" t="s">
        <v>142</v>
      </c>
      <c r="B277" t="s">
        <v>31</v>
      </c>
      <c r="C277">
        <v>31</v>
      </c>
      <c r="D277">
        <v>8</v>
      </c>
      <c r="E277" s="1">
        <f t="shared" si="4"/>
        <v>0.25806451612903225</v>
      </c>
      <c r="F277">
        <v>99.6</v>
      </c>
      <c r="G277">
        <v>102.9</v>
      </c>
      <c r="H277">
        <v>0.40789999999999998</v>
      </c>
      <c r="I277">
        <v>45.9</v>
      </c>
      <c r="J277">
        <v>51.7</v>
      </c>
      <c r="K277">
        <v>16.5</v>
      </c>
      <c r="L277">
        <v>17.8</v>
      </c>
      <c r="M277">
        <v>26.5</v>
      </c>
      <c r="N277">
        <v>29.2</v>
      </c>
      <c r="O277">
        <v>37.1</v>
      </c>
      <c r="P277">
        <v>34.200000000000003</v>
      </c>
      <c r="Q277">
        <v>45.6</v>
      </c>
      <c r="R277">
        <v>48.7</v>
      </c>
      <c r="S277">
        <v>31</v>
      </c>
      <c r="T277">
        <v>38.200000000000003</v>
      </c>
      <c r="U277">
        <v>69.400000000000006</v>
      </c>
      <c r="V277">
        <v>-12.8</v>
      </c>
      <c r="W277" cm="1">
        <f t="array" ref="W277">_xlfn.IFS(OR(X277="N/A",X277="NA"),0,OR(X277="R64",X277="R68"),1,X277="R32",2,X277="S16",3,X277="E8",4,X277="F4",5,X277="2ND",6,X277="Champions",7)</f>
        <v>0</v>
      </c>
      <c r="X277" t="s">
        <v>90</v>
      </c>
      <c r="Y277" t="s">
        <v>90</v>
      </c>
      <c r="Z277">
        <v>2016</v>
      </c>
    </row>
    <row r="278" spans="1:26" x14ac:dyDescent="0.3">
      <c r="A278" t="s">
        <v>143</v>
      </c>
      <c r="B278" t="s">
        <v>31</v>
      </c>
      <c r="C278">
        <v>34</v>
      </c>
      <c r="D278">
        <v>16</v>
      </c>
      <c r="E278" s="1">
        <f t="shared" si="4"/>
        <v>0.47058823529411764</v>
      </c>
      <c r="F278">
        <v>109</v>
      </c>
      <c r="G278">
        <v>100.7</v>
      </c>
      <c r="H278">
        <v>0.71330000000000005</v>
      </c>
      <c r="I278">
        <v>50.3</v>
      </c>
      <c r="J278">
        <v>50.1</v>
      </c>
      <c r="K278">
        <v>17.399999999999999</v>
      </c>
      <c r="L278">
        <v>19.7</v>
      </c>
      <c r="M278">
        <v>31.8</v>
      </c>
      <c r="N278">
        <v>28.1</v>
      </c>
      <c r="O278">
        <v>32.6</v>
      </c>
      <c r="P278">
        <v>39.700000000000003</v>
      </c>
      <c r="Q278">
        <v>49.4</v>
      </c>
      <c r="R278">
        <v>47.5</v>
      </c>
      <c r="S278">
        <v>34.700000000000003</v>
      </c>
      <c r="T278">
        <v>36.700000000000003</v>
      </c>
      <c r="U278">
        <v>68.2</v>
      </c>
      <c r="V278">
        <v>-5.5</v>
      </c>
      <c r="W278" cm="1">
        <f t="array" ref="W278">_xlfn.IFS(OR(X278="N/A",X278="NA"),0,OR(X278="R64",X278="R68"),1,X278="R32",2,X278="S16",3,X278="E8",4,X278="F4",5,X278="2ND",6,X278="Champions",7)</f>
        <v>0</v>
      </c>
      <c r="X278" t="s">
        <v>90</v>
      </c>
      <c r="Y278" t="s">
        <v>90</v>
      </c>
      <c r="Z278">
        <v>2016</v>
      </c>
    </row>
    <row r="279" spans="1:26" x14ac:dyDescent="0.3">
      <c r="A279" t="s">
        <v>144</v>
      </c>
      <c r="B279" t="s">
        <v>31</v>
      </c>
      <c r="C279">
        <v>32</v>
      </c>
      <c r="D279">
        <v>20</v>
      </c>
      <c r="E279" s="1">
        <f t="shared" si="4"/>
        <v>0.625</v>
      </c>
      <c r="F279">
        <v>109.8</v>
      </c>
      <c r="G279">
        <v>99.2</v>
      </c>
      <c r="H279">
        <v>0.76180000000000003</v>
      </c>
      <c r="I279">
        <v>52.5</v>
      </c>
      <c r="J279">
        <v>46.5</v>
      </c>
      <c r="K279">
        <v>15.8</v>
      </c>
      <c r="L279">
        <v>16.399999999999999</v>
      </c>
      <c r="M279">
        <v>30.5</v>
      </c>
      <c r="N279">
        <v>28.3</v>
      </c>
      <c r="O279">
        <v>28.4</v>
      </c>
      <c r="P279">
        <v>35</v>
      </c>
      <c r="Q279">
        <v>51.6</v>
      </c>
      <c r="R279">
        <v>43.4</v>
      </c>
      <c r="S279">
        <v>35.799999999999997</v>
      </c>
      <c r="T279">
        <v>34.5</v>
      </c>
      <c r="U279">
        <v>64.5</v>
      </c>
      <c r="V279">
        <v>-2</v>
      </c>
      <c r="W279" cm="1">
        <f t="array" ref="W279">_xlfn.IFS(OR(X279="N/A",X279="NA"),0,OR(X279="R64",X279="R68"),1,X279="R32",2,X279="S16",3,X279="E8",4,X279="F4",5,X279="2ND",6,X279="Champions",7)</f>
        <v>0</v>
      </c>
      <c r="X279" t="s">
        <v>90</v>
      </c>
      <c r="Y279" t="s">
        <v>90</v>
      </c>
      <c r="Z279">
        <v>2016</v>
      </c>
    </row>
    <row r="280" spans="1:26" x14ac:dyDescent="0.3">
      <c r="A280" t="s">
        <v>80</v>
      </c>
      <c r="B280" t="s">
        <v>31</v>
      </c>
      <c r="C280">
        <v>35</v>
      </c>
      <c r="D280">
        <v>21</v>
      </c>
      <c r="E280" s="1">
        <f t="shared" si="4"/>
        <v>0.6</v>
      </c>
      <c r="F280">
        <v>105.6</v>
      </c>
      <c r="G280">
        <v>96.7</v>
      </c>
      <c r="H280">
        <v>0.73499999999999999</v>
      </c>
      <c r="I280">
        <v>49.4</v>
      </c>
      <c r="J280">
        <v>46.6</v>
      </c>
      <c r="K280">
        <v>18.8</v>
      </c>
      <c r="L280">
        <v>17.100000000000001</v>
      </c>
      <c r="M280">
        <v>30.2</v>
      </c>
      <c r="N280">
        <v>29.1</v>
      </c>
      <c r="O280">
        <v>36</v>
      </c>
      <c r="P280">
        <v>30.4</v>
      </c>
      <c r="Q280">
        <v>49</v>
      </c>
      <c r="R280">
        <v>44.5</v>
      </c>
      <c r="S280">
        <v>33.4</v>
      </c>
      <c r="T280">
        <v>33.4</v>
      </c>
      <c r="U280">
        <v>68.5</v>
      </c>
      <c r="V280">
        <v>-1.1000000000000001</v>
      </c>
      <c r="W280" cm="1">
        <f t="array" ref="W280">_xlfn.IFS(OR(X280="N/A",X280="NA"),0,OR(X280="R64",X280="R68"),1,X280="R32",2,X280="S16",3,X280="E8",4,X280="F4",5,X280="2ND",6,X280="Champions",7)</f>
        <v>0</v>
      </c>
      <c r="X280" t="s">
        <v>90</v>
      </c>
      <c r="Y280" t="s">
        <v>90</v>
      </c>
      <c r="Z280">
        <v>2016</v>
      </c>
    </row>
    <row r="281" spans="1:26" x14ac:dyDescent="0.3">
      <c r="A281" t="s">
        <v>145</v>
      </c>
      <c r="B281" t="s">
        <v>31</v>
      </c>
      <c r="C281">
        <v>32</v>
      </c>
      <c r="D281">
        <v>16</v>
      </c>
      <c r="E281" s="1">
        <f t="shared" si="4"/>
        <v>0.5</v>
      </c>
      <c r="F281">
        <v>101.3</v>
      </c>
      <c r="G281">
        <v>99.7</v>
      </c>
      <c r="H281">
        <v>0.54649999999999999</v>
      </c>
      <c r="I281">
        <v>46.6</v>
      </c>
      <c r="J281">
        <v>48.8</v>
      </c>
      <c r="K281">
        <v>16.899999999999999</v>
      </c>
      <c r="L281">
        <v>17.600000000000001</v>
      </c>
      <c r="M281">
        <v>28.7</v>
      </c>
      <c r="N281">
        <v>29.4</v>
      </c>
      <c r="O281">
        <v>34.5</v>
      </c>
      <c r="P281">
        <v>42.5</v>
      </c>
      <c r="Q281">
        <v>45.9</v>
      </c>
      <c r="R281">
        <v>45.5</v>
      </c>
      <c r="S281">
        <v>31.7</v>
      </c>
      <c r="T281">
        <v>36.6</v>
      </c>
      <c r="U281">
        <v>67</v>
      </c>
      <c r="V281">
        <v>-4.8</v>
      </c>
      <c r="W281" cm="1">
        <f t="array" ref="W281">_xlfn.IFS(OR(X281="N/A",X281="NA"),0,OR(X281="R64",X281="R68"),1,X281="R32",2,X281="S16",3,X281="E8",4,X281="F4",5,X281="2ND",6,X281="Champions",7)</f>
        <v>0</v>
      </c>
      <c r="X281" t="s">
        <v>90</v>
      </c>
      <c r="Y281" t="s">
        <v>90</v>
      </c>
      <c r="Z281">
        <v>2016</v>
      </c>
    </row>
    <row r="282" spans="1:26" x14ac:dyDescent="0.3">
      <c r="A282" t="s">
        <v>146</v>
      </c>
      <c r="B282" t="s">
        <v>31</v>
      </c>
      <c r="C282">
        <v>31</v>
      </c>
      <c r="D282">
        <v>6</v>
      </c>
      <c r="E282" s="1">
        <f t="shared" si="4"/>
        <v>0.19354838709677419</v>
      </c>
      <c r="F282">
        <v>97.5</v>
      </c>
      <c r="G282">
        <v>106.7</v>
      </c>
      <c r="H282">
        <v>0.26100000000000001</v>
      </c>
      <c r="I282">
        <v>45.8</v>
      </c>
      <c r="J282">
        <v>52</v>
      </c>
      <c r="K282">
        <v>18.899999999999999</v>
      </c>
      <c r="L282">
        <v>16.100000000000001</v>
      </c>
      <c r="M282">
        <v>25.3</v>
      </c>
      <c r="N282">
        <v>35.9</v>
      </c>
      <c r="O282">
        <v>34.5</v>
      </c>
      <c r="P282">
        <v>29.7</v>
      </c>
      <c r="Q282">
        <v>44.9</v>
      </c>
      <c r="R282">
        <v>49.9</v>
      </c>
      <c r="S282">
        <v>32.200000000000003</v>
      </c>
      <c r="T282">
        <v>37.4</v>
      </c>
      <c r="U282">
        <v>71.400000000000006</v>
      </c>
      <c r="V282">
        <v>-14</v>
      </c>
      <c r="W282" cm="1">
        <f t="array" ref="W282">_xlfn.IFS(OR(X282="N/A",X282="NA"),0,OR(X282="R64",X282="R68"),1,X282="R32",2,X282="S16",3,X282="E8",4,X282="F4",5,X282="2ND",6,X282="Champions",7)</f>
        <v>0</v>
      </c>
      <c r="X282" t="s">
        <v>90</v>
      </c>
      <c r="Y282" t="s">
        <v>90</v>
      </c>
      <c r="Z282">
        <v>2016</v>
      </c>
    </row>
    <row r="283" spans="1:26" x14ac:dyDescent="0.3">
      <c r="A283" t="s">
        <v>141</v>
      </c>
      <c r="B283" t="s">
        <v>31</v>
      </c>
      <c r="C283">
        <v>34</v>
      </c>
      <c r="D283">
        <v>20</v>
      </c>
      <c r="E283" s="1">
        <f t="shared" si="4"/>
        <v>0.58823529411764708</v>
      </c>
      <c r="F283">
        <v>105.1</v>
      </c>
      <c r="G283">
        <v>95.3</v>
      </c>
      <c r="H283">
        <v>0.75549999999999995</v>
      </c>
      <c r="I283">
        <v>50.6</v>
      </c>
      <c r="J283">
        <v>49.9</v>
      </c>
      <c r="K283">
        <v>18.3</v>
      </c>
      <c r="L283">
        <v>18.5</v>
      </c>
      <c r="M283">
        <v>28.6</v>
      </c>
      <c r="N283">
        <v>26.3</v>
      </c>
      <c r="O283">
        <v>32.5</v>
      </c>
      <c r="P283">
        <v>30.1</v>
      </c>
      <c r="Q283">
        <v>48.5</v>
      </c>
      <c r="R283">
        <v>49.6</v>
      </c>
      <c r="S283">
        <v>36.1</v>
      </c>
      <c r="T283">
        <v>33.700000000000003</v>
      </c>
      <c r="U283">
        <v>68.099999999999994</v>
      </c>
      <c r="V283">
        <v>-1.5</v>
      </c>
      <c r="W283" cm="1">
        <f t="array" ref="W283">_xlfn.IFS(OR(X283="N/A",X283="NA"),0,OR(X283="R64",X283="R68"),1,X283="R32",2,X283="S16",3,X283="E8",4,X283="F4",5,X283="2ND",6,X283="Champions",7)</f>
        <v>0</v>
      </c>
      <c r="X283" t="s">
        <v>90</v>
      </c>
      <c r="Y283" t="s">
        <v>90</v>
      </c>
      <c r="Z283">
        <v>2017</v>
      </c>
    </row>
    <row r="284" spans="1:26" x14ac:dyDescent="0.3">
      <c r="A284" t="s">
        <v>147</v>
      </c>
      <c r="B284" t="s">
        <v>31</v>
      </c>
      <c r="C284">
        <v>34</v>
      </c>
      <c r="D284">
        <v>18</v>
      </c>
      <c r="E284" s="1">
        <f t="shared" si="4"/>
        <v>0.52941176470588236</v>
      </c>
      <c r="F284">
        <v>115.4</v>
      </c>
      <c r="G284">
        <v>99.9</v>
      </c>
      <c r="H284">
        <v>0.84079999999999999</v>
      </c>
      <c r="I284">
        <v>55.2</v>
      </c>
      <c r="J284">
        <v>48.7</v>
      </c>
      <c r="K284">
        <v>21.4</v>
      </c>
      <c r="L284">
        <v>15.7</v>
      </c>
      <c r="M284">
        <v>36.4</v>
      </c>
      <c r="N284">
        <v>28</v>
      </c>
      <c r="O284">
        <v>34.1</v>
      </c>
      <c r="P284">
        <v>36.799999999999997</v>
      </c>
      <c r="Q284">
        <v>54.1</v>
      </c>
      <c r="R284">
        <v>47.7</v>
      </c>
      <c r="S284">
        <v>38</v>
      </c>
      <c r="T284">
        <v>33.700000000000003</v>
      </c>
      <c r="U284">
        <v>69.7</v>
      </c>
      <c r="V284">
        <v>-1.1000000000000001</v>
      </c>
      <c r="W284" cm="1">
        <f t="array" ref="W284">_xlfn.IFS(OR(X284="N/A",X284="NA"),0,OR(X284="R64",X284="R68"),1,X284="R32",2,X284="S16",3,X284="E8",4,X284="F4",5,X284="2ND",6,X284="Champions",7)</f>
        <v>0</v>
      </c>
      <c r="X284" t="s">
        <v>90</v>
      </c>
      <c r="Y284" t="s">
        <v>90</v>
      </c>
      <c r="Z284">
        <v>2017</v>
      </c>
    </row>
    <row r="285" spans="1:26" x14ac:dyDescent="0.3">
      <c r="A285" t="s">
        <v>148</v>
      </c>
      <c r="B285" t="s">
        <v>31</v>
      </c>
      <c r="C285">
        <v>34</v>
      </c>
      <c r="D285">
        <v>19</v>
      </c>
      <c r="E285" s="1">
        <f t="shared" si="4"/>
        <v>0.55882352941176472</v>
      </c>
      <c r="F285">
        <v>112.6</v>
      </c>
      <c r="G285">
        <v>101</v>
      </c>
      <c r="H285">
        <v>0.77900000000000003</v>
      </c>
      <c r="I285">
        <v>52.5</v>
      </c>
      <c r="J285">
        <v>51</v>
      </c>
      <c r="K285">
        <v>18.600000000000001</v>
      </c>
      <c r="L285">
        <v>19.100000000000001</v>
      </c>
      <c r="M285">
        <v>31.8</v>
      </c>
      <c r="N285">
        <v>32.299999999999997</v>
      </c>
      <c r="O285">
        <v>34.9</v>
      </c>
      <c r="P285">
        <v>27.5</v>
      </c>
      <c r="Q285">
        <v>49.9</v>
      </c>
      <c r="R285">
        <v>49.5</v>
      </c>
      <c r="S285">
        <v>37.9</v>
      </c>
      <c r="T285">
        <v>35.799999999999997</v>
      </c>
      <c r="U285">
        <v>72.8</v>
      </c>
      <c r="V285">
        <v>-1.8</v>
      </c>
      <c r="W285" cm="1">
        <f t="array" ref="W285">_xlfn.IFS(OR(X285="N/A",X285="NA"),0,OR(X285="R64",X285="R68"),1,X285="R32",2,X285="S16",3,X285="E8",4,X285="F4",5,X285="2ND",6,X285="Champions",7)</f>
        <v>0</v>
      </c>
      <c r="X285" t="s">
        <v>90</v>
      </c>
      <c r="Y285" t="s">
        <v>90</v>
      </c>
      <c r="Z285">
        <v>2017</v>
      </c>
    </row>
    <row r="286" spans="1:26" x14ac:dyDescent="0.3">
      <c r="A286" t="s">
        <v>143</v>
      </c>
      <c r="B286" t="s">
        <v>31</v>
      </c>
      <c r="C286">
        <v>30</v>
      </c>
      <c r="D286">
        <v>12</v>
      </c>
      <c r="E286" s="1">
        <f t="shared" si="4"/>
        <v>0.4</v>
      </c>
      <c r="F286">
        <v>104.6</v>
      </c>
      <c r="G286">
        <v>98.4</v>
      </c>
      <c r="H286">
        <v>0.66800000000000004</v>
      </c>
      <c r="I286">
        <v>46</v>
      </c>
      <c r="J286">
        <v>52</v>
      </c>
      <c r="K286">
        <v>18.600000000000001</v>
      </c>
      <c r="L286">
        <v>19.3</v>
      </c>
      <c r="M286">
        <v>33.700000000000003</v>
      </c>
      <c r="N286">
        <v>29.9</v>
      </c>
      <c r="O286">
        <v>30</v>
      </c>
      <c r="P286">
        <v>33.299999999999997</v>
      </c>
      <c r="Q286">
        <v>45.3</v>
      </c>
      <c r="R286">
        <v>47.5</v>
      </c>
      <c r="S286">
        <v>31.8</v>
      </c>
      <c r="T286">
        <v>40.700000000000003</v>
      </c>
      <c r="U286">
        <v>69.5</v>
      </c>
      <c r="V286">
        <v>-5.4</v>
      </c>
      <c r="W286" cm="1">
        <f t="array" ref="W286">_xlfn.IFS(OR(X286="N/A",X286="NA"),0,OR(X286="R64",X286="R68"),1,X286="R32",2,X286="S16",3,X286="E8",4,X286="F4",5,X286="2ND",6,X286="Champions",7)</f>
        <v>0</v>
      </c>
      <c r="X286" t="s">
        <v>90</v>
      </c>
      <c r="Y286" t="s">
        <v>90</v>
      </c>
      <c r="Z286">
        <v>2017</v>
      </c>
    </row>
    <row r="287" spans="1:26" x14ac:dyDescent="0.3">
      <c r="A287" t="s">
        <v>80</v>
      </c>
      <c r="B287" t="s">
        <v>31</v>
      </c>
      <c r="C287">
        <v>32</v>
      </c>
      <c r="D287">
        <v>17</v>
      </c>
      <c r="E287" s="1">
        <f t="shared" si="4"/>
        <v>0.53125</v>
      </c>
      <c r="F287">
        <v>111.2</v>
      </c>
      <c r="G287">
        <v>99.4</v>
      </c>
      <c r="H287">
        <v>0.78439999999999999</v>
      </c>
      <c r="I287">
        <v>52.2</v>
      </c>
      <c r="J287">
        <v>48.9</v>
      </c>
      <c r="K287">
        <v>19.2</v>
      </c>
      <c r="L287">
        <v>17.5</v>
      </c>
      <c r="M287">
        <v>29.7</v>
      </c>
      <c r="N287">
        <v>28.8</v>
      </c>
      <c r="O287">
        <v>38.1</v>
      </c>
      <c r="P287">
        <v>29.4</v>
      </c>
      <c r="Q287">
        <v>51.6</v>
      </c>
      <c r="R287">
        <v>45.7</v>
      </c>
      <c r="S287">
        <v>35.6</v>
      </c>
      <c r="T287">
        <v>35.6</v>
      </c>
      <c r="U287">
        <v>69.400000000000006</v>
      </c>
      <c r="V287">
        <v>-3.1</v>
      </c>
      <c r="W287" cm="1">
        <f t="array" ref="W287">_xlfn.IFS(OR(X287="N/A",X287="NA"),0,OR(X287="R64",X287="R68"),1,X287="R32",2,X287="S16",3,X287="E8",4,X287="F4",5,X287="2ND",6,X287="Champions",7)</f>
        <v>0</v>
      </c>
      <c r="X287" t="s">
        <v>90</v>
      </c>
      <c r="Y287" t="s">
        <v>90</v>
      </c>
      <c r="Z287">
        <v>2017</v>
      </c>
    </row>
    <row r="288" spans="1:26" x14ac:dyDescent="0.3">
      <c r="A288" t="s">
        <v>145</v>
      </c>
      <c r="B288" t="s">
        <v>31</v>
      </c>
      <c r="C288">
        <v>33</v>
      </c>
      <c r="D288">
        <v>15</v>
      </c>
      <c r="E288" s="1">
        <f t="shared" si="4"/>
        <v>0.45454545454545453</v>
      </c>
      <c r="F288">
        <v>103.4</v>
      </c>
      <c r="G288">
        <v>96.8</v>
      </c>
      <c r="H288">
        <v>0.68110000000000004</v>
      </c>
      <c r="I288">
        <v>47.2</v>
      </c>
      <c r="J288">
        <v>49.2</v>
      </c>
      <c r="K288">
        <v>17.899999999999999</v>
      </c>
      <c r="L288">
        <v>20.3</v>
      </c>
      <c r="M288">
        <v>26.6</v>
      </c>
      <c r="N288">
        <v>30.6</v>
      </c>
      <c r="O288">
        <v>32.799999999999997</v>
      </c>
      <c r="P288">
        <v>31.2</v>
      </c>
      <c r="Q288">
        <v>45.4</v>
      </c>
      <c r="R288">
        <v>46.5</v>
      </c>
      <c r="S288">
        <v>33.9</v>
      </c>
      <c r="T288">
        <v>36.299999999999997</v>
      </c>
      <c r="U288">
        <v>72.099999999999994</v>
      </c>
      <c r="V288">
        <v>-4.9000000000000004</v>
      </c>
      <c r="W288" cm="1">
        <f t="array" ref="W288">_xlfn.IFS(OR(X288="N/A",X288="NA"),0,OR(X288="R64",X288="R68"),1,X288="R32",2,X288="S16",3,X288="E8",4,X288="F4",5,X288="2ND",6,X288="Champions",7)</f>
        <v>0</v>
      </c>
      <c r="X288" t="s">
        <v>90</v>
      </c>
      <c r="Y288" t="s">
        <v>90</v>
      </c>
      <c r="Z288">
        <v>2017</v>
      </c>
    </row>
    <row r="289" spans="1:26" x14ac:dyDescent="0.3">
      <c r="A289" t="s">
        <v>146</v>
      </c>
      <c r="B289" t="s">
        <v>31</v>
      </c>
      <c r="C289">
        <v>32</v>
      </c>
      <c r="D289">
        <v>15</v>
      </c>
      <c r="E289" s="1">
        <f t="shared" si="4"/>
        <v>0.46875</v>
      </c>
      <c r="F289">
        <v>100.8</v>
      </c>
      <c r="G289">
        <v>98.2</v>
      </c>
      <c r="H289">
        <v>0.57569999999999999</v>
      </c>
      <c r="I289">
        <v>44.7</v>
      </c>
      <c r="J289">
        <v>47.5</v>
      </c>
      <c r="K289">
        <v>19.7</v>
      </c>
      <c r="L289">
        <v>18.899999999999999</v>
      </c>
      <c r="M289">
        <v>37.5</v>
      </c>
      <c r="N289">
        <v>30.1</v>
      </c>
      <c r="O289">
        <v>31.2</v>
      </c>
      <c r="P289">
        <v>31.2</v>
      </c>
      <c r="Q289">
        <v>44.5</v>
      </c>
      <c r="R289">
        <v>46.6</v>
      </c>
      <c r="S289">
        <v>30.2</v>
      </c>
      <c r="T289">
        <v>32.700000000000003</v>
      </c>
      <c r="U289">
        <v>67.900000000000006</v>
      </c>
      <c r="V289">
        <v>-5.7</v>
      </c>
      <c r="W289" cm="1">
        <f t="array" ref="W289">_xlfn.IFS(OR(X289="N/A",X289="NA"),0,OR(X289="R64",X289="R68"),1,X289="R32",2,X289="S16",3,X289="E8",4,X289="F4",5,X289="2ND",6,X289="Champions",7)</f>
        <v>0</v>
      </c>
      <c r="X289" t="s">
        <v>90</v>
      </c>
      <c r="Y289" t="s">
        <v>90</v>
      </c>
      <c r="Z289">
        <v>2017</v>
      </c>
    </row>
    <row r="290" spans="1:26" x14ac:dyDescent="0.3">
      <c r="A290" t="s">
        <v>141</v>
      </c>
      <c r="B290" t="s">
        <v>31</v>
      </c>
      <c r="C290">
        <v>31</v>
      </c>
      <c r="D290">
        <v>14</v>
      </c>
      <c r="E290" s="1">
        <f t="shared" si="4"/>
        <v>0.45161290322580644</v>
      </c>
      <c r="F290">
        <v>110.7</v>
      </c>
      <c r="G290">
        <v>101.7</v>
      </c>
      <c r="H290">
        <v>0.72699999999999998</v>
      </c>
      <c r="I290">
        <v>49.8</v>
      </c>
      <c r="J290">
        <v>53.3</v>
      </c>
      <c r="K290">
        <v>18.8</v>
      </c>
      <c r="L290">
        <v>23.2</v>
      </c>
      <c r="M290">
        <v>34</v>
      </c>
      <c r="N290">
        <v>31.3</v>
      </c>
      <c r="O290">
        <v>33.1</v>
      </c>
      <c r="P290">
        <v>47.9</v>
      </c>
      <c r="Q290">
        <v>49.8</v>
      </c>
      <c r="R290">
        <v>54.1</v>
      </c>
      <c r="S290">
        <v>33.200000000000003</v>
      </c>
      <c r="T290">
        <v>34.5</v>
      </c>
      <c r="U290">
        <v>71.2</v>
      </c>
      <c r="V290">
        <v>-6.5</v>
      </c>
      <c r="W290" cm="1">
        <f t="array" ref="W290">_xlfn.IFS(OR(X290="N/A",X290="NA"),0,OR(X290="R64",X290="R68"),1,X290="R32",2,X290="S16",3,X290="E8",4,X290="F4",5,X290="2ND",6,X290="Champions",7)</f>
        <v>0</v>
      </c>
      <c r="X290" t="s">
        <v>90</v>
      </c>
      <c r="Y290" t="s">
        <v>90</v>
      </c>
      <c r="Z290">
        <v>2018</v>
      </c>
    </row>
    <row r="291" spans="1:26" x14ac:dyDescent="0.3">
      <c r="A291" t="s">
        <v>147</v>
      </c>
      <c r="B291" t="s">
        <v>31</v>
      </c>
      <c r="C291">
        <v>31</v>
      </c>
      <c r="D291">
        <v>16</v>
      </c>
      <c r="E291" s="1">
        <f t="shared" si="4"/>
        <v>0.5161290322580645</v>
      </c>
      <c r="F291">
        <v>108.8</v>
      </c>
      <c r="G291">
        <v>98</v>
      </c>
      <c r="H291">
        <v>0.76849999999999996</v>
      </c>
      <c r="I291">
        <v>51.1</v>
      </c>
      <c r="J291">
        <v>50.8</v>
      </c>
      <c r="K291">
        <v>18.2</v>
      </c>
      <c r="L291">
        <v>19.7</v>
      </c>
      <c r="M291">
        <v>31.8</v>
      </c>
      <c r="N291">
        <v>29.5</v>
      </c>
      <c r="O291">
        <v>36.4</v>
      </c>
      <c r="P291">
        <v>32.200000000000003</v>
      </c>
      <c r="Q291">
        <v>52.5</v>
      </c>
      <c r="R291">
        <v>48.4</v>
      </c>
      <c r="S291">
        <v>32.200000000000003</v>
      </c>
      <c r="T291">
        <v>36.700000000000003</v>
      </c>
      <c r="U291">
        <v>67.8</v>
      </c>
      <c r="V291">
        <v>-2.9</v>
      </c>
      <c r="W291" cm="1">
        <f t="array" ref="W291">_xlfn.IFS(OR(X291="N/A",X291="NA"),0,OR(X291="R64",X291="R68"),1,X291="R32",2,X291="S16",3,X291="E8",4,X291="F4",5,X291="2ND",6,X291="Champions",7)</f>
        <v>0</v>
      </c>
      <c r="X291" t="s">
        <v>90</v>
      </c>
      <c r="Y291" t="s">
        <v>90</v>
      </c>
      <c r="Z291">
        <v>2018</v>
      </c>
    </row>
    <row r="292" spans="1:26" x14ac:dyDescent="0.3">
      <c r="A292" t="s">
        <v>148</v>
      </c>
      <c r="B292" t="s">
        <v>31</v>
      </c>
      <c r="C292">
        <v>33</v>
      </c>
      <c r="D292">
        <v>14</v>
      </c>
      <c r="E292" s="1">
        <f t="shared" si="4"/>
        <v>0.42424242424242425</v>
      </c>
      <c r="F292">
        <v>116.1</v>
      </c>
      <c r="G292">
        <v>106.9</v>
      </c>
      <c r="H292">
        <v>0.72019999999999995</v>
      </c>
      <c r="I292">
        <v>54.3</v>
      </c>
      <c r="J292">
        <v>53.1</v>
      </c>
      <c r="K292">
        <v>18.7</v>
      </c>
      <c r="L292">
        <v>15.5</v>
      </c>
      <c r="M292">
        <v>34.1</v>
      </c>
      <c r="N292">
        <v>28</v>
      </c>
      <c r="O292">
        <v>35.4</v>
      </c>
      <c r="P292">
        <v>28.1</v>
      </c>
      <c r="Q292">
        <v>53.3</v>
      </c>
      <c r="R292">
        <v>51.2</v>
      </c>
      <c r="S292">
        <v>37.5</v>
      </c>
      <c r="T292">
        <v>37.6</v>
      </c>
      <c r="U292">
        <v>71.400000000000006</v>
      </c>
      <c r="V292">
        <v>-5.7</v>
      </c>
      <c r="W292" cm="1">
        <f t="array" ref="W292">_xlfn.IFS(OR(X292="N/A",X292="NA"),0,OR(X292="R64",X292="R68"),1,X292="R32",2,X292="S16",3,X292="E8",4,X292="F4",5,X292="2ND",6,X292="Champions",7)</f>
        <v>0</v>
      </c>
      <c r="X292" t="s">
        <v>90</v>
      </c>
      <c r="Y292" t="s">
        <v>90</v>
      </c>
      <c r="Z292">
        <v>2018</v>
      </c>
    </row>
    <row r="293" spans="1:26" x14ac:dyDescent="0.3">
      <c r="A293" t="s">
        <v>149</v>
      </c>
      <c r="B293" t="s">
        <v>31</v>
      </c>
      <c r="C293">
        <v>31</v>
      </c>
      <c r="D293">
        <v>19</v>
      </c>
      <c r="E293" s="1">
        <f t="shared" si="4"/>
        <v>0.61290322580645162</v>
      </c>
      <c r="F293">
        <v>113.9</v>
      </c>
      <c r="G293">
        <v>97.8</v>
      </c>
      <c r="H293">
        <v>0.85299999999999998</v>
      </c>
      <c r="I293">
        <v>54.3</v>
      </c>
      <c r="J293">
        <v>47.5</v>
      </c>
      <c r="K293">
        <v>20.399999999999999</v>
      </c>
      <c r="L293">
        <v>16.3</v>
      </c>
      <c r="M293">
        <v>31.4</v>
      </c>
      <c r="N293">
        <v>28.2</v>
      </c>
      <c r="O293">
        <v>37.9</v>
      </c>
      <c r="P293">
        <v>24</v>
      </c>
      <c r="Q293">
        <v>53.9</v>
      </c>
      <c r="R293">
        <v>45.6</v>
      </c>
      <c r="S293">
        <v>36.799999999999997</v>
      </c>
      <c r="T293">
        <v>33.799999999999997</v>
      </c>
      <c r="U293">
        <v>67.5</v>
      </c>
      <c r="V293">
        <v>-0.6</v>
      </c>
      <c r="W293" cm="1">
        <f t="array" ref="W293">_xlfn.IFS(OR(X293="N/A",X293="NA"),0,OR(X293="R64",X293="R68"),1,X293="R32",2,X293="S16",3,X293="E8",4,X293="F4",5,X293="2ND",6,X293="Champions",7)</f>
        <v>0</v>
      </c>
      <c r="X293" t="s">
        <v>90</v>
      </c>
      <c r="Y293" t="s">
        <v>90</v>
      </c>
      <c r="Z293">
        <v>2018</v>
      </c>
    </row>
    <row r="294" spans="1:26" x14ac:dyDescent="0.3">
      <c r="A294" t="s">
        <v>142</v>
      </c>
      <c r="B294" t="s">
        <v>31</v>
      </c>
      <c r="C294">
        <v>32</v>
      </c>
      <c r="D294">
        <v>15</v>
      </c>
      <c r="E294" s="1">
        <f t="shared" si="4"/>
        <v>0.46875</v>
      </c>
      <c r="F294">
        <v>108.3</v>
      </c>
      <c r="G294">
        <v>101.8</v>
      </c>
      <c r="H294">
        <v>0.67059999999999997</v>
      </c>
      <c r="I294">
        <v>48.7</v>
      </c>
      <c r="J294">
        <v>50.5</v>
      </c>
      <c r="K294">
        <v>15.5</v>
      </c>
      <c r="L294">
        <v>16</v>
      </c>
      <c r="M294">
        <v>30</v>
      </c>
      <c r="N294">
        <v>29.5</v>
      </c>
      <c r="O294">
        <v>35.1</v>
      </c>
      <c r="P294">
        <v>27.1</v>
      </c>
      <c r="Q294">
        <v>47.1</v>
      </c>
      <c r="R294">
        <v>47.3</v>
      </c>
      <c r="S294">
        <v>34.6</v>
      </c>
      <c r="T294">
        <v>37.5</v>
      </c>
      <c r="U294">
        <v>71.2</v>
      </c>
      <c r="V294">
        <v>-5</v>
      </c>
      <c r="W294" cm="1">
        <f t="array" ref="W294">_xlfn.IFS(OR(X294="N/A",X294="NA"),0,OR(X294="R64",X294="R68"),1,X294="R32",2,X294="S16",3,X294="E8",4,X294="F4",5,X294="2ND",6,X294="Champions",7)</f>
        <v>0</v>
      </c>
      <c r="X294" t="s">
        <v>90</v>
      </c>
      <c r="Y294" t="s">
        <v>90</v>
      </c>
      <c r="Z294">
        <v>2018</v>
      </c>
    </row>
    <row r="295" spans="1:26" x14ac:dyDescent="0.3">
      <c r="A295" t="s">
        <v>143</v>
      </c>
      <c r="B295" t="s">
        <v>31</v>
      </c>
      <c r="C295">
        <v>33</v>
      </c>
      <c r="D295">
        <v>22</v>
      </c>
      <c r="E295" s="1">
        <f t="shared" si="4"/>
        <v>0.66666666666666663</v>
      </c>
      <c r="F295">
        <v>110.4</v>
      </c>
      <c r="G295">
        <v>96.1</v>
      </c>
      <c r="H295">
        <v>0.83250000000000002</v>
      </c>
      <c r="I295">
        <v>49.1</v>
      </c>
      <c r="J295">
        <v>47</v>
      </c>
      <c r="K295">
        <v>16</v>
      </c>
      <c r="L295">
        <v>18.3</v>
      </c>
      <c r="M295">
        <v>30.1</v>
      </c>
      <c r="N295">
        <v>34</v>
      </c>
      <c r="O295">
        <v>37.6</v>
      </c>
      <c r="P295">
        <v>26.5</v>
      </c>
      <c r="Q295">
        <v>47.6</v>
      </c>
      <c r="R295">
        <v>46.5</v>
      </c>
      <c r="S295">
        <v>34.6</v>
      </c>
      <c r="T295">
        <v>32.200000000000003</v>
      </c>
      <c r="U295">
        <v>68.7</v>
      </c>
      <c r="V295">
        <v>1.9</v>
      </c>
      <c r="W295" cm="1">
        <f t="array" ref="W295">_xlfn.IFS(OR(X295="N/A",X295="NA"),0,OR(X295="R64",X295="R68"),1,X295="R32",2,X295="S16",3,X295="E8",4,X295="F4",5,X295="2ND",6,X295="Champions",7)</f>
        <v>0</v>
      </c>
      <c r="X295" t="s">
        <v>90</v>
      </c>
      <c r="Y295" t="s">
        <v>90</v>
      </c>
      <c r="Z295">
        <v>2018</v>
      </c>
    </row>
    <row r="296" spans="1:26" x14ac:dyDescent="0.3">
      <c r="A296" t="s">
        <v>144</v>
      </c>
      <c r="B296" t="s">
        <v>31</v>
      </c>
      <c r="C296">
        <v>31</v>
      </c>
      <c r="D296">
        <v>15</v>
      </c>
      <c r="E296" s="1">
        <f t="shared" si="4"/>
        <v>0.4838709677419355</v>
      </c>
      <c r="F296">
        <v>109</v>
      </c>
      <c r="G296">
        <v>99</v>
      </c>
      <c r="H296">
        <v>0.75119999999999998</v>
      </c>
      <c r="I296">
        <v>49.5</v>
      </c>
      <c r="J296">
        <v>51</v>
      </c>
      <c r="K296">
        <v>17.8</v>
      </c>
      <c r="L296">
        <v>19</v>
      </c>
      <c r="M296">
        <v>29.4</v>
      </c>
      <c r="N296">
        <v>27.7</v>
      </c>
      <c r="O296">
        <v>29.1</v>
      </c>
      <c r="P296">
        <v>37</v>
      </c>
      <c r="Q296">
        <v>47.1</v>
      </c>
      <c r="R296">
        <v>48.9</v>
      </c>
      <c r="S296">
        <v>35.4</v>
      </c>
      <c r="T296">
        <v>36.200000000000003</v>
      </c>
      <c r="U296">
        <v>65.5</v>
      </c>
      <c r="V296">
        <v>-4.2</v>
      </c>
      <c r="W296" cm="1">
        <f t="array" ref="W296">_xlfn.IFS(OR(X296="N/A",X296="NA"),0,OR(X296="R64",X296="R68"),1,X296="R32",2,X296="S16",3,X296="E8",4,X296="F4",5,X296="2ND",6,X296="Champions",7)</f>
        <v>0</v>
      </c>
      <c r="X296" t="s">
        <v>90</v>
      </c>
      <c r="Y296" t="s">
        <v>90</v>
      </c>
      <c r="Z296">
        <v>2018</v>
      </c>
    </row>
    <row r="297" spans="1:26" x14ac:dyDescent="0.3">
      <c r="A297" t="s">
        <v>145</v>
      </c>
      <c r="B297" t="s">
        <v>31</v>
      </c>
      <c r="C297">
        <v>39</v>
      </c>
      <c r="D297">
        <v>26</v>
      </c>
      <c r="E297" s="1">
        <f t="shared" si="4"/>
        <v>0.66666666666666663</v>
      </c>
      <c r="F297">
        <v>115</v>
      </c>
      <c r="G297">
        <v>93.6</v>
      </c>
      <c r="H297">
        <v>0.91479999999999995</v>
      </c>
      <c r="I297">
        <v>52.6</v>
      </c>
      <c r="J297">
        <v>48.3</v>
      </c>
      <c r="K297">
        <v>17.3</v>
      </c>
      <c r="L297">
        <v>19.5</v>
      </c>
      <c r="M297">
        <v>31.7</v>
      </c>
      <c r="N297">
        <v>28.2</v>
      </c>
      <c r="O297">
        <v>31.5</v>
      </c>
      <c r="P297">
        <v>32.1</v>
      </c>
      <c r="Q297">
        <v>49.8</v>
      </c>
      <c r="R297">
        <v>46.7</v>
      </c>
      <c r="S297">
        <v>38.700000000000003</v>
      </c>
      <c r="T297">
        <v>34.200000000000003</v>
      </c>
      <c r="U297">
        <v>68.7</v>
      </c>
      <c r="V297">
        <v>-0.5</v>
      </c>
      <c r="W297" cm="1">
        <f t="array" ref="W297">_xlfn.IFS(OR(X297="N/A",X297="NA"),0,OR(X297="R64",X297="R68"),1,X297="R32",2,X297="S16",3,X297="E8",4,X297="F4",5,X297="2ND",6,X297="Champions",7)</f>
        <v>0</v>
      </c>
      <c r="X297" t="s">
        <v>90</v>
      </c>
      <c r="Y297" t="s">
        <v>90</v>
      </c>
      <c r="Z297">
        <v>2018</v>
      </c>
    </row>
    <row r="298" spans="1:26" x14ac:dyDescent="0.3">
      <c r="A298" t="s">
        <v>146</v>
      </c>
      <c r="B298" t="s">
        <v>31</v>
      </c>
      <c r="C298">
        <v>33</v>
      </c>
      <c r="D298">
        <v>15</v>
      </c>
      <c r="E298" s="1">
        <f t="shared" si="4"/>
        <v>0.45454545454545453</v>
      </c>
      <c r="F298">
        <v>98.1</v>
      </c>
      <c r="G298">
        <v>95</v>
      </c>
      <c r="H298">
        <v>0.58899999999999997</v>
      </c>
      <c r="I298">
        <v>43.6</v>
      </c>
      <c r="J298">
        <v>48</v>
      </c>
      <c r="K298">
        <v>17.2</v>
      </c>
      <c r="L298">
        <v>20.5</v>
      </c>
      <c r="M298">
        <v>33.299999999999997</v>
      </c>
      <c r="N298">
        <v>29.1</v>
      </c>
      <c r="O298">
        <v>30.5</v>
      </c>
      <c r="P298">
        <v>30.8</v>
      </c>
      <c r="Q298">
        <v>43.4</v>
      </c>
      <c r="R298">
        <v>47.6</v>
      </c>
      <c r="S298">
        <v>29.6</v>
      </c>
      <c r="T298">
        <v>32.5</v>
      </c>
      <c r="U298">
        <v>67.2</v>
      </c>
      <c r="V298">
        <v>-6.8</v>
      </c>
      <c r="W298" cm="1">
        <f t="array" ref="W298">_xlfn.IFS(OR(X298="N/A",X298="NA"),0,OR(X298="R64",X298="R68"),1,X298="R32",2,X298="S16",3,X298="E8",4,X298="F4",5,X298="2ND",6,X298="Champions",7)</f>
        <v>0</v>
      </c>
      <c r="X298" t="s">
        <v>90</v>
      </c>
      <c r="Y298" t="s">
        <v>90</v>
      </c>
      <c r="Z298">
        <v>2018</v>
      </c>
    </row>
    <row r="299" spans="1:26" x14ac:dyDescent="0.3">
      <c r="A299" t="s">
        <v>30</v>
      </c>
      <c r="B299" t="s">
        <v>31</v>
      </c>
      <c r="C299">
        <v>33</v>
      </c>
      <c r="D299">
        <v>15</v>
      </c>
      <c r="E299" s="1">
        <f t="shared" si="4"/>
        <v>0.45454545454545453</v>
      </c>
      <c r="F299">
        <v>108.7</v>
      </c>
      <c r="G299">
        <v>98.3</v>
      </c>
      <c r="H299">
        <v>0.76180000000000003</v>
      </c>
      <c r="I299">
        <v>50.9</v>
      </c>
      <c r="J299">
        <v>51.2</v>
      </c>
      <c r="K299">
        <v>16.8</v>
      </c>
      <c r="L299">
        <v>18.399999999999999</v>
      </c>
      <c r="M299">
        <v>28.4</v>
      </c>
      <c r="N299">
        <v>27.7</v>
      </c>
      <c r="O299">
        <v>32.700000000000003</v>
      </c>
      <c r="P299">
        <v>30.2</v>
      </c>
      <c r="Q299">
        <v>51.2</v>
      </c>
      <c r="R299">
        <v>50.6</v>
      </c>
      <c r="S299">
        <v>33.5</v>
      </c>
      <c r="T299">
        <v>35</v>
      </c>
      <c r="U299">
        <v>63.9</v>
      </c>
      <c r="V299">
        <v>-3.8</v>
      </c>
      <c r="W299" cm="1">
        <f t="array" ref="W299">_xlfn.IFS(OR(X299="N/A",X299="NA"),0,OR(X299="R64",X299="R68"),1,X299="R32",2,X299="S16",3,X299="E8",4,X299="F4",5,X299="2ND",6,X299="Champions",7)</f>
        <v>0</v>
      </c>
      <c r="X299" t="s">
        <v>90</v>
      </c>
      <c r="Y299" t="s">
        <v>90</v>
      </c>
      <c r="Z299">
        <v>2018</v>
      </c>
    </row>
    <row r="300" spans="1:26" x14ac:dyDescent="0.3">
      <c r="A300" t="s">
        <v>141</v>
      </c>
      <c r="B300" t="s">
        <v>31</v>
      </c>
      <c r="C300">
        <v>33</v>
      </c>
      <c r="D300">
        <v>12</v>
      </c>
      <c r="E300" s="1">
        <f t="shared" si="4"/>
        <v>0.36363636363636365</v>
      </c>
      <c r="F300">
        <v>109.7</v>
      </c>
      <c r="G300">
        <v>99.1</v>
      </c>
      <c r="H300">
        <v>0.76329999999999998</v>
      </c>
      <c r="I300">
        <v>49.6</v>
      </c>
      <c r="J300">
        <v>52.2</v>
      </c>
      <c r="K300">
        <v>18.399999999999999</v>
      </c>
      <c r="L300">
        <v>21.8</v>
      </c>
      <c r="M300">
        <v>29.1</v>
      </c>
      <c r="N300">
        <v>31.9</v>
      </c>
      <c r="O300">
        <v>29.5</v>
      </c>
      <c r="P300">
        <v>42.4</v>
      </c>
      <c r="Q300">
        <v>48.2</v>
      </c>
      <c r="R300">
        <v>53.6</v>
      </c>
      <c r="S300">
        <v>34.5</v>
      </c>
      <c r="T300">
        <v>33</v>
      </c>
      <c r="U300">
        <v>71.900000000000006</v>
      </c>
      <c r="V300">
        <v>-5.5</v>
      </c>
      <c r="W300" cm="1">
        <f t="array" ref="W300">_xlfn.IFS(OR(X300="N/A",X300="NA"),0,OR(X300="R64",X300="R68"),1,X300="R32",2,X300="S16",3,X300="E8",4,X300="F4",5,X300="2ND",6,X300="Champions",7)</f>
        <v>0</v>
      </c>
      <c r="X300" t="s">
        <v>90</v>
      </c>
      <c r="Y300" t="s">
        <v>90</v>
      </c>
      <c r="Z300">
        <v>2019</v>
      </c>
    </row>
    <row r="301" spans="1:26" x14ac:dyDescent="0.3">
      <c r="A301" t="s">
        <v>147</v>
      </c>
      <c r="B301" t="s">
        <v>31</v>
      </c>
      <c r="C301">
        <v>35</v>
      </c>
      <c r="D301">
        <v>19</v>
      </c>
      <c r="E301" s="1">
        <f t="shared" si="4"/>
        <v>0.54285714285714282</v>
      </c>
      <c r="F301">
        <v>107.5</v>
      </c>
      <c r="G301">
        <v>95.2</v>
      </c>
      <c r="H301">
        <v>0.80200000000000005</v>
      </c>
      <c r="I301">
        <v>51</v>
      </c>
      <c r="J301">
        <v>48.2</v>
      </c>
      <c r="K301">
        <v>17.899999999999999</v>
      </c>
      <c r="L301">
        <v>18.100000000000001</v>
      </c>
      <c r="M301">
        <v>28.1</v>
      </c>
      <c r="N301">
        <v>28.1</v>
      </c>
      <c r="O301">
        <v>34.6</v>
      </c>
      <c r="P301">
        <v>29.2</v>
      </c>
      <c r="Q301">
        <v>53.1</v>
      </c>
      <c r="R301">
        <v>47.3</v>
      </c>
      <c r="S301">
        <v>31.2</v>
      </c>
      <c r="T301">
        <v>33.1</v>
      </c>
      <c r="U301">
        <v>68.5</v>
      </c>
      <c r="V301">
        <v>0</v>
      </c>
      <c r="W301" cm="1">
        <f t="array" ref="W301">_xlfn.IFS(OR(X301="N/A",X301="NA"),0,OR(X301="R64",X301="R68"),1,X301="R32",2,X301="S16",3,X301="E8",4,X301="F4",5,X301="2ND",6,X301="Champions",7)</f>
        <v>0</v>
      </c>
      <c r="X301" t="s">
        <v>90</v>
      </c>
      <c r="Y301" t="s">
        <v>90</v>
      </c>
      <c r="Z301">
        <v>2019</v>
      </c>
    </row>
    <row r="302" spans="1:26" x14ac:dyDescent="0.3">
      <c r="A302" t="s">
        <v>143</v>
      </c>
      <c r="B302" t="s">
        <v>31</v>
      </c>
      <c r="C302">
        <v>35</v>
      </c>
      <c r="D302">
        <v>19</v>
      </c>
      <c r="E302" s="1">
        <f t="shared" si="4"/>
        <v>0.54285714285714282</v>
      </c>
      <c r="F302">
        <v>112.5</v>
      </c>
      <c r="G302">
        <v>98.1</v>
      </c>
      <c r="H302">
        <v>0.82850000000000001</v>
      </c>
      <c r="I302">
        <v>49.2</v>
      </c>
      <c r="J302">
        <v>48.1</v>
      </c>
      <c r="K302">
        <v>14.3</v>
      </c>
      <c r="L302">
        <v>19.3</v>
      </c>
      <c r="M302">
        <v>28.5</v>
      </c>
      <c r="N302">
        <v>32.1</v>
      </c>
      <c r="O302">
        <v>33</v>
      </c>
      <c r="P302">
        <v>30</v>
      </c>
      <c r="Q302">
        <v>48.6</v>
      </c>
      <c r="R302">
        <v>46.9</v>
      </c>
      <c r="S302">
        <v>33.4</v>
      </c>
      <c r="T302">
        <v>33.799999999999997</v>
      </c>
      <c r="U302">
        <v>68</v>
      </c>
      <c r="V302">
        <v>0</v>
      </c>
      <c r="W302" cm="1">
        <f t="array" ref="W302">_xlfn.IFS(OR(X302="N/A",X302="NA"),0,OR(X302="R64",X302="R68"),1,X302="R32",2,X302="S16",3,X302="E8",4,X302="F4",5,X302="2ND",6,X302="Champions",7)</f>
        <v>0</v>
      </c>
      <c r="X302" t="s">
        <v>90</v>
      </c>
      <c r="Y302" t="s">
        <v>90</v>
      </c>
      <c r="Z302">
        <v>2019</v>
      </c>
    </row>
    <row r="303" spans="1:26" x14ac:dyDescent="0.3">
      <c r="A303" t="s">
        <v>144</v>
      </c>
      <c r="B303" t="s">
        <v>31</v>
      </c>
      <c r="C303">
        <v>32</v>
      </c>
      <c r="D303">
        <v>13</v>
      </c>
      <c r="E303" s="1">
        <f t="shared" si="4"/>
        <v>0.40625</v>
      </c>
      <c r="F303">
        <v>101.2</v>
      </c>
      <c r="G303">
        <v>92.8</v>
      </c>
      <c r="H303">
        <v>0.7319</v>
      </c>
      <c r="I303">
        <v>46.6</v>
      </c>
      <c r="J303">
        <v>46.7</v>
      </c>
      <c r="K303">
        <v>16.100000000000001</v>
      </c>
      <c r="L303">
        <v>17.899999999999999</v>
      </c>
      <c r="M303">
        <v>24.2</v>
      </c>
      <c r="N303">
        <v>26.3</v>
      </c>
      <c r="O303">
        <v>30.2</v>
      </c>
      <c r="P303">
        <v>34</v>
      </c>
      <c r="Q303">
        <v>46.4</v>
      </c>
      <c r="R303">
        <v>48</v>
      </c>
      <c r="S303">
        <v>31.3</v>
      </c>
      <c r="T303">
        <v>29.3</v>
      </c>
      <c r="U303">
        <v>67.3</v>
      </c>
      <c r="V303">
        <v>-5.7</v>
      </c>
      <c r="W303" cm="1">
        <f t="array" ref="W303">_xlfn.IFS(OR(X303="N/A",X303="NA"),0,OR(X303="R64",X303="R68"),1,X303="R32",2,X303="S16",3,X303="E8",4,X303="F4",5,X303="2ND",6,X303="Champions",7)</f>
        <v>0</v>
      </c>
      <c r="X303" t="s">
        <v>90</v>
      </c>
      <c r="Y303" t="s">
        <v>90</v>
      </c>
      <c r="Z303">
        <v>2019</v>
      </c>
    </row>
    <row r="304" spans="1:26" x14ac:dyDescent="0.3">
      <c r="A304" t="s">
        <v>145</v>
      </c>
      <c r="B304" t="s">
        <v>31</v>
      </c>
      <c r="C304">
        <v>32</v>
      </c>
      <c r="D304">
        <v>14</v>
      </c>
      <c r="E304" s="1">
        <f t="shared" si="4"/>
        <v>0.4375</v>
      </c>
      <c r="F304">
        <v>109.9</v>
      </c>
      <c r="G304">
        <v>92.8</v>
      </c>
      <c r="H304">
        <v>0.87549999999999994</v>
      </c>
      <c r="I304">
        <v>47.5</v>
      </c>
      <c r="J304">
        <v>49.9</v>
      </c>
      <c r="K304">
        <v>18.100000000000001</v>
      </c>
      <c r="L304">
        <v>19.600000000000001</v>
      </c>
      <c r="M304">
        <v>31.9</v>
      </c>
      <c r="N304">
        <v>26.3</v>
      </c>
      <c r="O304">
        <v>32.299999999999997</v>
      </c>
      <c r="P304">
        <v>34.1</v>
      </c>
      <c r="Q304">
        <v>47.2</v>
      </c>
      <c r="R304">
        <v>48.4</v>
      </c>
      <c r="S304">
        <v>32</v>
      </c>
      <c r="T304">
        <v>35.4</v>
      </c>
      <c r="U304">
        <v>68.900000000000006</v>
      </c>
      <c r="V304">
        <v>-2.7</v>
      </c>
      <c r="W304" cm="1">
        <f t="array" ref="W304">_xlfn.IFS(OR(X304="N/A",X304="NA"),0,OR(X304="R64",X304="R68"),1,X304="R32",2,X304="S16",3,X304="E8",4,X304="F4",5,X304="2ND",6,X304="Champions",7)</f>
        <v>0</v>
      </c>
      <c r="X304" t="s">
        <v>90</v>
      </c>
      <c r="Y304" t="s">
        <v>90</v>
      </c>
      <c r="Z304">
        <v>2019</v>
      </c>
    </row>
    <row r="305" spans="1:26" x14ac:dyDescent="0.3">
      <c r="A305" t="s">
        <v>146</v>
      </c>
      <c r="B305" t="s">
        <v>31</v>
      </c>
      <c r="C305">
        <v>31</v>
      </c>
      <c r="D305">
        <v>14</v>
      </c>
      <c r="E305" s="1">
        <f t="shared" si="4"/>
        <v>0.45161290322580644</v>
      </c>
      <c r="F305">
        <v>104.9</v>
      </c>
      <c r="G305">
        <v>96.1</v>
      </c>
      <c r="H305">
        <v>0.73360000000000003</v>
      </c>
      <c r="I305">
        <v>47</v>
      </c>
      <c r="J305">
        <v>49.2</v>
      </c>
      <c r="K305">
        <v>19.100000000000001</v>
      </c>
      <c r="L305">
        <v>17.399999999999999</v>
      </c>
      <c r="M305">
        <v>33.4</v>
      </c>
      <c r="N305">
        <v>27</v>
      </c>
      <c r="O305">
        <v>31.7</v>
      </c>
      <c r="P305">
        <v>32.4</v>
      </c>
      <c r="Q305">
        <v>47.2</v>
      </c>
      <c r="R305">
        <v>47</v>
      </c>
      <c r="S305">
        <v>31.2</v>
      </c>
      <c r="T305">
        <v>35.299999999999997</v>
      </c>
      <c r="U305">
        <v>69</v>
      </c>
      <c r="V305">
        <v>-3.5</v>
      </c>
      <c r="W305" cm="1">
        <f t="array" ref="W305">_xlfn.IFS(OR(X305="N/A",X305="NA"),0,OR(X305="R64",X305="R68"),1,X305="R32",2,X305="S16",3,X305="E8",4,X305="F4",5,X305="2ND",6,X305="Champions",7)</f>
        <v>0</v>
      </c>
      <c r="X305" t="s">
        <v>90</v>
      </c>
      <c r="Y305" t="s">
        <v>90</v>
      </c>
      <c r="Z305">
        <v>2019</v>
      </c>
    </row>
    <row r="306" spans="1:26" x14ac:dyDescent="0.3">
      <c r="A306" t="s">
        <v>68</v>
      </c>
      <c r="B306" t="s">
        <v>35</v>
      </c>
      <c r="C306">
        <v>32</v>
      </c>
      <c r="D306">
        <v>15</v>
      </c>
      <c r="E306" s="1">
        <f t="shared" si="4"/>
        <v>0.46875</v>
      </c>
      <c r="F306">
        <v>104.6</v>
      </c>
      <c r="G306">
        <v>96.2</v>
      </c>
      <c r="H306">
        <v>0.72419999999999995</v>
      </c>
      <c r="I306">
        <v>47.8</v>
      </c>
      <c r="J306">
        <v>49.7</v>
      </c>
      <c r="K306">
        <v>20.9</v>
      </c>
      <c r="L306">
        <v>20.2</v>
      </c>
      <c r="M306">
        <v>34</v>
      </c>
      <c r="N306">
        <v>31.4</v>
      </c>
      <c r="O306">
        <v>46</v>
      </c>
      <c r="P306">
        <v>41</v>
      </c>
      <c r="Q306">
        <v>46.9</v>
      </c>
      <c r="R306">
        <v>49.5</v>
      </c>
      <c r="S306">
        <v>33.5</v>
      </c>
      <c r="T306">
        <v>33.5</v>
      </c>
      <c r="U306">
        <v>62.7</v>
      </c>
      <c r="V306">
        <v>-2.6</v>
      </c>
      <c r="W306" cm="1">
        <f t="array" ref="W306">_xlfn.IFS(OR(X306="N/A",X306="NA"),0,OR(X306="R64",X306="R68"),1,X306="R32",2,X306="S16",3,X306="E8",4,X306="F4",5,X306="2ND",6,X306="Champions",7)</f>
        <v>0</v>
      </c>
      <c r="X306" t="s">
        <v>90</v>
      </c>
      <c r="Y306" t="s">
        <v>90</v>
      </c>
      <c r="Z306">
        <v>2015</v>
      </c>
    </row>
    <row r="307" spans="1:26" x14ac:dyDescent="0.3">
      <c r="A307" t="s">
        <v>150</v>
      </c>
      <c r="B307" t="s">
        <v>35</v>
      </c>
      <c r="C307">
        <v>33</v>
      </c>
      <c r="D307">
        <v>18</v>
      </c>
      <c r="E307" s="1">
        <f t="shared" si="4"/>
        <v>0.54545454545454541</v>
      </c>
      <c r="F307">
        <v>107.6</v>
      </c>
      <c r="G307">
        <v>94.2</v>
      </c>
      <c r="H307">
        <v>0.82099999999999995</v>
      </c>
      <c r="I307">
        <v>47.9</v>
      </c>
      <c r="J307">
        <v>44.1</v>
      </c>
      <c r="K307">
        <v>18.399999999999999</v>
      </c>
      <c r="L307">
        <v>20</v>
      </c>
      <c r="M307">
        <v>37.5</v>
      </c>
      <c r="N307">
        <v>33.4</v>
      </c>
      <c r="O307">
        <v>46.5</v>
      </c>
      <c r="P307">
        <v>48</v>
      </c>
      <c r="Q307">
        <v>47.5</v>
      </c>
      <c r="R307">
        <v>42.2</v>
      </c>
      <c r="S307">
        <v>32.700000000000003</v>
      </c>
      <c r="T307">
        <v>33.5</v>
      </c>
      <c r="U307">
        <v>64.099999999999994</v>
      </c>
      <c r="V307">
        <v>-2.6</v>
      </c>
      <c r="W307" cm="1">
        <f t="array" ref="W307">_xlfn.IFS(OR(X307="N/A",X307="NA"),0,OR(X307="R64",X307="R68"),1,X307="R32",2,X307="S16",3,X307="E8",4,X307="F4",5,X307="2ND",6,X307="Champions",7)</f>
        <v>0</v>
      </c>
      <c r="X307" t="s">
        <v>90</v>
      </c>
      <c r="Y307" t="s">
        <v>90</v>
      </c>
      <c r="Z307">
        <v>2015</v>
      </c>
    </row>
    <row r="308" spans="1:26" x14ac:dyDescent="0.3">
      <c r="A308" t="s">
        <v>34</v>
      </c>
      <c r="B308" t="s">
        <v>35</v>
      </c>
      <c r="C308">
        <v>32</v>
      </c>
      <c r="D308">
        <v>13</v>
      </c>
      <c r="E308" s="1">
        <f t="shared" si="4"/>
        <v>0.40625</v>
      </c>
      <c r="F308">
        <v>101.4</v>
      </c>
      <c r="G308">
        <v>98.4</v>
      </c>
      <c r="H308">
        <v>0.5857</v>
      </c>
      <c r="I308">
        <v>45.7</v>
      </c>
      <c r="J308">
        <v>49.2</v>
      </c>
      <c r="K308">
        <v>21.8</v>
      </c>
      <c r="L308">
        <v>20.100000000000001</v>
      </c>
      <c r="M308">
        <v>34.6</v>
      </c>
      <c r="N308">
        <v>32.6</v>
      </c>
      <c r="O308">
        <v>46.1</v>
      </c>
      <c r="P308">
        <v>36.5</v>
      </c>
      <c r="Q308">
        <v>44.5</v>
      </c>
      <c r="R308">
        <v>48.2</v>
      </c>
      <c r="S308">
        <v>32.299999999999997</v>
      </c>
      <c r="T308">
        <v>33.9</v>
      </c>
      <c r="U308">
        <v>62.4</v>
      </c>
      <c r="V308">
        <v>-6.2</v>
      </c>
      <c r="W308" cm="1">
        <f t="array" ref="W308">_xlfn.IFS(OR(X308="N/A",X308="NA"),0,OR(X308="R64",X308="R68"),1,X308="R32",2,X308="S16",3,X308="E8",4,X308="F4",5,X308="2ND",6,X308="Champions",7)</f>
        <v>0</v>
      </c>
      <c r="X308" t="s">
        <v>90</v>
      </c>
      <c r="Y308" t="s">
        <v>90</v>
      </c>
      <c r="Z308">
        <v>2015</v>
      </c>
    </row>
    <row r="309" spans="1:26" x14ac:dyDescent="0.3">
      <c r="A309" t="s">
        <v>68</v>
      </c>
      <c r="B309" t="s">
        <v>35</v>
      </c>
      <c r="C309">
        <v>33</v>
      </c>
      <c r="D309">
        <v>17</v>
      </c>
      <c r="E309" s="1">
        <f t="shared" si="4"/>
        <v>0.51515151515151514</v>
      </c>
      <c r="F309">
        <v>108.5</v>
      </c>
      <c r="G309">
        <v>93.8</v>
      </c>
      <c r="H309">
        <v>0.84309999999999996</v>
      </c>
      <c r="I309">
        <v>47.6</v>
      </c>
      <c r="J309">
        <v>49</v>
      </c>
      <c r="K309">
        <v>20.3</v>
      </c>
      <c r="L309">
        <v>20.8</v>
      </c>
      <c r="M309">
        <v>37</v>
      </c>
      <c r="N309">
        <v>31</v>
      </c>
      <c r="O309">
        <v>42.5</v>
      </c>
      <c r="P309">
        <v>40.4</v>
      </c>
      <c r="Q309">
        <v>48.7</v>
      </c>
      <c r="R309">
        <v>50.4</v>
      </c>
      <c r="S309">
        <v>30</v>
      </c>
      <c r="T309">
        <v>31</v>
      </c>
      <c r="U309">
        <v>67.599999999999994</v>
      </c>
      <c r="V309">
        <v>-1.3</v>
      </c>
      <c r="W309" cm="1">
        <f t="array" ref="W309">_xlfn.IFS(OR(X309="N/A",X309="NA"),0,OR(X309="R64",X309="R68"),1,X309="R32",2,X309="S16",3,X309="E8",4,X309="F4",5,X309="2ND",6,X309="Champions",7)</f>
        <v>0</v>
      </c>
      <c r="X309" t="s">
        <v>90</v>
      </c>
      <c r="Y309" t="s">
        <v>90</v>
      </c>
      <c r="Z309">
        <v>2016</v>
      </c>
    </row>
    <row r="310" spans="1:26" x14ac:dyDescent="0.3">
      <c r="A310" t="s">
        <v>151</v>
      </c>
      <c r="B310" t="s">
        <v>35</v>
      </c>
      <c r="C310">
        <v>32</v>
      </c>
      <c r="D310">
        <v>10</v>
      </c>
      <c r="E310" s="1">
        <f t="shared" si="4"/>
        <v>0.3125</v>
      </c>
      <c r="F310">
        <v>105.7</v>
      </c>
      <c r="G310">
        <v>97</v>
      </c>
      <c r="H310">
        <v>0.7298</v>
      </c>
      <c r="I310">
        <v>48.3</v>
      </c>
      <c r="J310">
        <v>47.1</v>
      </c>
      <c r="K310">
        <v>19.100000000000001</v>
      </c>
      <c r="L310">
        <v>17.5</v>
      </c>
      <c r="M310">
        <v>28.8</v>
      </c>
      <c r="N310">
        <v>32.299999999999997</v>
      </c>
      <c r="O310">
        <v>38.299999999999997</v>
      </c>
      <c r="P310">
        <v>40.9</v>
      </c>
      <c r="Q310">
        <v>47.8</v>
      </c>
      <c r="R310">
        <v>44.7</v>
      </c>
      <c r="S310">
        <v>32.799999999999997</v>
      </c>
      <c r="T310">
        <v>34.200000000000003</v>
      </c>
      <c r="U310">
        <v>65.099999999999994</v>
      </c>
      <c r="V310">
        <v>-6.7</v>
      </c>
      <c r="W310" cm="1">
        <f t="array" ref="W310">_xlfn.IFS(OR(X310="N/A",X310="NA"),0,OR(X310="R64",X310="R68"),1,X310="R32",2,X310="S16",3,X310="E8",4,X310="F4",5,X310="2ND",6,X310="Champions",7)</f>
        <v>0</v>
      </c>
      <c r="X310" t="s">
        <v>90</v>
      </c>
      <c r="Y310" t="s">
        <v>90</v>
      </c>
      <c r="Z310">
        <v>2016</v>
      </c>
    </row>
    <row r="311" spans="1:26" x14ac:dyDescent="0.3">
      <c r="A311" t="s">
        <v>150</v>
      </c>
      <c r="B311" t="s">
        <v>35</v>
      </c>
      <c r="C311">
        <v>33</v>
      </c>
      <c r="D311">
        <v>12</v>
      </c>
      <c r="E311" s="1">
        <f t="shared" si="4"/>
        <v>0.36363636363636365</v>
      </c>
      <c r="F311">
        <v>100.1</v>
      </c>
      <c r="G311">
        <v>97</v>
      </c>
      <c r="H311">
        <v>0.58730000000000004</v>
      </c>
      <c r="I311">
        <v>45.7</v>
      </c>
      <c r="J311">
        <v>50.9</v>
      </c>
      <c r="K311">
        <v>20.7</v>
      </c>
      <c r="L311">
        <v>21.1</v>
      </c>
      <c r="M311">
        <v>29.3</v>
      </c>
      <c r="N311">
        <v>31.5</v>
      </c>
      <c r="O311">
        <v>45.6</v>
      </c>
      <c r="P311">
        <v>41.4</v>
      </c>
      <c r="Q311">
        <v>43.7</v>
      </c>
      <c r="R311">
        <v>50.2</v>
      </c>
      <c r="S311">
        <v>33.5</v>
      </c>
      <c r="T311">
        <v>34.799999999999997</v>
      </c>
      <c r="U311">
        <v>70.3</v>
      </c>
      <c r="V311">
        <v>-6.7</v>
      </c>
      <c r="W311" cm="1">
        <f t="array" ref="W311">_xlfn.IFS(OR(X311="N/A",X311="NA"),0,OR(X311="R64",X311="R68"),1,X311="R32",2,X311="S16",3,X311="E8",4,X311="F4",5,X311="2ND",6,X311="Champions",7)</f>
        <v>0</v>
      </c>
      <c r="X311" t="s">
        <v>90</v>
      </c>
      <c r="Y311" t="s">
        <v>90</v>
      </c>
      <c r="Z311">
        <v>2016</v>
      </c>
    </row>
    <row r="312" spans="1:26" x14ac:dyDescent="0.3">
      <c r="A312" t="s">
        <v>84</v>
      </c>
      <c r="B312" t="s">
        <v>35</v>
      </c>
      <c r="C312">
        <v>31</v>
      </c>
      <c r="D312">
        <v>11</v>
      </c>
      <c r="E312" s="1">
        <f t="shared" si="4"/>
        <v>0.35483870967741937</v>
      </c>
      <c r="F312">
        <v>107</v>
      </c>
      <c r="G312">
        <v>94.5</v>
      </c>
      <c r="H312">
        <v>0.80620000000000003</v>
      </c>
      <c r="I312">
        <v>47.4</v>
      </c>
      <c r="J312">
        <v>50</v>
      </c>
      <c r="K312">
        <v>19</v>
      </c>
      <c r="L312">
        <v>18.5</v>
      </c>
      <c r="M312">
        <v>30.8</v>
      </c>
      <c r="N312">
        <v>29.8</v>
      </c>
      <c r="O312">
        <v>36.700000000000003</v>
      </c>
      <c r="P312">
        <v>33.5</v>
      </c>
      <c r="Q312">
        <v>45.7</v>
      </c>
      <c r="R312">
        <v>47.1</v>
      </c>
      <c r="S312">
        <v>34.299999999999997</v>
      </c>
      <c r="T312">
        <v>36.5</v>
      </c>
      <c r="U312">
        <v>71.400000000000006</v>
      </c>
      <c r="V312">
        <v>-4.5</v>
      </c>
      <c r="W312" cm="1">
        <f t="array" ref="W312">_xlfn.IFS(OR(X312="N/A",X312="NA"),0,OR(X312="R64",X312="R68"),1,X312="R32",2,X312="S16",3,X312="E8",4,X312="F4",5,X312="2ND",6,X312="Champions",7)</f>
        <v>0</v>
      </c>
      <c r="X312" t="s">
        <v>90</v>
      </c>
      <c r="Y312" t="s">
        <v>90</v>
      </c>
      <c r="Z312">
        <v>2017</v>
      </c>
    </row>
    <row r="313" spans="1:26" x14ac:dyDescent="0.3">
      <c r="A313" t="s">
        <v>150</v>
      </c>
      <c r="B313" t="s">
        <v>35</v>
      </c>
      <c r="C313">
        <v>38</v>
      </c>
      <c r="D313">
        <v>24</v>
      </c>
      <c r="E313" s="1">
        <f t="shared" si="4"/>
        <v>0.63157894736842102</v>
      </c>
      <c r="F313">
        <v>114</v>
      </c>
      <c r="G313">
        <v>97.1</v>
      </c>
      <c r="H313">
        <v>0.86350000000000005</v>
      </c>
      <c r="I313">
        <v>52.7</v>
      </c>
      <c r="J313">
        <v>50.4</v>
      </c>
      <c r="K313">
        <v>18.8</v>
      </c>
      <c r="L313">
        <v>18.7</v>
      </c>
      <c r="M313">
        <v>34.1</v>
      </c>
      <c r="N313">
        <v>29.3</v>
      </c>
      <c r="O313">
        <v>32.200000000000003</v>
      </c>
      <c r="P313">
        <v>30.9</v>
      </c>
      <c r="Q313">
        <v>52.2</v>
      </c>
      <c r="R313">
        <v>48.3</v>
      </c>
      <c r="S313">
        <v>35.700000000000003</v>
      </c>
      <c r="T313">
        <v>36.299999999999997</v>
      </c>
      <c r="U313">
        <v>68.099999999999994</v>
      </c>
      <c r="V313">
        <v>0.2</v>
      </c>
      <c r="W313" cm="1">
        <f t="array" ref="W313">_xlfn.IFS(OR(X313="N/A",X313="NA"),0,OR(X313="R64",X313="R68"),1,X313="R32",2,X313="S16",3,X313="E8",4,X313="F4",5,X313="2ND",6,X313="Champions",7)</f>
        <v>0</v>
      </c>
      <c r="X313" t="s">
        <v>90</v>
      </c>
      <c r="Y313" t="s">
        <v>90</v>
      </c>
      <c r="Z313">
        <v>2017</v>
      </c>
    </row>
    <row r="314" spans="1:26" x14ac:dyDescent="0.3">
      <c r="A314" t="s">
        <v>152</v>
      </c>
      <c r="B314" t="s">
        <v>35</v>
      </c>
      <c r="C314">
        <v>33</v>
      </c>
      <c r="D314">
        <v>11</v>
      </c>
      <c r="E314" s="1">
        <f t="shared" si="4"/>
        <v>0.33333333333333331</v>
      </c>
      <c r="F314">
        <v>103.5</v>
      </c>
      <c r="G314">
        <v>93.6</v>
      </c>
      <c r="H314">
        <v>0.76080000000000003</v>
      </c>
      <c r="I314">
        <v>48.8</v>
      </c>
      <c r="J314">
        <v>48.1</v>
      </c>
      <c r="K314">
        <v>19.600000000000001</v>
      </c>
      <c r="L314">
        <v>18.3</v>
      </c>
      <c r="M314">
        <v>28.4</v>
      </c>
      <c r="N314">
        <v>31.2</v>
      </c>
      <c r="O314">
        <v>34.5</v>
      </c>
      <c r="P314">
        <v>30</v>
      </c>
      <c r="Q314">
        <v>51.3</v>
      </c>
      <c r="R314">
        <v>47.7</v>
      </c>
      <c r="S314">
        <v>29.2</v>
      </c>
      <c r="T314">
        <v>32.5</v>
      </c>
      <c r="U314">
        <v>69</v>
      </c>
      <c r="V314">
        <v>-5.7</v>
      </c>
      <c r="W314" cm="1">
        <f t="array" ref="W314">_xlfn.IFS(OR(X314="N/A",X314="NA"),0,OR(X314="R64",X314="R68"),1,X314="R32",2,X314="S16",3,X314="E8",4,X314="F4",5,X314="2ND",6,X314="Champions",7)</f>
        <v>0</v>
      </c>
      <c r="X314" t="s">
        <v>90</v>
      </c>
      <c r="Y314" t="s">
        <v>90</v>
      </c>
      <c r="Z314">
        <v>2017</v>
      </c>
    </row>
    <row r="315" spans="1:26" x14ac:dyDescent="0.3">
      <c r="A315" t="s">
        <v>34</v>
      </c>
      <c r="B315" t="s">
        <v>35</v>
      </c>
      <c r="C315">
        <v>32</v>
      </c>
      <c r="D315">
        <v>18</v>
      </c>
      <c r="E315" s="1">
        <f t="shared" si="4"/>
        <v>0.5625</v>
      </c>
      <c r="F315">
        <v>111.3</v>
      </c>
      <c r="G315">
        <v>96.7</v>
      </c>
      <c r="H315">
        <v>0.83479999999999999</v>
      </c>
      <c r="I315">
        <v>52.9</v>
      </c>
      <c r="J315">
        <v>50.8</v>
      </c>
      <c r="K315">
        <v>16.5</v>
      </c>
      <c r="L315">
        <v>20.3</v>
      </c>
      <c r="M315">
        <v>30</v>
      </c>
      <c r="N315">
        <v>25.7</v>
      </c>
      <c r="O315">
        <v>35.6</v>
      </c>
      <c r="P315">
        <v>35.6</v>
      </c>
      <c r="Q315">
        <v>51.9</v>
      </c>
      <c r="R315">
        <v>48.9</v>
      </c>
      <c r="S315">
        <v>36.700000000000003</v>
      </c>
      <c r="T315">
        <v>35.5</v>
      </c>
      <c r="U315">
        <v>65.2</v>
      </c>
      <c r="V315">
        <v>-1.1000000000000001</v>
      </c>
      <c r="W315" cm="1">
        <f t="array" ref="W315">_xlfn.IFS(OR(X315="N/A",X315="NA"),0,OR(X315="R64",X315="R68"),1,X315="R32",2,X315="S16",3,X315="E8",4,X315="F4",5,X315="2ND",6,X315="Champions",7)</f>
        <v>0</v>
      </c>
      <c r="X315" t="s">
        <v>90</v>
      </c>
      <c r="Y315" t="s">
        <v>90</v>
      </c>
      <c r="Z315">
        <v>2017</v>
      </c>
    </row>
    <row r="316" spans="1:26" x14ac:dyDescent="0.3">
      <c r="A316" t="s">
        <v>153</v>
      </c>
      <c r="B316" t="s">
        <v>35</v>
      </c>
      <c r="C316">
        <v>33</v>
      </c>
      <c r="D316">
        <v>19</v>
      </c>
      <c r="E316" s="1">
        <f t="shared" si="4"/>
        <v>0.5757575757575758</v>
      </c>
      <c r="F316">
        <v>110.5</v>
      </c>
      <c r="G316">
        <v>95.5</v>
      </c>
      <c r="H316">
        <v>0.84299999999999997</v>
      </c>
      <c r="I316">
        <v>51.8</v>
      </c>
      <c r="J316">
        <v>47.7</v>
      </c>
      <c r="K316">
        <v>19.8</v>
      </c>
      <c r="L316">
        <v>17.2</v>
      </c>
      <c r="M316">
        <v>35.5</v>
      </c>
      <c r="N316">
        <v>29.7</v>
      </c>
      <c r="O316">
        <v>32.200000000000003</v>
      </c>
      <c r="P316">
        <v>30.2</v>
      </c>
      <c r="Q316">
        <v>51.3</v>
      </c>
      <c r="R316">
        <v>46.2</v>
      </c>
      <c r="S316">
        <v>35.4</v>
      </c>
      <c r="T316">
        <v>33.4</v>
      </c>
      <c r="U316">
        <v>67.599999999999994</v>
      </c>
      <c r="V316">
        <v>0.1</v>
      </c>
      <c r="W316" cm="1">
        <f t="array" ref="W316">_xlfn.IFS(OR(X316="N/A",X316="NA"),0,OR(X316="R64",X316="R68"),1,X316="R32",2,X316="S16",3,X316="E8",4,X316="F4",5,X316="2ND",6,X316="Champions",7)</f>
        <v>0</v>
      </c>
      <c r="X316" t="s">
        <v>90</v>
      </c>
      <c r="Y316" t="s">
        <v>90</v>
      </c>
      <c r="Z316">
        <v>2018</v>
      </c>
    </row>
    <row r="317" spans="1:26" x14ac:dyDescent="0.3">
      <c r="A317" t="s">
        <v>154</v>
      </c>
      <c r="B317" t="s">
        <v>35</v>
      </c>
      <c r="C317">
        <v>31</v>
      </c>
      <c r="D317">
        <v>13</v>
      </c>
      <c r="E317" s="1">
        <f t="shared" si="4"/>
        <v>0.41935483870967744</v>
      </c>
      <c r="F317">
        <v>110.2</v>
      </c>
      <c r="G317">
        <v>101.3</v>
      </c>
      <c r="H317">
        <v>0.72489999999999999</v>
      </c>
      <c r="I317">
        <v>49.9</v>
      </c>
      <c r="J317">
        <v>51</v>
      </c>
      <c r="K317">
        <v>17</v>
      </c>
      <c r="L317">
        <v>16.399999999999999</v>
      </c>
      <c r="M317">
        <v>29.5</v>
      </c>
      <c r="N317">
        <v>30.6</v>
      </c>
      <c r="O317">
        <v>29.8</v>
      </c>
      <c r="P317">
        <v>26.5</v>
      </c>
      <c r="Q317">
        <v>47.9</v>
      </c>
      <c r="R317">
        <v>51</v>
      </c>
      <c r="S317">
        <v>35.799999999999997</v>
      </c>
      <c r="T317">
        <v>33.9</v>
      </c>
      <c r="U317">
        <v>70.099999999999994</v>
      </c>
      <c r="V317">
        <v>-4.3</v>
      </c>
      <c r="W317" cm="1">
        <f t="array" ref="W317">_xlfn.IFS(OR(X317="N/A",X317="NA"),0,OR(X317="R64",X317="R68"),1,X317="R32",2,X317="S16",3,X317="E8",4,X317="F4",5,X317="2ND",6,X317="Champions",7)</f>
        <v>0</v>
      </c>
      <c r="X317" t="s">
        <v>90</v>
      </c>
      <c r="Y317" t="s">
        <v>90</v>
      </c>
      <c r="Z317">
        <v>2018</v>
      </c>
    </row>
    <row r="318" spans="1:26" x14ac:dyDescent="0.3">
      <c r="A318" t="s">
        <v>151</v>
      </c>
      <c r="B318" t="s">
        <v>35</v>
      </c>
      <c r="C318">
        <v>36</v>
      </c>
      <c r="D318">
        <v>21</v>
      </c>
      <c r="E318" s="1">
        <f t="shared" si="4"/>
        <v>0.58333333333333337</v>
      </c>
      <c r="F318">
        <v>112.7</v>
      </c>
      <c r="G318">
        <v>96.8</v>
      </c>
      <c r="H318">
        <v>0.85199999999999998</v>
      </c>
      <c r="I318">
        <v>49.8</v>
      </c>
      <c r="J318">
        <v>50</v>
      </c>
      <c r="K318">
        <v>18.100000000000001</v>
      </c>
      <c r="L318">
        <v>20.3</v>
      </c>
      <c r="M318">
        <v>34.200000000000003</v>
      </c>
      <c r="N318">
        <v>31.1</v>
      </c>
      <c r="O318">
        <v>32.200000000000003</v>
      </c>
      <c r="P318">
        <v>35.6</v>
      </c>
      <c r="Q318">
        <v>48.3</v>
      </c>
      <c r="R318">
        <v>47.5</v>
      </c>
      <c r="S318">
        <v>34.799999999999997</v>
      </c>
      <c r="T318">
        <v>36.700000000000003</v>
      </c>
      <c r="U318">
        <v>70</v>
      </c>
      <c r="V318">
        <v>0.1</v>
      </c>
      <c r="W318" cm="1">
        <f t="array" ref="W318">_xlfn.IFS(OR(X318="N/A",X318="NA"),0,OR(X318="R64",X318="R68"),1,X318="R32",2,X318="S16",3,X318="E8",4,X318="F4",5,X318="2ND",6,X318="Champions",7)</f>
        <v>0</v>
      </c>
      <c r="X318" t="s">
        <v>90</v>
      </c>
      <c r="Y318" t="s">
        <v>90</v>
      </c>
      <c r="Z318">
        <v>2018</v>
      </c>
    </row>
    <row r="319" spans="1:26" x14ac:dyDescent="0.3">
      <c r="A319" t="s">
        <v>151</v>
      </c>
      <c r="B319" t="s">
        <v>35</v>
      </c>
      <c r="C319">
        <v>32</v>
      </c>
      <c r="D319">
        <v>12</v>
      </c>
      <c r="E319" s="1">
        <f t="shared" si="4"/>
        <v>0.375</v>
      </c>
      <c r="F319">
        <v>109.1</v>
      </c>
      <c r="G319">
        <v>100.6</v>
      </c>
      <c r="H319">
        <v>0.7177</v>
      </c>
      <c r="I319">
        <v>50.1</v>
      </c>
      <c r="J319">
        <v>50.3</v>
      </c>
      <c r="K319">
        <v>18</v>
      </c>
      <c r="L319">
        <v>17.600000000000001</v>
      </c>
      <c r="M319">
        <v>26.4</v>
      </c>
      <c r="N319">
        <v>29.4</v>
      </c>
      <c r="O319">
        <v>30.6</v>
      </c>
      <c r="P319">
        <v>31.5</v>
      </c>
      <c r="Q319">
        <v>46</v>
      </c>
      <c r="R319">
        <v>48.3</v>
      </c>
      <c r="S319">
        <v>37.200000000000003</v>
      </c>
      <c r="T319">
        <v>35.4</v>
      </c>
      <c r="U319">
        <v>67.5</v>
      </c>
      <c r="V319">
        <v>-4.0999999999999996</v>
      </c>
      <c r="W319" cm="1">
        <f t="array" ref="W319">_xlfn.IFS(OR(X319="N/A",X319="NA"),0,OR(X319="R64",X319="R68"),1,X319="R32",2,X319="S16",3,X319="E8",4,X319="F4",5,X319="2ND",6,X319="Champions",7)</f>
        <v>0</v>
      </c>
      <c r="X319" t="s">
        <v>90</v>
      </c>
      <c r="Y319" t="s">
        <v>90</v>
      </c>
      <c r="Z319">
        <v>2019</v>
      </c>
    </row>
    <row r="320" spans="1:26" x14ac:dyDescent="0.3">
      <c r="A320" t="s">
        <v>150</v>
      </c>
      <c r="B320" t="s">
        <v>35</v>
      </c>
      <c r="C320">
        <v>37</v>
      </c>
      <c r="D320">
        <v>23</v>
      </c>
      <c r="E320" s="1">
        <f t="shared" si="4"/>
        <v>0.6216216216216216</v>
      </c>
      <c r="F320">
        <v>109.8</v>
      </c>
      <c r="G320">
        <v>94.5</v>
      </c>
      <c r="H320">
        <v>0.84860000000000002</v>
      </c>
      <c r="I320">
        <v>52.1</v>
      </c>
      <c r="J320">
        <v>48.4</v>
      </c>
      <c r="K320">
        <v>19.2</v>
      </c>
      <c r="L320">
        <v>18.600000000000001</v>
      </c>
      <c r="M320">
        <v>31.2</v>
      </c>
      <c r="N320">
        <v>28.7</v>
      </c>
      <c r="O320">
        <v>31.7</v>
      </c>
      <c r="P320">
        <v>27.7</v>
      </c>
      <c r="Q320">
        <v>52.3</v>
      </c>
      <c r="R320">
        <v>49.9</v>
      </c>
      <c r="S320">
        <v>34.6</v>
      </c>
      <c r="T320">
        <v>30.4</v>
      </c>
      <c r="U320">
        <v>70.099999999999994</v>
      </c>
      <c r="V320">
        <v>1.1000000000000001</v>
      </c>
      <c r="W320" cm="1">
        <f t="array" ref="W320">_xlfn.IFS(OR(X320="N/A",X320="NA"),0,OR(X320="R64",X320="R68"),1,X320="R32",2,X320="S16",3,X320="E8",4,X320="F4",5,X320="2ND",6,X320="Champions",7)</f>
        <v>0</v>
      </c>
      <c r="X320" t="s">
        <v>90</v>
      </c>
      <c r="Y320" t="s">
        <v>90</v>
      </c>
      <c r="Z320">
        <v>2019</v>
      </c>
    </row>
    <row r="321" spans="1:26" x14ac:dyDescent="0.3">
      <c r="A321" t="s">
        <v>152</v>
      </c>
      <c r="B321" t="s">
        <v>35</v>
      </c>
      <c r="C321">
        <v>37</v>
      </c>
      <c r="D321">
        <v>21</v>
      </c>
      <c r="E321" s="1">
        <f t="shared" si="4"/>
        <v>0.56756756756756754</v>
      </c>
      <c r="F321">
        <v>113.3</v>
      </c>
      <c r="G321">
        <v>93.7</v>
      </c>
      <c r="H321">
        <v>0.89900000000000002</v>
      </c>
      <c r="I321">
        <v>50.9</v>
      </c>
      <c r="J321">
        <v>48.7</v>
      </c>
      <c r="K321">
        <v>16.2</v>
      </c>
      <c r="L321">
        <v>18.899999999999999</v>
      </c>
      <c r="M321">
        <v>28.1</v>
      </c>
      <c r="N321">
        <v>29.5</v>
      </c>
      <c r="O321">
        <v>29.7</v>
      </c>
      <c r="P321">
        <v>29.7</v>
      </c>
      <c r="Q321">
        <v>49.8</v>
      </c>
      <c r="R321">
        <v>46.2</v>
      </c>
      <c r="S321">
        <v>34.799999999999997</v>
      </c>
      <c r="T321">
        <v>35.4</v>
      </c>
      <c r="U321">
        <v>66.099999999999994</v>
      </c>
      <c r="V321">
        <v>-0.5</v>
      </c>
      <c r="W321" cm="1">
        <f t="array" ref="W321">_xlfn.IFS(OR(X321="N/A",X321="NA"),0,OR(X321="R64",X321="R68"),1,X321="R32",2,X321="S16",3,X321="E8",4,X321="F4",5,X321="2ND",6,X321="Champions",7)</f>
        <v>0</v>
      </c>
      <c r="X321" t="s">
        <v>90</v>
      </c>
      <c r="Y321" t="s">
        <v>90</v>
      </c>
      <c r="Z321">
        <v>2019</v>
      </c>
    </row>
    <row r="322" spans="1:26" x14ac:dyDescent="0.3">
      <c r="A322" t="s">
        <v>155</v>
      </c>
      <c r="B322" t="s">
        <v>35</v>
      </c>
      <c r="C322">
        <v>36</v>
      </c>
      <c r="D322">
        <v>15</v>
      </c>
      <c r="E322" s="1">
        <f t="shared" si="4"/>
        <v>0.41666666666666669</v>
      </c>
      <c r="F322">
        <v>108.8</v>
      </c>
      <c r="G322">
        <v>100.7</v>
      </c>
      <c r="H322">
        <v>0.7087</v>
      </c>
      <c r="I322">
        <v>47.5</v>
      </c>
      <c r="J322">
        <v>52.4</v>
      </c>
      <c r="K322">
        <v>21.3</v>
      </c>
      <c r="L322">
        <v>18.5</v>
      </c>
      <c r="M322">
        <v>36.9</v>
      </c>
      <c r="N322">
        <v>28.7</v>
      </c>
      <c r="O322">
        <v>38.9</v>
      </c>
      <c r="P322">
        <v>38</v>
      </c>
      <c r="Q322">
        <v>47.6</v>
      </c>
      <c r="R322">
        <v>51.3</v>
      </c>
      <c r="S322">
        <v>31.6</v>
      </c>
      <c r="T322">
        <v>36.1</v>
      </c>
      <c r="U322">
        <v>71.900000000000006</v>
      </c>
      <c r="V322">
        <v>-3.7</v>
      </c>
      <c r="W322" cm="1">
        <f t="array" ref="W322">_xlfn.IFS(OR(X322="N/A",X322="NA"),0,OR(X322="R64",X322="R68"),1,X322="R32",2,X322="S16",3,X322="E8",4,X322="F4",5,X322="2ND",6,X322="Champions",7)</f>
        <v>0</v>
      </c>
      <c r="X322" t="s">
        <v>90</v>
      </c>
      <c r="Y322" t="s">
        <v>90</v>
      </c>
      <c r="Z322">
        <v>2019</v>
      </c>
    </row>
    <row r="323" spans="1:26" x14ac:dyDescent="0.3">
      <c r="A323" t="s">
        <v>156</v>
      </c>
      <c r="B323" t="s">
        <v>33</v>
      </c>
      <c r="C323">
        <v>33</v>
      </c>
      <c r="D323">
        <v>14</v>
      </c>
      <c r="E323" s="1">
        <f t="shared" ref="E323:E386" si="5">D323/C323</f>
        <v>0.42424242424242425</v>
      </c>
      <c r="F323">
        <v>109.6</v>
      </c>
      <c r="G323">
        <v>99.8</v>
      </c>
      <c r="H323">
        <v>0.745</v>
      </c>
      <c r="I323">
        <v>49.4</v>
      </c>
      <c r="J323">
        <v>50.5</v>
      </c>
      <c r="K323">
        <v>18.399999999999999</v>
      </c>
      <c r="L323">
        <v>17.100000000000001</v>
      </c>
      <c r="M323">
        <v>31.3</v>
      </c>
      <c r="N323">
        <v>28.1</v>
      </c>
      <c r="O323">
        <v>36.299999999999997</v>
      </c>
      <c r="P323">
        <v>33.4</v>
      </c>
      <c r="Q323">
        <v>47.6</v>
      </c>
      <c r="R323">
        <v>46.9</v>
      </c>
      <c r="S323">
        <v>34.6</v>
      </c>
      <c r="T323">
        <v>38</v>
      </c>
      <c r="U323">
        <v>63.1</v>
      </c>
      <c r="V323">
        <v>-5.8</v>
      </c>
      <c r="W323" cm="1">
        <f t="array" ref="W323">_xlfn.IFS(OR(X323="N/A",X323="NA"),0,OR(X323="R64",X323="R68"),1,X323="R32",2,X323="S16",3,X323="E8",4,X323="F4",5,X323="2ND",6,X323="Champions",7)</f>
        <v>0</v>
      </c>
      <c r="X323" t="s">
        <v>90</v>
      </c>
      <c r="Y323" t="s">
        <v>90</v>
      </c>
      <c r="Z323">
        <v>2015</v>
      </c>
    </row>
    <row r="324" spans="1:26" x14ac:dyDescent="0.3">
      <c r="A324" t="s">
        <v>157</v>
      </c>
      <c r="B324" t="s">
        <v>33</v>
      </c>
      <c r="C324">
        <v>32</v>
      </c>
      <c r="D324">
        <v>12</v>
      </c>
      <c r="E324" s="1">
        <f t="shared" si="5"/>
        <v>0.375</v>
      </c>
      <c r="F324">
        <v>107.5</v>
      </c>
      <c r="G324">
        <v>103.8</v>
      </c>
      <c r="H324">
        <v>0.59719999999999995</v>
      </c>
      <c r="I324">
        <v>50.7</v>
      </c>
      <c r="J324">
        <v>50.8</v>
      </c>
      <c r="K324">
        <v>19.8</v>
      </c>
      <c r="L324">
        <v>18.8</v>
      </c>
      <c r="M324">
        <v>27.4</v>
      </c>
      <c r="N324">
        <v>35.5</v>
      </c>
      <c r="O324">
        <v>36.5</v>
      </c>
      <c r="P324">
        <v>48.7</v>
      </c>
      <c r="Q324">
        <v>49.2</v>
      </c>
      <c r="R324">
        <v>52.7</v>
      </c>
      <c r="S324">
        <v>35.200000000000003</v>
      </c>
      <c r="T324">
        <v>31.2</v>
      </c>
      <c r="U324">
        <v>67.7</v>
      </c>
      <c r="V324">
        <v>-7.4</v>
      </c>
      <c r="W324" cm="1">
        <f t="array" ref="W324">_xlfn.IFS(OR(X324="N/A",X324="NA"),0,OR(X324="R64",X324="R68"),1,X324="R32",2,X324="S16",3,X324="E8",4,X324="F4",5,X324="2ND",6,X324="Champions",7)</f>
        <v>0</v>
      </c>
      <c r="X324" t="s">
        <v>90</v>
      </c>
      <c r="Y324" t="s">
        <v>90</v>
      </c>
      <c r="Z324">
        <v>2015</v>
      </c>
    </row>
    <row r="325" spans="1:26" x14ac:dyDescent="0.3">
      <c r="A325" t="s">
        <v>81</v>
      </c>
      <c r="B325" t="s">
        <v>33</v>
      </c>
      <c r="C325">
        <v>32</v>
      </c>
      <c r="D325">
        <v>13</v>
      </c>
      <c r="E325" s="1">
        <f t="shared" si="5"/>
        <v>0.40625</v>
      </c>
      <c r="F325">
        <v>104</v>
      </c>
      <c r="G325">
        <v>95.6</v>
      </c>
      <c r="H325">
        <v>0.72370000000000001</v>
      </c>
      <c r="I325">
        <v>49.8</v>
      </c>
      <c r="J325">
        <v>49.2</v>
      </c>
      <c r="K325">
        <v>19.3</v>
      </c>
      <c r="L325">
        <v>21</v>
      </c>
      <c r="M325">
        <v>29</v>
      </c>
      <c r="N325">
        <v>36.4</v>
      </c>
      <c r="O325">
        <v>35.799999999999997</v>
      </c>
      <c r="P325">
        <v>30.3</v>
      </c>
      <c r="Q325">
        <v>48.8</v>
      </c>
      <c r="R325">
        <v>46.4</v>
      </c>
      <c r="S325">
        <v>34.4</v>
      </c>
      <c r="T325">
        <v>36</v>
      </c>
      <c r="U325">
        <v>64.3</v>
      </c>
      <c r="V325">
        <v>-4.7</v>
      </c>
      <c r="W325" cm="1">
        <f t="array" ref="W325">_xlfn.IFS(OR(X325="N/A",X325="NA"),0,OR(X325="R64",X325="R68"),1,X325="R32",2,X325="S16",3,X325="E8",4,X325="F4",5,X325="2ND",6,X325="Champions",7)</f>
        <v>0</v>
      </c>
      <c r="X325" t="s">
        <v>90</v>
      </c>
      <c r="Y325" t="s">
        <v>90</v>
      </c>
      <c r="Z325">
        <v>2015</v>
      </c>
    </row>
    <row r="326" spans="1:26" x14ac:dyDescent="0.3">
      <c r="A326" t="s">
        <v>158</v>
      </c>
      <c r="B326" t="s">
        <v>33</v>
      </c>
      <c r="C326">
        <v>31</v>
      </c>
      <c r="D326">
        <v>16</v>
      </c>
      <c r="E326" s="1">
        <f t="shared" si="5"/>
        <v>0.5161290322580645</v>
      </c>
      <c r="F326">
        <v>107.7</v>
      </c>
      <c r="G326">
        <v>98.6</v>
      </c>
      <c r="H326">
        <v>0.73529999999999995</v>
      </c>
      <c r="I326">
        <v>48.2</v>
      </c>
      <c r="J326">
        <v>47.7</v>
      </c>
      <c r="K326">
        <v>18.7</v>
      </c>
      <c r="L326">
        <v>18</v>
      </c>
      <c r="M326">
        <v>34.700000000000003</v>
      </c>
      <c r="N326">
        <v>33.200000000000003</v>
      </c>
      <c r="O326">
        <v>38.1</v>
      </c>
      <c r="P326">
        <v>38</v>
      </c>
      <c r="Q326">
        <v>46</v>
      </c>
      <c r="R326">
        <v>49</v>
      </c>
      <c r="S326">
        <v>35</v>
      </c>
      <c r="T326">
        <v>30</v>
      </c>
      <c r="U326">
        <v>66.2</v>
      </c>
      <c r="V326">
        <v>-2.2999999999999998</v>
      </c>
      <c r="W326" cm="1">
        <f t="array" ref="W326">_xlfn.IFS(OR(X326="N/A",X326="NA"),0,OR(X326="R64",X326="R68"),1,X326="R32",2,X326="S16",3,X326="E8",4,X326="F4",5,X326="2ND",6,X326="Champions",7)</f>
        <v>0</v>
      </c>
      <c r="X326" t="s">
        <v>90</v>
      </c>
      <c r="Y326" t="s">
        <v>90</v>
      </c>
      <c r="Z326">
        <v>2015</v>
      </c>
    </row>
    <row r="327" spans="1:26" x14ac:dyDescent="0.3">
      <c r="A327" t="s">
        <v>156</v>
      </c>
      <c r="B327" t="s">
        <v>33</v>
      </c>
      <c r="C327">
        <v>35</v>
      </c>
      <c r="D327">
        <v>20</v>
      </c>
      <c r="E327" s="1">
        <f t="shared" si="5"/>
        <v>0.5714285714285714</v>
      </c>
      <c r="F327">
        <v>112.8</v>
      </c>
      <c r="G327">
        <v>96.3</v>
      </c>
      <c r="H327">
        <v>0.86040000000000005</v>
      </c>
      <c r="I327">
        <v>53.8</v>
      </c>
      <c r="J327">
        <v>49</v>
      </c>
      <c r="K327">
        <v>16.100000000000001</v>
      </c>
      <c r="L327">
        <v>17.5</v>
      </c>
      <c r="M327">
        <v>27.3</v>
      </c>
      <c r="N327">
        <v>26.1</v>
      </c>
      <c r="O327">
        <v>37.5</v>
      </c>
      <c r="P327">
        <v>33.5</v>
      </c>
      <c r="Q327">
        <v>54.5</v>
      </c>
      <c r="R327">
        <v>47.5</v>
      </c>
      <c r="S327">
        <v>35.200000000000003</v>
      </c>
      <c r="T327">
        <v>34.6</v>
      </c>
      <c r="U327">
        <v>71.3</v>
      </c>
      <c r="V327">
        <v>-1.8</v>
      </c>
      <c r="W327" cm="1">
        <f t="array" ref="W327">_xlfn.IFS(OR(X327="N/A",X327="NA"),0,OR(X327="R64",X327="R68"),1,X327="R32",2,X327="S16",3,X327="E8",4,X327="F4",5,X327="2ND",6,X327="Champions",7)</f>
        <v>0</v>
      </c>
      <c r="X327" t="s">
        <v>90</v>
      </c>
      <c r="Y327" t="s">
        <v>90</v>
      </c>
      <c r="Z327">
        <v>2016</v>
      </c>
    </row>
    <row r="328" spans="1:26" x14ac:dyDescent="0.3">
      <c r="A328" t="s">
        <v>157</v>
      </c>
      <c r="B328" t="s">
        <v>33</v>
      </c>
      <c r="C328">
        <v>31</v>
      </c>
      <c r="D328">
        <v>9</v>
      </c>
      <c r="E328" s="1">
        <f t="shared" si="5"/>
        <v>0.29032258064516131</v>
      </c>
      <c r="F328">
        <v>103.9</v>
      </c>
      <c r="G328">
        <v>104.1</v>
      </c>
      <c r="H328">
        <v>0.49349999999999999</v>
      </c>
      <c r="I328">
        <v>49.4</v>
      </c>
      <c r="J328">
        <v>51.4</v>
      </c>
      <c r="K328">
        <v>21.5</v>
      </c>
      <c r="L328">
        <v>17.8</v>
      </c>
      <c r="M328">
        <v>30.7</v>
      </c>
      <c r="N328">
        <v>29.9</v>
      </c>
      <c r="O328">
        <v>36.5</v>
      </c>
      <c r="P328">
        <v>44.8</v>
      </c>
      <c r="Q328">
        <v>48.6</v>
      </c>
      <c r="R328">
        <v>49.2</v>
      </c>
      <c r="S328">
        <v>34.299999999999997</v>
      </c>
      <c r="T328">
        <v>36.4</v>
      </c>
      <c r="U328">
        <v>68.099999999999994</v>
      </c>
      <c r="V328">
        <v>-9.3000000000000007</v>
      </c>
      <c r="W328" cm="1">
        <f t="array" ref="W328">_xlfn.IFS(OR(X328="N/A",X328="NA"),0,OR(X328="R64",X328="R68"),1,X328="R32",2,X328="S16",3,X328="E8",4,X328="F4",5,X328="2ND",6,X328="Champions",7)</f>
        <v>0</v>
      </c>
      <c r="X328" t="s">
        <v>90</v>
      </c>
      <c r="Y328" t="s">
        <v>90</v>
      </c>
      <c r="Z328">
        <v>2016</v>
      </c>
    </row>
    <row r="329" spans="1:26" x14ac:dyDescent="0.3">
      <c r="A329" t="s">
        <v>159</v>
      </c>
      <c r="B329" t="s">
        <v>33</v>
      </c>
      <c r="C329">
        <v>33</v>
      </c>
      <c r="D329">
        <v>15</v>
      </c>
      <c r="E329" s="1">
        <f t="shared" si="5"/>
        <v>0.45454545454545453</v>
      </c>
      <c r="F329">
        <v>111.3</v>
      </c>
      <c r="G329">
        <v>98</v>
      </c>
      <c r="H329">
        <v>0.81179999999999997</v>
      </c>
      <c r="I329">
        <v>51.2</v>
      </c>
      <c r="J329">
        <v>46.6</v>
      </c>
      <c r="K329">
        <v>19.100000000000001</v>
      </c>
      <c r="L329">
        <v>16.3</v>
      </c>
      <c r="M329">
        <v>28.3</v>
      </c>
      <c r="N329">
        <v>28.4</v>
      </c>
      <c r="O329">
        <v>37.9</v>
      </c>
      <c r="P329">
        <v>49.3</v>
      </c>
      <c r="Q329">
        <v>51.4</v>
      </c>
      <c r="R329">
        <v>44.1</v>
      </c>
      <c r="S329">
        <v>33.9</v>
      </c>
      <c r="T329">
        <v>34.9</v>
      </c>
      <c r="U329">
        <v>68.900000000000006</v>
      </c>
      <c r="V329">
        <v>-4.2</v>
      </c>
      <c r="W329" cm="1">
        <f t="array" ref="W329">_xlfn.IFS(OR(X329="N/A",X329="NA"),0,OR(X329="R64",X329="R68"),1,X329="R32",2,X329="S16",3,X329="E8",4,X329="F4",5,X329="2ND",6,X329="Champions",7)</f>
        <v>0</v>
      </c>
      <c r="X329" t="s">
        <v>90</v>
      </c>
      <c r="Y329" t="s">
        <v>90</v>
      </c>
      <c r="Z329">
        <v>2016</v>
      </c>
    </row>
    <row r="330" spans="1:26" x14ac:dyDescent="0.3">
      <c r="A330" t="s">
        <v>81</v>
      </c>
      <c r="B330" t="s">
        <v>33</v>
      </c>
      <c r="C330">
        <v>33</v>
      </c>
      <c r="D330">
        <v>20</v>
      </c>
      <c r="E330" s="1">
        <f t="shared" si="5"/>
        <v>0.60606060606060608</v>
      </c>
      <c r="F330">
        <v>108.9</v>
      </c>
      <c r="G330">
        <v>98.5</v>
      </c>
      <c r="H330">
        <v>0.7601</v>
      </c>
      <c r="I330">
        <v>52</v>
      </c>
      <c r="J330">
        <v>48.7</v>
      </c>
      <c r="K330">
        <v>20</v>
      </c>
      <c r="L330">
        <v>19</v>
      </c>
      <c r="M330">
        <v>28.1</v>
      </c>
      <c r="N330">
        <v>30.7</v>
      </c>
      <c r="O330">
        <v>40.5</v>
      </c>
      <c r="P330">
        <v>28</v>
      </c>
      <c r="Q330">
        <v>52.4</v>
      </c>
      <c r="R330">
        <v>47.2</v>
      </c>
      <c r="S330">
        <v>33.9</v>
      </c>
      <c r="T330">
        <v>34.299999999999997</v>
      </c>
      <c r="U330">
        <v>71.3</v>
      </c>
      <c r="V330">
        <v>-1</v>
      </c>
      <c r="W330" cm="1">
        <f t="array" ref="W330">_xlfn.IFS(OR(X330="N/A",X330="NA"),0,OR(X330="R64",X330="R68"),1,X330="R32",2,X330="S16",3,X330="E8",4,X330="F4",5,X330="2ND",6,X330="Champions",7)</f>
        <v>0</v>
      </c>
      <c r="X330" t="s">
        <v>90</v>
      </c>
      <c r="Y330" t="s">
        <v>90</v>
      </c>
      <c r="Z330">
        <v>2016</v>
      </c>
    </row>
    <row r="331" spans="1:26" x14ac:dyDescent="0.3">
      <c r="A331" t="s">
        <v>160</v>
      </c>
      <c r="B331" t="s">
        <v>33</v>
      </c>
      <c r="C331">
        <v>31</v>
      </c>
      <c r="D331">
        <v>7</v>
      </c>
      <c r="E331" s="1">
        <f t="shared" si="5"/>
        <v>0.22580645161290322</v>
      </c>
      <c r="F331">
        <v>96.3</v>
      </c>
      <c r="G331">
        <v>100.6</v>
      </c>
      <c r="H331">
        <v>0.3775</v>
      </c>
      <c r="I331">
        <v>45.4</v>
      </c>
      <c r="J331">
        <v>51.1</v>
      </c>
      <c r="K331">
        <v>20.9</v>
      </c>
      <c r="L331">
        <v>20.100000000000001</v>
      </c>
      <c r="M331">
        <v>27.5</v>
      </c>
      <c r="N331">
        <v>30.9</v>
      </c>
      <c r="O331">
        <v>38</v>
      </c>
      <c r="P331">
        <v>43.3</v>
      </c>
      <c r="Q331">
        <v>44.1</v>
      </c>
      <c r="R331">
        <v>49.1</v>
      </c>
      <c r="S331">
        <v>32</v>
      </c>
      <c r="T331">
        <v>36.6</v>
      </c>
      <c r="U331">
        <v>72.900000000000006</v>
      </c>
      <c r="V331">
        <v>-11.2</v>
      </c>
      <c r="W331" cm="1">
        <f t="array" ref="W331">_xlfn.IFS(OR(X331="N/A",X331="NA"),0,OR(X331="R64",X331="R68"),1,X331="R32",2,X331="S16",3,X331="E8",4,X331="F4",5,X331="2ND",6,X331="Champions",7)</f>
        <v>0</v>
      </c>
      <c r="X331" t="s">
        <v>90</v>
      </c>
      <c r="Y331" t="s">
        <v>90</v>
      </c>
      <c r="Z331">
        <v>2016</v>
      </c>
    </row>
    <row r="332" spans="1:26" x14ac:dyDescent="0.3">
      <c r="A332" t="s">
        <v>157</v>
      </c>
      <c r="B332" t="s">
        <v>33</v>
      </c>
      <c r="C332">
        <v>32</v>
      </c>
      <c r="D332">
        <v>9</v>
      </c>
      <c r="E332" s="1">
        <f t="shared" si="5"/>
        <v>0.28125</v>
      </c>
      <c r="F332">
        <v>102.9</v>
      </c>
      <c r="G332">
        <v>103.1</v>
      </c>
      <c r="H332">
        <v>0.49370000000000003</v>
      </c>
      <c r="I332">
        <v>48.1</v>
      </c>
      <c r="J332">
        <v>53.8</v>
      </c>
      <c r="K332">
        <v>20.399999999999999</v>
      </c>
      <c r="L332">
        <v>20</v>
      </c>
      <c r="M332">
        <v>29.9</v>
      </c>
      <c r="N332">
        <v>30</v>
      </c>
      <c r="O332">
        <v>35.6</v>
      </c>
      <c r="P332">
        <v>40.200000000000003</v>
      </c>
      <c r="Q332">
        <v>47.7</v>
      </c>
      <c r="R332">
        <v>53.6</v>
      </c>
      <c r="S332">
        <v>32.6</v>
      </c>
      <c r="T332">
        <v>36.1</v>
      </c>
      <c r="U332">
        <v>69.099999999999994</v>
      </c>
      <c r="V332">
        <v>-10.8</v>
      </c>
      <c r="W332" cm="1">
        <f t="array" ref="W332">_xlfn.IFS(OR(X332="N/A",X332="NA"),0,OR(X332="R64",X332="R68"),1,X332="R32",2,X332="S16",3,X332="E8",4,X332="F4",5,X332="2ND",6,X332="Champions",7)</f>
        <v>0</v>
      </c>
      <c r="X332" t="s">
        <v>90</v>
      </c>
      <c r="Y332" t="s">
        <v>90</v>
      </c>
      <c r="Z332">
        <v>2017</v>
      </c>
    </row>
    <row r="333" spans="1:26" x14ac:dyDescent="0.3">
      <c r="A333" t="s">
        <v>159</v>
      </c>
      <c r="B333" t="s">
        <v>33</v>
      </c>
      <c r="C333">
        <v>32</v>
      </c>
      <c r="D333">
        <v>14</v>
      </c>
      <c r="E333" s="1">
        <f t="shared" si="5"/>
        <v>0.4375</v>
      </c>
      <c r="F333">
        <v>107.5</v>
      </c>
      <c r="G333">
        <v>96.4</v>
      </c>
      <c r="H333">
        <v>0.77700000000000002</v>
      </c>
      <c r="I333">
        <v>52</v>
      </c>
      <c r="J333">
        <v>47.4</v>
      </c>
      <c r="K333">
        <v>20.100000000000001</v>
      </c>
      <c r="L333">
        <v>17.3</v>
      </c>
      <c r="M333">
        <v>29</v>
      </c>
      <c r="N333">
        <v>30.5</v>
      </c>
      <c r="O333">
        <v>42.6</v>
      </c>
      <c r="P333">
        <v>38.799999999999997</v>
      </c>
      <c r="Q333">
        <v>51.8</v>
      </c>
      <c r="R333">
        <v>46.8</v>
      </c>
      <c r="S333">
        <v>34.9</v>
      </c>
      <c r="T333">
        <v>32.4</v>
      </c>
      <c r="U333">
        <v>70.3</v>
      </c>
      <c r="V333">
        <v>-4.5999999999999996</v>
      </c>
      <c r="W333" cm="1">
        <f t="array" ref="W333">_xlfn.IFS(OR(X333="N/A",X333="NA"),0,OR(X333="R64",X333="R68"),1,X333="R32",2,X333="S16",3,X333="E8",4,X333="F4",5,X333="2ND",6,X333="Champions",7)</f>
        <v>0</v>
      </c>
      <c r="X333" t="s">
        <v>90</v>
      </c>
      <c r="Y333" t="s">
        <v>90</v>
      </c>
      <c r="Z333">
        <v>2017</v>
      </c>
    </row>
    <row r="334" spans="1:26" x14ac:dyDescent="0.3">
      <c r="A334" t="s">
        <v>160</v>
      </c>
      <c r="B334" t="s">
        <v>33</v>
      </c>
      <c r="C334">
        <v>33</v>
      </c>
      <c r="D334">
        <v>14</v>
      </c>
      <c r="E334" s="1">
        <f t="shared" si="5"/>
        <v>0.42424242424242425</v>
      </c>
      <c r="F334">
        <v>108.5</v>
      </c>
      <c r="G334">
        <v>102.2</v>
      </c>
      <c r="H334">
        <v>0.66510000000000002</v>
      </c>
      <c r="I334">
        <v>50.3</v>
      </c>
      <c r="J334">
        <v>52.4</v>
      </c>
      <c r="K334">
        <v>17.7</v>
      </c>
      <c r="L334">
        <v>20.5</v>
      </c>
      <c r="M334">
        <v>27.4</v>
      </c>
      <c r="N334">
        <v>32.799999999999997</v>
      </c>
      <c r="O334">
        <v>36.200000000000003</v>
      </c>
      <c r="P334">
        <v>39.299999999999997</v>
      </c>
      <c r="Q334">
        <v>47.5</v>
      </c>
      <c r="R334">
        <v>50.5</v>
      </c>
      <c r="S334">
        <v>36.4</v>
      </c>
      <c r="T334">
        <v>37.4</v>
      </c>
      <c r="U334">
        <v>74.5</v>
      </c>
      <c r="V334">
        <v>-5.0999999999999996</v>
      </c>
      <c r="W334" cm="1">
        <f t="array" ref="W334">_xlfn.IFS(OR(X334="N/A",X334="NA"),0,OR(X334="R64",X334="R68"),1,X334="R32",2,X334="S16",3,X334="E8",4,X334="F4",5,X334="2ND",6,X334="Champions",7)</f>
        <v>0</v>
      </c>
      <c r="X334" t="s">
        <v>90</v>
      </c>
      <c r="Y334" t="s">
        <v>90</v>
      </c>
      <c r="Z334">
        <v>2017</v>
      </c>
    </row>
    <row r="335" spans="1:26" x14ac:dyDescent="0.3">
      <c r="A335" t="s">
        <v>157</v>
      </c>
      <c r="B335" t="s">
        <v>33</v>
      </c>
      <c r="C335">
        <v>31</v>
      </c>
      <c r="D335">
        <v>11</v>
      </c>
      <c r="E335" s="1">
        <f t="shared" si="5"/>
        <v>0.35483870967741937</v>
      </c>
      <c r="F335">
        <v>103.8</v>
      </c>
      <c r="G335">
        <v>96</v>
      </c>
      <c r="H335">
        <v>0.71109999999999995</v>
      </c>
      <c r="I335">
        <v>47.9</v>
      </c>
      <c r="J335">
        <v>52</v>
      </c>
      <c r="K335">
        <v>19.399999999999999</v>
      </c>
      <c r="L335">
        <v>20.2</v>
      </c>
      <c r="M335">
        <v>32.9</v>
      </c>
      <c r="N335">
        <v>28.1</v>
      </c>
      <c r="O335">
        <v>29.4</v>
      </c>
      <c r="P335">
        <v>32.299999999999997</v>
      </c>
      <c r="Q335">
        <v>48.5</v>
      </c>
      <c r="R335">
        <v>49.2</v>
      </c>
      <c r="S335">
        <v>31</v>
      </c>
      <c r="T335">
        <v>37.1</v>
      </c>
      <c r="U335">
        <v>71</v>
      </c>
      <c r="V335">
        <v>-6.7</v>
      </c>
      <c r="W335" cm="1">
        <f t="array" ref="W335">_xlfn.IFS(OR(X335="N/A",X335="NA"),0,OR(X335="R64",X335="R68"),1,X335="R32",2,X335="S16",3,X335="E8",4,X335="F4",5,X335="2ND",6,X335="Champions",7)</f>
        <v>0</v>
      </c>
      <c r="X335" t="s">
        <v>90</v>
      </c>
      <c r="Y335" t="s">
        <v>90</v>
      </c>
      <c r="Z335">
        <v>2018</v>
      </c>
    </row>
    <row r="336" spans="1:26" x14ac:dyDescent="0.3">
      <c r="A336" t="s">
        <v>159</v>
      </c>
      <c r="B336" t="s">
        <v>33</v>
      </c>
      <c r="C336">
        <v>30</v>
      </c>
      <c r="D336">
        <v>15</v>
      </c>
      <c r="E336" s="1">
        <f t="shared" si="5"/>
        <v>0.5</v>
      </c>
      <c r="F336">
        <v>111.5</v>
      </c>
      <c r="G336">
        <v>100.4</v>
      </c>
      <c r="H336">
        <v>0.76880000000000004</v>
      </c>
      <c r="I336">
        <v>51.8</v>
      </c>
      <c r="J336">
        <v>50.8</v>
      </c>
      <c r="K336">
        <v>20.7</v>
      </c>
      <c r="L336">
        <v>17</v>
      </c>
      <c r="M336">
        <v>31.3</v>
      </c>
      <c r="N336">
        <v>26</v>
      </c>
      <c r="O336">
        <v>38.299999999999997</v>
      </c>
      <c r="P336">
        <v>28.3</v>
      </c>
      <c r="Q336">
        <v>50.1</v>
      </c>
      <c r="R336">
        <v>49.9</v>
      </c>
      <c r="S336">
        <v>36.6</v>
      </c>
      <c r="T336">
        <v>34.799999999999997</v>
      </c>
      <c r="U336">
        <v>71.400000000000006</v>
      </c>
      <c r="V336">
        <v>-3.5</v>
      </c>
      <c r="W336" cm="1">
        <f t="array" ref="W336">_xlfn.IFS(OR(X336="N/A",X336="NA"),0,OR(X336="R64",X336="R68"),1,X336="R32",2,X336="S16",3,X336="E8",4,X336="F4",5,X336="2ND",6,X336="Champions",7)</f>
        <v>0</v>
      </c>
      <c r="X336" t="s">
        <v>90</v>
      </c>
      <c r="Y336" t="s">
        <v>90</v>
      </c>
      <c r="Z336">
        <v>2018</v>
      </c>
    </row>
    <row r="337" spans="1:26" x14ac:dyDescent="0.3">
      <c r="A337" t="s">
        <v>81</v>
      </c>
      <c r="B337" t="s">
        <v>33</v>
      </c>
      <c r="C337">
        <v>35</v>
      </c>
      <c r="D337">
        <v>21</v>
      </c>
      <c r="E337" s="1">
        <f t="shared" si="5"/>
        <v>0.6</v>
      </c>
      <c r="F337">
        <v>120.1</v>
      </c>
      <c r="G337">
        <v>103.8</v>
      </c>
      <c r="H337">
        <v>0.84340000000000004</v>
      </c>
      <c r="I337">
        <v>56.8</v>
      </c>
      <c r="J337">
        <v>53.8</v>
      </c>
      <c r="K337">
        <v>17.3</v>
      </c>
      <c r="L337">
        <v>18.100000000000001</v>
      </c>
      <c r="M337">
        <v>27.6</v>
      </c>
      <c r="N337">
        <v>29.6</v>
      </c>
      <c r="O337">
        <v>28.8</v>
      </c>
      <c r="P337">
        <v>38.9</v>
      </c>
      <c r="Q337">
        <v>52.2</v>
      </c>
      <c r="R337">
        <v>53.8</v>
      </c>
      <c r="S337">
        <v>41.7</v>
      </c>
      <c r="T337">
        <v>35.9</v>
      </c>
      <c r="U337">
        <v>70.400000000000006</v>
      </c>
      <c r="V337">
        <v>1</v>
      </c>
      <c r="W337" cm="1">
        <f t="array" ref="W337">_xlfn.IFS(OR(X337="N/A",X337="NA"),0,OR(X337="R64",X337="R68"),1,X337="R32",2,X337="S16",3,X337="E8",4,X337="F4",5,X337="2ND",6,X337="Champions",7)</f>
        <v>0</v>
      </c>
      <c r="X337" t="s">
        <v>90</v>
      </c>
      <c r="Y337" t="s">
        <v>90</v>
      </c>
      <c r="Z337">
        <v>2018</v>
      </c>
    </row>
    <row r="338" spans="1:26" x14ac:dyDescent="0.3">
      <c r="A338" t="s">
        <v>160</v>
      </c>
      <c r="B338" t="s">
        <v>33</v>
      </c>
      <c r="C338">
        <v>32</v>
      </c>
      <c r="D338">
        <v>16</v>
      </c>
      <c r="E338" s="1">
        <f t="shared" si="5"/>
        <v>0.5</v>
      </c>
      <c r="F338">
        <v>106</v>
      </c>
      <c r="G338">
        <v>95.1</v>
      </c>
      <c r="H338">
        <v>0.77639999999999998</v>
      </c>
      <c r="I338">
        <v>49.2</v>
      </c>
      <c r="J338">
        <v>50.3</v>
      </c>
      <c r="K338">
        <v>16.399999999999999</v>
      </c>
      <c r="L338">
        <v>22.2</v>
      </c>
      <c r="M338">
        <v>23.6</v>
      </c>
      <c r="N338">
        <v>32</v>
      </c>
      <c r="O338">
        <v>30.4</v>
      </c>
      <c r="P338">
        <v>34.4</v>
      </c>
      <c r="Q338">
        <v>48.8</v>
      </c>
      <c r="R338">
        <v>46</v>
      </c>
      <c r="S338">
        <v>33.299999999999997</v>
      </c>
      <c r="T338">
        <v>37.4</v>
      </c>
      <c r="U338">
        <v>70.5</v>
      </c>
      <c r="V338">
        <v>-3</v>
      </c>
      <c r="W338" cm="1">
        <f t="array" ref="W338">_xlfn.IFS(OR(X338="N/A",X338="NA"),0,OR(X338="R64",X338="R68"),1,X338="R32",2,X338="S16",3,X338="E8",4,X338="F4",5,X338="2ND",6,X338="Champions",7)</f>
        <v>0</v>
      </c>
      <c r="X338" t="s">
        <v>90</v>
      </c>
      <c r="Y338" t="s">
        <v>90</v>
      </c>
      <c r="Z338">
        <v>2018</v>
      </c>
    </row>
    <row r="339" spans="1:26" x14ac:dyDescent="0.3">
      <c r="A339" t="s">
        <v>161</v>
      </c>
      <c r="B339" t="s">
        <v>33</v>
      </c>
      <c r="C339">
        <v>33</v>
      </c>
      <c r="D339">
        <v>16</v>
      </c>
      <c r="E339" s="1">
        <f t="shared" si="5"/>
        <v>0.48484848484848486</v>
      </c>
      <c r="F339">
        <v>110.5</v>
      </c>
      <c r="G339">
        <v>100.9</v>
      </c>
      <c r="H339">
        <v>0.73939999999999995</v>
      </c>
      <c r="I339">
        <v>52.1</v>
      </c>
      <c r="J339">
        <v>52.7</v>
      </c>
      <c r="K339">
        <v>16.100000000000001</v>
      </c>
      <c r="L339">
        <v>18.899999999999999</v>
      </c>
      <c r="M339">
        <v>25.7</v>
      </c>
      <c r="N339">
        <v>27.6</v>
      </c>
      <c r="O339">
        <v>25.2</v>
      </c>
      <c r="P339">
        <v>36.299999999999997</v>
      </c>
      <c r="Q339">
        <v>51.4</v>
      </c>
      <c r="R339">
        <v>52.2</v>
      </c>
      <c r="S339">
        <v>35.299999999999997</v>
      </c>
      <c r="T339">
        <v>35.700000000000003</v>
      </c>
      <c r="U339">
        <v>67.2</v>
      </c>
      <c r="V339">
        <v>-4.4000000000000004</v>
      </c>
      <c r="W339" cm="1">
        <f t="array" ref="W339">_xlfn.IFS(OR(X339="N/A",X339="NA"),0,OR(X339="R64",X339="R68"),1,X339="R32",2,X339="S16",3,X339="E8",4,X339="F4",5,X339="2ND",6,X339="Champions",7)</f>
        <v>0</v>
      </c>
      <c r="X339" t="s">
        <v>90</v>
      </c>
      <c r="Y339" t="s">
        <v>90</v>
      </c>
      <c r="Z339">
        <v>2019</v>
      </c>
    </row>
    <row r="340" spans="1:26" x14ac:dyDescent="0.3">
      <c r="A340" t="s">
        <v>156</v>
      </c>
      <c r="B340" t="s">
        <v>33</v>
      </c>
      <c r="C340">
        <v>34</v>
      </c>
      <c r="D340">
        <v>20</v>
      </c>
      <c r="E340" s="1">
        <f t="shared" si="5"/>
        <v>0.58823529411764708</v>
      </c>
      <c r="F340">
        <v>110.9</v>
      </c>
      <c r="G340">
        <v>97.1</v>
      </c>
      <c r="H340">
        <v>0.82289999999999996</v>
      </c>
      <c r="I340">
        <v>56.2</v>
      </c>
      <c r="J340">
        <v>52.8</v>
      </c>
      <c r="K340">
        <v>18.600000000000001</v>
      </c>
      <c r="L340">
        <v>19.100000000000001</v>
      </c>
      <c r="M340">
        <v>24.7</v>
      </c>
      <c r="N340">
        <v>26.8</v>
      </c>
      <c r="O340">
        <v>29</v>
      </c>
      <c r="P340">
        <v>27.9</v>
      </c>
      <c r="Q340">
        <v>55.7</v>
      </c>
      <c r="R340">
        <v>52.9</v>
      </c>
      <c r="S340">
        <v>37.9</v>
      </c>
      <c r="T340">
        <v>35</v>
      </c>
      <c r="U340">
        <v>70.099999999999994</v>
      </c>
      <c r="V340">
        <v>-2.2999999999999998</v>
      </c>
      <c r="W340" cm="1">
        <f t="array" ref="W340">_xlfn.IFS(OR(X340="N/A",X340="NA"),0,OR(X340="R64",X340="R68"),1,X340="R32",2,X340="S16",3,X340="E8",4,X340="F4",5,X340="2ND",6,X340="Champions",7)</f>
        <v>0</v>
      </c>
      <c r="X340" t="s">
        <v>90</v>
      </c>
      <c r="Y340" t="s">
        <v>90</v>
      </c>
      <c r="Z340">
        <v>2019</v>
      </c>
    </row>
    <row r="341" spans="1:26" x14ac:dyDescent="0.3">
      <c r="A341" t="s">
        <v>157</v>
      </c>
      <c r="B341" t="s">
        <v>33</v>
      </c>
      <c r="C341">
        <v>36</v>
      </c>
      <c r="D341">
        <v>19</v>
      </c>
      <c r="E341" s="1">
        <f t="shared" si="5"/>
        <v>0.52777777777777779</v>
      </c>
      <c r="F341">
        <v>111.7</v>
      </c>
      <c r="G341">
        <v>106.3</v>
      </c>
      <c r="H341">
        <v>0.6381</v>
      </c>
      <c r="I341">
        <v>52.7</v>
      </c>
      <c r="J341">
        <v>53.2</v>
      </c>
      <c r="K341">
        <v>18.8</v>
      </c>
      <c r="L341">
        <v>17.7</v>
      </c>
      <c r="M341">
        <v>32.700000000000003</v>
      </c>
      <c r="N341">
        <v>25.6</v>
      </c>
      <c r="O341">
        <v>36.1</v>
      </c>
      <c r="P341">
        <v>30.9</v>
      </c>
      <c r="Q341">
        <v>53.3</v>
      </c>
      <c r="R341">
        <v>51.2</v>
      </c>
      <c r="S341">
        <v>34.299999999999997</v>
      </c>
      <c r="T341">
        <v>37.299999999999997</v>
      </c>
      <c r="U341">
        <v>71</v>
      </c>
      <c r="V341">
        <v>-5.2</v>
      </c>
      <c r="W341" cm="1">
        <f t="array" ref="W341">_xlfn.IFS(OR(X341="N/A",X341="NA"),0,OR(X341="R64",X341="R68"),1,X341="R32",2,X341="S16",3,X341="E8",4,X341="F4",5,X341="2ND",6,X341="Champions",7)</f>
        <v>0</v>
      </c>
      <c r="X341" t="s">
        <v>90</v>
      </c>
      <c r="Y341" t="s">
        <v>90</v>
      </c>
      <c r="Z341">
        <v>2019</v>
      </c>
    </row>
    <row r="342" spans="1:26" x14ac:dyDescent="0.3">
      <c r="A342" t="s">
        <v>159</v>
      </c>
      <c r="B342" t="s">
        <v>33</v>
      </c>
      <c r="C342">
        <v>33</v>
      </c>
      <c r="D342">
        <v>19</v>
      </c>
      <c r="E342" s="1">
        <f t="shared" si="5"/>
        <v>0.5757575757575758</v>
      </c>
      <c r="F342">
        <v>107.7</v>
      </c>
      <c r="G342">
        <v>101.3</v>
      </c>
      <c r="H342">
        <v>0.66749999999999998</v>
      </c>
      <c r="I342">
        <v>51</v>
      </c>
      <c r="J342">
        <v>50.2</v>
      </c>
      <c r="K342">
        <v>17.899999999999999</v>
      </c>
      <c r="L342">
        <v>16.3</v>
      </c>
      <c r="M342">
        <v>29.1</v>
      </c>
      <c r="N342">
        <v>26.2</v>
      </c>
      <c r="O342">
        <v>38.200000000000003</v>
      </c>
      <c r="P342">
        <v>30.3</v>
      </c>
      <c r="Q342">
        <v>49.6</v>
      </c>
      <c r="R342">
        <v>49.6</v>
      </c>
      <c r="S342">
        <v>35.6</v>
      </c>
      <c r="T342">
        <v>34</v>
      </c>
      <c r="U342">
        <v>73.599999999999994</v>
      </c>
      <c r="V342">
        <v>-2.5</v>
      </c>
      <c r="W342" cm="1">
        <f t="array" ref="W342">_xlfn.IFS(OR(X342="N/A",X342="NA"),0,OR(X342="R64",X342="R68"),1,X342="R32",2,X342="S16",3,X342="E8",4,X342="F4",5,X342="2ND",6,X342="Champions",7)</f>
        <v>0</v>
      </c>
      <c r="X342" t="s">
        <v>90</v>
      </c>
      <c r="Y342" t="s">
        <v>90</v>
      </c>
      <c r="Z342">
        <v>2019</v>
      </c>
    </row>
    <row r="343" spans="1:26" x14ac:dyDescent="0.3">
      <c r="A343" t="s">
        <v>162</v>
      </c>
      <c r="B343" t="s">
        <v>33</v>
      </c>
      <c r="C343">
        <v>34</v>
      </c>
      <c r="D343">
        <v>18</v>
      </c>
      <c r="E343" s="1">
        <f t="shared" si="5"/>
        <v>0.52941176470588236</v>
      </c>
      <c r="F343">
        <v>104.3</v>
      </c>
      <c r="G343">
        <v>95</v>
      </c>
      <c r="H343">
        <v>0.74460000000000004</v>
      </c>
      <c r="I343">
        <v>48</v>
      </c>
      <c r="J343">
        <v>49.7</v>
      </c>
      <c r="K343">
        <v>18.7</v>
      </c>
      <c r="L343">
        <v>20.2</v>
      </c>
      <c r="M343">
        <v>31.8</v>
      </c>
      <c r="N343">
        <v>28.3</v>
      </c>
      <c r="O343">
        <v>39.1</v>
      </c>
      <c r="P343">
        <v>32.799999999999997</v>
      </c>
      <c r="Q343">
        <v>47.5</v>
      </c>
      <c r="R343">
        <v>48.8</v>
      </c>
      <c r="S343">
        <v>32.6</v>
      </c>
      <c r="T343">
        <v>34.1</v>
      </c>
      <c r="U343">
        <v>69.2</v>
      </c>
      <c r="V343">
        <v>-3.4</v>
      </c>
      <c r="W343" cm="1">
        <f t="array" ref="W343">_xlfn.IFS(OR(X343="N/A",X343="NA"),0,OR(X343="R64",X343="R68"),1,X343="R32",2,X343="S16",3,X343="E8",4,X343="F4",5,X343="2ND",6,X343="Champions",7)</f>
        <v>0</v>
      </c>
      <c r="X343" t="s">
        <v>90</v>
      </c>
      <c r="Y343" t="s">
        <v>90</v>
      </c>
      <c r="Z343">
        <v>2019</v>
      </c>
    </row>
    <row r="344" spans="1:26" x14ac:dyDescent="0.3">
      <c r="A344" t="s">
        <v>70</v>
      </c>
      <c r="B344" t="s">
        <v>33</v>
      </c>
      <c r="C344">
        <v>35</v>
      </c>
      <c r="D344">
        <v>19</v>
      </c>
      <c r="E344" s="1">
        <f t="shared" si="5"/>
        <v>0.54285714285714282</v>
      </c>
      <c r="F344">
        <v>110.4</v>
      </c>
      <c r="G344">
        <v>99.1</v>
      </c>
      <c r="H344">
        <v>0.77480000000000004</v>
      </c>
      <c r="I344">
        <v>52.8</v>
      </c>
      <c r="J344">
        <v>50.7</v>
      </c>
      <c r="K344">
        <v>19.600000000000001</v>
      </c>
      <c r="L344">
        <v>16.2</v>
      </c>
      <c r="M344">
        <v>32.200000000000003</v>
      </c>
      <c r="N344">
        <v>27.2</v>
      </c>
      <c r="O344">
        <v>32.6</v>
      </c>
      <c r="P344">
        <v>24.9</v>
      </c>
      <c r="Q344">
        <v>54.7</v>
      </c>
      <c r="R344">
        <v>48.7</v>
      </c>
      <c r="S344">
        <v>33.1</v>
      </c>
      <c r="T344">
        <v>35.6</v>
      </c>
      <c r="U344">
        <v>66.599999999999994</v>
      </c>
      <c r="V344">
        <v>-2.9</v>
      </c>
      <c r="W344" cm="1">
        <f t="array" ref="W344">_xlfn.IFS(OR(X344="N/A",X344="NA"),0,OR(X344="R64",X344="R68"),1,X344="R32",2,X344="S16",3,X344="E8",4,X344="F4",5,X344="2ND",6,X344="Champions",7)</f>
        <v>0</v>
      </c>
      <c r="X344" t="s">
        <v>90</v>
      </c>
      <c r="Y344" t="s">
        <v>90</v>
      </c>
      <c r="Z344">
        <v>2019</v>
      </c>
    </row>
    <row r="345" spans="1:26" x14ac:dyDescent="0.3">
      <c r="A345" t="s">
        <v>163</v>
      </c>
      <c r="B345" t="s">
        <v>164</v>
      </c>
      <c r="C345">
        <v>28</v>
      </c>
      <c r="D345">
        <v>11</v>
      </c>
      <c r="E345" s="1">
        <f t="shared" si="5"/>
        <v>0.39285714285714285</v>
      </c>
      <c r="F345">
        <v>104.7</v>
      </c>
      <c r="G345">
        <v>110.8</v>
      </c>
      <c r="H345">
        <v>0.34320000000000001</v>
      </c>
      <c r="I345">
        <v>53.4</v>
      </c>
      <c r="J345">
        <v>53.6</v>
      </c>
      <c r="K345">
        <v>17.5</v>
      </c>
      <c r="L345">
        <v>15.4</v>
      </c>
      <c r="M345">
        <v>30.7</v>
      </c>
      <c r="N345">
        <v>27</v>
      </c>
      <c r="O345">
        <v>38.6</v>
      </c>
      <c r="P345">
        <v>41.5</v>
      </c>
      <c r="Q345">
        <v>49.2</v>
      </c>
      <c r="R345">
        <v>53</v>
      </c>
      <c r="S345">
        <v>41</v>
      </c>
      <c r="T345">
        <v>36.299999999999997</v>
      </c>
      <c r="U345">
        <v>67.900000000000006</v>
      </c>
      <c r="V345">
        <v>-13</v>
      </c>
      <c r="W345" cm="1">
        <f t="array" ref="W345">_xlfn.IFS(OR(X345="N/A",X345="NA"),0,OR(X345="R64",X345="R68"),1,X345="R32",2,X345="S16",3,X345="E8",4,X345="F4",5,X345="2ND",6,X345="Champions",7)</f>
        <v>0</v>
      </c>
      <c r="X345" t="s">
        <v>90</v>
      </c>
      <c r="Y345" t="s">
        <v>90</v>
      </c>
      <c r="Z345">
        <v>2015</v>
      </c>
    </row>
    <row r="346" spans="1:26" x14ac:dyDescent="0.3">
      <c r="A346" t="s">
        <v>165</v>
      </c>
      <c r="B346" t="s">
        <v>164</v>
      </c>
      <c r="C346">
        <v>28</v>
      </c>
      <c r="D346">
        <v>5</v>
      </c>
      <c r="E346" s="1">
        <f t="shared" si="5"/>
        <v>0.17857142857142858</v>
      </c>
      <c r="F346">
        <v>96.2</v>
      </c>
      <c r="G346">
        <v>109.9</v>
      </c>
      <c r="H346">
        <v>0.1767</v>
      </c>
      <c r="I346">
        <v>48.1</v>
      </c>
      <c r="J346">
        <v>52</v>
      </c>
      <c r="K346">
        <v>18.7</v>
      </c>
      <c r="L346">
        <v>18.7</v>
      </c>
      <c r="M346">
        <v>29.9</v>
      </c>
      <c r="N346">
        <v>32.200000000000003</v>
      </c>
      <c r="O346">
        <v>37</v>
      </c>
      <c r="P346">
        <v>34.799999999999997</v>
      </c>
      <c r="Q346">
        <v>46.6</v>
      </c>
      <c r="R346">
        <v>49.3</v>
      </c>
      <c r="S346">
        <v>34.9</v>
      </c>
      <c r="T346">
        <v>37</v>
      </c>
      <c r="U346">
        <v>63.9</v>
      </c>
      <c r="V346">
        <v>-19.2</v>
      </c>
      <c r="W346" cm="1">
        <f t="array" ref="W346">_xlfn.IFS(OR(X346="N/A",X346="NA"),0,OR(X346="R64",X346="R68"),1,X346="R32",2,X346="S16",3,X346="E8",4,X346="F4",5,X346="2ND",6,X346="Champions",7)</f>
        <v>0</v>
      </c>
      <c r="X346" t="s">
        <v>90</v>
      </c>
      <c r="Y346" t="s">
        <v>90</v>
      </c>
      <c r="Z346">
        <v>2015</v>
      </c>
    </row>
    <row r="347" spans="1:26" x14ac:dyDescent="0.3">
      <c r="A347" t="s">
        <v>166</v>
      </c>
      <c r="B347" t="s">
        <v>164</v>
      </c>
      <c r="C347">
        <v>31</v>
      </c>
      <c r="D347">
        <v>18</v>
      </c>
      <c r="E347" s="1">
        <f t="shared" si="5"/>
        <v>0.58064516129032262</v>
      </c>
      <c r="F347">
        <v>104.5</v>
      </c>
      <c r="G347">
        <v>104.2</v>
      </c>
      <c r="H347">
        <v>0.50629999999999997</v>
      </c>
      <c r="I347">
        <v>53.7</v>
      </c>
      <c r="J347">
        <v>51.3</v>
      </c>
      <c r="K347">
        <v>18</v>
      </c>
      <c r="L347">
        <v>19.899999999999999</v>
      </c>
      <c r="M347">
        <v>27.6</v>
      </c>
      <c r="N347">
        <v>28.7</v>
      </c>
      <c r="O347">
        <v>33.299999999999997</v>
      </c>
      <c r="P347">
        <v>43.6</v>
      </c>
      <c r="Q347">
        <v>52.9</v>
      </c>
      <c r="R347">
        <v>49.4</v>
      </c>
      <c r="S347">
        <v>36.6</v>
      </c>
      <c r="T347">
        <v>36.1</v>
      </c>
      <c r="U347">
        <v>62.5</v>
      </c>
      <c r="V347">
        <v>-7.1</v>
      </c>
      <c r="W347" cm="1">
        <f t="array" ref="W347">_xlfn.IFS(OR(X347="N/A",X347="NA"),0,OR(X347="R64",X347="R68"),1,X347="R32",2,X347="S16",3,X347="E8",4,X347="F4",5,X347="2ND",6,X347="Champions",7)</f>
        <v>0</v>
      </c>
      <c r="X347" t="s">
        <v>90</v>
      </c>
      <c r="Y347" t="s">
        <v>90</v>
      </c>
      <c r="Z347">
        <v>2015</v>
      </c>
    </row>
    <row r="348" spans="1:26" x14ac:dyDescent="0.3">
      <c r="A348" t="s">
        <v>167</v>
      </c>
      <c r="B348" t="s">
        <v>164</v>
      </c>
      <c r="C348">
        <v>29</v>
      </c>
      <c r="D348">
        <v>6</v>
      </c>
      <c r="E348" s="1">
        <f t="shared" si="5"/>
        <v>0.20689655172413793</v>
      </c>
      <c r="F348">
        <v>94.7</v>
      </c>
      <c r="G348">
        <v>107.8</v>
      </c>
      <c r="H348">
        <v>0.18379999999999999</v>
      </c>
      <c r="I348">
        <v>46.9</v>
      </c>
      <c r="J348">
        <v>53</v>
      </c>
      <c r="K348">
        <v>20.6</v>
      </c>
      <c r="L348">
        <v>17</v>
      </c>
      <c r="M348">
        <v>29.1</v>
      </c>
      <c r="N348">
        <v>28.2</v>
      </c>
      <c r="O348">
        <v>28.7</v>
      </c>
      <c r="P348">
        <v>44.8</v>
      </c>
      <c r="Q348">
        <v>42.4</v>
      </c>
      <c r="R348">
        <v>50.4</v>
      </c>
      <c r="S348">
        <v>35.6</v>
      </c>
      <c r="T348">
        <v>39.4</v>
      </c>
      <c r="U348">
        <v>66.2</v>
      </c>
      <c r="V348">
        <v>-17.899999999999999</v>
      </c>
      <c r="W348" cm="1">
        <f t="array" ref="W348">_xlfn.IFS(OR(X348="N/A",X348="NA"),0,OR(X348="R64",X348="R68"),1,X348="R32",2,X348="S16",3,X348="E8",4,X348="F4",5,X348="2ND",6,X348="Champions",7)</f>
        <v>0</v>
      </c>
      <c r="X348" t="s">
        <v>90</v>
      </c>
      <c r="Y348" t="s">
        <v>90</v>
      </c>
      <c r="Z348">
        <v>2015</v>
      </c>
    </row>
    <row r="349" spans="1:26" x14ac:dyDescent="0.3">
      <c r="A349" t="s">
        <v>168</v>
      </c>
      <c r="B349" t="s">
        <v>164</v>
      </c>
      <c r="C349">
        <v>28</v>
      </c>
      <c r="D349">
        <v>6</v>
      </c>
      <c r="E349" s="1">
        <f t="shared" si="5"/>
        <v>0.21428571428571427</v>
      </c>
      <c r="F349">
        <v>96.1</v>
      </c>
      <c r="G349">
        <v>109</v>
      </c>
      <c r="H349">
        <v>0.19040000000000001</v>
      </c>
      <c r="I349">
        <v>48.4</v>
      </c>
      <c r="J349">
        <v>53.2</v>
      </c>
      <c r="K349">
        <v>17.899999999999999</v>
      </c>
      <c r="L349">
        <v>18.100000000000001</v>
      </c>
      <c r="M349">
        <v>24.7</v>
      </c>
      <c r="N349">
        <v>29</v>
      </c>
      <c r="O349">
        <v>38.5</v>
      </c>
      <c r="P349">
        <v>42.3</v>
      </c>
      <c r="Q349">
        <v>47.8</v>
      </c>
      <c r="R349">
        <v>51.2</v>
      </c>
      <c r="S349">
        <v>33.1</v>
      </c>
      <c r="T349">
        <v>38.6</v>
      </c>
      <c r="U349">
        <v>68</v>
      </c>
      <c r="V349">
        <v>-16.2</v>
      </c>
      <c r="W349" cm="1">
        <f t="array" ref="W349">_xlfn.IFS(OR(X349="N/A",X349="NA"),0,OR(X349="R64",X349="R68"),1,X349="R32",2,X349="S16",3,X349="E8",4,X349="F4",5,X349="2ND",6,X349="Champions",7)</f>
        <v>0</v>
      </c>
      <c r="X349" t="s">
        <v>90</v>
      </c>
      <c r="Y349" t="s">
        <v>90</v>
      </c>
      <c r="Z349">
        <v>2015</v>
      </c>
    </row>
    <row r="350" spans="1:26" x14ac:dyDescent="0.3">
      <c r="A350" t="s">
        <v>169</v>
      </c>
      <c r="B350" t="s">
        <v>164</v>
      </c>
      <c r="C350">
        <v>37</v>
      </c>
      <c r="D350">
        <v>22</v>
      </c>
      <c r="E350" s="1">
        <f t="shared" si="5"/>
        <v>0.59459459459459463</v>
      </c>
      <c r="F350">
        <v>100.1</v>
      </c>
      <c r="G350">
        <v>101.7</v>
      </c>
      <c r="H350">
        <v>0.45469999999999999</v>
      </c>
      <c r="I350">
        <v>46.1</v>
      </c>
      <c r="J350">
        <v>48.6</v>
      </c>
      <c r="K350">
        <v>17.7</v>
      </c>
      <c r="L350">
        <v>16.7</v>
      </c>
      <c r="M350">
        <v>35.299999999999997</v>
      </c>
      <c r="N350">
        <v>26.8</v>
      </c>
      <c r="O350">
        <v>36.4</v>
      </c>
      <c r="P350">
        <v>38.4</v>
      </c>
      <c r="Q350">
        <v>42.9</v>
      </c>
      <c r="R350">
        <v>49.1</v>
      </c>
      <c r="S350">
        <v>34.799999999999997</v>
      </c>
      <c r="T350">
        <v>31.7</v>
      </c>
      <c r="U350">
        <v>65.2</v>
      </c>
      <c r="V350">
        <v>-8.6</v>
      </c>
      <c r="W350" cm="1">
        <f t="array" ref="W350">_xlfn.IFS(OR(X350="N/A",X350="NA"),0,OR(X350="R64",X350="R68"),1,X350="R32",2,X350="S16",3,X350="E8",4,X350="F4",5,X350="2ND",6,X350="Champions",7)</f>
        <v>0</v>
      </c>
      <c r="X350" t="s">
        <v>90</v>
      </c>
      <c r="Y350" t="s">
        <v>90</v>
      </c>
      <c r="Z350">
        <v>2015</v>
      </c>
    </row>
    <row r="351" spans="1:26" x14ac:dyDescent="0.3">
      <c r="A351" t="s">
        <v>170</v>
      </c>
      <c r="B351" t="s">
        <v>164</v>
      </c>
      <c r="C351">
        <v>28</v>
      </c>
      <c r="D351">
        <v>13</v>
      </c>
      <c r="E351" s="1">
        <f t="shared" si="5"/>
        <v>0.4642857142857143</v>
      </c>
      <c r="F351">
        <v>107.5</v>
      </c>
      <c r="G351">
        <v>115.6</v>
      </c>
      <c r="H351">
        <v>0.30070000000000002</v>
      </c>
      <c r="I351">
        <v>53</v>
      </c>
      <c r="J351">
        <v>55.7</v>
      </c>
      <c r="K351">
        <v>16.2</v>
      </c>
      <c r="L351">
        <v>20</v>
      </c>
      <c r="M351">
        <v>33.6</v>
      </c>
      <c r="N351">
        <v>34.299999999999997</v>
      </c>
      <c r="O351">
        <v>35.1</v>
      </c>
      <c r="P351">
        <v>40.4</v>
      </c>
      <c r="Q351">
        <v>51.4</v>
      </c>
      <c r="R351">
        <v>52.9</v>
      </c>
      <c r="S351">
        <v>37.5</v>
      </c>
      <c r="T351">
        <v>40.200000000000003</v>
      </c>
      <c r="U351">
        <v>63.5</v>
      </c>
      <c r="V351">
        <v>-10.8</v>
      </c>
      <c r="W351" cm="1">
        <f t="array" ref="W351">_xlfn.IFS(OR(X351="N/A",X351="NA"),0,OR(X351="R64",X351="R68"),1,X351="R32",2,X351="S16",3,X351="E8",4,X351="F4",5,X351="2ND",6,X351="Champions",7)</f>
        <v>0</v>
      </c>
      <c r="X351" t="s">
        <v>90</v>
      </c>
      <c r="Y351" t="s">
        <v>90</v>
      </c>
      <c r="Z351">
        <v>2015</v>
      </c>
    </row>
    <row r="352" spans="1:26" x14ac:dyDescent="0.3">
      <c r="A352" t="s">
        <v>171</v>
      </c>
      <c r="B352" t="s">
        <v>164</v>
      </c>
      <c r="C352">
        <v>27</v>
      </c>
      <c r="D352">
        <v>13</v>
      </c>
      <c r="E352" s="1">
        <f t="shared" si="5"/>
        <v>0.48148148148148145</v>
      </c>
      <c r="F352">
        <v>100.9</v>
      </c>
      <c r="G352">
        <v>107.9</v>
      </c>
      <c r="H352">
        <v>0.31440000000000001</v>
      </c>
      <c r="I352">
        <v>48.7</v>
      </c>
      <c r="J352">
        <v>52.7</v>
      </c>
      <c r="K352">
        <v>16.399999999999999</v>
      </c>
      <c r="L352">
        <v>17.5</v>
      </c>
      <c r="M352">
        <v>27.6</v>
      </c>
      <c r="N352">
        <v>32.1</v>
      </c>
      <c r="O352">
        <v>37.200000000000003</v>
      </c>
      <c r="P352">
        <v>31.4</v>
      </c>
      <c r="Q352">
        <v>45.5</v>
      </c>
      <c r="R352">
        <v>50.2</v>
      </c>
      <c r="S352">
        <v>37.299999999999997</v>
      </c>
      <c r="T352">
        <v>38.5</v>
      </c>
      <c r="U352">
        <v>66.2</v>
      </c>
      <c r="V352">
        <v>-9.9</v>
      </c>
      <c r="W352" cm="1">
        <f t="array" ref="W352">_xlfn.IFS(OR(X352="N/A",X352="NA"),0,OR(X352="R64",X352="R68"),1,X352="R32",2,X352="S16",3,X352="E8",4,X352="F4",5,X352="2ND",6,X352="Champions",7)</f>
        <v>0</v>
      </c>
      <c r="X352" t="s">
        <v>90</v>
      </c>
      <c r="Y352" t="s">
        <v>90</v>
      </c>
      <c r="Z352">
        <v>2015</v>
      </c>
    </row>
    <row r="353" spans="1:26" x14ac:dyDescent="0.3">
      <c r="A353" t="s">
        <v>172</v>
      </c>
      <c r="B353" t="s">
        <v>164</v>
      </c>
      <c r="C353">
        <v>31</v>
      </c>
      <c r="D353">
        <v>19</v>
      </c>
      <c r="E353" s="1">
        <f t="shared" si="5"/>
        <v>0.61290322580645162</v>
      </c>
      <c r="F353">
        <v>105.9</v>
      </c>
      <c r="G353">
        <v>110.9</v>
      </c>
      <c r="H353">
        <v>0.37140000000000001</v>
      </c>
      <c r="I353">
        <v>53.9</v>
      </c>
      <c r="J353">
        <v>53.8</v>
      </c>
      <c r="K353">
        <v>16.600000000000001</v>
      </c>
      <c r="L353">
        <v>19.600000000000001</v>
      </c>
      <c r="M353">
        <v>27.2</v>
      </c>
      <c r="N353">
        <v>33.299999999999997</v>
      </c>
      <c r="O353">
        <v>35.5</v>
      </c>
      <c r="P353">
        <v>32.299999999999997</v>
      </c>
      <c r="Q353">
        <v>50.9</v>
      </c>
      <c r="R353">
        <v>54.7</v>
      </c>
      <c r="S353">
        <v>40.799999999999997</v>
      </c>
      <c r="T353">
        <v>34.799999999999997</v>
      </c>
      <c r="U353">
        <v>62.7</v>
      </c>
      <c r="V353">
        <v>-6.8</v>
      </c>
      <c r="W353" cm="1">
        <f t="array" ref="W353">_xlfn.IFS(OR(X353="N/A",X353="NA"),0,OR(X353="R64",X353="R68"),1,X353="R32",2,X353="S16",3,X353="E8",4,X353="F4",5,X353="2ND",6,X353="Champions",7)</f>
        <v>0</v>
      </c>
      <c r="X353" t="s">
        <v>90</v>
      </c>
      <c r="Y353" t="s">
        <v>90</v>
      </c>
      <c r="Z353">
        <v>2015</v>
      </c>
    </row>
    <row r="354" spans="1:26" x14ac:dyDescent="0.3">
      <c r="A354" t="s">
        <v>173</v>
      </c>
      <c r="B354" t="s">
        <v>164</v>
      </c>
      <c r="C354">
        <v>28</v>
      </c>
      <c r="D354">
        <v>9</v>
      </c>
      <c r="E354" s="1">
        <f t="shared" si="5"/>
        <v>0.32142857142857145</v>
      </c>
      <c r="F354">
        <v>96.8</v>
      </c>
      <c r="G354">
        <v>109.4</v>
      </c>
      <c r="H354">
        <v>0.1963</v>
      </c>
      <c r="I354">
        <v>52.3</v>
      </c>
      <c r="J354">
        <v>51.5</v>
      </c>
      <c r="K354">
        <v>20.100000000000001</v>
      </c>
      <c r="L354">
        <v>15.7</v>
      </c>
      <c r="M354">
        <v>22.6</v>
      </c>
      <c r="N354">
        <v>29.3</v>
      </c>
      <c r="O354">
        <v>38.700000000000003</v>
      </c>
      <c r="P354">
        <v>50.6</v>
      </c>
      <c r="Q354">
        <v>48.4</v>
      </c>
      <c r="R354">
        <v>49.6</v>
      </c>
      <c r="S354">
        <v>39.700000000000003</v>
      </c>
      <c r="T354">
        <v>37.200000000000003</v>
      </c>
      <c r="U354">
        <v>68</v>
      </c>
      <c r="V354">
        <v>-14.8</v>
      </c>
      <c r="W354" cm="1">
        <f t="array" ref="W354">_xlfn.IFS(OR(X354="N/A",X354="NA"),0,OR(X354="R64",X354="R68"),1,X354="R32",2,X354="S16",3,X354="E8",4,X354="F4",5,X354="2ND",6,X354="Champions",7)</f>
        <v>0</v>
      </c>
      <c r="X354" t="s">
        <v>90</v>
      </c>
      <c r="Y354" t="s">
        <v>90</v>
      </c>
      <c r="Z354">
        <v>2015</v>
      </c>
    </row>
    <row r="355" spans="1:26" x14ac:dyDescent="0.3">
      <c r="A355" t="s">
        <v>174</v>
      </c>
      <c r="B355" t="s">
        <v>164</v>
      </c>
      <c r="C355">
        <v>28</v>
      </c>
      <c r="D355">
        <v>11</v>
      </c>
      <c r="E355" s="1">
        <f t="shared" si="5"/>
        <v>0.39285714285714285</v>
      </c>
      <c r="F355">
        <v>98.1</v>
      </c>
      <c r="G355">
        <v>105.2</v>
      </c>
      <c r="H355">
        <v>0.30859999999999999</v>
      </c>
      <c r="I355">
        <v>48</v>
      </c>
      <c r="J355">
        <v>50.8</v>
      </c>
      <c r="K355">
        <v>20.5</v>
      </c>
      <c r="L355">
        <v>16.600000000000001</v>
      </c>
      <c r="M355">
        <v>28.8</v>
      </c>
      <c r="N355">
        <v>30.2</v>
      </c>
      <c r="O355">
        <v>46</v>
      </c>
      <c r="P355">
        <v>31.5</v>
      </c>
      <c r="Q355">
        <v>45</v>
      </c>
      <c r="R355">
        <v>49.6</v>
      </c>
      <c r="S355">
        <v>34.9</v>
      </c>
      <c r="T355">
        <v>35.9</v>
      </c>
      <c r="U355">
        <v>63.2</v>
      </c>
      <c r="V355">
        <v>-11.9</v>
      </c>
      <c r="W355" cm="1">
        <f t="array" ref="W355">_xlfn.IFS(OR(X355="N/A",X355="NA"),0,OR(X355="R64",X355="R68"),1,X355="R32",2,X355="S16",3,X355="E8",4,X355="F4",5,X355="2ND",6,X355="Champions",7)</f>
        <v>0</v>
      </c>
      <c r="X355" t="s">
        <v>90</v>
      </c>
      <c r="Y355" t="s">
        <v>90</v>
      </c>
      <c r="Z355">
        <v>2015</v>
      </c>
    </row>
    <row r="356" spans="1:26" x14ac:dyDescent="0.3">
      <c r="A356" t="s">
        <v>175</v>
      </c>
      <c r="B356" t="s">
        <v>164</v>
      </c>
      <c r="C356">
        <v>32</v>
      </c>
      <c r="D356">
        <v>16</v>
      </c>
      <c r="E356" s="1">
        <f t="shared" si="5"/>
        <v>0.5</v>
      </c>
      <c r="F356">
        <v>111.6</v>
      </c>
      <c r="G356">
        <v>112.9</v>
      </c>
      <c r="H356">
        <v>0.46739999999999998</v>
      </c>
      <c r="I356">
        <v>56.4</v>
      </c>
      <c r="J356">
        <v>54</v>
      </c>
      <c r="K356">
        <v>16.100000000000001</v>
      </c>
      <c r="L356">
        <v>15.9</v>
      </c>
      <c r="M356">
        <v>26.7</v>
      </c>
      <c r="N356">
        <v>29.2</v>
      </c>
      <c r="O356">
        <v>35.9</v>
      </c>
      <c r="P356">
        <v>37.9</v>
      </c>
      <c r="Q356">
        <v>55.4</v>
      </c>
      <c r="R356">
        <v>53.3</v>
      </c>
      <c r="S356">
        <v>38.4</v>
      </c>
      <c r="T356">
        <v>37.4</v>
      </c>
      <c r="U356">
        <v>69.400000000000006</v>
      </c>
      <c r="V356">
        <v>-10.7</v>
      </c>
      <c r="W356" cm="1">
        <f t="array" ref="W356">_xlfn.IFS(OR(X356="N/A",X356="NA"),0,OR(X356="R64",X356="R68"),1,X356="R32",2,X356="S16",3,X356="E8",4,X356="F4",5,X356="2ND",6,X356="Champions",7)</f>
        <v>0</v>
      </c>
      <c r="X356" t="s">
        <v>90</v>
      </c>
      <c r="Y356" t="s">
        <v>90</v>
      </c>
      <c r="Z356">
        <v>2016</v>
      </c>
    </row>
    <row r="357" spans="1:26" x14ac:dyDescent="0.3">
      <c r="A357" t="s">
        <v>163</v>
      </c>
      <c r="B357" t="s">
        <v>164</v>
      </c>
      <c r="C357">
        <v>32</v>
      </c>
      <c r="D357">
        <v>19</v>
      </c>
      <c r="E357" s="1">
        <f t="shared" si="5"/>
        <v>0.59375</v>
      </c>
      <c r="F357">
        <v>98.3</v>
      </c>
      <c r="G357">
        <v>102.8</v>
      </c>
      <c r="H357">
        <v>0.37430000000000002</v>
      </c>
      <c r="I357">
        <v>48.7</v>
      </c>
      <c r="J357">
        <v>49.5</v>
      </c>
      <c r="K357">
        <v>22.7</v>
      </c>
      <c r="L357">
        <v>18.899999999999999</v>
      </c>
      <c r="M357">
        <v>34.4</v>
      </c>
      <c r="N357">
        <v>25.3</v>
      </c>
      <c r="O357">
        <v>44.6</v>
      </c>
      <c r="P357">
        <v>41.7</v>
      </c>
      <c r="Q357">
        <v>46.1</v>
      </c>
      <c r="R357">
        <v>48.1</v>
      </c>
      <c r="S357">
        <v>36.299999999999997</v>
      </c>
      <c r="T357">
        <v>34.299999999999997</v>
      </c>
      <c r="U357">
        <v>66.7</v>
      </c>
      <c r="V357">
        <v>-7.6</v>
      </c>
      <c r="W357" cm="1">
        <f t="array" ref="W357">_xlfn.IFS(OR(X357="N/A",X357="NA"),0,OR(X357="R64",X357="R68"),1,X357="R32",2,X357="S16",3,X357="E8",4,X357="F4",5,X357="2ND",6,X357="Champions",7)</f>
        <v>0</v>
      </c>
      <c r="X357" t="s">
        <v>90</v>
      </c>
      <c r="Y357" t="s">
        <v>90</v>
      </c>
      <c r="Z357">
        <v>2016</v>
      </c>
    </row>
    <row r="358" spans="1:26" x14ac:dyDescent="0.3">
      <c r="A358" t="s">
        <v>165</v>
      </c>
      <c r="B358" t="s">
        <v>164</v>
      </c>
      <c r="C358">
        <v>29</v>
      </c>
      <c r="D358">
        <v>14</v>
      </c>
      <c r="E358" s="1">
        <f t="shared" si="5"/>
        <v>0.48275862068965519</v>
      </c>
      <c r="F358">
        <v>98.4</v>
      </c>
      <c r="G358">
        <v>107.8</v>
      </c>
      <c r="H358">
        <v>0.26119999999999999</v>
      </c>
      <c r="I358">
        <v>50.1</v>
      </c>
      <c r="J358">
        <v>51.7</v>
      </c>
      <c r="K358">
        <v>18.3</v>
      </c>
      <c r="L358">
        <v>17.399999999999999</v>
      </c>
      <c r="M358">
        <v>24.7</v>
      </c>
      <c r="N358">
        <v>28.4</v>
      </c>
      <c r="O358">
        <v>38.5</v>
      </c>
      <c r="P358">
        <v>35.4</v>
      </c>
      <c r="Q358">
        <v>48</v>
      </c>
      <c r="R358">
        <v>52.2</v>
      </c>
      <c r="S358">
        <v>35.700000000000003</v>
      </c>
      <c r="T358">
        <v>34</v>
      </c>
      <c r="U358">
        <v>71</v>
      </c>
      <c r="V358">
        <v>-10.9</v>
      </c>
      <c r="W358" cm="1">
        <f t="array" ref="W358">_xlfn.IFS(OR(X358="N/A",X358="NA"),0,OR(X358="R64",X358="R68"),1,X358="R32",2,X358="S16",3,X358="E8",4,X358="F4",5,X358="2ND",6,X358="Champions",7)</f>
        <v>0</v>
      </c>
      <c r="X358" t="s">
        <v>90</v>
      </c>
      <c r="Y358" t="s">
        <v>90</v>
      </c>
      <c r="Z358">
        <v>2016</v>
      </c>
    </row>
    <row r="359" spans="1:26" x14ac:dyDescent="0.3">
      <c r="A359" t="s">
        <v>166</v>
      </c>
      <c r="B359" t="s">
        <v>164</v>
      </c>
      <c r="C359">
        <v>30</v>
      </c>
      <c r="D359">
        <v>18</v>
      </c>
      <c r="E359" s="1">
        <f t="shared" si="5"/>
        <v>0.6</v>
      </c>
      <c r="F359">
        <v>105.5</v>
      </c>
      <c r="G359">
        <v>104.2</v>
      </c>
      <c r="H359">
        <v>0.53449999999999998</v>
      </c>
      <c r="I359">
        <v>53.4</v>
      </c>
      <c r="J359">
        <v>49.5</v>
      </c>
      <c r="K359">
        <v>18.3</v>
      </c>
      <c r="L359">
        <v>18.7</v>
      </c>
      <c r="M359">
        <v>28.4</v>
      </c>
      <c r="N359">
        <v>24.9</v>
      </c>
      <c r="O359">
        <v>36.799999999999997</v>
      </c>
      <c r="P359">
        <v>45.3</v>
      </c>
      <c r="Q359">
        <v>51.8</v>
      </c>
      <c r="R359">
        <v>49.5</v>
      </c>
      <c r="S359">
        <v>37.299999999999997</v>
      </c>
      <c r="T359">
        <v>33</v>
      </c>
      <c r="U359">
        <v>66.099999999999994</v>
      </c>
      <c r="V359">
        <v>-5.7</v>
      </c>
      <c r="W359" cm="1">
        <f t="array" ref="W359">_xlfn.IFS(OR(X359="N/A",X359="NA"),0,OR(X359="R64",X359="R68"),1,X359="R32",2,X359="S16",3,X359="E8",4,X359="F4",5,X359="2ND",6,X359="Champions",7)</f>
        <v>0</v>
      </c>
      <c r="X359" t="s">
        <v>90</v>
      </c>
      <c r="Y359" t="s">
        <v>90</v>
      </c>
      <c r="Z359">
        <v>2016</v>
      </c>
    </row>
    <row r="360" spans="1:26" x14ac:dyDescent="0.3">
      <c r="A360" t="s">
        <v>167</v>
      </c>
      <c r="B360" t="s">
        <v>164</v>
      </c>
      <c r="C360">
        <v>30</v>
      </c>
      <c r="D360">
        <v>13</v>
      </c>
      <c r="E360" s="1">
        <f t="shared" si="5"/>
        <v>0.43333333333333335</v>
      </c>
      <c r="F360">
        <v>106.4</v>
      </c>
      <c r="G360">
        <v>111.6</v>
      </c>
      <c r="H360">
        <v>0.3654</v>
      </c>
      <c r="I360">
        <v>50.8</v>
      </c>
      <c r="J360">
        <v>53.9</v>
      </c>
      <c r="K360">
        <v>17.3</v>
      </c>
      <c r="L360">
        <v>16.899999999999999</v>
      </c>
      <c r="M360">
        <v>33</v>
      </c>
      <c r="N360">
        <v>27.5</v>
      </c>
      <c r="O360">
        <v>30.7</v>
      </c>
      <c r="P360">
        <v>46.3</v>
      </c>
      <c r="Q360">
        <v>47.2</v>
      </c>
      <c r="R360">
        <v>53.4</v>
      </c>
      <c r="S360">
        <v>37.200000000000003</v>
      </c>
      <c r="T360">
        <v>36.5</v>
      </c>
      <c r="U360">
        <v>69.3</v>
      </c>
      <c r="V360">
        <v>-12.3</v>
      </c>
      <c r="W360" cm="1">
        <f t="array" ref="W360">_xlfn.IFS(OR(X360="N/A",X360="NA"),0,OR(X360="R64",X360="R68"),1,X360="R32",2,X360="S16",3,X360="E8",4,X360="F4",5,X360="2ND",6,X360="Champions",7)</f>
        <v>0</v>
      </c>
      <c r="X360" t="s">
        <v>90</v>
      </c>
      <c r="Y360" t="s">
        <v>90</v>
      </c>
      <c r="Z360">
        <v>2016</v>
      </c>
    </row>
    <row r="361" spans="1:26" x14ac:dyDescent="0.3">
      <c r="A361" t="s">
        <v>168</v>
      </c>
      <c r="B361" t="s">
        <v>164</v>
      </c>
      <c r="C361">
        <v>30</v>
      </c>
      <c r="D361">
        <v>14</v>
      </c>
      <c r="E361" s="1">
        <f t="shared" si="5"/>
        <v>0.46666666666666667</v>
      </c>
      <c r="F361">
        <v>99.4</v>
      </c>
      <c r="G361">
        <v>101.4</v>
      </c>
      <c r="H361">
        <v>0.44379999999999997</v>
      </c>
      <c r="I361">
        <v>50.6</v>
      </c>
      <c r="J361">
        <v>51.2</v>
      </c>
      <c r="K361">
        <v>18.100000000000001</v>
      </c>
      <c r="L361">
        <v>19.600000000000001</v>
      </c>
      <c r="M361">
        <v>23.8</v>
      </c>
      <c r="N361">
        <v>25.9</v>
      </c>
      <c r="O361">
        <v>39.299999999999997</v>
      </c>
      <c r="P361">
        <v>38.6</v>
      </c>
      <c r="Q361">
        <v>48.7</v>
      </c>
      <c r="R361">
        <v>51</v>
      </c>
      <c r="S361">
        <v>36.700000000000003</v>
      </c>
      <c r="T361">
        <v>34.4</v>
      </c>
      <c r="U361">
        <v>72.400000000000006</v>
      </c>
      <c r="V361">
        <v>-10.5</v>
      </c>
      <c r="W361" cm="1">
        <f t="array" ref="W361">_xlfn.IFS(OR(X361="N/A",X361="NA"),0,OR(X361="R64",X361="R68"),1,X361="R32",2,X361="S16",3,X361="E8",4,X361="F4",5,X361="2ND",6,X361="Champions",7)</f>
        <v>0</v>
      </c>
      <c r="X361" t="s">
        <v>90</v>
      </c>
      <c r="Y361" t="s">
        <v>90</v>
      </c>
      <c r="Z361">
        <v>2016</v>
      </c>
    </row>
    <row r="362" spans="1:26" x14ac:dyDescent="0.3">
      <c r="A362" t="s">
        <v>169</v>
      </c>
      <c r="B362" t="s">
        <v>164</v>
      </c>
      <c r="C362">
        <v>28</v>
      </c>
      <c r="D362">
        <v>3</v>
      </c>
      <c r="E362" s="1">
        <f t="shared" si="5"/>
        <v>0.10714285714285714</v>
      </c>
      <c r="F362">
        <v>92.6</v>
      </c>
      <c r="G362">
        <v>112.9</v>
      </c>
      <c r="H362">
        <v>9.2600000000000002E-2</v>
      </c>
      <c r="I362">
        <v>45.2</v>
      </c>
      <c r="J362">
        <v>56.2</v>
      </c>
      <c r="K362">
        <v>18.100000000000001</v>
      </c>
      <c r="L362">
        <v>17.5</v>
      </c>
      <c r="M362">
        <v>22.3</v>
      </c>
      <c r="N362">
        <v>29.6</v>
      </c>
      <c r="O362">
        <v>36.1</v>
      </c>
      <c r="P362">
        <v>34.299999999999997</v>
      </c>
      <c r="Q362">
        <v>42.3</v>
      </c>
      <c r="R362">
        <v>53.9</v>
      </c>
      <c r="S362">
        <v>33.4</v>
      </c>
      <c r="T362">
        <v>39.9</v>
      </c>
      <c r="U362">
        <v>71.2</v>
      </c>
      <c r="V362">
        <v>-18.8</v>
      </c>
      <c r="W362" cm="1">
        <f t="array" ref="W362">_xlfn.IFS(OR(X362="N/A",X362="NA"),0,OR(X362="R64",X362="R68"),1,X362="R32",2,X362="S16",3,X362="E8",4,X362="F4",5,X362="2ND",6,X362="Champions",7)</f>
        <v>0</v>
      </c>
      <c r="X362" t="s">
        <v>90</v>
      </c>
      <c r="Y362" t="s">
        <v>90</v>
      </c>
      <c r="Z362">
        <v>2016</v>
      </c>
    </row>
    <row r="363" spans="1:26" x14ac:dyDescent="0.3">
      <c r="A363" t="s">
        <v>170</v>
      </c>
      <c r="B363" t="s">
        <v>164</v>
      </c>
      <c r="C363">
        <v>29</v>
      </c>
      <c r="D363">
        <v>8</v>
      </c>
      <c r="E363" s="1">
        <f t="shared" si="5"/>
        <v>0.27586206896551724</v>
      </c>
      <c r="F363">
        <v>101</v>
      </c>
      <c r="G363">
        <v>117.3</v>
      </c>
      <c r="H363">
        <v>0.15129999999999999</v>
      </c>
      <c r="I363">
        <v>50.7</v>
      </c>
      <c r="J363">
        <v>55.9</v>
      </c>
      <c r="K363">
        <v>19.899999999999999</v>
      </c>
      <c r="L363">
        <v>17.7</v>
      </c>
      <c r="M363">
        <v>29.2</v>
      </c>
      <c r="N363">
        <v>29.8</v>
      </c>
      <c r="O363">
        <v>43.4</v>
      </c>
      <c r="P363">
        <v>48.4</v>
      </c>
      <c r="Q363">
        <v>48.8</v>
      </c>
      <c r="R363">
        <v>54.4</v>
      </c>
      <c r="S363">
        <v>36.4</v>
      </c>
      <c r="T363">
        <v>38.799999999999997</v>
      </c>
      <c r="U363">
        <v>69.599999999999994</v>
      </c>
      <c r="V363">
        <v>-16</v>
      </c>
      <c r="W363" cm="1">
        <f t="array" ref="W363">_xlfn.IFS(OR(X363="N/A",X363="NA"),0,OR(X363="R64",X363="R68"),1,X363="R32",2,X363="S16",3,X363="E8",4,X363="F4",5,X363="2ND",6,X363="Champions",7)</f>
        <v>0</v>
      </c>
      <c r="X363" t="s">
        <v>90</v>
      </c>
      <c r="Y363" t="s">
        <v>90</v>
      </c>
      <c r="Z363">
        <v>2016</v>
      </c>
    </row>
    <row r="364" spans="1:26" x14ac:dyDescent="0.3">
      <c r="A364" t="s">
        <v>171</v>
      </c>
      <c r="B364" t="s">
        <v>164</v>
      </c>
      <c r="C364">
        <v>29</v>
      </c>
      <c r="D364">
        <v>11</v>
      </c>
      <c r="E364" s="1">
        <f t="shared" si="5"/>
        <v>0.37931034482758619</v>
      </c>
      <c r="F364">
        <v>102</v>
      </c>
      <c r="G364">
        <v>109.5</v>
      </c>
      <c r="H364">
        <v>0.307</v>
      </c>
      <c r="I364">
        <v>51.2</v>
      </c>
      <c r="J364">
        <v>53.3</v>
      </c>
      <c r="K364">
        <v>17.399999999999999</v>
      </c>
      <c r="L364">
        <v>19.100000000000001</v>
      </c>
      <c r="M364">
        <v>28.7</v>
      </c>
      <c r="N364">
        <v>30.7</v>
      </c>
      <c r="O364">
        <v>33.9</v>
      </c>
      <c r="P364">
        <v>32.799999999999997</v>
      </c>
      <c r="Q364">
        <v>52.7</v>
      </c>
      <c r="R364">
        <v>51.4</v>
      </c>
      <c r="S364">
        <v>31.5</v>
      </c>
      <c r="T364">
        <v>38.299999999999997</v>
      </c>
      <c r="U364">
        <v>72.8</v>
      </c>
      <c r="V364">
        <v>-13.9</v>
      </c>
      <c r="W364" cm="1">
        <f t="array" ref="W364">_xlfn.IFS(OR(X364="N/A",X364="NA"),0,OR(X364="R64",X364="R68"),1,X364="R32",2,X364="S16",3,X364="E8",4,X364="F4",5,X364="2ND",6,X364="Champions",7)</f>
        <v>0</v>
      </c>
      <c r="X364" t="s">
        <v>90</v>
      </c>
      <c r="Y364" t="s">
        <v>90</v>
      </c>
      <c r="Z364">
        <v>2016</v>
      </c>
    </row>
    <row r="365" spans="1:26" x14ac:dyDescent="0.3">
      <c r="A365" t="s">
        <v>172</v>
      </c>
      <c r="B365" t="s">
        <v>164</v>
      </c>
      <c r="C365">
        <v>29</v>
      </c>
      <c r="D365">
        <v>12</v>
      </c>
      <c r="E365" s="1">
        <f t="shared" si="5"/>
        <v>0.41379310344827586</v>
      </c>
      <c r="F365">
        <v>96.8</v>
      </c>
      <c r="G365">
        <v>108.1</v>
      </c>
      <c r="H365">
        <v>0.21779999999999999</v>
      </c>
      <c r="I365">
        <v>49.3</v>
      </c>
      <c r="J365">
        <v>50.1</v>
      </c>
      <c r="K365">
        <v>16.7</v>
      </c>
      <c r="L365">
        <v>17.600000000000001</v>
      </c>
      <c r="M365">
        <v>26.3</v>
      </c>
      <c r="N365">
        <v>31.2</v>
      </c>
      <c r="O365">
        <v>34.9</v>
      </c>
      <c r="P365">
        <v>37.9</v>
      </c>
      <c r="Q365">
        <v>49.2</v>
      </c>
      <c r="R365">
        <v>50.9</v>
      </c>
      <c r="S365">
        <v>33.1</v>
      </c>
      <c r="T365">
        <v>32.5</v>
      </c>
      <c r="U365">
        <v>69.3</v>
      </c>
      <c r="V365">
        <v>-12.9</v>
      </c>
      <c r="W365" cm="1">
        <f t="array" ref="W365">_xlfn.IFS(OR(X365="N/A",X365="NA"),0,OR(X365="R64",X365="R68"),1,X365="R32",2,X365="S16",3,X365="E8",4,X365="F4",5,X365="2ND",6,X365="Champions",7)</f>
        <v>0</v>
      </c>
      <c r="X365" t="s">
        <v>90</v>
      </c>
      <c r="Y365" t="s">
        <v>90</v>
      </c>
      <c r="Z365">
        <v>2016</v>
      </c>
    </row>
    <row r="366" spans="1:26" x14ac:dyDescent="0.3">
      <c r="A366" t="s">
        <v>173</v>
      </c>
      <c r="B366" t="s">
        <v>164</v>
      </c>
      <c r="C366">
        <v>28</v>
      </c>
      <c r="D366">
        <v>4</v>
      </c>
      <c r="E366" s="1">
        <f t="shared" si="5"/>
        <v>0.14285714285714285</v>
      </c>
      <c r="F366">
        <v>97.3</v>
      </c>
      <c r="G366">
        <v>117.8</v>
      </c>
      <c r="H366">
        <v>0.10009999999999999</v>
      </c>
      <c r="I366">
        <v>49.3</v>
      </c>
      <c r="J366">
        <v>57.7</v>
      </c>
      <c r="K366">
        <v>18.8</v>
      </c>
      <c r="L366">
        <v>17.399999999999999</v>
      </c>
      <c r="M366">
        <v>23.9</v>
      </c>
      <c r="N366">
        <v>31.2</v>
      </c>
      <c r="O366">
        <v>35.4</v>
      </c>
      <c r="P366">
        <v>45</v>
      </c>
      <c r="Q366">
        <v>46.5</v>
      </c>
      <c r="R366">
        <v>55</v>
      </c>
      <c r="S366">
        <v>36.4</v>
      </c>
      <c r="T366">
        <v>42.2</v>
      </c>
      <c r="U366">
        <v>68.8</v>
      </c>
      <c r="V366">
        <v>-18.600000000000001</v>
      </c>
      <c r="W366" cm="1">
        <f t="array" ref="W366">_xlfn.IFS(OR(X366="N/A",X366="NA"),0,OR(X366="R64",X366="R68"),1,X366="R32",2,X366="S16",3,X366="E8",4,X366="F4",5,X366="2ND",6,X366="Champions",7)</f>
        <v>0</v>
      </c>
      <c r="X366" t="s">
        <v>90</v>
      </c>
      <c r="Y366" t="s">
        <v>90</v>
      </c>
      <c r="Z366">
        <v>2016</v>
      </c>
    </row>
    <row r="367" spans="1:26" x14ac:dyDescent="0.3">
      <c r="A367" t="s">
        <v>175</v>
      </c>
      <c r="B367" t="s">
        <v>164</v>
      </c>
      <c r="C367">
        <v>32</v>
      </c>
      <c r="D367">
        <v>22</v>
      </c>
      <c r="E367" s="1">
        <f t="shared" si="5"/>
        <v>0.6875</v>
      </c>
      <c r="F367">
        <v>108.6</v>
      </c>
      <c r="G367">
        <v>110</v>
      </c>
      <c r="H367">
        <v>0.4632</v>
      </c>
      <c r="I367">
        <v>54.2</v>
      </c>
      <c r="J367">
        <v>51.2</v>
      </c>
      <c r="K367">
        <v>17.100000000000001</v>
      </c>
      <c r="L367">
        <v>14.5</v>
      </c>
      <c r="M367">
        <v>27.3</v>
      </c>
      <c r="N367">
        <v>27.8</v>
      </c>
      <c r="O367">
        <v>34.799999999999997</v>
      </c>
      <c r="P367">
        <v>36.9</v>
      </c>
      <c r="Q367">
        <v>53.7</v>
      </c>
      <c r="R367">
        <v>48.2</v>
      </c>
      <c r="S367">
        <v>36.799999999999997</v>
      </c>
      <c r="T367">
        <v>37.700000000000003</v>
      </c>
      <c r="U367">
        <v>67.8</v>
      </c>
      <c r="V367">
        <v>-5.8</v>
      </c>
      <c r="W367" cm="1">
        <f t="array" ref="W367">_xlfn.IFS(OR(X367="N/A",X367="NA"),0,OR(X367="R64",X367="R68"),1,X367="R32",2,X367="S16",3,X367="E8",4,X367="F4",5,X367="2ND",6,X367="Champions",7)</f>
        <v>0</v>
      </c>
      <c r="X367" t="s">
        <v>90</v>
      </c>
      <c r="Y367" t="s">
        <v>90</v>
      </c>
      <c r="Z367">
        <v>2017</v>
      </c>
    </row>
    <row r="368" spans="1:26" x14ac:dyDescent="0.3">
      <c r="A368" t="s">
        <v>163</v>
      </c>
      <c r="B368" t="s">
        <v>164</v>
      </c>
      <c r="C368">
        <v>31</v>
      </c>
      <c r="D368">
        <v>19</v>
      </c>
      <c r="E368" s="1">
        <f t="shared" si="5"/>
        <v>0.61290322580645162</v>
      </c>
      <c r="F368">
        <v>101.3</v>
      </c>
      <c r="G368">
        <v>105.3</v>
      </c>
      <c r="H368">
        <v>0.39250000000000002</v>
      </c>
      <c r="I368">
        <v>49.9</v>
      </c>
      <c r="J368">
        <v>49</v>
      </c>
      <c r="K368">
        <v>18.7</v>
      </c>
      <c r="L368">
        <v>17.7</v>
      </c>
      <c r="M368">
        <v>30.3</v>
      </c>
      <c r="N368">
        <v>25.9</v>
      </c>
      <c r="O368">
        <v>39.9</v>
      </c>
      <c r="P368">
        <v>43</v>
      </c>
      <c r="Q368">
        <v>47</v>
      </c>
      <c r="R368">
        <v>46.6</v>
      </c>
      <c r="S368">
        <v>36.4</v>
      </c>
      <c r="T368">
        <v>34.700000000000003</v>
      </c>
      <c r="U368">
        <v>67.599999999999994</v>
      </c>
      <c r="V368">
        <v>-9.3000000000000007</v>
      </c>
      <c r="W368" cm="1">
        <f t="array" ref="W368">_xlfn.IFS(OR(X368="N/A",X368="NA"),0,OR(X368="R64",X368="R68"),1,X368="R32",2,X368="S16",3,X368="E8",4,X368="F4",5,X368="2ND",6,X368="Champions",7)</f>
        <v>0</v>
      </c>
      <c r="X368" t="s">
        <v>90</v>
      </c>
      <c r="Y368" t="s">
        <v>90</v>
      </c>
      <c r="Z368">
        <v>2017</v>
      </c>
    </row>
    <row r="369" spans="1:26" x14ac:dyDescent="0.3">
      <c r="A369" t="s">
        <v>165</v>
      </c>
      <c r="B369" t="s">
        <v>164</v>
      </c>
      <c r="C369">
        <v>30</v>
      </c>
      <c r="D369">
        <v>6</v>
      </c>
      <c r="E369" s="1">
        <f t="shared" si="5"/>
        <v>0.2</v>
      </c>
      <c r="F369">
        <v>97.6</v>
      </c>
      <c r="G369">
        <v>114.3</v>
      </c>
      <c r="H369">
        <v>0.1391</v>
      </c>
      <c r="I369">
        <v>50.2</v>
      </c>
      <c r="J369">
        <v>56.5</v>
      </c>
      <c r="K369">
        <v>19.3</v>
      </c>
      <c r="L369">
        <v>18.2</v>
      </c>
      <c r="M369">
        <v>22</v>
      </c>
      <c r="N369">
        <v>32.4</v>
      </c>
      <c r="O369">
        <v>38.1</v>
      </c>
      <c r="P369">
        <v>34.200000000000003</v>
      </c>
      <c r="Q369">
        <v>48.2</v>
      </c>
      <c r="R369">
        <v>54.3</v>
      </c>
      <c r="S369">
        <v>35.6</v>
      </c>
      <c r="T369">
        <v>39.9</v>
      </c>
      <c r="U369">
        <v>70.3</v>
      </c>
      <c r="V369">
        <v>-20.100000000000001</v>
      </c>
      <c r="W369" cm="1">
        <f t="array" ref="W369">_xlfn.IFS(OR(X369="N/A",X369="NA"),0,OR(X369="R64",X369="R68"),1,X369="R32",2,X369="S16",3,X369="E8",4,X369="F4",5,X369="2ND",6,X369="Champions",7)</f>
        <v>0</v>
      </c>
      <c r="X369" t="s">
        <v>90</v>
      </c>
      <c r="Y369" t="s">
        <v>90</v>
      </c>
      <c r="Z369">
        <v>2017</v>
      </c>
    </row>
    <row r="370" spans="1:26" x14ac:dyDescent="0.3">
      <c r="A370" t="s">
        <v>166</v>
      </c>
      <c r="B370" t="s">
        <v>164</v>
      </c>
      <c r="C370">
        <v>32</v>
      </c>
      <c r="D370">
        <v>16</v>
      </c>
      <c r="E370" s="1">
        <f t="shared" si="5"/>
        <v>0.5</v>
      </c>
      <c r="F370">
        <v>104.9</v>
      </c>
      <c r="G370">
        <v>107.3</v>
      </c>
      <c r="H370">
        <v>0.4375</v>
      </c>
      <c r="I370">
        <v>51.2</v>
      </c>
      <c r="J370">
        <v>52</v>
      </c>
      <c r="K370">
        <v>15.6</v>
      </c>
      <c r="L370">
        <v>18.2</v>
      </c>
      <c r="M370">
        <v>28</v>
      </c>
      <c r="N370">
        <v>26.8</v>
      </c>
      <c r="O370">
        <v>33</v>
      </c>
      <c r="P370">
        <v>44.4</v>
      </c>
      <c r="Q370">
        <v>49.9</v>
      </c>
      <c r="R370">
        <v>52.1</v>
      </c>
      <c r="S370">
        <v>35.700000000000003</v>
      </c>
      <c r="T370">
        <v>34.5</v>
      </c>
      <c r="U370">
        <v>68.2</v>
      </c>
      <c r="V370">
        <v>-10.8</v>
      </c>
      <c r="W370" cm="1">
        <f t="array" ref="W370">_xlfn.IFS(OR(X370="N/A",X370="NA"),0,OR(X370="R64",X370="R68"),1,X370="R32",2,X370="S16",3,X370="E8",4,X370="F4",5,X370="2ND",6,X370="Champions",7)</f>
        <v>0</v>
      </c>
      <c r="X370" t="s">
        <v>90</v>
      </c>
      <c r="Y370" t="s">
        <v>90</v>
      </c>
      <c r="Z370">
        <v>2017</v>
      </c>
    </row>
    <row r="371" spans="1:26" x14ac:dyDescent="0.3">
      <c r="A371" t="s">
        <v>167</v>
      </c>
      <c r="B371" t="s">
        <v>164</v>
      </c>
      <c r="C371">
        <v>30</v>
      </c>
      <c r="D371">
        <v>16</v>
      </c>
      <c r="E371" s="1">
        <f t="shared" si="5"/>
        <v>0.53333333333333333</v>
      </c>
      <c r="F371">
        <v>101.8</v>
      </c>
      <c r="G371">
        <v>108.2</v>
      </c>
      <c r="H371">
        <v>0.33160000000000001</v>
      </c>
      <c r="I371">
        <v>51.2</v>
      </c>
      <c r="J371">
        <v>52.3</v>
      </c>
      <c r="K371">
        <v>16.600000000000001</v>
      </c>
      <c r="L371">
        <v>18.399999999999999</v>
      </c>
      <c r="M371">
        <v>27.2</v>
      </c>
      <c r="N371">
        <v>27.7</v>
      </c>
      <c r="O371">
        <v>36.299999999999997</v>
      </c>
      <c r="P371">
        <v>50.6</v>
      </c>
      <c r="Q371">
        <v>47.7</v>
      </c>
      <c r="R371">
        <v>50.1</v>
      </c>
      <c r="S371">
        <v>37.200000000000003</v>
      </c>
      <c r="T371">
        <v>37.200000000000003</v>
      </c>
      <c r="U371">
        <v>70.900000000000006</v>
      </c>
      <c r="V371">
        <v>-12.2</v>
      </c>
      <c r="W371" cm="1">
        <f t="array" ref="W371">_xlfn.IFS(OR(X371="N/A",X371="NA"),0,OR(X371="R64",X371="R68"),1,X371="R32",2,X371="S16",3,X371="E8",4,X371="F4",5,X371="2ND",6,X371="Champions",7)</f>
        <v>0</v>
      </c>
      <c r="X371" t="s">
        <v>90</v>
      </c>
      <c r="Y371" t="s">
        <v>90</v>
      </c>
      <c r="Z371">
        <v>2017</v>
      </c>
    </row>
    <row r="372" spans="1:26" x14ac:dyDescent="0.3">
      <c r="A372" t="s">
        <v>169</v>
      </c>
      <c r="B372" t="s">
        <v>164</v>
      </c>
      <c r="C372">
        <v>31</v>
      </c>
      <c r="D372">
        <v>9</v>
      </c>
      <c r="E372" s="1">
        <f t="shared" si="5"/>
        <v>0.29032258064516131</v>
      </c>
      <c r="F372">
        <v>94.4</v>
      </c>
      <c r="G372">
        <v>109.4</v>
      </c>
      <c r="H372">
        <v>0.15559999999999999</v>
      </c>
      <c r="I372">
        <v>46.7</v>
      </c>
      <c r="J372">
        <v>52.9</v>
      </c>
      <c r="K372">
        <v>20.399999999999999</v>
      </c>
      <c r="L372">
        <v>16.7</v>
      </c>
      <c r="M372">
        <v>31.3</v>
      </c>
      <c r="N372">
        <v>26.9</v>
      </c>
      <c r="O372">
        <v>33.200000000000003</v>
      </c>
      <c r="P372">
        <v>32.799999999999997</v>
      </c>
      <c r="Q372">
        <v>46.1</v>
      </c>
      <c r="R372">
        <v>54.2</v>
      </c>
      <c r="S372">
        <v>31.7</v>
      </c>
      <c r="T372">
        <v>33.9</v>
      </c>
      <c r="U372">
        <v>70.900000000000006</v>
      </c>
      <c r="V372">
        <v>-19.100000000000001</v>
      </c>
      <c r="W372" cm="1">
        <f t="array" ref="W372">_xlfn.IFS(OR(X372="N/A",X372="NA"),0,OR(X372="R64",X372="R68"),1,X372="R32",2,X372="S16",3,X372="E8",4,X372="F4",5,X372="2ND",6,X372="Champions",7)</f>
        <v>0</v>
      </c>
      <c r="X372" t="s">
        <v>90</v>
      </c>
      <c r="Y372" t="s">
        <v>90</v>
      </c>
      <c r="Z372">
        <v>2017</v>
      </c>
    </row>
    <row r="373" spans="1:26" x14ac:dyDescent="0.3">
      <c r="A373" t="s">
        <v>170</v>
      </c>
      <c r="B373" t="s">
        <v>164</v>
      </c>
      <c r="C373">
        <v>27</v>
      </c>
      <c r="D373">
        <v>11</v>
      </c>
      <c r="E373" s="1">
        <f t="shared" si="5"/>
        <v>0.40740740740740738</v>
      </c>
      <c r="F373">
        <v>97.2</v>
      </c>
      <c r="G373">
        <v>105.4</v>
      </c>
      <c r="H373">
        <v>0.28410000000000002</v>
      </c>
      <c r="I373">
        <v>51</v>
      </c>
      <c r="J373">
        <v>52.2</v>
      </c>
      <c r="K373">
        <v>20.3</v>
      </c>
      <c r="L373">
        <v>18.2</v>
      </c>
      <c r="M373">
        <v>27.4</v>
      </c>
      <c r="N373">
        <v>25.4</v>
      </c>
      <c r="O373">
        <v>34.4</v>
      </c>
      <c r="P373">
        <v>34.5</v>
      </c>
      <c r="Q373">
        <v>50.6</v>
      </c>
      <c r="R373">
        <v>52</v>
      </c>
      <c r="S373">
        <v>34.299999999999997</v>
      </c>
      <c r="T373">
        <v>35</v>
      </c>
      <c r="U373">
        <v>70.099999999999994</v>
      </c>
      <c r="V373">
        <v>-12.6</v>
      </c>
      <c r="W373" cm="1">
        <f t="array" ref="W373">_xlfn.IFS(OR(X373="N/A",X373="NA"),0,OR(X373="R64",X373="R68"),1,X373="R32",2,X373="S16",3,X373="E8",4,X373="F4",5,X373="2ND",6,X373="Champions",7)</f>
        <v>0</v>
      </c>
      <c r="X373" t="s">
        <v>90</v>
      </c>
      <c r="Y373" t="s">
        <v>90</v>
      </c>
      <c r="Z373">
        <v>2017</v>
      </c>
    </row>
    <row r="374" spans="1:26" x14ac:dyDescent="0.3">
      <c r="A374" t="s">
        <v>171</v>
      </c>
      <c r="B374" t="s">
        <v>164</v>
      </c>
      <c r="C374">
        <v>28</v>
      </c>
      <c r="D374">
        <v>15</v>
      </c>
      <c r="E374" s="1">
        <f t="shared" si="5"/>
        <v>0.5357142857142857</v>
      </c>
      <c r="F374">
        <v>102.9</v>
      </c>
      <c r="G374">
        <v>110.8</v>
      </c>
      <c r="H374">
        <v>0.2979</v>
      </c>
      <c r="I374">
        <v>52.5</v>
      </c>
      <c r="J374">
        <v>56</v>
      </c>
      <c r="K374">
        <v>16.100000000000001</v>
      </c>
      <c r="L374">
        <v>22.2</v>
      </c>
      <c r="M374">
        <v>25.7</v>
      </c>
      <c r="N374">
        <v>31.3</v>
      </c>
      <c r="O374">
        <v>38.1</v>
      </c>
      <c r="P374">
        <v>36.799999999999997</v>
      </c>
      <c r="Q374">
        <v>53.9</v>
      </c>
      <c r="R374">
        <v>56.2</v>
      </c>
      <c r="S374">
        <v>33.4</v>
      </c>
      <c r="T374">
        <v>37.200000000000003</v>
      </c>
      <c r="U374">
        <v>73.599999999999994</v>
      </c>
      <c r="V374">
        <v>-12</v>
      </c>
      <c r="W374" cm="1">
        <f t="array" ref="W374">_xlfn.IFS(OR(X374="N/A",X374="NA"),0,OR(X374="R64",X374="R68"),1,X374="R32",2,X374="S16",3,X374="E8",4,X374="F4",5,X374="2ND",6,X374="Champions",7)</f>
        <v>0</v>
      </c>
      <c r="X374" t="s">
        <v>90</v>
      </c>
      <c r="Y374" t="s">
        <v>90</v>
      </c>
      <c r="Z374">
        <v>2017</v>
      </c>
    </row>
    <row r="375" spans="1:26" x14ac:dyDescent="0.3">
      <c r="A375" t="s">
        <v>172</v>
      </c>
      <c r="B375" t="s">
        <v>164</v>
      </c>
      <c r="C375">
        <v>29</v>
      </c>
      <c r="D375">
        <v>13</v>
      </c>
      <c r="E375" s="1">
        <f t="shared" si="5"/>
        <v>0.44827586206896552</v>
      </c>
      <c r="F375">
        <v>100.1</v>
      </c>
      <c r="G375">
        <v>111.4</v>
      </c>
      <c r="H375">
        <v>0.2263</v>
      </c>
      <c r="I375">
        <v>49.8</v>
      </c>
      <c r="J375">
        <v>52.3</v>
      </c>
      <c r="K375">
        <v>16.8</v>
      </c>
      <c r="L375">
        <v>15.8</v>
      </c>
      <c r="M375">
        <v>27.4</v>
      </c>
      <c r="N375">
        <v>29.3</v>
      </c>
      <c r="O375">
        <v>37.299999999999997</v>
      </c>
      <c r="P375">
        <v>33.1</v>
      </c>
      <c r="Q375">
        <v>51.1</v>
      </c>
      <c r="R375">
        <v>49.5</v>
      </c>
      <c r="S375">
        <v>31</v>
      </c>
      <c r="T375">
        <v>38.5</v>
      </c>
      <c r="U375">
        <v>67</v>
      </c>
      <c r="V375">
        <v>-13.8</v>
      </c>
      <c r="W375" cm="1">
        <f t="array" ref="W375">_xlfn.IFS(OR(X375="N/A",X375="NA"),0,OR(X375="R64",X375="R68"),1,X375="R32",2,X375="S16",3,X375="E8",4,X375="F4",5,X375="2ND",6,X375="Champions",7)</f>
        <v>0</v>
      </c>
      <c r="X375" t="s">
        <v>90</v>
      </c>
      <c r="Y375" t="s">
        <v>90</v>
      </c>
      <c r="Z375">
        <v>2017</v>
      </c>
    </row>
    <row r="376" spans="1:26" x14ac:dyDescent="0.3">
      <c r="A376" t="s">
        <v>173</v>
      </c>
      <c r="B376" t="s">
        <v>164</v>
      </c>
      <c r="C376">
        <v>31</v>
      </c>
      <c r="D376">
        <v>6</v>
      </c>
      <c r="E376" s="1">
        <f t="shared" si="5"/>
        <v>0.19354838709677419</v>
      </c>
      <c r="F376">
        <v>100.5</v>
      </c>
      <c r="G376">
        <v>118.5</v>
      </c>
      <c r="H376">
        <v>0.13109999999999999</v>
      </c>
      <c r="I376">
        <v>47.7</v>
      </c>
      <c r="J376">
        <v>56.6</v>
      </c>
      <c r="K376">
        <v>18.399999999999999</v>
      </c>
      <c r="L376">
        <v>16.7</v>
      </c>
      <c r="M376">
        <v>29.4</v>
      </c>
      <c r="N376">
        <v>29.4</v>
      </c>
      <c r="O376">
        <v>40.299999999999997</v>
      </c>
      <c r="P376">
        <v>51.3</v>
      </c>
      <c r="Q376">
        <v>43</v>
      </c>
      <c r="R376">
        <v>54.2</v>
      </c>
      <c r="S376">
        <v>36.299999999999997</v>
      </c>
      <c r="T376">
        <v>40.200000000000003</v>
      </c>
      <c r="U376">
        <v>72.7</v>
      </c>
      <c r="V376">
        <v>-22.9</v>
      </c>
      <c r="W376" cm="1">
        <f t="array" ref="W376">_xlfn.IFS(OR(X376="N/A",X376="NA"),0,OR(X376="R64",X376="R68"),1,X376="R32",2,X376="S16",3,X376="E8",4,X376="F4",5,X376="2ND",6,X376="Champions",7)</f>
        <v>0</v>
      </c>
      <c r="X376" t="s">
        <v>90</v>
      </c>
      <c r="Y376" t="s">
        <v>90</v>
      </c>
      <c r="Z376">
        <v>2017</v>
      </c>
    </row>
    <row r="377" spans="1:26" x14ac:dyDescent="0.3">
      <c r="A377" t="s">
        <v>174</v>
      </c>
      <c r="B377" t="s">
        <v>164</v>
      </c>
      <c r="C377">
        <v>32</v>
      </c>
      <c r="D377">
        <v>20</v>
      </c>
      <c r="E377" s="1">
        <f t="shared" si="5"/>
        <v>0.625</v>
      </c>
      <c r="F377">
        <v>107.1</v>
      </c>
      <c r="G377">
        <v>109</v>
      </c>
      <c r="H377">
        <v>0.44950000000000001</v>
      </c>
      <c r="I377">
        <v>56</v>
      </c>
      <c r="J377">
        <v>50.6</v>
      </c>
      <c r="K377">
        <v>16.899999999999999</v>
      </c>
      <c r="L377">
        <v>16.5</v>
      </c>
      <c r="M377">
        <v>21.4</v>
      </c>
      <c r="N377">
        <v>30.3</v>
      </c>
      <c r="O377">
        <v>42.9</v>
      </c>
      <c r="P377">
        <v>29.5</v>
      </c>
      <c r="Q377">
        <v>53</v>
      </c>
      <c r="R377">
        <v>49.8</v>
      </c>
      <c r="S377">
        <v>40.299999999999997</v>
      </c>
      <c r="T377">
        <v>35.200000000000003</v>
      </c>
      <c r="U377">
        <v>68</v>
      </c>
      <c r="V377">
        <v>-8.6999999999999993</v>
      </c>
      <c r="W377" cm="1">
        <f t="array" ref="W377">_xlfn.IFS(OR(X377="N/A",X377="NA"),0,OR(X377="R64",X377="R68"),1,X377="R32",2,X377="S16",3,X377="E8",4,X377="F4",5,X377="2ND",6,X377="Champions",7)</f>
        <v>0</v>
      </c>
      <c r="X377" t="s">
        <v>90</v>
      </c>
      <c r="Y377" t="s">
        <v>90</v>
      </c>
      <c r="Z377">
        <v>2017</v>
      </c>
    </row>
    <row r="378" spans="1:26" x14ac:dyDescent="0.3">
      <c r="A378" t="s">
        <v>175</v>
      </c>
      <c r="B378" t="s">
        <v>164</v>
      </c>
      <c r="C378">
        <v>33</v>
      </c>
      <c r="D378">
        <v>20</v>
      </c>
      <c r="E378" s="1">
        <f t="shared" si="5"/>
        <v>0.60606060606060608</v>
      </c>
      <c r="F378">
        <v>107.4</v>
      </c>
      <c r="G378">
        <v>103.3</v>
      </c>
      <c r="H378">
        <v>0.61070000000000002</v>
      </c>
      <c r="I378">
        <v>54</v>
      </c>
      <c r="J378">
        <v>51</v>
      </c>
      <c r="K378">
        <v>16.8</v>
      </c>
      <c r="L378">
        <v>16.899999999999999</v>
      </c>
      <c r="M378">
        <v>21.6</v>
      </c>
      <c r="N378">
        <v>25</v>
      </c>
      <c r="O378">
        <v>28</v>
      </c>
      <c r="P378">
        <v>35.4</v>
      </c>
      <c r="Q378">
        <v>52</v>
      </c>
      <c r="R378">
        <v>49.6</v>
      </c>
      <c r="S378">
        <v>37.9</v>
      </c>
      <c r="T378">
        <v>35.799999999999997</v>
      </c>
      <c r="U378">
        <v>67.900000000000006</v>
      </c>
      <c r="V378">
        <v>-7.1</v>
      </c>
      <c r="W378" cm="1">
        <f t="array" ref="W378">_xlfn.IFS(OR(X378="N/A",X378="NA"),0,OR(X378="R64",X378="R68"),1,X378="R32",2,X378="S16",3,X378="E8",4,X378="F4",5,X378="2ND",6,X378="Champions",7)</f>
        <v>0</v>
      </c>
      <c r="X378" t="s">
        <v>90</v>
      </c>
      <c r="Y378" t="s">
        <v>90</v>
      </c>
      <c r="Z378">
        <v>2018</v>
      </c>
    </row>
    <row r="379" spans="1:26" x14ac:dyDescent="0.3">
      <c r="A379" t="s">
        <v>163</v>
      </c>
      <c r="B379" t="s">
        <v>164</v>
      </c>
      <c r="C379">
        <v>29</v>
      </c>
      <c r="D379">
        <v>22</v>
      </c>
      <c r="E379" s="1">
        <f t="shared" si="5"/>
        <v>0.75862068965517238</v>
      </c>
      <c r="F379">
        <v>107.9</v>
      </c>
      <c r="G379">
        <v>106.6</v>
      </c>
      <c r="H379">
        <v>0.53480000000000005</v>
      </c>
      <c r="I379">
        <v>54.7</v>
      </c>
      <c r="J379">
        <v>50.1</v>
      </c>
      <c r="K379">
        <v>19.399999999999999</v>
      </c>
      <c r="L379">
        <v>16.100000000000001</v>
      </c>
      <c r="M379">
        <v>31.1</v>
      </c>
      <c r="N379">
        <v>24.2</v>
      </c>
      <c r="O379">
        <v>30.4</v>
      </c>
      <c r="P379">
        <v>30.2</v>
      </c>
      <c r="Q379">
        <v>50.3</v>
      </c>
      <c r="R379">
        <v>48.1</v>
      </c>
      <c r="S379">
        <v>41.1</v>
      </c>
      <c r="T379">
        <v>35.200000000000003</v>
      </c>
      <c r="U379">
        <v>66.8</v>
      </c>
      <c r="V379">
        <v>-4.5</v>
      </c>
      <c r="W379" cm="1">
        <f t="array" ref="W379">_xlfn.IFS(OR(X379="N/A",X379="NA"),0,OR(X379="R64",X379="R68"),1,X379="R32",2,X379="S16",3,X379="E8",4,X379="F4",5,X379="2ND",6,X379="Champions",7)</f>
        <v>0</v>
      </c>
      <c r="X379" t="s">
        <v>90</v>
      </c>
      <c r="Y379" t="s">
        <v>90</v>
      </c>
      <c r="Z379">
        <v>2018</v>
      </c>
    </row>
    <row r="380" spans="1:26" x14ac:dyDescent="0.3">
      <c r="A380" t="s">
        <v>165</v>
      </c>
      <c r="B380" t="s">
        <v>164</v>
      </c>
      <c r="C380">
        <v>28</v>
      </c>
      <c r="D380">
        <v>14</v>
      </c>
      <c r="E380" s="1">
        <f t="shared" si="5"/>
        <v>0.5</v>
      </c>
      <c r="F380">
        <v>104.2</v>
      </c>
      <c r="G380">
        <v>108.1</v>
      </c>
      <c r="H380">
        <v>0.39400000000000002</v>
      </c>
      <c r="I380">
        <v>55</v>
      </c>
      <c r="J380">
        <v>52.5</v>
      </c>
      <c r="K380">
        <v>18.5</v>
      </c>
      <c r="L380">
        <v>16.7</v>
      </c>
      <c r="M380">
        <v>19.8</v>
      </c>
      <c r="N380">
        <v>28.1</v>
      </c>
      <c r="O380">
        <v>34.5</v>
      </c>
      <c r="P380">
        <v>31</v>
      </c>
      <c r="Q380">
        <v>52.4</v>
      </c>
      <c r="R380">
        <v>53.1</v>
      </c>
      <c r="S380">
        <v>39.4</v>
      </c>
      <c r="T380">
        <v>34.299999999999997</v>
      </c>
      <c r="U380">
        <v>69.2</v>
      </c>
      <c r="V380">
        <v>-11.3</v>
      </c>
      <c r="W380" cm="1">
        <f t="array" ref="W380">_xlfn.IFS(OR(X380="N/A",X380="NA"),0,OR(X380="R64",X380="R68"),1,X380="R32",2,X380="S16",3,X380="E8",4,X380="F4",5,X380="2ND",6,X380="Champions",7)</f>
        <v>0</v>
      </c>
      <c r="X380" t="s">
        <v>90</v>
      </c>
      <c r="Y380" t="s">
        <v>90</v>
      </c>
      <c r="Z380">
        <v>2018</v>
      </c>
    </row>
    <row r="381" spans="1:26" x14ac:dyDescent="0.3">
      <c r="A381" t="s">
        <v>167</v>
      </c>
      <c r="B381" t="s">
        <v>164</v>
      </c>
      <c r="C381">
        <v>30</v>
      </c>
      <c r="D381">
        <v>13</v>
      </c>
      <c r="E381" s="1">
        <f t="shared" si="5"/>
        <v>0.43333333333333335</v>
      </c>
      <c r="F381">
        <v>101.9</v>
      </c>
      <c r="G381">
        <v>110.3</v>
      </c>
      <c r="H381">
        <v>0.28749999999999998</v>
      </c>
      <c r="I381">
        <v>47.8</v>
      </c>
      <c r="J381">
        <v>54.9</v>
      </c>
      <c r="K381">
        <v>17.100000000000001</v>
      </c>
      <c r="L381">
        <v>18.399999999999999</v>
      </c>
      <c r="M381">
        <v>28.7</v>
      </c>
      <c r="N381">
        <v>27.7</v>
      </c>
      <c r="O381">
        <v>39</v>
      </c>
      <c r="P381">
        <v>36.4</v>
      </c>
      <c r="Q381">
        <v>46.1</v>
      </c>
      <c r="R381">
        <v>55.9</v>
      </c>
      <c r="S381">
        <v>33.799999999999997</v>
      </c>
      <c r="T381">
        <v>35.5</v>
      </c>
      <c r="U381">
        <v>70.8</v>
      </c>
      <c r="V381">
        <v>-13.8</v>
      </c>
      <c r="W381" cm="1">
        <f t="array" ref="W381">_xlfn.IFS(OR(X381="N/A",X381="NA"),0,OR(X381="R64",X381="R68"),1,X381="R32",2,X381="S16",3,X381="E8",4,X381="F4",5,X381="2ND",6,X381="Champions",7)</f>
        <v>0</v>
      </c>
      <c r="X381" t="s">
        <v>90</v>
      </c>
      <c r="Y381" t="s">
        <v>90</v>
      </c>
      <c r="Z381">
        <v>2018</v>
      </c>
    </row>
    <row r="382" spans="1:26" x14ac:dyDescent="0.3">
      <c r="A382" t="s">
        <v>168</v>
      </c>
      <c r="B382" t="s">
        <v>164</v>
      </c>
      <c r="C382">
        <v>30</v>
      </c>
      <c r="D382">
        <v>12</v>
      </c>
      <c r="E382" s="1">
        <f t="shared" si="5"/>
        <v>0.4</v>
      </c>
      <c r="F382">
        <v>102</v>
      </c>
      <c r="G382">
        <v>109</v>
      </c>
      <c r="H382">
        <v>0.31809999999999999</v>
      </c>
      <c r="I382">
        <v>51.8</v>
      </c>
      <c r="J382">
        <v>56.4</v>
      </c>
      <c r="K382">
        <v>17.399999999999999</v>
      </c>
      <c r="L382">
        <v>19.7</v>
      </c>
      <c r="M382">
        <v>19.8</v>
      </c>
      <c r="N382">
        <v>29.5</v>
      </c>
      <c r="O382">
        <v>35.5</v>
      </c>
      <c r="P382">
        <v>34.1</v>
      </c>
      <c r="Q382">
        <v>51.4</v>
      </c>
      <c r="R382">
        <v>56</v>
      </c>
      <c r="S382">
        <v>35.1</v>
      </c>
      <c r="T382">
        <v>38</v>
      </c>
      <c r="U382">
        <v>72.900000000000006</v>
      </c>
      <c r="V382">
        <v>-12.6</v>
      </c>
      <c r="W382" cm="1">
        <f t="array" ref="W382">_xlfn.IFS(OR(X382="N/A",X382="NA"),0,OR(X382="R64",X382="R68"),1,X382="R32",2,X382="S16",3,X382="E8",4,X382="F4",5,X382="2ND",6,X382="Champions",7)</f>
        <v>0</v>
      </c>
      <c r="X382" t="s">
        <v>90</v>
      </c>
      <c r="Y382" t="s">
        <v>90</v>
      </c>
      <c r="Z382">
        <v>2018</v>
      </c>
    </row>
    <row r="383" spans="1:26" x14ac:dyDescent="0.3">
      <c r="A383" t="s">
        <v>169</v>
      </c>
      <c r="B383" t="s">
        <v>164</v>
      </c>
      <c r="C383">
        <v>30</v>
      </c>
      <c r="D383">
        <v>5</v>
      </c>
      <c r="E383" s="1">
        <f t="shared" si="5"/>
        <v>0.16666666666666666</v>
      </c>
      <c r="F383">
        <v>92.2</v>
      </c>
      <c r="G383">
        <v>108.9</v>
      </c>
      <c r="H383">
        <v>0.1295</v>
      </c>
      <c r="I383">
        <v>44.9</v>
      </c>
      <c r="J383">
        <v>55.3</v>
      </c>
      <c r="K383">
        <v>22</v>
      </c>
      <c r="L383">
        <v>19</v>
      </c>
      <c r="M383">
        <v>27</v>
      </c>
      <c r="N383">
        <v>29.5</v>
      </c>
      <c r="O383">
        <v>42.6</v>
      </c>
      <c r="P383">
        <v>37</v>
      </c>
      <c r="Q383">
        <v>44.5</v>
      </c>
      <c r="R383">
        <v>52.6</v>
      </c>
      <c r="S383">
        <v>30.5</v>
      </c>
      <c r="T383">
        <v>39.4</v>
      </c>
      <c r="U383">
        <v>70.2</v>
      </c>
      <c r="V383">
        <v>-19.2</v>
      </c>
      <c r="W383" cm="1">
        <f t="array" ref="W383">_xlfn.IFS(OR(X383="N/A",X383="NA"),0,OR(X383="R64",X383="R68"),1,X383="R32",2,X383="S16",3,X383="E8",4,X383="F4",5,X383="2ND",6,X383="Champions",7)</f>
        <v>0</v>
      </c>
      <c r="X383" t="s">
        <v>90</v>
      </c>
      <c r="Y383" t="s">
        <v>90</v>
      </c>
      <c r="Z383">
        <v>2018</v>
      </c>
    </row>
    <row r="384" spans="1:26" x14ac:dyDescent="0.3">
      <c r="A384" t="s">
        <v>170</v>
      </c>
      <c r="B384" t="s">
        <v>164</v>
      </c>
      <c r="C384">
        <v>35</v>
      </c>
      <c r="D384">
        <v>26</v>
      </c>
      <c r="E384" s="1">
        <f t="shared" si="5"/>
        <v>0.74285714285714288</v>
      </c>
      <c r="F384">
        <v>106.7</v>
      </c>
      <c r="G384">
        <v>100.2</v>
      </c>
      <c r="H384">
        <v>0.67400000000000004</v>
      </c>
      <c r="I384">
        <v>53.7</v>
      </c>
      <c r="J384">
        <v>48.8</v>
      </c>
      <c r="K384">
        <v>16.7</v>
      </c>
      <c r="L384">
        <v>17.3</v>
      </c>
      <c r="M384">
        <v>25.6</v>
      </c>
      <c r="N384">
        <v>24.4</v>
      </c>
      <c r="O384">
        <v>33.700000000000003</v>
      </c>
      <c r="P384">
        <v>36.700000000000003</v>
      </c>
      <c r="Q384">
        <v>54</v>
      </c>
      <c r="R384">
        <v>48.7</v>
      </c>
      <c r="S384">
        <v>35.5</v>
      </c>
      <c r="T384">
        <v>32.799999999999997</v>
      </c>
      <c r="U384">
        <v>73.099999999999994</v>
      </c>
      <c r="V384">
        <v>-6.2</v>
      </c>
      <c r="W384" cm="1">
        <f t="array" ref="W384">_xlfn.IFS(OR(X384="N/A",X384="NA"),0,OR(X384="R64",X384="R68"),1,X384="R32",2,X384="S16",3,X384="E8",4,X384="F4",5,X384="2ND",6,X384="Champions",7)</f>
        <v>0</v>
      </c>
      <c r="X384" t="s">
        <v>90</v>
      </c>
      <c r="Y384" t="s">
        <v>90</v>
      </c>
      <c r="Z384">
        <v>2018</v>
      </c>
    </row>
    <row r="385" spans="1:26" x14ac:dyDescent="0.3">
      <c r="A385" t="s">
        <v>171</v>
      </c>
      <c r="B385" t="s">
        <v>164</v>
      </c>
      <c r="C385">
        <v>31</v>
      </c>
      <c r="D385">
        <v>20</v>
      </c>
      <c r="E385" s="1">
        <f t="shared" si="5"/>
        <v>0.64516129032258063</v>
      </c>
      <c r="F385">
        <v>106.8</v>
      </c>
      <c r="G385">
        <v>107</v>
      </c>
      <c r="H385">
        <v>0.49399999999999999</v>
      </c>
      <c r="I385">
        <v>49.2</v>
      </c>
      <c r="J385">
        <v>55</v>
      </c>
      <c r="K385">
        <v>16.5</v>
      </c>
      <c r="L385">
        <v>22</v>
      </c>
      <c r="M385">
        <v>34.700000000000003</v>
      </c>
      <c r="N385">
        <v>30.5</v>
      </c>
      <c r="O385">
        <v>33.299999999999997</v>
      </c>
      <c r="P385">
        <v>43.3</v>
      </c>
      <c r="Q385">
        <v>48.9</v>
      </c>
      <c r="R385">
        <v>54</v>
      </c>
      <c r="S385">
        <v>33.200000000000003</v>
      </c>
      <c r="T385">
        <v>38</v>
      </c>
      <c r="U385">
        <v>75.7</v>
      </c>
      <c r="V385">
        <v>-6.8</v>
      </c>
      <c r="W385" cm="1">
        <f t="array" ref="W385">_xlfn.IFS(OR(X385="N/A",X385="NA"),0,OR(X385="R64",X385="R68"),1,X385="R32",2,X385="S16",3,X385="E8",4,X385="F4",5,X385="2ND",6,X385="Champions",7)</f>
        <v>0</v>
      </c>
      <c r="X385" t="s">
        <v>90</v>
      </c>
      <c r="Y385" t="s">
        <v>90</v>
      </c>
      <c r="Z385">
        <v>2018</v>
      </c>
    </row>
    <row r="386" spans="1:26" x14ac:dyDescent="0.3">
      <c r="A386" t="s">
        <v>172</v>
      </c>
      <c r="B386" t="s">
        <v>164</v>
      </c>
      <c r="C386">
        <v>30</v>
      </c>
      <c r="D386">
        <v>7</v>
      </c>
      <c r="E386" s="1">
        <f t="shared" si="5"/>
        <v>0.23333333333333334</v>
      </c>
      <c r="F386">
        <v>98.6</v>
      </c>
      <c r="G386">
        <v>110.5</v>
      </c>
      <c r="H386">
        <v>0.2122</v>
      </c>
      <c r="I386">
        <v>49</v>
      </c>
      <c r="J386">
        <v>52.7</v>
      </c>
      <c r="K386">
        <v>17.899999999999999</v>
      </c>
      <c r="L386">
        <v>17.5</v>
      </c>
      <c r="M386">
        <v>24.1</v>
      </c>
      <c r="N386">
        <v>29.5</v>
      </c>
      <c r="O386">
        <v>27.8</v>
      </c>
      <c r="P386">
        <v>33.4</v>
      </c>
      <c r="Q386">
        <v>47.7</v>
      </c>
      <c r="R386">
        <v>50.9</v>
      </c>
      <c r="S386">
        <v>34.6</v>
      </c>
      <c r="T386">
        <v>37.200000000000003</v>
      </c>
      <c r="U386">
        <v>66.900000000000006</v>
      </c>
      <c r="V386">
        <v>-18.600000000000001</v>
      </c>
      <c r="W386" cm="1">
        <f t="array" ref="W386">_xlfn.IFS(OR(X386="N/A",X386="NA"),0,OR(X386="R64",X386="R68"),1,X386="R32",2,X386="S16",3,X386="E8",4,X386="F4",5,X386="2ND",6,X386="Champions",7)</f>
        <v>0</v>
      </c>
      <c r="X386" t="s">
        <v>90</v>
      </c>
      <c r="Y386" t="s">
        <v>90</v>
      </c>
      <c r="Z386">
        <v>2018</v>
      </c>
    </row>
    <row r="387" spans="1:26" x14ac:dyDescent="0.3">
      <c r="A387" t="s">
        <v>173</v>
      </c>
      <c r="B387" t="s">
        <v>164</v>
      </c>
      <c r="C387">
        <v>30</v>
      </c>
      <c r="D387">
        <v>13</v>
      </c>
      <c r="E387" s="1">
        <f t="shared" ref="E387:E450" si="6">D387/C387</f>
        <v>0.43333333333333335</v>
      </c>
      <c r="F387">
        <v>100.7</v>
      </c>
      <c r="G387">
        <v>108.1</v>
      </c>
      <c r="H387">
        <v>0.30620000000000003</v>
      </c>
      <c r="I387">
        <v>50.4</v>
      </c>
      <c r="J387">
        <v>54.6</v>
      </c>
      <c r="K387">
        <v>17.399999999999999</v>
      </c>
      <c r="L387">
        <v>16.600000000000001</v>
      </c>
      <c r="M387">
        <v>22.6</v>
      </c>
      <c r="N387">
        <v>25.9</v>
      </c>
      <c r="O387">
        <v>35.9</v>
      </c>
      <c r="P387">
        <v>41.6</v>
      </c>
      <c r="Q387">
        <v>48.2</v>
      </c>
      <c r="R387">
        <v>53.2</v>
      </c>
      <c r="S387">
        <v>36.1</v>
      </c>
      <c r="T387">
        <v>38.200000000000003</v>
      </c>
      <c r="U387">
        <v>72.8</v>
      </c>
      <c r="V387">
        <v>-12.3</v>
      </c>
      <c r="W387" cm="1">
        <f t="array" ref="W387">_xlfn.IFS(OR(X387="N/A",X387="NA"),0,OR(X387="R64",X387="R68"),1,X387="R32",2,X387="S16",3,X387="E8",4,X387="F4",5,X387="2ND",6,X387="Champions",7)</f>
        <v>0</v>
      </c>
      <c r="X387" t="s">
        <v>90</v>
      </c>
      <c r="Y387" t="s">
        <v>90</v>
      </c>
      <c r="Z387">
        <v>2018</v>
      </c>
    </row>
    <row r="388" spans="1:26" x14ac:dyDescent="0.3">
      <c r="A388" t="s">
        <v>174</v>
      </c>
      <c r="B388" t="s">
        <v>164</v>
      </c>
      <c r="C388">
        <v>28</v>
      </c>
      <c r="D388">
        <v>20</v>
      </c>
      <c r="E388" s="1">
        <f t="shared" si="6"/>
        <v>0.7142857142857143</v>
      </c>
      <c r="F388">
        <v>105.4</v>
      </c>
      <c r="G388">
        <v>106.1</v>
      </c>
      <c r="H388">
        <v>0.47839999999999999</v>
      </c>
      <c r="I388">
        <v>56</v>
      </c>
      <c r="J388">
        <v>50.1</v>
      </c>
      <c r="K388">
        <v>17.5</v>
      </c>
      <c r="L388">
        <v>15.9</v>
      </c>
      <c r="M388">
        <v>19.3</v>
      </c>
      <c r="N388">
        <v>26.8</v>
      </c>
      <c r="O388">
        <v>35.1</v>
      </c>
      <c r="P388">
        <v>31.8</v>
      </c>
      <c r="Q388">
        <v>52.5</v>
      </c>
      <c r="R388">
        <v>49.2</v>
      </c>
      <c r="S388">
        <v>41</v>
      </c>
      <c r="T388">
        <v>34.700000000000003</v>
      </c>
      <c r="U388">
        <v>68.5</v>
      </c>
      <c r="V388">
        <v>-6.1</v>
      </c>
      <c r="W388" cm="1">
        <f t="array" ref="W388">_xlfn.IFS(OR(X388="N/A",X388="NA"),0,OR(X388="R64",X388="R68"),1,X388="R32",2,X388="S16",3,X388="E8",4,X388="F4",5,X388="2ND",6,X388="Champions",7)</f>
        <v>0</v>
      </c>
      <c r="X388" t="s">
        <v>90</v>
      </c>
      <c r="Y388" t="s">
        <v>90</v>
      </c>
      <c r="Z388">
        <v>2018</v>
      </c>
    </row>
    <row r="389" spans="1:26" x14ac:dyDescent="0.3">
      <c r="A389" t="s">
        <v>175</v>
      </c>
      <c r="B389" t="s">
        <v>164</v>
      </c>
      <c r="C389">
        <v>33</v>
      </c>
      <c r="D389">
        <v>16</v>
      </c>
      <c r="E389" s="1">
        <f t="shared" si="6"/>
        <v>0.48484848484848486</v>
      </c>
      <c r="F389">
        <v>100.1</v>
      </c>
      <c r="G389">
        <v>106.4</v>
      </c>
      <c r="H389">
        <v>0.32969999999999999</v>
      </c>
      <c r="I389">
        <v>50.3</v>
      </c>
      <c r="J389">
        <v>52.5</v>
      </c>
      <c r="K389">
        <v>17.100000000000001</v>
      </c>
      <c r="L389">
        <v>16.600000000000001</v>
      </c>
      <c r="M389">
        <v>24.6</v>
      </c>
      <c r="N389">
        <v>23.6</v>
      </c>
      <c r="O389">
        <v>27</v>
      </c>
      <c r="P389">
        <v>34.799999999999997</v>
      </c>
      <c r="Q389">
        <v>48.9</v>
      </c>
      <c r="R389">
        <v>50.1</v>
      </c>
      <c r="S389">
        <v>34.799999999999997</v>
      </c>
      <c r="T389">
        <v>37.4</v>
      </c>
      <c r="U389">
        <v>69</v>
      </c>
      <c r="V389">
        <v>-11.9</v>
      </c>
      <c r="W389" cm="1">
        <f t="array" ref="W389">_xlfn.IFS(OR(X389="N/A",X389="NA"),0,OR(X389="R64",X389="R68"),1,X389="R32",2,X389="S16",3,X389="E8",4,X389="F4",5,X389="2ND",6,X389="Champions",7)</f>
        <v>0</v>
      </c>
      <c r="X389" t="s">
        <v>90</v>
      </c>
      <c r="Y389" t="s">
        <v>90</v>
      </c>
      <c r="Z389">
        <v>2019</v>
      </c>
    </row>
    <row r="390" spans="1:26" x14ac:dyDescent="0.3">
      <c r="A390" t="s">
        <v>163</v>
      </c>
      <c r="B390" t="s">
        <v>164</v>
      </c>
      <c r="C390">
        <v>29</v>
      </c>
      <c r="D390">
        <v>5</v>
      </c>
      <c r="E390" s="1">
        <f t="shared" si="6"/>
        <v>0.17241379310344829</v>
      </c>
      <c r="F390">
        <v>94.5</v>
      </c>
      <c r="G390">
        <v>118</v>
      </c>
      <c r="H390">
        <v>7.1999999999999995E-2</v>
      </c>
      <c r="I390">
        <v>50.3</v>
      </c>
      <c r="J390">
        <v>53.7</v>
      </c>
      <c r="K390">
        <v>20</v>
      </c>
      <c r="L390">
        <v>13.3</v>
      </c>
      <c r="M390">
        <v>24.2</v>
      </c>
      <c r="N390">
        <v>32</v>
      </c>
      <c r="O390">
        <v>28.2</v>
      </c>
      <c r="P390">
        <v>33.1</v>
      </c>
      <c r="Q390">
        <v>46.5</v>
      </c>
      <c r="R390">
        <v>55.4</v>
      </c>
      <c r="S390">
        <v>37.6</v>
      </c>
      <c r="T390">
        <v>34.299999999999997</v>
      </c>
      <c r="U390">
        <v>66.5</v>
      </c>
      <c r="V390">
        <v>-23.4</v>
      </c>
      <c r="W390" cm="1">
        <f t="array" ref="W390">_xlfn.IFS(OR(X390="N/A",X390="NA"),0,OR(X390="R64",X390="R68"),1,X390="R32",2,X390="S16",3,X390="E8",4,X390="F4",5,X390="2ND",6,X390="Champions",7)</f>
        <v>0</v>
      </c>
      <c r="X390" t="s">
        <v>90</v>
      </c>
      <c r="Y390" t="s">
        <v>90</v>
      </c>
      <c r="Z390">
        <v>2019</v>
      </c>
    </row>
    <row r="391" spans="1:26" x14ac:dyDescent="0.3">
      <c r="A391" t="s">
        <v>165</v>
      </c>
      <c r="B391" t="s">
        <v>164</v>
      </c>
      <c r="C391">
        <v>28</v>
      </c>
      <c r="D391">
        <v>11</v>
      </c>
      <c r="E391" s="1">
        <f t="shared" si="6"/>
        <v>0.39285714285714285</v>
      </c>
      <c r="F391">
        <v>102.7</v>
      </c>
      <c r="G391">
        <v>116.6</v>
      </c>
      <c r="H391">
        <v>0.189</v>
      </c>
      <c r="I391">
        <v>52</v>
      </c>
      <c r="J391">
        <v>56.1</v>
      </c>
      <c r="K391">
        <v>17.600000000000001</v>
      </c>
      <c r="L391">
        <v>15</v>
      </c>
      <c r="M391">
        <v>25.8</v>
      </c>
      <c r="N391">
        <v>29.8</v>
      </c>
      <c r="O391">
        <v>28.8</v>
      </c>
      <c r="P391">
        <v>30.6</v>
      </c>
      <c r="Q391">
        <v>50.4</v>
      </c>
      <c r="R391">
        <v>54.2</v>
      </c>
      <c r="S391">
        <v>36.200000000000003</v>
      </c>
      <c r="T391">
        <v>39.6</v>
      </c>
      <c r="U391">
        <v>68.3</v>
      </c>
      <c r="V391">
        <v>-14.3</v>
      </c>
      <c r="W391" cm="1">
        <f t="array" ref="W391">_xlfn.IFS(OR(X391="N/A",X391="NA"),0,OR(X391="R64",X391="R68"),1,X391="R32",2,X391="S16",3,X391="E8",4,X391="F4",5,X391="2ND",6,X391="Champions",7)</f>
        <v>0</v>
      </c>
      <c r="X391" t="s">
        <v>90</v>
      </c>
      <c r="Y391" t="s">
        <v>90</v>
      </c>
      <c r="Z391">
        <v>2019</v>
      </c>
    </row>
    <row r="392" spans="1:26" x14ac:dyDescent="0.3">
      <c r="A392" t="s">
        <v>167</v>
      </c>
      <c r="B392" t="s">
        <v>164</v>
      </c>
      <c r="C392">
        <v>31</v>
      </c>
      <c r="D392">
        <v>15</v>
      </c>
      <c r="E392" s="1">
        <f t="shared" si="6"/>
        <v>0.4838709677419355</v>
      </c>
      <c r="F392">
        <v>105.6</v>
      </c>
      <c r="G392">
        <v>115.7</v>
      </c>
      <c r="H392">
        <v>0.25779999999999997</v>
      </c>
      <c r="I392">
        <v>53.4</v>
      </c>
      <c r="J392">
        <v>57.1</v>
      </c>
      <c r="K392">
        <v>17.100000000000001</v>
      </c>
      <c r="L392">
        <v>17.2</v>
      </c>
      <c r="M392">
        <v>26.3</v>
      </c>
      <c r="N392">
        <v>26.6</v>
      </c>
      <c r="O392">
        <v>34.9</v>
      </c>
      <c r="P392">
        <v>28.3</v>
      </c>
      <c r="Q392">
        <v>51.1</v>
      </c>
      <c r="R392">
        <v>57.4</v>
      </c>
      <c r="S392">
        <v>37.6</v>
      </c>
      <c r="T392">
        <v>37.799999999999997</v>
      </c>
      <c r="U392">
        <v>71.3</v>
      </c>
      <c r="V392">
        <v>-12.3</v>
      </c>
      <c r="W392" cm="1">
        <f t="array" ref="W392">_xlfn.IFS(OR(X392="N/A",X392="NA"),0,OR(X392="R64",X392="R68"),1,X392="R32",2,X392="S16",3,X392="E8",4,X392="F4",5,X392="2ND",6,X392="Champions",7)</f>
        <v>0</v>
      </c>
      <c r="X392" t="s">
        <v>90</v>
      </c>
      <c r="Y392" t="s">
        <v>90</v>
      </c>
      <c r="Z392">
        <v>2019</v>
      </c>
    </row>
    <row r="393" spans="1:26" x14ac:dyDescent="0.3">
      <c r="A393" t="s">
        <v>168</v>
      </c>
      <c r="B393" t="s">
        <v>164</v>
      </c>
      <c r="C393">
        <v>26</v>
      </c>
      <c r="D393">
        <v>12</v>
      </c>
      <c r="E393" s="1">
        <f t="shared" si="6"/>
        <v>0.46153846153846156</v>
      </c>
      <c r="F393">
        <v>97.4</v>
      </c>
      <c r="G393">
        <v>104.6</v>
      </c>
      <c r="H393">
        <v>0.30499999999999999</v>
      </c>
      <c r="I393">
        <v>51.3</v>
      </c>
      <c r="J393">
        <v>52.5</v>
      </c>
      <c r="K393">
        <v>17.899999999999999</v>
      </c>
      <c r="L393">
        <v>17.3</v>
      </c>
      <c r="M393">
        <v>21</v>
      </c>
      <c r="N393">
        <v>25.4</v>
      </c>
      <c r="O393">
        <v>27.2</v>
      </c>
      <c r="P393">
        <v>30</v>
      </c>
      <c r="Q393">
        <v>49.6</v>
      </c>
      <c r="R393">
        <v>52.2</v>
      </c>
      <c r="S393">
        <v>36</v>
      </c>
      <c r="T393">
        <v>35.299999999999997</v>
      </c>
      <c r="U393">
        <v>71.099999999999994</v>
      </c>
      <c r="V393">
        <v>-12.8</v>
      </c>
      <c r="W393" cm="1">
        <f t="array" ref="W393">_xlfn.IFS(OR(X393="N/A",X393="NA"),0,OR(X393="R64",X393="R68"),1,X393="R32",2,X393="S16",3,X393="E8",4,X393="F4",5,X393="2ND",6,X393="Champions",7)</f>
        <v>0</v>
      </c>
      <c r="X393" t="s">
        <v>90</v>
      </c>
      <c r="Y393" t="s">
        <v>90</v>
      </c>
      <c r="Z393">
        <v>2019</v>
      </c>
    </row>
    <row r="394" spans="1:26" x14ac:dyDescent="0.3">
      <c r="A394" t="s">
        <v>169</v>
      </c>
      <c r="B394" t="s">
        <v>164</v>
      </c>
      <c r="C394">
        <v>31</v>
      </c>
      <c r="D394">
        <v>10</v>
      </c>
      <c r="E394" s="1">
        <f t="shared" si="6"/>
        <v>0.32258064516129031</v>
      </c>
      <c r="F394">
        <v>99.4</v>
      </c>
      <c r="G394">
        <v>112</v>
      </c>
      <c r="H394">
        <v>0.20119999999999999</v>
      </c>
      <c r="I394">
        <v>50.3</v>
      </c>
      <c r="J394">
        <v>55</v>
      </c>
      <c r="K394">
        <v>17</v>
      </c>
      <c r="L394">
        <v>16.600000000000001</v>
      </c>
      <c r="M394">
        <v>25.8</v>
      </c>
      <c r="N394">
        <v>26.5</v>
      </c>
      <c r="O394">
        <v>33.799999999999997</v>
      </c>
      <c r="P394">
        <v>29.7</v>
      </c>
      <c r="Q394">
        <v>49.2</v>
      </c>
      <c r="R394">
        <v>55.9</v>
      </c>
      <c r="S394">
        <v>34.6</v>
      </c>
      <c r="T394">
        <v>35.799999999999997</v>
      </c>
      <c r="U394">
        <v>69.900000000000006</v>
      </c>
      <c r="V394">
        <v>-16.7</v>
      </c>
      <c r="W394" cm="1">
        <f t="array" ref="W394">_xlfn.IFS(OR(X394="N/A",X394="NA"),0,OR(X394="R64",X394="R68"),1,X394="R32",2,X394="S16",3,X394="E8",4,X394="F4",5,X394="2ND",6,X394="Champions",7)</f>
        <v>0</v>
      </c>
      <c r="X394" t="s">
        <v>90</v>
      </c>
      <c r="Y394" t="s">
        <v>90</v>
      </c>
      <c r="Z394">
        <v>2019</v>
      </c>
    </row>
    <row r="395" spans="1:26" x14ac:dyDescent="0.3">
      <c r="A395" t="s">
        <v>170</v>
      </c>
      <c r="B395" t="s">
        <v>164</v>
      </c>
      <c r="C395">
        <v>30</v>
      </c>
      <c r="D395">
        <v>21</v>
      </c>
      <c r="E395" s="1">
        <f t="shared" si="6"/>
        <v>0.7</v>
      </c>
      <c r="F395">
        <v>102.3</v>
      </c>
      <c r="G395">
        <v>103</v>
      </c>
      <c r="H395">
        <v>0.48080000000000001</v>
      </c>
      <c r="I395">
        <v>53</v>
      </c>
      <c r="J395">
        <v>51.4</v>
      </c>
      <c r="K395">
        <v>18.399999999999999</v>
      </c>
      <c r="L395">
        <v>18.600000000000001</v>
      </c>
      <c r="M395">
        <v>27.7</v>
      </c>
      <c r="N395">
        <v>25.6</v>
      </c>
      <c r="O395">
        <v>34.799999999999997</v>
      </c>
      <c r="P395">
        <v>28.4</v>
      </c>
      <c r="Q395">
        <v>53.6</v>
      </c>
      <c r="R395">
        <v>49.5</v>
      </c>
      <c r="S395">
        <v>34.9</v>
      </c>
      <c r="T395">
        <v>37.1</v>
      </c>
      <c r="U395">
        <v>67.900000000000006</v>
      </c>
      <c r="V395">
        <v>-6.7</v>
      </c>
      <c r="W395" cm="1">
        <f t="array" ref="W395">_xlfn.IFS(OR(X395="N/A",X395="NA"),0,OR(X395="R64",X395="R68"),1,X395="R32",2,X395="S16",3,X395="E8",4,X395="F4",5,X395="2ND",6,X395="Champions",7)</f>
        <v>0</v>
      </c>
      <c r="X395" t="s">
        <v>90</v>
      </c>
      <c r="Y395" t="s">
        <v>90</v>
      </c>
      <c r="Z395">
        <v>2019</v>
      </c>
    </row>
    <row r="396" spans="1:26" x14ac:dyDescent="0.3">
      <c r="A396" t="s">
        <v>171</v>
      </c>
      <c r="B396" t="s">
        <v>164</v>
      </c>
      <c r="C396">
        <v>29</v>
      </c>
      <c r="D396">
        <v>16</v>
      </c>
      <c r="E396" s="1">
        <f t="shared" si="6"/>
        <v>0.55172413793103448</v>
      </c>
      <c r="F396">
        <v>101.1</v>
      </c>
      <c r="G396">
        <v>111.2</v>
      </c>
      <c r="H396">
        <v>0.25130000000000002</v>
      </c>
      <c r="I396">
        <v>46.9</v>
      </c>
      <c r="J396">
        <v>53.7</v>
      </c>
      <c r="K396">
        <v>19.399999999999999</v>
      </c>
      <c r="L396">
        <v>18.8</v>
      </c>
      <c r="M396">
        <v>38.700000000000003</v>
      </c>
      <c r="N396">
        <v>28.5</v>
      </c>
      <c r="O396">
        <v>37.299999999999997</v>
      </c>
      <c r="P396">
        <v>43.3</v>
      </c>
      <c r="Q396">
        <v>48.3</v>
      </c>
      <c r="R396">
        <v>54.6</v>
      </c>
      <c r="S396">
        <v>29.8</v>
      </c>
      <c r="T396">
        <v>34.799999999999997</v>
      </c>
      <c r="U396">
        <v>70.5</v>
      </c>
      <c r="V396">
        <v>-12</v>
      </c>
      <c r="W396" cm="1">
        <f t="array" ref="W396">_xlfn.IFS(OR(X396="N/A",X396="NA"),0,OR(X396="R64",X396="R68"),1,X396="R32",2,X396="S16",3,X396="E8",4,X396="F4",5,X396="2ND",6,X396="Champions",7)</f>
        <v>0</v>
      </c>
      <c r="X396" t="s">
        <v>90</v>
      </c>
      <c r="Y396" t="s">
        <v>90</v>
      </c>
      <c r="Z396">
        <v>2019</v>
      </c>
    </row>
    <row r="397" spans="1:26" x14ac:dyDescent="0.3">
      <c r="A397" t="s">
        <v>172</v>
      </c>
      <c r="B397" t="s">
        <v>164</v>
      </c>
      <c r="C397">
        <v>28</v>
      </c>
      <c r="D397">
        <v>15</v>
      </c>
      <c r="E397" s="1">
        <f t="shared" si="6"/>
        <v>0.5357142857142857</v>
      </c>
      <c r="F397">
        <v>96.4</v>
      </c>
      <c r="G397">
        <v>105.7</v>
      </c>
      <c r="H397">
        <v>0.2581</v>
      </c>
      <c r="I397">
        <v>48.7</v>
      </c>
      <c r="J397">
        <v>52.6</v>
      </c>
      <c r="K397">
        <v>19.100000000000001</v>
      </c>
      <c r="L397">
        <v>21.4</v>
      </c>
      <c r="M397">
        <v>28.2</v>
      </c>
      <c r="N397">
        <v>27.1</v>
      </c>
      <c r="O397">
        <v>33.5</v>
      </c>
      <c r="P397">
        <v>36.799999999999997</v>
      </c>
      <c r="Q397">
        <v>48.3</v>
      </c>
      <c r="R397">
        <v>50.8</v>
      </c>
      <c r="S397">
        <v>33.1</v>
      </c>
      <c r="T397">
        <v>37</v>
      </c>
      <c r="U397">
        <v>69</v>
      </c>
      <c r="V397">
        <v>-12.6</v>
      </c>
      <c r="W397" cm="1">
        <f t="array" ref="W397">_xlfn.IFS(OR(X397="N/A",X397="NA"),0,OR(X397="R64",X397="R68"),1,X397="R32",2,X397="S16",3,X397="E8",4,X397="F4",5,X397="2ND",6,X397="Champions",7)</f>
        <v>0</v>
      </c>
      <c r="X397" t="s">
        <v>90</v>
      </c>
      <c r="Y397" t="s">
        <v>90</v>
      </c>
      <c r="Z397">
        <v>2019</v>
      </c>
    </row>
    <row r="398" spans="1:26" x14ac:dyDescent="0.3">
      <c r="A398" t="s">
        <v>173</v>
      </c>
      <c r="B398" t="s">
        <v>164</v>
      </c>
      <c r="C398">
        <v>32</v>
      </c>
      <c r="D398">
        <v>17</v>
      </c>
      <c r="E398" s="1">
        <f t="shared" si="6"/>
        <v>0.53125</v>
      </c>
      <c r="F398">
        <v>96</v>
      </c>
      <c r="G398">
        <v>105</v>
      </c>
      <c r="H398">
        <v>0.26350000000000001</v>
      </c>
      <c r="I398">
        <v>50.2</v>
      </c>
      <c r="J398">
        <v>50.4</v>
      </c>
      <c r="K398">
        <v>18.899999999999999</v>
      </c>
      <c r="L398">
        <v>16.899999999999999</v>
      </c>
      <c r="M398">
        <v>23.2</v>
      </c>
      <c r="N398">
        <v>24.7</v>
      </c>
      <c r="O398">
        <v>39.4</v>
      </c>
      <c r="P398">
        <v>38</v>
      </c>
      <c r="Q398">
        <v>50</v>
      </c>
      <c r="R398">
        <v>48</v>
      </c>
      <c r="S398">
        <v>33.700000000000003</v>
      </c>
      <c r="T398">
        <v>36.1</v>
      </c>
      <c r="U398">
        <v>72.2</v>
      </c>
      <c r="V398">
        <v>-12</v>
      </c>
      <c r="W398" cm="1">
        <f t="array" ref="W398">_xlfn.IFS(OR(X398="N/A",X398="NA"),0,OR(X398="R64",X398="R68"),1,X398="R32",2,X398="S16",3,X398="E8",4,X398="F4",5,X398="2ND",6,X398="Champions",7)</f>
        <v>0</v>
      </c>
      <c r="X398" t="s">
        <v>90</v>
      </c>
      <c r="Y398" t="s">
        <v>90</v>
      </c>
      <c r="Z398">
        <v>2019</v>
      </c>
    </row>
    <row r="399" spans="1:26" x14ac:dyDescent="0.3">
      <c r="A399" t="s">
        <v>174</v>
      </c>
      <c r="B399" t="s">
        <v>164</v>
      </c>
      <c r="C399">
        <v>31</v>
      </c>
      <c r="D399">
        <v>18</v>
      </c>
      <c r="E399" s="1">
        <f t="shared" si="6"/>
        <v>0.58064516129032262</v>
      </c>
      <c r="F399">
        <v>99.9</v>
      </c>
      <c r="G399">
        <v>105.3</v>
      </c>
      <c r="H399">
        <v>0.35370000000000001</v>
      </c>
      <c r="I399">
        <v>53.2</v>
      </c>
      <c r="J399">
        <v>49</v>
      </c>
      <c r="K399">
        <v>16</v>
      </c>
      <c r="L399">
        <v>15.8</v>
      </c>
      <c r="M399">
        <v>19.2</v>
      </c>
      <c r="N399">
        <v>26.9</v>
      </c>
      <c r="O399">
        <v>37.1</v>
      </c>
      <c r="P399">
        <v>30.9</v>
      </c>
      <c r="Q399">
        <v>53.4</v>
      </c>
      <c r="R399">
        <v>49.7</v>
      </c>
      <c r="S399">
        <v>35.200000000000003</v>
      </c>
      <c r="T399">
        <v>31.7</v>
      </c>
      <c r="U399">
        <v>72.5</v>
      </c>
      <c r="V399">
        <v>-10.7</v>
      </c>
      <c r="W399" cm="1">
        <f t="array" ref="W399">_xlfn.IFS(OR(X399="N/A",X399="NA"),0,OR(X399="R64",X399="R68"),1,X399="R32",2,X399="S16",3,X399="E8",4,X399="F4",5,X399="2ND",6,X399="Champions",7)</f>
        <v>0</v>
      </c>
      <c r="X399" t="s">
        <v>90</v>
      </c>
      <c r="Y399" t="s">
        <v>90</v>
      </c>
      <c r="Z399">
        <v>2019</v>
      </c>
    </row>
    <row r="400" spans="1:26" x14ac:dyDescent="0.3">
      <c r="A400" t="s">
        <v>176</v>
      </c>
      <c r="B400" t="s">
        <v>74</v>
      </c>
      <c r="C400">
        <v>29</v>
      </c>
      <c r="D400">
        <v>7</v>
      </c>
      <c r="E400" s="1">
        <f t="shared" si="6"/>
        <v>0.2413793103448276</v>
      </c>
      <c r="F400">
        <v>96</v>
      </c>
      <c r="G400">
        <v>107.8</v>
      </c>
      <c r="H400">
        <v>0.20880000000000001</v>
      </c>
      <c r="I400">
        <v>49.8</v>
      </c>
      <c r="J400">
        <v>52.5</v>
      </c>
      <c r="K400">
        <v>20.100000000000001</v>
      </c>
      <c r="L400">
        <v>19</v>
      </c>
      <c r="M400">
        <v>27.5</v>
      </c>
      <c r="N400">
        <v>30.8</v>
      </c>
      <c r="O400">
        <v>35.9</v>
      </c>
      <c r="P400">
        <v>42.4</v>
      </c>
      <c r="Q400">
        <v>46.5</v>
      </c>
      <c r="R400">
        <v>52.7</v>
      </c>
      <c r="S400">
        <v>36</v>
      </c>
      <c r="T400">
        <v>34.700000000000003</v>
      </c>
      <c r="U400">
        <v>61.8</v>
      </c>
      <c r="V400">
        <v>-17.5</v>
      </c>
      <c r="W400" cm="1">
        <f t="array" ref="W400">_xlfn.IFS(OR(X400="N/A",X400="NA"),0,OR(X400="R64",X400="R68"),1,X400="R32",2,X400="S16",3,X400="E8",4,X400="F4",5,X400="2ND",6,X400="Champions",7)</f>
        <v>0</v>
      </c>
      <c r="X400" t="s">
        <v>90</v>
      </c>
      <c r="Y400" t="s">
        <v>90</v>
      </c>
      <c r="Z400">
        <v>2015</v>
      </c>
    </row>
    <row r="401" spans="1:26" x14ac:dyDescent="0.3">
      <c r="A401" t="s">
        <v>177</v>
      </c>
      <c r="B401" t="s">
        <v>74</v>
      </c>
      <c r="C401">
        <v>28</v>
      </c>
      <c r="D401">
        <v>16</v>
      </c>
      <c r="E401" s="1">
        <f t="shared" si="6"/>
        <v>0.5714285714285714</v>
      </c>
      <c r="F401">
        <v>103.9</v>
      </c>
      <c r="G401">
        <v>107.4</v>
      </c>
      <c r="H401">
        <v>0.40610000000000002</v>
      </c>
      <c r="I401">
        <v>48.5</v>
      </c>
      <c r="J401">
        <v>52.4</v>
      </c>
      <c r="K401">
        <v>17.2</v>
      </c>
      <c r="L401">
        <v>18.899999999999999</v>
      </c>
      <c r="M401">
        <v>33.4</v>
      </c>
      <c r="N401">
        <v>28.5</v>
      </c>
      <c r="O401">
        <v>34.9</v>
      </c>
      <c r="P401">
        <v>32.4</v>
      </c>
      <c r="Q401">
        <v>46.7</v>
      </c>
      <c r="R401">
        <v>50.5</v>
      </c>
      <c r="S401">
        <v>33.700000000000003</v>
      </c>
      <c r="T401">
        <v>36.700000000000003</v>
      </c>
      <c r="U401">
        <v>65.7</v>
      </c>
      <c r="V401">
        <v>-6.2</v>
      </c>
      <c r="W401" cm="1">
        <f t="array" ref="W401">_xlfn.IFS(OR(X401="N/A",X401="NA"),0,OR(X401="R64",X401="R68"),1,X401="R32",2,X401="S16",3,X401="E8",4,X401="F4",5,X401="2ND",6,X401="Champions",7)</f>
        <v>0</v>
      </c>
      <c r="X401" t="s">
        <v>90</v>
      </c>
      <c r="Y401" t="s">
        <v>90</v>
      </c>
      <c r="Z401">
        <v>2015</v>
      </c>
    </row>
    <row r="402" spans="1:26" x14ac:dyDescent="0.3">
      <c r="A402" t="s">
        <v>178</v>
      </c>
      <c r="B402" t="s">
        <v>74</v>
      </c>
      <c r="C402">
        <v>31</v>
      </c>
      <c r="D402">
        <v>16</v>
      </c>
      <c r="E402" s="1">
        <f t="shared" si="6"/>
        <v>0.5161290322580645</v>
      </c>
      <c r="F402">
        <v>105.2</v>
      </c>
      <c r="G402">
        <v>109.8</v>
      </c>
      <c r="H402">
        <v>0.37830000000000003</v>
      </c>
      <c r="I402">
        <v>51</v>
      </c>
      <c r="J402">
        <v>53.4</v>
      </c>
      <c r="K402">
        <v>17.399999999999999</v>
      </c>
      <c r="L402">
        <v>17.100000000000001</v>
      </c>
      <c r="M402">
        <v>29.8</v>
      </c>
      <c r="N402">
        <v>31.8</v>
      </c>
      <c r="O402">
        <v>37.700000000000003</v>
      </c>
      <c r="P402">
        <v>29.1</v>
      </c>
      <c r="Q402">
        <v>50.4</v>
      </c>
      <c r="R402">
        <v>51.9</v>
      </c>
      <c r="S402">
        <v>34.6</v>
      </c>
      <c r="T402">
        <v>37.799999999999997</v>
      </c>
      <c r="U402">
        <v>68</v>
      </c>
      <c r="V402">
        <v>-7.7</v>
      </c>
      <c r="W402" cm="1">
        <f t="array" ref="W402">_xlfn.IFS(OR(X402="N/A",X402="NA"),0,OR(X402="R64",X402="R68"),1,X402="R32",2,X402="S16",3,X402="E8",4,X402="F4",5,X402="2ND",6,X402="Champions",7)</f>
        <v>0</v>
      </c>
      <c r="X402" t="s">
        <v>90</v>
      </c>
      <c r="Y402" t="s">
        <v>90</v>
      </c>
      <c r="Z402">
        <v>2015</v>
      </c>
    </row>
    <row r="403" spans="1:26" x14ac:dyDescent="0.3">
      <c r="A403" t="s">
        <v>179</v>
      </c>
      <c r="B403" t="s">
        <v>74</v>
      </c>
      <c r="C403">
        <v>30</v>
      </c>
      <c r="D403">
        <v>20</v>
      </c>
      <c r="E403" s="1">
        <f t="shared" si="6"/>
        <v>0.66666666666666663</v>
      </c>
      <c r="F403">
        <v>104.5</v>
      </c>
      <c r="G403">
        <v>104.9</v>
      </c>
      <c r="H403">
        <v>0.48980000000000001</v>
      </c>
      <c r="I403">
        <v>51.9</v>
      </c>
      <c r="J403">
        <v>51.3</v>
      </c>
      <c r="K403">
        <v>17.5</v>
      </c>
      <c r="L403">
        <v>19.8</v>
      </c>
      <c r="M403">
        <v>30.6</v>
      </c>
      <c r="N403">
        <v>31.5</v>
      </c>
      <c r="O403">
        <v>34.1</v>
      </c>
      <c r="P403">
        <v>31.5</v>
      </c>
      <c r="Q403">
        <v>49.3</v>
      </c>
      <c r="R403">
        <v>49.8</v>
      </c>
      <c r="S403">
        <v>38.6</v>
      </c>
      <c r="T403">
        <v>35.799999999999997</v>
      </c>
      <c r="U403">
        <v>62.8</v>
      </c>
      <c r="V403">
        <v>-3.9</v>
      </c>
      <c r="W403" cm="1">
        <f t="array" ref="W403">_xlfn.IFS(OR(X403="N/A",X403="NA"),0,OR(X403="R64",X403="R68"),1,X403="R32",2,X403="S16",3,X403="E8",4,X403="F4",5,X403="2ND",6,X403="Champions",7)</f>
        <v>0</v>
      </c>
      <c r="X403" t="s">
        <v>90</v>
      </c>
      <c r="Y403" t="s">
        <v>90</v>
      </c>
      <c r="Z403">
        <v>2015</v>
      </c>
    </row>
    <row r="404" spans="1:26" x14ac:dyDescent="0.3">
      <c r="A404" t="s">
        <v>180</v>
      </c>
      <c r="B404" t="s">
        <v>74</v>
      </c>
      <c r="C404">
        <v>28</v>
      </c>
      <c r="D404">
        <v>4</v>
      </c>
      <c r="E404" s="1">
        <f t="shared" si="6"/>
        <v>0.14285714285714285</v>
      </c>
      <c r="F404">
        <v>89.8</v>
      </c>
      <c r="G404">
        <v>109.4</v>
      </c>
      <c r="H404">
        <v>9.3799999999999994E-2</v>
      </c>
      <c r="I404">
        <v>46</v>
      </c>
      <c r="J404">
        <v>50.2</v>
      </c>
      <c r="K404">
        <v>24.5</v>
      </c>
      <c r="L404">
        <v>18.100000000000001</v>
      </c>
      <c r="M404">
        <v>30.6</v>
      </c>
      <c r="N404">
        <v>32.5</v>
      </c>
      <c r="O404">
        <v>40.200000000000003</v>
      </c>
      <c r="P404">
        <v>41.8</v>
      </c>
      <c r="Q404">
        <v>45.8</v>
      </c>
      <c r="R404">
        <v>48</v>
      </c>
      <c r="S404">
        <v>31</v>
      </c>
      <c r="T404">
        <v>35.6</v>
      </c>
      <c r="U404">
        <v>66.2</v>
      </c>
      <c r="V404">
        <v>-20.5</v>
      </c>
      <c r="W404" cm="1">
        <f t="array" ref="W404">_xlfn.IFS(OR(X404="N/A",X404="NA"),0,OR(X404="R64",X404="R68"),1,X404="R32",2,X404="S16",3,X404="E8",4,X404="F4",5,X404="2ND",6,X404="Champions",7)</f>
        <v>0</v>
      </c>
      <c r="X404" t="s">
        <v>90</v>
      </c>
      <c r="Y404" t="s">
        <v>90</v>
      </c>
      <c r="Z404">
        <v>2015</v>
      </c>
    </row>
    <row r="405" spans="1:26" x14ac:dyDescent="0.3">
      <c r="A405" t="s">
        <v>181</v>
      </c>
      <c r="B405" t="s">
        <v>74</v>
      </c>
      <c r="C405">
        <v>32</v>
      </c>
      <c r="D405">
        <v>9</v>
      </c>
      <c r="E405" s="1">
        <f t="shared" si="6"/>
        <v>0.28125</v>
      </c>
      <c r="F405">
        <v>95.5</v>
      </c>
      <c r="G405">
        <v>108.7</v>
      </c>
      <c r="H405">
        <v>0.18340000000000001</v>
      </c>
      <c r="I405">
        <v>49</v>
      </c>
      <c r="J405">
        <v>52.6</v>
      </c>
      <c r="K405">
        <v>20.7</v>
      </c>
      <c r="L405">
        <v>20.8</v>
      </c>
      <c r="M405">
        <v>26.9</v>
      </c>
      <c r="N405">
        <v>35.200000000000003</v>
      </c>
      <c r="O405">
        <v>30</v>
      </c>
      <c r="P405">
        <v>45</v>
      </c>
      <c r="Q405">
        <v>44.9</v>
      </c>
      <c r="R405">
        <v>50.5</v>
      </c>
      <c r="S405">
        <v>36.9</v>
      </c>
      <c r="T405">
        <v>37.5</v>
      </c>
      <c r="U405">
        <v>67</v>
      </c>
      <c r="V405">
        <v>-18.100000000000001</v>
      </c>
      <c r="W405" cm="1">
        <f t="array" ref="W405">_xlfn.IFS(OR(X405="N/A",X405="NA"),0,OR(X405="R64",X405="R68"),1,X405="R32",2,X405="S16",3,X405="E8",4,X405="F4",5,X405="2ND",6,X405="Champions",7)</f>
        <v>0</v>
      </c>
      <c r="X405" t="s">
        <v>90</v>
      </c>
      <c r="Y405" t="s">
        <v>90</v>
      </c>
      <c r="Z405">
        <v>2015</v>
      </c>
    </row>
    <row r="406" spans="1:26" x14ac:dyDescent="0.3">
      <c r="A406" t="s">
        <v>182</v>
      </c>
      <c r="B406" t="s">
        <v>74</v>
      </c>
      <c r="C406">
        <v>28</v>
      </c>
      <c r="D406">
        <v>6</v>
      </c>
      <c r="E406" s="1">
        <f t="shared" si="6"/>
        <v>0.21428571428571427</v>
      </c>
      <c r="F406">
        <v>94.8</v>
      </c>
      <c r="G406">
        <v>111.4</v>
      </c>
      <c r="H406">
        <v>0.1351</v>
      </c>
      <c r="I406">
        <v>48.4</v>
      </c>
      <c r="J406">
        <v>54</v>
      </c>
      <c r="K406">
        <v>20.9</v>
      </c>
      <c r="L406">
        <v>15.9</v>
      </c>
      <c r="M406">
        <v>27.3</v>
      </c>
      <c r="N406">
        <v>33.6</v>
      </c>
      <c r="O406">
        <v>33.299999999999997</v>
      </c>
      <c r="P406">
        <v>28.7</v>
      </c>
      <c r="Q406">
        <v>48.8</v>
      </c>
      <c r="R406">
        <v>50.6</v>
      </c>
      <c r="S406">
        <v>31.7</v>
      </c>
      <c r="T406">
        <v>38.9</v>
      </c>
      <c r="U406">
        <v>62.4</v>
      </c>
      <c r="V406">
        <v>-17.100000000000001</v>
      </c>
      <c r="W406" cm="1">
        <f t="array" ref="W406">_xlfn.IFS(OR(X406="N/A",X406="NA"),0,OR(X406="R64",X406="R68"),1,X406="R32",2,X406="S16",3,X406="E8",4,X406="F4",5,X406="2ND",6,X406="Champions",7)</f>
        <v>0</v>
      </c>
      <c r="X406" t="s">
        <v>90</v>
      </c>
      <c r="Y406" t="s">
        <v>90</v>
      </c>
      <c r="Z406">
        <v>2015</v>
      </c>
    </row>
    <row r="407" spans="1:26" x14ac:dyDescent="0.3">
      <c r="A407" t="s">
        <v>183</v>
      </c>
      <c r="B407" t="s">
        <v>74</v>
      </c>
      <c r="C407">
        <v>31</v>
      </c>
      <c r="D407">
        <v>19</v>
      </c>
      <c r="E407" s="1">
        <f t="shared" si="6"/>
        <v>0.61290322580645162</v>
      </c>
      <c r="F407">
        <v>102.7</v>
      </c>
      <c r="G407">
        <v>104.3</v>
      </c>
      <c r="H407">
        <v>0.45519999999999999</v>
      </c>
      <c r="I407">
        <v>50</v>
      </c>
      <c r="J407">
        <v>48.4</v>
      </c>
      <c r="K407">
        <v>18.100000000000001</v>
      </c>
      <c r="L407">
        <v>18.8</v>
      </c>
      <c r="M407">
        <v>34.5</v>
      </c>
      <c r="N407">
        <v>32.700000000000003</v>
      </c>
      <c r="O407">
        <v>35.4</v>
      </c>
      <c r="P407">
        <v>36.299999999999997</v>
      </c>
      <c r="Q407">
        <v>50.5</v>
      </c>
      <c r="R407">
        <v>47.8</v>
      </c>
      <c r="S407">
        <v>32.6</v>
      </c>
      <c r="T407">
        <v>33.4</v>
      </c>
      <c r="U407">
        <v>65.3</v>
      </c>
      <c r="V407">
        <v>-6.3</v>
      </c>
      <c r="W407" cm="1">
        <f t="array" ref="W407">_xlfn.IFS(OR(X407="N/A",X407="NA"),0,OR(X407="R64",X407="R68"),1,X407="R32",2,X407="S16",3,X407="E8",4,X407="F4",5,X407="2ND",6,X407="Champions",7)</f>
        <v>0</v>
      </c>
      <c r="X407" t="s">
        <v>90</v>
      </c>
      <c r="Y407" t="s">
        <v>90</v>
      </c>
      <c r="Z407">
        <v>2015</v>
      </c>
    </row>
    <row r="408" spans="1:26" x14ac:dyDescent="0.3">
      <c r="A408" t="s">
        <v>184</v>
      </c>
      <c r="B408" t="s">
        <v>74</v>
      </c>
      <c r="C408">
        <v>28</v>
      </c>
      <c r="D408">
        <v>12</v>
      </c>
      <c r="E408" s="1">
        <f t="shared" si="6"/>
        <v>0.42857142857142855</v>
      </c>
      <c r="F408">
        <v>100.3</v>
      </c>
      <c r="G408">
        <v>107.4</v>
      </c>
      <c r="H408">
        <v>0.31309999999999999</v>
      </c>
      <c r="I408">
        <v>49.9</v>
      </c>
      <c r="J408">
        <v>49.7</v>
      </c>
      <c r="K408">
        <v>20.8</v>
      </c>
      <c r="L408">
        <v>18.3</v>
      </c>
      <c r="M408">
        <v>31.6</v>
      </c>
      <c r="N408">
        <v>32.200000000000003</v>
      </c>
      <c r="O408">
        <v>35.4</v>
      </c>
      <c r="P408">
        <v>43.3</v>
      </c>
      <c r="Q408">
        <v>48.2</v>
      </c>
      <c r="R408">
        <v>49</v>
      </c>
      <c r="S408">
        <v>35.200000000000003</v>
      </c>
      <c r="T408">
        <v>33.9</v>
      </c>
      <c r="U408">
        <v>68.400000000000006</v>
      </c>
      <c r="V408">
        <v>-11.6</v>
      </c>
      <c r="W408" cm="1">
        <f t="array" ref="W408">_xlfn.IFS(OR(X408="N/A",X408="NA"),0,OR(X408="R64",X408="R68"),1,X408="R32",2,X408="S16",3,X408="E8",4,X408="F4",5,X408="2ND",6,X408="Champions",7)</f>
        <v>0</v>
      </c>
      <c r="X408" t="s">
        <v>90</v>
      </c>
      <c r="Y408" t="s">
        <v>90</v>
      </c>
      <c r="Z408">
        <v>2015</v>
      </c>
    </row>
    <row r="409" spans="1:26" x14ac:dyDescent="0.3">
      <c r="A409" t="s">
        <v>185</v>
      </c>
      <c r="B409" t="s">
        <v>74</v>
      </c>
      <c r="C409">
        <v>29</v>
      </c>
      <c r="D409">
        <v>16</v>
      </c>
      <c r="E409" s="1">
        <f t="shared" si="6"/>
        <v>0.55172413793103448</v>
      </c>
      <c r="F409">
        <v>103.1</v>
      </c>
      <c r="G409">
        <v>103.8</v>
      </c>
      <c r="H409">
        <v>0.47960000000000003</v>
      </c>
      <c r="I409">
        <v>50.8</v>
      </c>
      <c r="J409">
        <v>47</v>
      </c>
      <c r="K409">
        <v>17.7</v>
      </c>
      <c r="L409">
        <v>19</v>
      </c>
      <c r="M409">
        <v>29.4</v>
      </c>
      <c r="N409">
        <v>32.299999999999997</v>
      </c>
      <c r="O409">
        <v>35.9</v>
      </c>
      <c r="P409">
        <v>38.4</v>
      </c>
      <c r="Q409">
        <v>49.2</v>
      </c>
      <c r="R409">
        <v>45.9</v>
      </c>
      <c r="S409">
        <v>35.5</v>
      </c>
      <c r="T409">
        <v>32.700000000000003</v>
      </c>
      <c r="U409">
        <v>66.2</v>
      </c>
      <c r="V409">
        <v>-8.9</v>
      </c>
      <c r="W409" cm="1">
        <f t="array" ref="W409">_xlfn.IFS(OR(X409="N/A",X409="NA"),0,OR(X409="R64",X409="R68"),1,X409="R32",2,X409="S16",3,X409="E8",4,X409="F4",5,X409="2ND",6,X409="Champions",7)</f>
        <v>0</v>
      </c>
      <c r="X409" t="s">
        <v>90</v>
      </c>
      <c r="Y409" t="s">
        <v>90</v>
      </c>
      <c r="Z409">
        <v>2015</v>
      </c>
    </row>
    <row r="410" spans="1:26" x14ac:dyDescent="0.3">
      <c r="A410" t="s">
        <v>176</v>
      </c>
      <c r="B410" t="s">
        <v>74</v>
      </c>
      <c r="C410">
        <v>27</v>
      </c>
      <c r="D410">
        <v>9</v>
      </c>
      <c r="E410" s="1">
        <f t="shared" si="6"/>
        <v>0.33333333333333331</v>
      </c>
      <c r="F410">
        <v>99.6</v>
      </c>
      <c r="G410">
        <v>113.1</v>
      </c>
      <c r="H410">
        <v>0.18709999999999999</v>
      </c>
      <c r="I410">
        <v>49.5</v>
      </c>
      <c r="J410">
        <v>53.5</v>
      </c>
      <c r="K410">
        <v>16.399999999999999</v>
      </c>
      <c r="L410">
        <v>18.899999999999999</v>
      </c>
      <c r="M410">
        <v>22</v>
      </c>
      <c r="N410">
        <v>30.6</v>
      </c>
      <c r="O410">
        <v>41.4</v>
      </c>
      <c r="P410">
        <v>39.299999999999997</v>
      </c>
      <c r="Q410">
        <v>50.7</v>
      </c>
      <c r="R410">
        <v>52.1</v>
      </c>
      <c r="S410">
        <v>31.7</v>
      </c>
      <c r="T410">
        <v>37.799999999999997</v>
      </c>
      <c r="U410">
        <v>69.2</v>
      </c>
      <c r="V410">
        <v>-15.1</v>
      </c>
      <c r="W410" cm="1">
        <f t="array" ref="W410">_xlfn.IFS(OR(X410="N/A",X410="NA"),0,OR(X410="R64",X410="R68"),1,X410="R32",2,X410="S16",3,X410="E8",4,X410="F4",5,X410="2ND",6,X410="Champions",7)</f>
        <v>0</v>
      </c>
      <c r="X410" t="s">
        <v>90</v>
      </c>
      <c r="Y410" t="s">
        <v>90</v>
      </c>
      <c r="Z410">
        <v>2016</v>
      </c>
    </row>
    <row r="411" spans="1:26" x14ac:dyDescent="0.3">
      <c r="A411" t="s">
        <v>177</v>
      </c>
      <c r="B411" t="s">
        <v>74</v>
      </c>
      <c r="C411">
        <v>27</v>
      </c>
      <c r="D411">
        <v>6</v>
      </c>
      <c r="E411" s="1">
        <f t="shared" si="6"/>
        <v>0.22222222222222221</v>
      </c>
      <c r="F411">
        <v>97.8</v>
      </c>
      <c r="G411">
        <v>110.5</v>
      </c>
      <c r="H411">
        <v>0.19589999999999999</v>
      </c>
      <c r="I411">
        <v>50</v>
      </c>
      <c r="J411">
        <v>54</v>
      </c>
      <c r="K411">
        <v>17.899999999999999</v>
      </c>
      <c r="L411">
        <v>16.100000000000001</v>
      </c>
      <c r="M411">
        <v>24.7</v>
      </c>
      <c r="N411">
        <v>26.9</v>
      </c>
      <c r="O411">
        <v>27.4</v>
      </c>
      <c r="P411">
        <v>37.700000000000003</v>
      </c>
      <c r="Q411">
        <v>49.4</v>
      </c>
      <c r="R411">
        <v>52.6</v>
      </c>
      <c r="S411">
        <v>33.799999999999997</v>
      </c>
      <c r="T411">
        <v>37.4</v>
      </c>
      <c r="U411">
        <v>69.2</v>
      </c>
      <c r="V411">
        <v>-15.5</v>
      </c>
      <c r="W411" cm="1">
        <f t="array" ref="W411">_xlfn.IFS(OR(X411="N/A",X411="NA"),0,OR(X411="R64",X411="R68"),1,X411="R32",2,X411="S16",3,X411="E8",4,X411="F4",5,X411="2ND",6,X411="Champions",7)</f>
        <v>0</v>
      </c>
      <c r="X411" t="s">
        <v>90</v>
      </c>
      <c r="Y411" t="s">
        <v>90</v>
      </c>
      <c r="Z411">
        <v>2016</v>
      </c>
    </row>
    <row r="412" spans="1:26" x14ac:dyDescent="0.3">
      <c r="A412" t="s">
        <v>186</v>
      </c>
      <c r="B412" t="s">
        <v>74</v>
      </c>
      <c r="C412">
        <v>30</v>
      </c>
      <c r="D412">
        <v>18</v>
      </c>
      <c r="E412" s="1">
        <f t="shared" si="6"/>
        <v>0.6</v>
      </c>
      <c r="F412">
        <v>100.7</v>
      </c>
      <c r="G412">
        <v>101.5</v>
      </c>
      <c r="H412">
        <v>0.47960000000000003</v>
      </c>
      <c r="I412">
        <v>49.5</v>
      </c>
      <c r="J412">
        <v>46.3</v>
      </c>
      <c r="K412">
        <v>18.8</v>
      </c>
      <c r="L412">
        <v>15.3</v>
      </c>
      <c r="M412">
        <v>30.6</v>
      </c>
      <c r="N412">
        <v>29</v>
      </c>
      <c r="O412">
        <v>35.700000000000003</v>
      </c>
      <c r="P412">
        <v>31.7</v>
      </c>
      <c r="Q412">
        <v>49.1</v>
      </c>
      <c r="R412">
        <v>46.2</v>
      </c>
      <c r="S412">
        <v>33.4</v>
      </c>
      <c r="T412">
        <v>30.9</v>
      </c>
      <c r="U412">
        <v>67.5</v>
      </c>
      <c r="V412">
        <v>-7</v>
      </c>
      <c r="W412" cm="1">
        <f t="array" ref="W412">_xlfn.IFS(OR(X412="N/A",X412="NA"),0,OR(X412="R64",X412="R68"),1,X412="R32",2,X412="S16",3,X412="E8",4,X412="F4",5,X412="2ND",6,X412="Champions",7)</f>
        <v>0</v>
      </c>
      <c r="X412" t="s">
        <v>90</v>
      </c>
      <c r="Y412" t="s">
        <v>90</v>
      </c>
      <c r="Z412">
        <v>2016</v>
      </c>
    </row>
    <row r="413" spans="1:26" x14ac:dyDescent="0.3">
      <c r="A413" t="s">
        <v>178</v>
      </c>
      <c r="B413" t="s">
        <v>74</v>
      </c>
      <c r="C413">
        <v>30</v>
      </c>
      <c r="D413">
        <v>14</v>
      </c>
      <c r="E413" s="1">
        <f t="shared" si="6"/>
        <v>0.46666666666666667</v>
      </c>
      <c r="F413">
        <v>100.1</v>
      </c>
      <c r="G413">
        <v>106.6</v>
      </c>
      <c r="H413">
        <v>0.32690000000000002</v>
      </c>
      <c r="I413">
        <v>47.7</v>
      </c>
      <c r="J413">
        <v>51.4</v>
      </c>
      <c r="K413">
        <v>18.600000000000001</v>
      </c>
      <c r="L413">
        <v>18.8</v>
      </c>
      <c r="M413">
        <v>31.6</v>
      </c>
      <c r="N413">
        <v>29.3</v>
      </c>
      <c r="O413">
        <v>34.9</v>
      </c>
      <c r="P413">
        <v>39.700000000000003</v>
      </c>
      <c r="Q413">
        <v>46</v>
      </c>
      <c r="R413">
        <v>51.1</v>
      </c>
      <c r="S413">
        <v>33.5</v>
      </c>
      <c r="T413">
        <v>34.700000000000003</v>
      </c>
      <c r="U413">
        <v>70.099999999999994</v>
      </c>
      <c r="V413">
        <v>-10.3</v>
      </c>
      <c r="W413" cm="1">
        <f t="array" ref="W413">_xlfn.IFS(OR(X413="N/A",X413="NA"),0,OR(X413="R64",X413="R68"),1,X413="R32",2,X413="S16",3,X413="E8",4,X413="F4",5,X413="2ND",6,X413="Champions",7)</f>
        <v>0</v>
      </c>
      <c r="X413" t="s">
        <v>90</v>
      </c>
      <c r="Y413" t="s">
        <v>90</v>
      </c>
      <c r="Z413">
        <v>2016</v>
      </c>
    </row>
    <row r="414" spans="1:26" x14ac:dyDescent="0.3">
      <c r="A414" t="s">
        <v>179</v>
      </c>
      <c r="B414" t="s">
        <v>74</v>
      </c>
      <c r="C414">
        <v>29</v>
      </c>
      <c r="D414">
        <v>18</v>
      </c>
      <c r="E414" s="1">
        <f t="shared" si="6"/>
        <v>0.62068965517241381</v>
      </c>
      <c r="F414">
        <v>109.2</v>
      </c>
      <c r="G414">
        <v>109.5</v>
      </c>
      <c r="H414">
        <v>0.49049999999999999</v>
      </c>
      <c r="I414">
        <v>51.9</v>
      </c>
      <c r="J414">
        <v>52.9</v>
      </c>
      <c r="K414">
        <v>15.9</v>
      </c>
      <c r="L414">
        <v>20.6</v>
      </c>
      <c r="M414">
        <v>31.9</v>
      </c>
      <c r="N414">
        <v>31.7</v>
      </c>
      <c r="O414">
        <v>35</v>
      </c>
      <c r="P414">
        <v>32.299999999999997</v>
      </c>
      <c r="Q414">
        <v>49.8</v>
      </c>
      <c r="R414">
        <v>53.3</v>
      </c>
      <c r="S414">
        <v>38.200000000000003</v>
      </c>
      <c r="T414">
        <v>34.700000000000003</v>
      </c>
      <c r="U414">
        <v>66.900000000000006</v>
      </c>
      <c r="V414">
        <v>-5.7</v>
      </c>
      <c r="W414" cm="1">
        <f t="array" ref="W414">_xlfn.IFS(OR(X414="N/A",X414="NA"),0,OR(X414="R64",X414="R68"),1,X414="R32",2,X414="S16",3,X414="E8",4,X414="F4",5,X414="2ND",6,X414="Champions",7)</f>
        <v>0</v>
      </c>
      <c r="X414" t="s">
        <v>90</v>
      </c>
      <c r="Y414" t="s">
        <v>90</v>
      </c>
      <c r="Z414">
        <v>2016</v>
      </c>
    </row>
    <row r="415" spans="1:26" x14ac:dyDescent="0.3">
      <c r="A415" t="s">
        <v>180</v>
      </c>
      <c r="B415" t="s">
        <v>74</v>
      </c>
      <c r="C415">
        <v>29</v>
      </c>
      <c r="D415">
        <v>10</v>
      </c>
      <c r="E415" s="1">
        <f t="shared" si="6"/>
        <v>0.34482758620689657</v>
      </c>
      <c r="F415">
        <v>97.9</v>
      </c>
      <c r="G415">
        <v>110.8</v>
      </c>
      <c r="H415">
        <v>0.19400000000000001</v>
      </c>
      <c r="I415">
        <v>53.1</v>
      </c>
      <c r="J415">
        <v>53</v>
      </c>
      <c r="K415">
        <v>21.3</v>
      </c>
      <c r="L415">
        <v>18.100000000000001</v>
      </c>
      <c r="M415">
        <v>21</v>
      </c>
      <c r="N415">
        <v>29.5</v>
      </c>
      <c r="O415">
        <v>25.5</v>
      </c>
      <c r="P415">
        <v>43.6</v>
      </c>
      <c r="Q415">
        <v>52</v>
      </c>
      <c r="R415">
        <v>52.1</v>
      </c>
      <c r="S415">
        <v>36.1</v>
      </c>
      <c r="T415">
        <v>36.4</v>
      </c>
      <c r="U415">
        <v>63.9</v>
      </c>
      <c r="V415">
        <v>-14</v>
      </c>
      <c r="W415" cm="1">
        <f t="array" ref="W415">_xlfn.IFS(OR(X415="N/A",X415="NA"),0,OR(X415="R64",X415="R68"),1,X415="R32",2,X415="S16",3,X415="E8",4,X415="F4",5,X415="2ND",6,X415="Champions",7)</f>
        <v>0</v>
      </c>
      <c r="X415" t="s">
        <v>90</v>
      </c>
      <c r="Y415" t="s">
        <v>90</v>
      </c>
      <c r="Z415">
        <v>2016</v>
      </c>
    </row>
    <row r="416" spans="1:26" x14ac:dyDescent="0.3">
      <c r="A416" t="s">
        <v>181</v>
      </c>
      <c r="B416" t="s">
        <v>74</v>
      </c>
      <c r="C416">
        <v>30</v>
      </c>
      <c r="D416">
        <v>7</v>
      </c>
      <c r="E416" s="1">
        <f t="shared" si="6"/>
        <v>0.23333333333333334</v>
      </c>
      <c r="F416">
        <v>99.2</v>
      </c>
      <c r="G416">
        <v>113.9</v>
      </c>
      <c r="H416">
        <v>0.16950000000000001</v>
      </c>
      <c r="I416">
        <v>50.7</v>
      </c>
      <c r="J416">
        <v>54.1</v>
      </c>
      <c r="K416">
        <v>20.5</v>
      </c>
      <c r="L416">
        <v>17.3</v>
      </c>
      <c r="M416">
        <v>29.6</v>
      </c>
      <c r="N416">
        <v>28.1</v>
      </c>
      <c r="O416">
        <v>34.299999999999997</v>
      </c>
      <c r="P416">
        <v>36.4</v>
      </c>
      <c r="Q416">
        <v>49.8</v>
      </c>
      <c r="R416">
        <v>51.6</v>
      </c>
      <c r="S416">
        <v>34.9</v>
      </c>
      <c r="T416">
        <v>38.200000000000003</v>
      </c>
      <c r="U416">
        <v>70</v>
      </c>
      <c r="V416">
        <v>-18.600000000000001</v>
      </c>
      <c r="W416" cm="1">
        <f t="array" ref="W416">_xlfn.IFS(OR(X416="N/A",X416="NA"),0,OR(X416="R64",X416="R68"),1,X416="R32",2,X416="S16",3,X416="E8",4,X416="F4",5,X416="2ND",6,X416="Champions",7)</f>
        <v>0</v>
      </c>
      <c r="X416" t="s">
        <v>90</v>
      </c>
      <c r="Y416" t="s">
        <v>90</v>
      </c>
      <c r="Z416">
        <v>2016</v>
      </c>
    </row>
    <row r="417" spans="1:26" x14ac:dyDescent="0.3">
      <c r="A417" t="s">
        <v>182</v>
      </c>
      <c r="B417" t="s">
        <v>74</v>
      </c>
      <c r="C417">
        <v>28</v>
      </c>
      <c r="D417">
        <v>8</v>
      </c>
      <c r="E417" s="1">
        <f t="shared" si="6"/>
        <v>0.2857142857142857</v>
      </c>
      <c r="F417">
        <v>93</v>
      </c>
      <c r="G417">
        <v>110.1</v>
      </c>
      <c r="H417">
        <v>0.12540000000000001</v>
      </c>
      <c r="I417">
        <v>47.3</v>
      </c>
      <c r="J417">
        <v>52.5</v>
      </c>
      <c r="K417">
        <v>21</v>
      </c>
      <c r="L417">
        <v>19</v>
      </c>
      <c r="M417">
        <v>26</v>
      </c>
      <c r="N417">
        <v>31.4</v>
      </c>
      <c r="O417">
        <v>34.799999999999997</v>
      </c>
      <c r="P417">
        <v>38.799999999999997</v>
      </c>
      <c r="Q417">
        <v>47.7</v>
      </c>
      <c r="R417">
        <v>53.3</v>
      </c>
      <c r="S417">
        <v>30.8</v>
      </c>
      <c r="T417">
        <v>34.200000000000003</v>
      </c>
      <c r="U417">
        <v>68.400000000000006</v>
      </c>
      <c r="V417">
        <v>-15.8</v>
      </c>
      <c r="W417" cm="1">
        <f t="array" ref="W417">_xlfn.IFS(OR(X417="N/A",X417="NA"),0,OR(X417="R64",X417="R68"),1,X417="R32",2,X417="S16",3,X417="E8",4,X417="F4",5,X417="2ND",6,X417="Champions",7)</f>
        <v>0</v>
      </c>
      <c r="X417" t="s">
        <v>90</v>
      </c>
      <c r="Y417" t="s">
        <v>90</v>
      </c>
      <c r="Z417">
        <v>2016</v>
      </c>
    </row>
    <row r="418" spans="1:26" x14ac:dyDescent="0.3">
      <c r="A418" t="s">
        <v>183</v>
      </c>
      <c r="B418" t="s">
        <v>74</v>
      </c>
      <c r="C418">
        <v>29</v>
      </c>
      <c r="D418">
        <v>14</v>
      </c>
      <c r="E418" s="1">
        <f t="shared" si="6"/>
        <v>0.48275862068965519</v>
      </c>
      <c r="F418">
        <v>102</v>
      </c>
      <c r="G418">
        <v>109</v>
      </c>
      <c r="H418">
        <v>0.31819999999999998</v>
      </c>
      <c r="I418">
        <v>50.2</v>
      </c>
      <c r="J418">
        <v>51.3</v>
      </c>
      <c r="K418">
        <v>19.3</v>
      </c>
      <c r="L418">
        <v>17</v>
      </c>
      <c r="M418">
        <v>34.4</v>
      </c>
      <c r="N418">
        <v>30.1</v>
      </c>
      <c r="O418">
        <v>29</v>
      </c>
      <c r="P418">
        <v>34.299999999999997</v>
      </c>
      <c r="Q418">
        <v>49.5</v>
      </c>
      <c r="R418">
        <v>51.6</v>
      </c>
      <c r="S418">
        <v>34.4</v>
      </c>
      <c r="T418">
        <v>33.799999999999997</v>
      </c>
      <c r="U418">
        <v>66.8</v>
      </c>
      <c r="V418">
        <v>-10</v>
      </c>
      <c r="W418" cm="1">
        <f t="array" ref="W418">_xlfn.IFS(OR(X418="N/A",X418="NA"),0,OR(X418="R64",X418="R68"),1,X418="R32",2,X418="S16",3,X418="E8",4,X418="F4",5,X418="2ND",6,X418="Champions",7)</f>
        <v>0</v>
      </c>
      <c r="X418" t="s">
        <v>90</v>
      </c>
      <c r="Y418" t="s">
        <v>90</v>
      </c>
      <c r="Z418">
        <v>2016</v>
      </c>
    </row>
    <row r="419" spans="1:26" x14ac:dyDescent="0.3">
      <c r="A419" t="s">
        <v>185</v>
      </c>
      <c r="B419" t="s">
        <v>74</v>
      </c>
      <c r="C419">
        <v>29</v>
      </c>
      <c r="D419">
        <v>20</v>
      </c>
      <c r="E419" s="1">
        <f t="shared" si="6"/>
        <v>0.68965517241379315</v>
      </c>
      <c r="F419">
        <v>105.8</v>
      </c>
      <c r="G419">
        <v>107.4</v>
      </c>
      <c r="H419">
        <v>0.45760000000000001</v>
      </c>
      <c r="I419">
        <v>54.2</v>
      </c>
      <c r="J419">
        <v>47.7</v>
      </c>
      <c r="K419">
        <v>17.8</v>
      </c>
      <c r="L419">
        <v>15.9</v>
      </c>
      <c r="M419">
        <v>26</v>
      </c>
      <c r="N419">
        <v>32</v>
      </c>
      <c r="O419">
        <v>41.1</v>
      </c>
      <c r="P419">
        <v>31.9</v>
      </c>
      <c r="Q419">
        <v>53.9</v>
      </c>
      <c r="R419">
        <v>47.1</v>
      </c>
      <c r="S419">
        <v>36.4</v>
      </c>
      <c r="T419">
        <v>32.700000000000003</v>
      </c>
      <c r="U419">
        <v>73.7</v>
      </c>
      <c r="V419">
        <v>-4.9000000000000004</v>
      </c>
      <c r="W419" cm="1">
        <f t="array" ref="W419">_xlfn.IFS(OR(X419="N/A",X419="NA"),0,OR(X419="R64",X419="R68"),1,X419="R32",2,X419="S16",3,X419="E8",4,X419="F4",5,X419="2ND",6,X419="Champions",7)</f>
        <v>0</v>
      </c>
      <c r="X419" t="s">
        <v>90</v>
      </c>
      <c r="Y419" t="s">
        <v>90</v>
      </c>
      <c r="Z419">
        <v>2016</v>
      </c>
    </row>
    <row r="420" spans="1:26" x14ac:dyDescent="0.3">
      <c r="A420" t="s">
        <v>176</v>
      </c>
      <c r="B420" t="s">
        <v>74</v>
      </c>
      <c r="C420">
        <v>34</v>
      </c>
      <c r="D420">
        <v>19</v>
      </c>
      <c r="E420" s="1">
        <f t="shared" si="6"/>
        <v>0.55882352941176472</v>
      </c>
      <c r="F420">
        <v>99.9</v>
      </c>
      <c r="G420">
        <v>109.2</v>
      </c>
      <c r="H420">
        <v>0.2656</v>
      </c>
      <c r="I420">
        <v>51.4</v>
      </c>
      <c r="J420">
        <v>50.7</v>
      </c>
      <c r="K420">
        <v>18.7</v>
      </c>
      <c r="L420">
        <v>17.3</v>
      </c>
      <c r="M420">
        <v>24.2</v>
      </c>
      <c r="N420">
        <v>28.9</v>
      </c>
      <c r="O420">
        <v>36.6</v>
      </c>
      <c r="P420">
        <v>38.700000000000003</v>
      </c>
      <c r="Q420">
        <v>50.2</v>
      </c>
      <c r="R420">
        <v>49.9</v>
      </c>
      <c r="S420">
        <v>35.6</v>
      </c>
      <c r="T420">
        <v>34.700000000000003</v>
      </c>
      <c r="U420">
        <v>67</v>
      </c>
      <c r="V420">
        <v>-12.9</v>
      </c>
      <c r="W420" cm="1">
        <f t="array" ref="W420">_xlfn.IFS(OR(X420="N/A",X420="NA"),0,OR(X420="R64",X420="R68"),1,X420="R32",2,X420="S16",3,X420="E8",4,X420="F4",5,X420="2ND",6,X420="Champions",7)</f>
        <v>0</v>
      </c>
      <c r="X420" t="s">
        <v>90</v>
      </c>
      <c r="Y420" t="s">
        <v>90</v>
      </c>
      <c r="Z420">
        <v>2017</v>
      </c>
    </row>
    <row r="421" spans="1:26" x14ac:dyDescent="0.3">
      <c r="A421" t="s">
        <v>177</v>
      </c>
      <c r="B421" t="s">
        <v>74</v>
      </c>
      <c r="C421">
        <v>28</v>
      </c>
      <c r="D421">
        <v>12</v>
      </c>
      <c r="E421" s="1">
        <f t="shared" si="6"/>
        <v>0.42857142857142855</v>
      </c>
      <c r="F421">
        <v>102.2</v>
      </c>
      <c r="G421">
        <v>116.1</v>
      </c>
      <c r="H421">
        <v>0.18629999999999999</v>
      </c>
      <c r="I421">
        <v>48.7</v>
      </c>
      <c r="J421">
        <v>54.3</v>
      </c>
      <c r="K421">
        <v>16.2</v>
      </c>
      <c r="L421">
        <v>16.8</v>
      </c>
      <c r="M421">
        <v>27.4</v>
      </c>
      <c r="N421">
        <v>27.4</v>
      </c>
      <c r="O421">
        <v>35</v>
      </c>
      <c r="P421">
        <v>41.6</v>
      </c>
      <c r="Q421">
        <v>48</v>
      </c>
      <c r="R421">
        <v>53.2</v>
      </c>
      <c r="S421">
        <v>33.299999999999997</v>
      </c>
      <c r="T421">
        <v>37.299999999999997</v>
      </c>
      <c r="U421">
        <v>69.900000000000006</v>
      </c>
      <c r="V421">
        <v>-13.8</v>
      </c>
      <c r="W421" cm="1">
        <f t="array" ref="W421">_xlfn.IFS(OR(X421="N/A",X421="NA"),0,OR(X421="R64",X421="R68"),1,X421="R32",2,X421="S16",3,X421="E8",4,X421="F4",5,X421="2ND",6,X421="Champions",7)</f>
        <v>0</v>
      </c>
      <c r="X421" t="s">
        <v>90</v>
      </c>
      <c r="Y421" t="s">
        <v>90</v>
      </c>
      <c r="Z421">
        <v>2017</v>
      </c>
    </row>
    <row r="422" spans="1:26" x14ac:dyDescent="0.3">
      <c r="A422" t="s">
        <v>178</v>
      </c>
      <c r="B422" t="s">
        <v>74</v>
      </c>
      <c r="C422">
        <v>30</v>
      </c>
      <c r="D422">
        <v>19</v>
      </c>
      <c r="E422" s="1">
        <f t="shared" si="6"/>
        <v>0.6333333333333333</v>
      </c>
      <c r="F422">
        <v>101.5</v>
      </c>
      <c r="G422">
        <v>102.4</v>
      </c>
      <c r="H422">
        <v>0.47439999999999999</v>
      </c>
      <c r="I422">
        <v>52.1</v>
      </c>
      <c r="J422">
        <v>49</v>
      </c>
      <c r="K422">
        <v>20.399999999999999</v>
      </c>
      <c r="L422">
        <v>20.399999999999999</v>
      </c>
      <c r="M422">
        <v>30.8</v>
      </c>
      <c r="N422">
        <v>28.6</v>
      </c>
      <c r="O422">
        <v>44.7</v>
      </c>
      <c r="P422">
        <v>40.799999999999997</v>
      </c>
      <c r="Q422">
        <v>50.3</v>
      </c>
      <c r="R422">
        <v>46.8</v>
      </c>
      <c r="S422">
        <v>37.6</v>
      </c>
      <c r="T422">
        <v>35.5</v>
      </c>
      <c r="U422">
        <v>72.3</v>
      </c>
      <c r="V422">
        <v>-8.1999999999999993</v>
      </c>
      <c r="W422" cm="1">
        <f t="array" ref="W422">_xlfn.IFS(OR(X422="N/A",X422="NA"),0,OR(X422="R64",X422="R68"),1,X422="R32",2,X422="S16",3,X422="E8",4,X422="F4",5,X422="2ND",6,X422="Champions",7)</f>
        <v>0</v>
      </c>
      <c r="X422" t="s">
        <v>90</v>
      </c>
      <c r="Y422" t="s">
        <v>90</v>
      </c>
      <c r="Z422">
        <v>2017</v>
      </c>
    </row>
    <row r="423" spans="1:26" x14ac:dyDescent="0.3">
      <c r="A423" t="s">
        <v>179</v>
      </c>
      <c r="B423" t="s">
        <v>74</v>
      </c>
      <c r="C423">
        <v>28</v>
      </c>
      <c r="D423">
        <v>15</v>
      </c>
      <c r="E423" s="1">
        <f t="shared" si="6"/>
        <v>0.5357142857142857</v>
      </c>
      <c r="F423">
        <v>98.2</v>
      </c>
      <c r="G423">
        <v>107.9</v>
      </c>
      <c r="H423">
        <v>0.25280000000000002</v>
      </c>
      <c r="I423">
        <v>48.3</v>
      </c>
      <c r="J423">
        <v>52.6</v>
      </c>
      <c r="K423">
        <v>19.2</v>
      </c>
      <c r="L423">
        <v>19.600000000000001</v>
      </c>
      <c r="M423">
        <v>28.1</v>
      </c>
      <c r="N423">
        <v>28</v>
      </c>
      <c r="O423">
        <v>36.4</v>
      </c>
      <c r="P423">
        <v>33.5</v>
      </c>
      <c r="Q423">
        <v>44.8</v>
      </c>
      <c r="R423">
        <v>51</v>
      </c>
      <c r="S423">
        <v>37.5</v>
      </c>
      <c r="T423">
        <v>36.700000000000003</v>
      </c>
      <c r="U423">
        <v>67.2</v>
      </c>
      <c r="V423">
        <v>-11.4</v>
      </c>
      <c r="W423" cm="1">
        <f t="array" ref="W423">_xlfn.IFS(OR(X423="N/A",X423="NA"),0,OR(X423="R64",X423="R68"),1,X423="R32",2,X423="S16",3,X423="E8",4,X423="F4",5,X423="2ND",6,X423="Champions",7)</f>
        <v>0</v>
      </c>
      <c r="X423" t="s">
        <v>90</v>
      </c>
      <c r="Y423" t="s">
        <v>90</v>
      </c>
      <c r="Z423">
        <v>2017</v>
      </c>
    </row>
    <row r="424" spans="1:26" x14ac:dyDescent="0.3">
      <c r="A424" t="s">
        <v>180</v>
      </c>
      <c r="B424" t="s">
        <v>74</v>
      </c>
      <c r="C424">
        <v>32</v>
      </c>
      <c r="D424">
        <v>21</v>
      </c>
      <c r="E424" s="1">
        <f t="shared" si="6"/>
        <v>0.65625</v>
      </c>
      <c r="F424">
        <v>98.1</v>
      </c>
      <c r="G424">
        <v>102.8</v>
      </c>
      <c r="H424">
        <v>0.3669</v>
      </c>
      <c r="I424">
        <v>52.3</v>
      </c>
      <c r="J424">
        <v>52.2</v>
      </c>
      <c r="K424">
        <v>16</v>
      </c>
      <c r="L424">
        <v>22</v>
      </c>
      <c r="M424">
        <v>15</v>
      </c>
      <c r="N424">
        <v>24.7</v>
      </c>
      <c r="O424">
        <v>34.200000000000003</v>
      </c>
      <c r="P424">
        <v>42.2</v>
      </c>
      <c r="Q424">
        <v>50.4</v>
      </c>
      <c r="R424">
        <v>52.1</v>
      </c>
      <c r="S424">
        <v>36.1</v>
      </c>
      <c r="T424">
        <v>34.9</v>
      </c>
      <c r="U424">
        <v>64.2</v>
      </c>
      <c r="V424">
        <v>-8.1999999999999993</v>
      </c>
      <c r="W424" cm="1">
        <f t="array" ref="W424">_xlfn.IFS(OR(X424="N/A",X424="NA"),0,OR(X424="R64",X424="R68"),1,X424="R32",2,X424="S16",3,X424="E8",4,X424="F4",5,X424="2ND",6,X424="Champions",7)</f>
        <v>0</v>
      </c>
      <c r="X424" t="s">
        <v>90</v>
      </c>
      <c r="Y424" t="s">
        <v>90</v>
      </c>
      <c r="Z424">
        <v>2017</v>
      </c>
    </row>
    <row r="425" spans="1:26" x14ac:dyDescent="0.3">
      <c r="A425" t="s">
        <v>181</v>
      </c>
      <c r="B425" t="s">
        <v>74</v>
      </c>
      <c r="C425">
        <v>28</v>
      </c>
      <c r="D425">
        <v>6</v>
      </c>
      <c r="E425" s="1">
        <f t="shared" si="6"/>
        <v>0.21428571428571427</v>
      </c>
      <c r="F425">
        <v>91.2</v>
      </c>
      <c r="G425">
        <v>117.5</v>
      </c>
      <c r="H425">
        <v>5.1299999999999998E-2</v>
      </c>
      <c r="I425">
        <v>49.3</v>
      </c>
      <c r="J425">
        <v>55.1</v>
      </c>
      <c r="K425">
        <v>21.9</v>
      </c>
      <c r="L425">
        <v>17.399999999999999</v>
      </c>
      <c r="M425">
        <v>21.5</v>
      </c>
      <c r="N425">
        <v>34.1</v>
      </c>
      <c r="O425">
        <v>29</v>
      </c>
      <c r="P425">
        <v>32.200000000000003</v>
      </c>
      <c r="Q425">
        <v>49.6</v>
      </c>
      <c r="R425">
        <v>52.5</v>
      </c>
      <c r="S425">
        <v>32.5</v>
      </c>
      <c r="T425">
        <v>40</v>
      </c>
      <c r="U425">
        <v>71.8</v>
      </c>
      <c r="V425">
        <v>-19.5</v>
      </c>
      <c r="W425" cm="1">
        <f t="array" ref="W425">_xlfn.IFS(OR(X425="N/A",X425="NA"),0,OR(X425="R64",X425="R68"),1,X425="R32",2,X425="S16",3,X425="E8",4,X425="F4",5,X425="2ND",6,X425="Champions",7)</f>
        <v>0</v>
      </c>
      <c r="X425" t="s">
        <v>90</v>
      </c>
      <c r="Y425" t="s">
        <v>90</v>
      </c>
      <c r="Z425">
        <v>2017</v>
      </c>
    </row>
    <row r="426" spans="1:26" x14ac:dyDescent="0.3">
      <c r="A426" t="s">
        <v>182</v>
      </c>
      <c r="B426" t="s">
        <v>74</v>
      </c>
      <c r="C426">
        <v>28</v>
      </c>
      <c r="D426">
        <v>5</v>
      </c>
      <c r="E426" s="1">
        <f t="shared" si="6"/>
        <v>0.17857142857142858</v>
      </c>
      <c r="F426">
        <v>87.2</v>
      </c>
      <c r="G426">
        <v>118.2</v>
      </c>
      <c r="H426">
        <v>2.9499999999999998E-2</v>
      </c>
      <c r="I426">
        <v>45.5</v>
      </c>
      <c r="J426">
        <v>56.1</v>
      </c>
      <c r="K426">
        <v>23.3</v>
      </c>
      <c r="L426">
        <v>16.899999999999999</v>
      </c>
      <c r="M426">
        <v>29</v>
      </c>
      <c r="N426">
        <v>31.9</v>
      </c>
      <c r="O426">
        <v>27.7</v>
      </c>
      <c r="P426">
        <v>36.700000000000003</v>
      </c>
      <c r="Q426">
        <v>43.2</v>
      </c>
      <c r="R426">
        <v>53.3</v>
      </c>
      <c r="S426">
        <v>33.6</v>
      </c>
      <c r="T426">
        <v>39.6</v>
      </c>
      <c r="U426">
        <v>65.3</v>
      </c>
      <c r="V426">
        <v>-20.5</v>
      </c>
      <c r="W426" cm="1">
        <f t="array" ref="W426">_xlfn.IFS(OR(X426="N/A",X426="NA"),0,OR(X426="R64",X426="R68"),1,X426="R32",2,X426="S16",3,X426="E8",4,X426="F4",5,X426="2ND",6,X426="Champions",7)</f>
        <v>0</v>
      </c>
      <c r="X426" t="s">
        <v>90</v>
      </c>
      <c r="Y426" t="s">
        <v>90</v>
      </c>
      <c r="Z426">
        <v>2017</v>
      </c>
    </row>
    <row r="427" spans="1:26" x14ac:dyDescent="0.3">
      <c r="A427" t="s">
        <v>183</v>
      </c>
      <c r="B427" t="s">
        <v>74</v>
      </c>
      <c r="C427">
        <v>30</v>
      </c>
      <c r="D427">
        <v>14</v>
      </c>
      <c r="E427" s="1">
        <f t="shared" si="6"/>
        <v>0.46666666666666667</v>
      </c>
      <c r="F427">
        <v>95</v>
      </c>
      <c r="G427">
        <v>107.6</v>
      </c>
      <c r="H427">
        <v>0.19259999999999999</v>
      </c>
      <c r="I427">
        <v>47.5</v>
      </c>
      <c r="J427">
        <v>51.2</v>
      </c>
      <c r="K427">
        <v>22.4</v>
      </c>
      <c r="L427">
        <v>15.1</v>
      </c>
      <c r="M427">
        <v>33.799999999999997</v>
      </c>
      <c r="N427">
        <v>26.9</v>
      </c>
      <c r="O427">
        <v>29.5</v>
      </c>
      <c r="P427">
        <v>30</v>
      </c>
      <c r="Q427">
        <v>44.6</v>
      </c>
      <c r="R427">
        <v>49.9</v>
      </c>
      <c r="S427">
        <v>34.6</v>
      </c>
      <c r="T427">
        <v>35.9</v>
      </c>
      <c r="U427">
        <v>65.599999999999994</v>
      </c>
      <c r="V427">
        <v>-11.8</v>
      </c>
      <c r="W427" cm="1">
        <f t="array" ref="W427">_xlfn.IFS(OR(X427="N/A",X427="NA"),0,OR(X427="R64",X427="R68"),1,X427="R32",2,X427="S16",3,X427="E8",4,X427="F4",5,X427="2ND",6,X427="Champions",7)</f>
        <v>0</v>
      </c>
      <c r="X427" t="s">
        <v>90</v>
      </c>
      <c r="Y427" t="s">
        <v>90</v>
      </c>
      <c r="Z427">
        <v>2017</v>
      </c>
    </row>
    <row r="428" spans="1:26" x14ac:dyDescent="0.3">
      <c r="A428" t="s">
        <v>184</v>
      </c>
      <c r="B428" t="s">
        <v>74</v>
      </c>
      <c r="C428">
        <v>31</v>
      </c>
      <c r="D428">
        <v>23</v>
      </c>
      <c r="E428" s="1">
        <f t="shared" si="6"/>
        <v>0.74193548387096775</v>
      </c>
      <c r="F428">
        <v>104.9</v>
      </c>
      <c r="G428">
        <v>101.9</v>
      </c>
      <c r="H428">
        <v>0.58199999999999996</v>
      </c>
      <c r="I428">
        <v>54.1</v>
      </c>
      <c r="J428">
        <v>52.4</v>
      </c>
      <c r="K428">
        <v>16</v>
      </c>
      <c r="L428">
        <v>22.6</v>
      </c>
      <c r="M428">
        <v>24.4</v>
      </c>
      <c r="N428">
        <v>27.3</v>
      </c>
      <c r="O428">
        <v>34.9</v>
      </c>
      <c r="P428">
        <v>31.2</v>
      </c>
      <c r="Q428">
        <v>51.8</v>
      </c>
      <c r="R428">
        <v>51.5</v>
      </c>
      <c r="S428">
        <v>39</v>
      </c>
      <c r="T428">
        <v>35.799999999999997</v>
      </c>
      <c r="U428">
        <v>69.5</v>
      </c>
      <c r="V428">
        <v>-3.5</v>
      </c>
      <c r="W428" cm="1">
        <f t="array" ref="W428">_xlfn.IFS(OR(X428="N/A",X428="NA"),0,OR(X428="R64",X428="R68"),1,X428="R32",2,X428="S16",3,X428="E8",4,X428="F4",5,X428="2ND",6,X428="Champions",7)</f>
        <v>0</v>
      </c>
      <c r="X428" t="s">
        <v>90</v>
      </c>
      <c r="Y428" t="s">
        <v>90</v>
      </c>
      <c r="Z428">
        <v>2017</v>
      </c>
    </row>
    <row r="429" spans="1:26" x14ac:dyDescent="0.3">
      <c r="A429" t="s">
        <v>176</v>
      </c>
      <c r="B429" t="s">
        <v>74</v>
      </c>
      <c r="C429">
        <v>31</v>
      </c>
      <c r="D429">
        <v>18</v>
      </c>
      <c r="E429" s="1">
        <f t="shared" si="6"/>
        <v>0.58064516129032262</v>
      </c>
      <c r="F429">
        <v>104.9</v>
      </c>
      <c r="G429">
        <v>110.3</v>
      </c>
      <c r="H429">
        <v>0.36020000000000002</v>
      </c>
      <c r="I429">
        <v>54.6</v>
      </c>
      <c r="J429">
        <v>52</v>
      </c>
      <c r="K429">
        <v>17.2</v>
      </c>
      <c r="L429">
        <v>17.3</v>
      </c>
      <c r="M429">
        <v>20.8</v>
      </c>
      <c r="N429">
        <v>26.5</v>
      </c>
      <c r="O429">
        <v>34</v>
      </c>
      <c r="P429">
        <v>32.5</v>
      </c>
      <c r="Q429">
        <v>52.6</v>
      </c>
      <c r="R429">
        <v>51.8</v>
      </c>
      <c r="S429">
        <v>38.1</v>
      </c>
      <c r="T429">
        <v>34.799999999999997</v>
      </c>
      <c r="U429">
        <v>68.900000000000006</v>
      </c>
      <c r="V429">
        <v>-11.5</v>
      </c>
      <c r="W429" cm="1">
        <f t="array" ref="W429">_xlfn.IFS(OR(X429="N/A",X429="NA"),0,OR(X429="R64",X429="R68"),1,X429="R32",2,X429="S16",3,X429="E8",4,X429="F4",5,X429="2ND",6,X429="Champions",7)</f>
        <v>0</v>
      </c>
      <c r="X429" t="s">
        <v>90</v>
      </c>
      <c r="Y429" t="s">
        <v>90</v>
      </c>
      <c r="Z429">
        <v>2018</v>
      </c>
    </row>
    <row r="430" spans="1:26" x14ac:dyDescent="0.3">
      <c r="A430" t="s">
        <v>177</v>
      </c>
      <c r="B430" t="s">
        <v>74</v>
      </c>
      <c r="C430">
        <v>28</v>
      </c>
      <c r="D430">
        <v>15</v>
      </c>
      <c r="E430" s="1">
        <f t="shared" si="6"/>
        <v>0.5357142857142857</v>
      </c>
      <c r="F430">
        <v>99.9</v>
      </c>
      <c r="G430">
        <v>107.3</v>
      </c>
      <c r="H430">
        <v>0.30580000000000002</v>
      </c>
      <c r="I430">
        <v>49</v>
      </c>
      <c r="J430">
        <v>53.9</v>
      </c>
      <c r="K430">
        <v>19.5</v>
      </c>
      <c r="L430">
        <v>22.1</v>
      </c>
      <c r="M430">
        <v>30.2</v>
      </c>
      <c r="N430">
        <v>28.1</v>
      </c>
      <c r="O430">
        <v>31.3</v>
      </c>
      <c r="P430">
        <v>35.1</v>
      </c>
      <c r="Q430">
        <v>49</v>
      </c>
      <c r="R430">
        <v>49.9</v>
      </c>
      <c r="S430">
        <v>32.6</v>
      </c>
      <c r="T430">
        <v>39.200000000000003</v>
      </c>
      <c r="U430">
        <v>67.5</v>
      </c>
      <c r="V430">
        <v>-11.5</v>
      </c>
      <c r="W430" cm="1">
        <f t="array" ref="W430">_xlfn.IFS(OR(X430="N/A",X430="NA"),0,OR(X430="R64",X430="R68"),1,X430="R32",2,X430="S16",3,X430="E8",4,X430="F4",5,X430="2ND",6,X430="Champions",7)</f>
        <v>0</v>
      </c>
      <c r="X430" t="s">
        <v>90</v>
      </c>
      <c r="Y430" t="s">
        <v>90</v>
      </c>
      <c r="Z430">
        <v>2018</v>
      </c>
    </row>
    <row r="431" spans="1:26" x14ac:dyDescent="0.3">
      <c r="A431" t="s">
        <v>178</v>
      </c>
      <c r="B431" t="s">
        <v>74</v>
      </c>
      <c r="C431">
        <v>29</v>
      </c>
      <c r="D431">
        <v>14</v>
      </c>
      <c r="E431" s="1">
        <f t="shared" si="6"/>
        <v>0.48275862068965519</v>
      </c>
      <c r="F431">
        <v>97.6</v>
      </c>
      <c r="G431">
        <v>104.8</v>
      </c>
      <c r="H431">
        <v>0.30499999999999999</v>
      </c>
      <c r="I431">
        <v>49.1</v>
      </c>
      <c r="J431">
        <v>50.4</v>
      </c>
      <c r="K431">
        <v>20.100000000000001</v>
      </c>
      <c r="L431">
        <v>17.100000000000001</v>
      </c>
      <c r="M431">
        <v>25.2</v>
      </c>
      <c r="N431">
        <v>27.3</v>
      </c>
      <c r="O431">
        <v>28</v>
      </c>
      <c r="P431">
        <v>37.299999999999997</v>
      </c>
      <c r="Q431">
        <v>48.1</v>
      </c>
      <c r="R431">
        <v>50.8</v>
      </c>
      <c r="S431">
        <v>34</v>
      </c>
      <c r="T431">
        <v>33.200000000000003</v>
      </c>
      <c r="U431">
        <v>69</v>
      </c>
      <c r="V431">
        <v>-12.1</v>
      </c>
      <c r="W431" cm="1">
        <f t="array" ref="W431">_xlfn.IFS(OR(X431="N/A",X431="NA"),0,OR(X431="R64",X431="R68"),1,X431="R32",2,X431="S16",3,X431="E8",4,X431="F4",5,X431="2ND",6,X431="Champions",7)</f>
        <v>0</v>
      </c>
      <c r="X431" t="s">
        <v>90</v>
      </c>
      <c r="Y431" t="s">
        <v>90</v>
      </c>
      <c r="Z431">
        <v>2018</v>
      </c>
    </row>
    <row r="432" spans="1:26" x14ac:dyDescent="0.3">
      <c r="A432" t="s">
        <v>179</v>
      </c>
      <c r="B432" t="s">
        <v>74</v>
      </c>
      <c r="C432">
        <v>27</v>
      </c>
      <c r="D432">
        <v>14</v>
      </c>
      <c r="E432" s="1">
        <f t="shared" si="6"/>
        <v>0.51851851851851849</v>
      </c>
      <c r="F432">
        <v>98.5</v>
      </c>
      <c r="G432">
        <v>106.5</v>
      </c>
      <c r="H432">
        <v>0.29070000000000001</v>
      </c>
      <c r="I432">
        <v>49.3</v>
      </c>
      <c r="J432">
        <v>50.1</v>
      </c>
      <c r="K432">
        <v>19.100000000000001</v>
      </c>
      <c r="L432">
        <v>20.399999999999999</v>
      </c>
      <c r="M432">
        <v>30.9</v>
      </c>
      <c r="N432">
        <v>28.9</v>
      </c>
      <c r="O432">
        <v>34.1</v>
      </c>
      <c r="P432">
        <v>40.1</v>
      </c>
      <c r="Q432">
        <v>47.6</v>
      </c>
      <c r="R432">
        <v>48.8</v>
      </c>
      <c r="S432">
        <v>35.9</v>
      </c>
      <c r="T432">
        <v>34.799999999999997</v>
      </c>
      <c r="U432">
        <v>66.8</v>
      </c>
      <c r="V432">
        <v>-12.4</v>
      </c>
      <c r="W432" cm="1">
        <f t="array" ref="W432">_xlfn.IFS(OR(X432="N/A",X432="NA"),0,OR(X432="R64",X432="R68"),1,X432="R32",2,X432="S16",3,X432="E8",4,X432="F4",5,X432="2ND",6,X432="Champions",7)</f>
        <v>0</v>
      </c>
      <c r="X432" t="s">
        <v>90</v>
      </c>
      <c r="Y432" t="s">
        <v>90</v>
      </c>
      <c r="Z432">
        <v>2018</v>
      </c>
    </row>
    <row r="433" spans="1:26" x14ac:dyDescent="0.3">
      <c r="A433" t="s">
        <v>180</v>
      </c>
      <c r="B433" t="s">
        <v>74</v>
      </c>
      <c r="C433">
        <v>34</v>
      </c>
      <c r="D433">
        <v>22</v>
      </c>
      <c r="E433" s="1">
        <f t="shared" si="6"/>
        <v>0.6470588235294118</v>
      </c>
      <c r="F433">
        <v>102.8</v>
      </c>
      <c r="G433">
        <v>104.7</v>
      </c>
      <c r="H433">
        <v>0.44700000000000001</v>
      </c>
      <c r="I433">
        <v>52.8</v>
      </c>
      <c r="J433">
        <v>51.4</v>
      </c>
      <c r="K433">
        <v>18.2</v>
      </c>
      <c r="L433">
        <v>18.2</v>
      </c>
      <c r="M433">
        <v>22.9</v>
      </c>
      <c r="N433">
        <v>20.399999999999999</v>
      </c>
      <c r="O433">
        <v>33.700000000000003</v>
      </c>
      <c r="P433">
        <v>34.4</v>
      </c>
      <c r="Q433">
        <v>51.1</v>
      </c>
      <c r="R433">
        <v>47.3</v>
      </c>
      <c r="S433">
        <v>36.799999999999997</v>
      </c>
      <c r="T433">
        <v>37.5</v>
      </c>
      <c r="U433">
        <v>64.2</v>
      </c>
      <c r="V433">
        <v>-9.6999999999999993</v>
      </c>
      <c r="W433" cm="1">
        <f t="array" ref="W433">_xlfn.IFS(OR(X433="N/A",X433="NA"),0,OR(X433="R64",X433="R68"),1,X433="R32",2,X433="S16",3,X433="E8",4,X433="F4",5,X433="2ND",6,X433="Champions",7)</f>
        <v>0</v>
      </c>
      <c r="X433" t="s">
        <v>90</v>
      </c>
      <c r="Y433" t="s">
        <v>90</v>
      </c>
      <c r="Z433">
        <v>2018</v>
      </c>
    </row>
    <row r="434" spans="1:26" x14ac:dyDescent="0.3">
      <c r="A434" t="s">
        <v>181</v>
      </c>
      <c r="B434" t="s">
        <v>74</v>
      </c>
      <c r="C434">
        <v>30</v>
      </c>
      <c r="D434">
        <v>7</v>
      </c>
      <c r="E434" s="1">
        <f t="shared" si="6"/>
        <v>0.23333333333333334</v>
      </c>
      <c r="F434">
        <v>89.4</v>
      </c>
      <c r="G434">
        <v>109.2</v>
      </c>
      <c r="H434">
        <v>9.11E-2</v>
      </c>
      <c r="I434">
        <v>46.3</v>
      </c>
      <c r="J434">
        <v>52.4</v>
      </c>
      <c r="K434">
        <v>23</v>
      </c>
      <c r="L434">
        <v>17.600000000000001</v>
      </c>
      <c r="M434">
        <v>22.7</v>
      </c>
      <c r="N434">
        <v>30.5</v>
      </c>
      <c r="O434">
        <v>35.299999999999997</v>
      </c>
      <c r="P434">
        <v>34.200000000000003</v>
      </c>
      <c r="Q434">
        <v>45.8</v>
      </c>
      <c r="R434">
        <v>53.2</v>
      </c>
      <c r="S434">
        <v>31.5</v>
      </c>
      <c r="T434">
        <v>34.1</v>
      </c>
      <c r="U434">
        <v>70.3</v>
      </c>
      <c r="V434">
        <v>-21.2</v>
      </c>
      <c r="W434" cm="1">
        <f t="array" ref="W434">_xlfn.IFS(OR(X434="N/A",X434="NA"),0,OR(X434="R64",X434="R68"),1,X434="R32",2,X434="S16",3,X434="E8",4,X434="F4",5,X434="2ND",6,X434="Champions",7)</f>
        <v>0</v>
      </c>
      <c r="X434" t="s">
        <v>90</v>
      </c>
      <c r="Y434" t="s">
        <v>90</v>
      </c>
      <c r="Z434">
        <v>2018</v>
      </c>
    </row>
    <row r="435" spans="1:26" x14ac:dyDescent="0.3">
      <c r="A435" t="s">
        <v>182</v>
      </c>
      <c r="B435" t="s">
        <v>74</v>
      </c>
      <c r="C435">
        <v>29</v>
      </c>
      <c r="D435">
        <v>11</v>
      </c>
      <c r="E435" s="1">
        <f t="shared" si="6"/>
        <v>0.37931034482758619</v>
      </c>
      <c r="F435">
        <v>96.5</v>
      </c>
      <c r="G435">
        <v>115.3</v>
      </c>
      <c r="H435">
        <v>0.1144</v>
      </c>
      <c r="I435">
        <v>49</v>
      </c>
      <c r="J435">
        <v>55.3</v>
      </c>
      <c r="K435">
        <v>18.8</v>
      </c>
      <c r="L435">
        <v>17.8</v>
      </c>
      <c r="M435">
        <v>24.9</v>
      </c>
      <c r="N435">
        <v>30</v>
      </c>
      <c r="O435">
        <v>28</v>
      </c>
      <c r="P435">
        <v>29.3</v>
      </c>
      <c r="Q435">
        <v>46.8</v>
      </c>
      <c r="R435">
        <v>55.5</v>
      </c>
      <c r="S435">
        <v>34.6</v>
      </c>
      <c r="T435">
        <v>36.700000000000003</v>
      </c>
      <c r="U435">
        <v>64.599999999999994</v>
      </c>
      <c r="V435">
        <v>-16.2</v>
      </c>
      <c r="W435" cm="1">
        <f t="array" ref="W435">_xlfn.IFS(OR(X435="N/A",X435="NA"),0,OR(X435="R64",X435="R68"),1,X435="R32",2,X435="S16",3,X435="E8",4,X435="F4",5,X435="2ND",6,X435="Champions",7)</f>
        <v>0</v>
      </c>
      <c r="X435" t="s">
        <v>90</v>
      </c>
      <c r="Y435" t="s">
        <v>90</v>
      </c>
      <c r="Z435">
        <v>2018</v>
      </c>
    </row>
    <row r="436" spans="1:26" x14ac:dyDescent="0.3">
      <c r="A436" t="s">
        <v>184</v>
      </c>
      <c r="B436" t="s">
        <v>74</v>
      </c>
      <c r="C436">
        <v>32</v>
      </c>
      <c r="D436">
        <v>21</v>
      </c>
      <c r="E436" s="1">
        <f t="shared" si="6"/>
        <v>0.65625</v>
      </c>
      <c r="F436">
        <v>105.1</v>
      </c>
      <c r="G436">
        <v>106.7</v>
      </c>
      <c r="H436">
        <v>0.45610000000000001</v>
      </c>
      <c r="I436">
        <v>54.6</v>
      </c>
      <c r="J436">
        <v>52.5</v>
      </c>
      <c r="K436">
        <v>19.399999999999999</v>
      </c>
      <c r="L436">
        <v>18.5</v>
      </c>
      <c r="M436">
        <v>24</v>
      </c>
      <c r="N436">
        <v>26.8</v>
      </c>
      <c r="O436">
        <v>31.3</v>
      </c>
      <c r="P436">
        <v>33.9</v>
      </c>
      <c r="Q436">
        <v>52</v>
      </c>
      <c r="R436">
        <v>52.4</v>
      </c>
      <c r="S436">
        <v>39.4</v>
      </c>
      <c r="T436">
        <v>35.1</v>
      </c>
      <c r="U436">
        <v>70.599999999999994</v>
      </c>
      <c r="V436">
        <v>-6.2</v>
      </c>
      <c r="W436" cm="1">
        <f t="array" ref="W436">_xlfn.IFS(OR(X436="N/A",X436="NA"),0,OR(X436="R64",X436="R68"),1,X436="R32",2,X436="S16",3,X436="E8",4,X436="F4",5,X436="2ND",6,X436="Champions",7)</f>
        <v>0</v>
      </c>
      <c r="X436" t="s">
        <v>90</v>
      </c>
      <c r="Y436" t="s">
        <v>90</v>
      </c>
      <c r="Z436">
        <v>2018</v>
      </c>
    </row>
    <row r="437" spans="1:26" x14ac:dyDescent="0.3">
      <c r="A437" t="s">
        <v>185</v>
      </c>
      <c r="B437" t="s">
        <v>74</v>
      </c>
      <c r="C437">
        <v>28</v>
      </c>
      <c r="D437">
        <v>19</v>
      </c>
      <c r="E437" s="1">
        <f t="shared" si="6"/>
        <v>0.6785714285714286</v>
      </c>
      <c r="F437">
        <v>104.8</v>
      </c>
      <c r="G437">
        <v>106.6</v>
      </c>
      <c r="H437">
        <v>0.45279999999999998</v>
      </c>
      <c r="I437">
        <v>54.8</v>
      </c>
      <c r="J437">
        <v>49.7</v>
      </c>
      <c r="K437">
        <v>19.7</v>
      </c>
      <c r="L437">
        <v>18.600000000000001</v>
      </c>
      <c r="M437">
        <v>26.2</v>
      </c>
      <c r="N437">
        <v>27.2</v>
      </c>
      <c r="O437">
        <v>35.9</v>
      </c>
      <c r="P437">
        <v>32.1</v>
      </c>
      <c r="Q437">
        <v>54.8</v>
      </c>
      <c r="R437">
        <v>48.1</v>
      </c>
      <c r="S437">
        <v>36.5</v>
      </c>
      <c r="T437">
        <v>34.9</v>
      </c>
      <c r="U437">
        <v>72.8</v>
      </c>
      <c r="V437">
        <v>-7.6</v>
      </c>
      <c r="W437" cm="1">
        <f t="array" ref="W437">_xlfn.IFS(OR(X437="N/A",X437="NA"),0,OR(X437="R64",X437="R68"),1,X437="R32",2,X437="S16",3,X437="E8",4,X437="F4",5,X437="2ND",6,X437="Champions",7)</f>
        <v>0</v>
      </c>
      <c r="X437" t="s">
        <v>90</v>
      </c>
      <c r="Y437" t="s">
        <v>90</v>
      </c>
      <c r="Z437">
        <v>2018</v>
      </c>
    </row>
    <row r="438" spans="1:26" x14ac:dyDescent="0.3">
      <c r="A438" t="s">
        <v>176</v>
      </c>
      <c r="B438" t="s">
        <v>74</v>
      </c>
      <c r="C438">
        <v>30</v>
      </c>
      <c r="D438">
        <v>20</v>
      </c>
      <c r="E438" s="1">
        <f t="shared" si="6"/>
        <v>0.66666666666666663</v>
      </c>
      <c r="F438">
        <v>106.9</v>
      </c>
      <c r="G438">
        <v>108.8</v>
      </c>
      <c r="H438">
        <v>0.44890000000000002</v>
      </c>
      <c r="I438">
        <v>52.8</v>
      </c>
      <c r="J438">
        <v>54.6</v>
      </c>
      <c r="K438">
        <v>14.8</v>
      </c>
      <c r="L438">
        <v>19.5</v>
      </c>
      <c r="M438">
        <v>23.7</v>
      </c>
      <c r="N438">
        <v>28.9</v>
      </c>
      <c r="O438">
        <v>31.2</v>
      </c>
      <c r="P438">
        <v>36</v>
      </c>
      <c r="Q438">
        <v>54.8</v>
      </c>
      <c r="R438">
        <v>53.6</v>
      </c>
      <c r="S438">
        <v>33.799999999999997</v>
      </c>
      <c r="T438">
        <v>37.299999999999997</v>
      </c>
      <c r="U438">
        <v>67.099999999999994</v>
      </c>
      <c r="V438">
        <v>-7.4</v>
      </c>
      <c r="W438" cm="1">
        <f t="array" ref="W438">_xlfn.IFS(OR(X438="N/A",X438="NA"),0,OR(X438="R64",X438="R68"),1,X438="R32",2,X438="S16",3,X438="E8",4,X438="F4",5,X438="2ND",6,X438="Champions",7)</f>
        <v>0</v>
      </c>
      <c r="X438" t="s">
        <v>90</v>
      </c>
      <c r="Y438" t="s">
        <v>90</v>
      </c>
      <c r="Z438">
        <v>2019</v>
      </c>
    </row>
    <row r="439" spans="1:26" x14ac:dyDescent="0.3">
      <c r="A439" t="s">
        <v>177</v>
      </c>
      <c r="B439" t="s">
        <v>74</v>
      </c>
      <c r="C439">
        <v>30</v>
      </c>
      <c r="D439">
        <v>18</v>
      </c>
      <c r="E439" s="1">
        <f t="shared" si="6"/>
        <v>0.6</v>
      </c>
      <c r="F439">
        <v>100.1</v>
      </c>
      <c r="G439">
        <v>100.6</v>
      </c>
      <c r="H439">
        <v>0.48430000000000001</v>
      </c>
      <c r="I439">
        <v>49.8</v>
      </c>
      <c r="J439">
        <v>50.9</v>
      </c>
      <c r="K439">
        <v>18</v>
      </c>
      <c r="L439">
        <v>21.1</v>
      </c>
      <c r="M439">
        <v>29.1</v>
      </c>
      <c r="N439">
        <v>27.7</v>
      </c>
      <c r="O439">
        <v>27</v>
      </c>
      <c r="P439">
        <v>31.2</v>
      </c>
      <c r="Q439">
        <v>48.4</v>
      </c>
      <c r="R439">
        <v>48.8</v>
      </c>
      <c r="S439">
        <v>34.5</v>
      </c>
      <c r="T439">
        <v>35.9</v>
      </c>
      <c r="U439">
        <v>70.5</v>
      </c>
      <c r="V439">
        <v>-9.3000000000000007</v>
      </c>
      <c r="W439" cm="1">
        <f t="array" ref="W439">_xlfn.IFS(OR(X439="N/A",X439="NA"),0,OR(X439="R64",X439="R68"),1,X439="R32",2,X439="S16",3,X439="E8",4,X439="F4",5,X439="2ND",6,X439="Champions",7)</f>
        <v>0</v>
      </c>
      <c r="X439" t="s">
        <v>90</v>
      </c>
      <c r="Y439" t="s">
        <v>90</v>
      </c>
      <c r="Z439">
        <v>2019</v>
      </c>
    </row>
    <row r="440" spans="1:26" x14ac:dyDescent="0.3">
      <c r="A440" t="s">
        <v>187</v>
      </c>
      <c r="B440" t="s">
        <v>74</v>
      </c>
      <c r="C440">
        <v>32</v>
      </c>
      <c r="D440">
        <v>18</v>
      </c>
      <c r="E440" s="1">
        <f t="shared" si="6"/>
        <v>0.5625</v>
      </c>
      <c r="F440">
        <v>106.2</v>
      </c>
      <c r="G440">
        <v>107.8</v>
      </c>
      <c r="H440">
        <v>0.45650000000000002</v>
      </c>
      <c r="I440">
        <v>48.9</v>
      </c>
      <c r="J440">
        <v>50.8</v>
      </c>
      <c r="K440">
        <v>14.6</v>
      </c>
      <c r="L440">
        <v>16.3</v>
      </c>
      <c r="M440">
        <v>28.1</v>
      </c>
      <c r="N440">
        <v>26.6</v>
      </c>
      <c r="O440">
        <v>34.799999999999997</v>
      </c>
      <c r="P440">
        <v>35.9</v>
      </c>
      <c r="Q440">
        <v>47.5</v>
      </c>
      <c r="R440">
        <v>50.5</v>
      </c>
      <c r="S440">
        <v>34.1</v>
      </c>
      <c r="T440">
        <v>34.200000000000003</v>
      </c>
      <c r="U440">
        <v>72.5</v>
      </c>
      <c r="V440">
        <v>-11.4</v>
      </c>
      <c r="W440" cm="1">
        <f t="array" ref="W440">_xlfn.IFS(OR(X440="N/A",X440="NA"),0,OR(X440="R64",X440="R68"),1,X440="R32",2,X440="S16",3,X440="E8",4,X440="F4",5,X440="2ND",6,X440="Champions",7)</f>
        <v>0</v>
      </c>
      <c r="X440" t="s">
        <v>90</v>
      </c>
      <c r="Y440" t="s">
        <v>90</v>
      </c>
      <c r="Z440">
        <v>2019</v>
      </c>
    </row>
    <row r="441" spans="1:26" x14ac:dyDescent="0.3">
      <c r="A441" t="s">
        <v>179</v>
      </c>
      <c r="B441" t="s">
        <v>74</v>
      </c>
      <c r="C441">
        <v>29</v>
      </c>
      <c r="D441">
        <v>16</v>
      </c>
      <c r="E441" s="1">
        <f t="shared" si="6"/>
        <v>0.55172413793103448</v>
      </c>
      <c r="F441">
        <v>98.7</v>
      </c>
      <c r="G441">
        <v>103.9</v>
      </c>
      <c r="H441">
        <v>0.35799999999999998</v>
      </c>
      <c r="I441">
        <v>49.1</v>
      </c>
      <c r="J441">
        <v>50.3</v>
      </c>
      <c r="K441">
        <v>20.399999999999999</v>
      </c>
      <c r="L441">
        <v>16.3</v>
      </c>
      <c r="M441">
        <v>34.1</v>
      </c>
      <c r="N441">
        <v>25.5</v>
      </c>
      <c r="O441">
        <v>33.799999999999997</v>
      </c>
      <c r="P441">
        <v>29.1</v>
      </c>
      <c r="Q441">
        <v>51</v>
      </c>
      <c r="R441">
        <v>51.5</v>
      </c>
      <c r="S441">
        <v>30.3</v>
      </c>
      <c r="T441">
        <v>32.6</v>
      </c>
      <c r="U441">
        <v>65</v>
      </c>
      <c r="V441">
        <v>-10.199999999999999</v>
      </c>
      <c r="W441" cm="1">
        <f t="array" ref="W441">_xlfn.IFS(OR(X441="N/A",X441="NA"),0,OR(X441="R64",X441="R68"),1,X441="R32",2,X441="S16",3,X441="E8",4,X441="F4",5,X441="2ND",6,X441="Champions",7)</f>
        <v>0</v>
      </c>
      <c r="X441" t="s">
        <v>90</v>
      </c>
      <c r="Y441" t="s">
        <v>90</v>
      </c>
      <c r="Z441">
        <v>2019</v>
      </c>
    </row>
    <row r="442" spans="1:26" x14ac:dyDescent="0.3">
      <c r="A442" t="s">
        <v>181</v>
      </c>
      <c r="B442" t="s">
        <v>74</v>
      </c>
      <c r="C442">
        <v>31</v>
      </c>
      <c r="D442">
        <v>16</v>
      </c>
      <c r="E442" s="1">
        <f t="shared" si="6"/>
        <v>0.5161290322580645</v>
      </c>
      <c r="F442">
        <v>98.5</v>
      </c>
      <c r="G442">
        <v>106.9</v>
      </c>
      <c r="H442">
        <v>0.28139999999999998</v>
      </c>
      <c r="I442">
        <v>52.4</v>
      </c>
      <c r="J442">
        <v>50.5</v>
      </c>
      <c r="K442">
        <v>20.399999999999999</v>
      </c>
      <c r="L442">
        <v>17.399999999999999</v>
      </c>
      <c r="M442">
        <v>24.5</v>
      </c>
      <c r="N442">
        <v>25.2</v>
      </c>
      <c r="O442">
        <v>33.6</v>
      </c>
      <c r="P442">
        <v>33.700000000000003</v>
      </c>
      <c r="Q442">
        <v>50.8</v>
      </c>
      <c r="R442">
        <v>50.5</v>
      </c>
      <c r="S442">
        <v>36</v>
      </c>
      <c r="T442">
        <v>33.700000000000003</v>
      </c>
      <c r="U442">
        <v>68.5</v>
      </c>
      <c r="V442">
        <v>-13</v>
      </c>
      <c r="W442" cm="1">
        <f t="array" ref="W442">_xlfn.IFS(OR(X442="N/A",X442="NA"),0,OR(X442="R64",X442="R68"),1,X442="R32",2,X442="S16",3,X442="E8",4,X442="F4",5,X442="2ND",6,X442="Champions",7)</f>
        <v>0</v>
      </c>
      <c r="X442" t="s">
        <v>90</v>
      </c>
      <c r="Y442" t="s">
        <v>90</v>
      </c>
      <c r="Z442">
        <v>2019</v>
      </c>
    </row>
    <row r="443" spans="1:26" x14ac:dyDescent="0.3">
      <c r="A443" t="s">
        <v>182</v>
      </c>
      <c r="B443" t="s">
        <v>74</v>
      </c>
      <c r="C443">
        <v>33</v>
      </c>
      <c r="D443">
        <v>20</v>
      </c>
      <c r="E443" s="1">
        <f t="shared" si="6"/>
        <v>0.60606060606060608</v>
      </c>
      <c r="F443">
        <v>107.9</v>
      </c>
      <c r="G443">
        <v>109.8</v>
      </c>
      <c r="H443">
        <v>0.44990000000000002</v>
      </c>
      <c r="I443">
        <v>53.4</v>
      </c>
      <c r="J443">
        <v>53.4</v>
      </c>
      <c r="K443">
        <v>14.7</v>
      </c>
      <c r="L443">
        <v>17.899999999999999</v>
      </c>
      <c r="M443">
        <v>25.3</v>
      </c>
      <c r="N443">
        <v>27.4</v>
      </c>
      <c r="O443">
        <v>30.5</v>
      </c>
      <c r="P443">
        <v>33.1</v>
      </c>
      <c r="Q443">
        <v>50.1</v>
      </c>
      <c r="R443">
        <v>53.5</v>
      </c>
      <c r="S443">
        <v>38</v>
      </c>
      <c r="T443">
        <v>35.4</v>
      </c>
      <c r="U443">
        <v>68.900000000000006</v>
      </c>
      <c r="V443">
        <v>-9.6</v>
      </c>
      <c r="W443" cm="1">
        <f t="array" ref="W443">_xlfn.IFS(OR(X443="N/A",X443="NA"),0,OR(X443="R64",X443="R68"),1,X443="R32",2,X443="S16",3,X443="E8",4,X443="F4",5,X443="2ND",6,X443="Champions",7)</f>
        <v>0</v>
      </c>
      <c r="X443" t="s">
        <v>90</v>
      </c>
      <c r="Y443" t="s">
        <v>90</v>
      </c>
      <c r="Z443">
        <v>2019</v>
      </c>
    </row>
    <row r="444" spans="1:26" x14ac:dyDescent="0.3">
      <c r="A444" t="s">
        <v>183</v>
      </c>
      <c r="B444" t="s">
        <v>74</v>
      </c>
      <c r="C444">
        <v>30</v>
      </c>
      <c r="D444">
        <v>22</v>
      </c>
      <c r="E444" s="1">
        <f t="shared" si="6"/>
        <v>0.73333333333333328</v>
      </c>
      <c r="F444">
        <v>107.3</v>
      </c>
      <c r="G444">
        <v>104.4</v>
      </c>
      <c r="H444">
        <v>0.57730000000000004</v>
      </c>
      <c r="I444">
        <v>52.8</v>
      </c>
      <c r="J444">
        <v>51.9</v>
      </c>
      <c r="K444">
        <v>16.399999999999999</v>
      </c>
      <c r="L444">
        <v>18.100000000000001</v>
      </c>
      <c r="M444">
        <v>29.7</v>
      </c>
      <c r="N444">
        <v>24.9</v>
      </c>
      <c r="O444">
        <v>27</v>
      </c>
      <c r="P444">
        <v>30.7</v>
      </c>
      <c r="Q444">
        <v>50.1</v>
      </c>
      <c r="R444">
        <v>51.7</v>
      </c>
      <c r="S444">
        <v>38</v>
      </c>
      <c r="T444">
        <v>34.700000000000003</v>
      </c>
      <c r="U444">
        <v>65.8</v>
      </c>
      <c r="V444">
        <v>-4.4000000000000004</v>
      </c>
      <c r="W444" cm="1">
        <f t="array" ref="W444">_xlfn.IFS(OR(X444="N/A",X444="NA"),0,OR(X444="R64",X444="R68"),1,X444="R32",2,X444="S16",3,X444="E8",4,X444="F4",5,X444="2ND",6,X444="Champions",7)</f>
        <v>0</v>
      </c>
      <c r="X444" t="s">
        <v>90</v>
      </c>
      <c r="Y444" t="s">
        <v>90</v>
      </c>
      <c r="Z444">
        <v>2019</v>
      </c>
    </row>
    <row r="445" spans="1:26" x14ac:dyDescent="0.3">
      <c r="A445" t="s">
        <v>184</v>
      </c>
      <c r="B445" t="s">
        <v>74</v>
      </c>
      <c r="C445">
        <v>28</v>
      </c>
      <c r="D445">
        <v>4</v>
      </c>
      <c r="E445" s="1">
        <f t="shared" si="6"/>
        <v>0.14285714285714285</v>
      </c>
      <c r="F445">
        <v>93.1</v>
      </c>
      <c r="G445">
        <v>116</v>
      </c>
      <c r="H445">
        <v>7.4099999999999999E-2</v>
      </c>
      <c r="I445">
        <v>46.2</v>
      </c>
      <c r="J445">
        <v>55.7</v>
      </c>
      <c r="K445">
        <v>23.5</v>
      </c>
      <c r="L445">
        <v>18.2</v>
      </c>
      <c r="M445">
        <v>27.7</v>
      </c>
      <c r="N445">
        <v>37.1</v>
      </c>
      <c r="O445">
        <v>26.3</v>
      </c>
      <c r="P445">
        <v>33.700000000000003</v>
      </c>
      <c r="Q445">
        <v>45.2</v>
      </c>
      <c r="R445">
        <v>56.7</v>
      </c>
      <c r="S445">
        <v>31.7</v>
      </c>
      <c r="T445">
        <v>36.200000000000003</v>
      </c>
      <c r="U445">
        <v>63.7</v>
      </c>
      <c r="V445">
        <v>-20.8</v>
      </c>
      <c r="W445" cm="1">
        <f t="array" ref="W445">_xlfn.IFS(OR(X445="N/A",X445="NA"),0,OR(X445="R64",X445="R68"),1,X445="R32",2,X445="S16",3,X445="E8",4,X445="F4",5,X445="2ND",6,X445="Champions",7)</f>
        <v>0</v>
      </c>
      <c r="X445" t="s">
        <v>90</v>
      </c>
      <c r="Y445" t="s">
        <v>90</v>
      </c>
      <c r="Z445">
        <v>2019</v>
      </c>
    </row>
    <row r="446" spans="1:26" x14ac:dyDescent="0.3">
      <c r="A446" t="s">
        <v>137</v>
      </c>
      <c r="B446" t="s">
        <v>74</v>
      </c>
      <c r="C446">
        <v>29</v>
      </c>
      <c r="D446">
        <v>5</v>
      </c>
      <c r="E446" s="1">
        <f t="shared" si="6"/>
        <v>0.17241379310344829</v>
      </c>
      <c r="F446">
        <v>92.7</v>
      </c>
      <c r="G446">
        <v>111.3</v>
      </c>
      <c r="H446">
        <v>0.1084</v>
      </c>
      <c r="I446">
        <v>47.4</v>
      </c>
      <c r="J446">
        <v>53.1</v>
      </c>
      <c r="K446">
        <v>19.899999999999999</v>
      </c>
      <c r="L446">
        <v>18.2</v>
      </c>
      <c r="M446">
        <v>24.7</v>
      </c>
      <c r="N446">
        <v>31.3</v>
      </c>
      <c r="O446">
        <v>25.3</v>
      </c>
      <c r="P446">
        <v>39</v>
      </c>
      <c r="Q446">
        <v>46.8</v>
      </c>
      <c r="R446">
        <v>54</v>
      </c>
      <c r="S446">
        <v>32.1</v>
      </c>
      <c r="T446">
        <v>34.299999999999997</v>
      </c>
      <c r="U446">
        <v>69.5</v>
      </c>
      <c r="V446">
        <v>-20.8</v>
      </c>
      <c r="W446" cm="1">
        <f t="array" ref="W446">_xlfn.IFS(OR(X446="N/A",X446="NA"),0,OR(X446="R64",X446="R68"),1,X446="R32",2,X446="S16",3,X446="E8",4,X446="F4",5,X446="2ND",6,X446="Champions",7)</f>
        <v>0</v>
      </c>
      <c r="X446" t="s">
        <v>90</v>
      </c>
      <c r="Y446" t="s">
        <v>90</v>
      </c>
      <c r="Z446">
        <v>2019</v>
      </c>
    </row>
    <row r="447" spans="1:26" x14ac:dyDescent="0.3">
      <c r="A447" t="s">
        <v>185</v>
      </c>
      <c r="B447" t="s">
        <v>74</v>
      </c>
      <c r="C447">
        <v>27</v>
      </c>
      <c r="D447">
        <v>18</v>
      </c>
      <c r="E447" s="1">
        <f t="shared" si="6"/>
        <v>0.66666666666666663</v>
      </c>
      <c r="F447">
        <v>104.8</v>
      </c>
      <c r="G447">
        <v>107</v>
      </c>
      <c r="H447">
        <v>0.44040000000000001</v>
      </c>
      <c r="I447">
        <v>54.2</v>
      </c>
      <c r="J447">
        <v>51.3</v>
      </c>
      <c r="K447">
        <v>20.2</v>
      </c>
      <c r="L447">
        <v>15.4</v>
      </c>
      <c r="M447">
        <v>28.7</v>
      </c>
      <c r="N447">
        <v>25.5</v>
      </c>
      <c r="O447">
        <v>30.4</v>
      </c>
      <c r="P447">
        <v>30.3</v>
      </c>
      <c r="Q447">
        <v>53.3</v>
      </c>
      <c r="R447">
        <v>51.6</v>
      </c>
      <c r="S447">
        <v>36.700000000000003</v>
      </c>
      <c r="T447">
        <v>33.799999999999997</v>
      </c>
      <c r="U447">
        <v>74.3</v>
      </c>
      <c r="V447">
        <v>-6.5</v>
      </c>
      <c r="W447" cm="1">
        <f t="array" ref="W447">_xlfn.IFS(OR(X447="N/A",X447="NA"),0,OR(X447="R64",X447="R68"),1,X447="R32",2,X447="S16",3,X447="E8",4,X447="F4",5,X447="2ND",6,X447="Champions",7)</f>
        <v>0</v>
      </c>
      <c r="X447" t="s">
        <v>90</v>
      </c>
      <c r="Y447" t="s">
        <v>90</v>
      </c>
      <c r="Z447">
        <v>2019</v>
      </c>
    </row>
    <row r="448" spans="1:26" x14ac:dyDescent="0.3">
      <c r="A448" t="s">
        <v>188</v>
      </c>
      <c r="B448" t="s">
        <v>48</v>
      </c>
      <c r="C448">
        <v>27</v>
      </c>
      <c r="D448">
        <v>11</v>
      </c>
      <c r="E448" s="1">
        <f t="shared" si="6"/>
        <v>0.40740740740740738</v>
      </c>
      <c r="F448">
        <v>101.5</v>
      </c>
      <c r="G448">
        <v>100</v>
      </c>
      <c r="H448">
        <v>0.54269999999999996</v>
      </c>
      <c r="I448">
        <v>44.1</v>
      </c>
      <c r="J448">
        <v>49.3</v>
      </c>
      <c r="K448">
        <v>14.8</v>
      </c>
      <c r="L448">
        <v>17.3</v>
      </c>
      <c r="M448">
        <v>31.9</v>
      </c>
      <c r="N448">
        <v>28.2</v>
      </c>
      <c r="O448">
        <v>31.5</v>
      </c>
      <c r="P448">
        <v>31.3</v>
      </c>
      <c r="Q448">
        <v>42.5</v>
      </c>
      <c r="R448">
        <v>47.3</v>
      </c>
      <c r="S448">
        <v>31.6</v>
      </c>
      <c r="T448">
        <v>35.6</v>
      </c>
      <c r="U448">
        <v>59.2</v>
      </c>
      <c r="V448">
        <v>-9</v>
      </c>
      <c r="W448" cm="1">
        <f t="array" ref="W448">_xlfn.IFS(OR(X448="N/A",X448="NA"),0,OR(X448="R64",X448="R68"),1,X448="R32",2,X448="S16",3,X448="E8",4,X448="F4",5,X448="2ND",6,X448="Champions",7)</f>
        <v>0</v>
      </c>
      <c r="X448" t="s">
        <v>90</v>
      </c>
      <c r="Y448" t="s">
        <v>90</v>
      </c>
      <c r="Z448">
        <v>2015</v>
      </c>
    </row>
    <row r="449" spans="1:26" x14ac:dyDescent="0.3">
      <c r="A449" t="s">
        <v>189</v>
      </c>
      <c r="B449" t="s">
        <v>48</v>
      </c>
      <c r="C449">
        <v>29</v>
      </c>
      <c r="D449">
        <v>7</v>
      </c>
      <c r="E449" s="1">
        <f t="shared" si="6"/>
        <v>0.2413793103448276</v>
      </c>
      <c r="F449">
        <v>97.1</v>
      </c>
      <c r="G449">
        <v>107</v>
      </c>
      <c r="H449">
        <v>0.24640000000000001</v>
      </c>
      <c r="I449">
        <v>45.7</v>
      </c>
      <c r="J449">
        <v>51.3</v>
      </c>
      <c r="K449">
        <v>19.2</v>
      </c>
      <c r="L449">
        <v>16.600000000000001</v>
      </c>
      <c r="M449">
        <v>28.5</v>
      </c>
      <c r="N449">
        <v>27.1</v>
      </c>
      <c r="O449">
        <v>36.700000000000003</v>
      </c>
      <c r="P449">
        <v>41</v>
      </c>
      <c r="Q449">
        <v>44.9</v>
      </c>
      <c r="R449">
        <v>48.1</v>
      </c>
      <c r="S449">
        <v>31.8</v>
      </c>
      <c r="T449">
        <v>38.700000000000003</v>
      </c>
      <c r="U449">
        <v>66.400000000000006</v>
      </c>
      <c r="V449">
        <v>-15.9</v>
      </c>
      <c r="W449" cm="1">
        <f t="array" ref="W449">_xlfn.IFS(OR(X449="N/A",X449="NA"),0,OR(X449="R64",X449="R68"),1,X449="R32",2,X449="S16",3,X449="E8",4,X449="F4",5,X449="2ND",6,X449="Champions",7)</f>
        <v>0</v>
      </c>
      <c r="X449" t="s">
        <v>90</v>
      </c>
      <c r="Y449" t="s">
        <v>90</v>
      </c>
      <c r="Z449">
        <v>2015</v>
      </c>
    </row>
    <row r="450" spans="1:26" x14ac:dyDescent="0.3">
      <c r="A450" t="s">
        <v>190</v>
      </c>
      <c r="B450" t="s">
        <v>48</v>
      </c>
      <c r="C450">
        <v>31</v>
      </c>
      <c r="D450">
        <v>7</v>
      </c>
      <c r="E450" s="1">
        <f t="shared" si="6"/>
        <v>0.22580645161290322</v>
      </c>
      <c r="F450">
        <v>99</v>
      </c>
      <c r="G450">
        <v>107.2</v>
      </c>
      <c r="H450">
        <v>0.2858</v>
      </c>
      <c r="I450">
        <v>45.3</v>
      </c>
      <c r="J450">
        <v>51</v>
      </c>
      <c r="K450">
        <v>19.5</v>
      </c>
      <c r="L450">
        <v>16.600000000000001</v>
      </c>
      <c r="M450">
        <v>28.4</v>
      </c>
      <c r="N450">
        <v>30.5</v>
      </c>
      <c r="O450">
        <v>41.1</v>
      </c>
      <c r="P450">
        <v>35.9</v>
      </c>
      <c r="Q450">
        <v>44.3</v>
      </c>
      <c r="R450">
        <v>48.5</v>
      </c>
      <c r="S450">
        <v>33</v>
      </c>
      <c r="T450">
        <v>36.6</v>
      </c>
      <c r="U450">
        <v>65.8</v>
      </c>
      <c r="V450">
        <v>-15.8</v>
      </c>
      <c r="W450" cm="1">
        <f t="array" ref="W450">_xlfn.IFS(OR(X450="N/A",X450="NA"),0,OR(X450="R64",X450="R68"),1,X450="R32",2,X450="S16",3,X450="E8",4,X450="F4",5,X450="2ND",6,X450="Champions",7)</f>
        <v>0</v>
      </c>
      <c r="X450" t="s">
        <v>90</v>
      </c>
      <c r="Y450" t="s">
        <v>90</v>
      </c>
      <c r="Z450">
        <v>2015</v>
      </c>
    </row>
    <row r="451" spans="1:26" x14ac:dyDescent="0.3">
      <c r="A451" t="s">
        <v>191</v>
      </c>
      <c r="B451" t="s">
        <v>48</v>
      </c>
      <c r="C451">
        <v>33</v>
      </c>
      <c r="D451">
        <v>20</v>
      </c>
      <c r="E451" s="1">
        <f t="shared" ref="E451:E514" si="7">D451/C451</f>
        <v>0.60606060606060608</v>
      </c>
      <c r="F451">
        <v>104.2</v>
      </c>
      <c r="G451">
        <v>98.1</v>
      </c>
      <c r="H451">
        <v>0.66849999999999998</v>
      </c>
      <c r="I451">
        <v>49.3</v>
      </c>
      <c r="J451">
        <v>47.6</v>
      </c>
      <c r="K451">
        <v>18.7</v>
      </c>
      <c r="L451">
        <v>23.4</v>
      </c>
      <c r="M451">
        <v>32.200000000000003</v>
      </c>
      <c r="N451">
        <v>34.4</v>
      </c>
      <c r="O451">
        <v>36.700000000000003</v>
      </c>
      <c r="P451">
        <v>42</v>
      </c>
      <c r="Q451">
        <v>49.3</v>
      </c>
      <c r="R451">
        <v>45.2</v>
      </c>
      <c r="S451">
        <v>32.799999999999997</v>
      </c>
      <c r="T451">
        <v>34.799999999999997</v>
      </c>
      <c r="U451">
        <v>69.599999999999994</v>
      </c>
      <c r="V451">
        <v>-6.2</v>
      </c>
      <c r="W451" cm="1">
        <f t="array" ref="W451">_xlfn.IFS(OR(X451="N/A",X451="NA"),0,OR(X451="R64",X451="R68"),1,X451="R32",2,X451="S16",3,X451="E8",4,X451="F4",5,X451="2ND",6,X451="Champions",7)</f>
        <v>0</v>
      </c>
      <c r="X451" t="s">
        <v>90</v>
      </c>
      <c r="Y451" t="s">
        <v>90</v>
      </c>
      <c r="Z451">
        <v>2015</v>
      </c>
    </row>
    <row r="452" spans="1:26" x14ac:dyDescent="0.3">
      <c r="A452" t="s">
        <v>192</v>
      </c>
      <c r="B452" t="s">
        <v>48</v>
      </c>
      <c r="C452">
        <v>31</v>
      </c>
      <c r="D452">
        <v>14</v>
      </c>
      <c r="E452" s="1">
        <f t="shared" si="7"/>
        <v>0.45161290322580644</v>
      </c>
      <c r="F452">
        <v>101.4</v>
      </c>
      <c r="G452">
        <v>98.3</v>
      </c>
      <c r="H452">
        <v>0.58830000000000005</v>
      </c>
      <c r="I452">
        <v>47.6</v>
      </c>
      <c r="J452">
        <v>49.2</v>
      </c>
      <c r="K452">
        <v>20.2</v>
      </c>
      <c r="L452">
        <v>21</v>
      </c>
      <c r="M452">
        <v>31.5</v>
      </c>
      <c r="N452">
        <v>34</v>
      </c>
      <c r="O452">
        <v>34.4</v>
      </c>
      <c r="P452">
        <v>36.9</v>
      </c>
      <c r="Q452">
        <v>46.3</v>
      </c>
      <c r="R452">
        <v>49</v>
      </c>
      <c r="S452">
        <v>33.200000000000003</v>
      </c>
      <c r="T452">
        <v>33</v>
      </c>
      <c r="U452">
        <v>65.7</v>
      </c>
      <c r="V452">
        <v>-5.6</v>
      </c>
      <c r="W452" cm="1">
        <f t="array" ref="W452">_xlfn.IFS(OR(X452="N/A",X452="NA"),0,OR(X452="R64",X452="R68"),1,X452="R32",2,X452="S16",3,X452="E8",4,X452="F4",5,X452="2ND",6,X452="Champions",7)</f>
        <v>0</v>
      </c>
      <c r="X452" t="s">
        <v>90</v>
      </c>
      <c r="Y452" t="s">
        <v>90</v>
      </c>
      <c r="Z452">
        <v>2015</v>
      </c>
    </row>
    <row r="453" spans="1:26" x14ac:dyDescent="0.3">
      <c r="A453" t="s">
        <v>193</v>
      </c>
      <c r="B453" t="s">
        <v>48</v>
      </c>
      <c r="C453">
        <v>30</v>
      </c>
      <c r="D453">
        <v>23</v>
      </c>
      <c r="E453" s="1">
        <f t="shared" si="7"/>
        <v>0.76666666666666672</v>
      </c>
      <c r="F453">
        <v>109.9</v>
      </c>
      <c r="G453">
        <v>104.9</v>
      </c>
      <c r="H453">
        <v>0.63060000000000005</v>
      </c>
      <c r="I453">
        <v>57.3</v>
      </c>
      <c r="J453">
        <v>48.4</v>
      </c>
      <c r="K453">
        <v>20.9</v>
      </c>
      <c r="L453">
        <v>17.899999999999999</v>
      </c>
      <c r="M453">
        <v>28.6</v>
      </c>
      <c r="N453">
        <v>33.700000000000003</v>
      </c>
      <c r="O453">
        <v>39.299999999999997</v>
      </c>
      <c r="P453">
        <v>33.299999999999997</v>
      </c>
      <c r="Q453">
        <v>51.7</v>
      </c>
      <c r="R453">
        <v>46.5</v>
      </c>
      <c r="S453">
        <v>44.1</v>
      </c>
      <c r="T453">
        <v>34.6</v>
      </c>
      <c r="U453">
        <v>63.1</v>
      </c>
      <c r="V453">
        <v>-1</v>
      </c>
      <c r="W453" cm="1">
        <f t="array" ref="W453">_xlfn.IFS(OR(X453="N/A",X453="NA"),0,OR(X453="R64",X453="R68"),1,X453="R32",2,X453="S16",3,X453="E8",4,X453="F4",5,X453="2ND",6,X453="Champions",7)</f>
        <v>0</v>
      </c>
      <c r="X453" t="s">
        <v>90</v>
      </c>
      <c r="Y453" t="s">
        <v>90</v>
      </c>
      <c r="Z453">
        <v>2015</v>
      </c>
    </row>
    <row r="454" spans="1:26" x14ac:dyDescent="0.3">
      <c r="A454" t="s">
        <v>194</v>
      </c>
      <c r="B454" t="s">
        <v>48</v>
      </c>
      <c r="C454">
        <v>29</v>
      </c>
      <c r="D454">
        <v>12</v>
      </c>
      <c r="E454" s="1">
        <f t="shared" si="7"/>
        <v>0.41379310344827586</v>
      </c>
      <c r="F454">
        <v>96.1</v>
      </c>
      <c r="G454">
        <v>100.2</v>
      </c>
      <c r="H454">
        <v>0.38240000000000002</v>
      </c>
      <c r="I454">
        <v>46.7</v>
      </c>
      <c r="J454">
        <v>49</v>
      </c>
      <c r="K454">
        <v>20.2</v>
      </c>
      <c r="L454">
        <v>18.7</v>
      </c>
      <c r="M454">
        <v>30.7</v>
      </c>
      <c r="N454">
        <v>28.7</v>
      </c>
      <c r="O454">
        <v>33.700000000000003</v>
      </c>
      <c r="P454">
        <v>42.5</v>
      </c>
      <c r="Q454">
        <v>45.1</v>
      </c>
      <c r="R454">
        <v>44.6</v>
      </c>
      <c r="S454">
        <v>33</v>
      </c>
      <c r="T454">
        <v>39.700000000000003</v>
      </c>
      <c r="U454">
        <v>65.7</v>
      </c>
      <c r="V454">
        <v>-10.1</v>
      </c>
      <c r="W454" cm="1">
        <f t="array" ref="W454">_xlfn.IFS(OR(X454="N/A",X454="NA"),0,OR(X454="R64",X454="R68"),1,X454="R32",2,X454="S16",3,X454="E8",4,X454="F4",5,X454="2ND",6,X454="Champions",7)</f>
        <v>0</v>
      </c>
      <c r="X454" t="s">
        <v>90</v>
      </c>
      <c r="Y454" t="s">
        <v>90</v>
      </c>
      <c r="Z454">
        <v>2015</v>
      </c>
    </row>
    <row r="455" spans="1:26" x14ac:dyDescent="0.3">
      <c r="A455" t="s">
        <v>195</v>
      </c>
      <c r="B455" t="s">
        <v>48</v>
      </c>
      <c r="C455">
        <v>31</v>
      </c>
      <c r="D455">
        <v>17</v>
      </c>
      <c r="E455" s="1">
        <f t="shared" si="7"/>
        <v>0.54838709677419351</v>
      </c>
      <c r="F455">
        <v>108.1</v>
      </c>
      <c r="G455">
        <v>101.3</v>
      </c>
      <c r="H455">
        <v>0.67849999999999999</v>
      </c>
      <c r="I455">
        <v>49.6</v>
      </c>
      <c r="J455">
        <v>47.8</v>
      </c>
      <c r="K455">
        <v>16.899999999999999</v>
      </c>
      <c r="L455">
        <v>17.899999999999999</v>
      </c>
      <c r="M455">
        <v>30.7</v>
      </c>
      <c r="N455">
        <v>29.8</v>
      </c>
      <c r="O455">
        <v>32</v>
      </c>
      <c r="P455">
        <v>39.9</v>
      </c>
      <c r="Q455">
        <v>46.6</v>
      </c>
      <c r="R455">
        <v>45.2</v>
      </c>
      <c r="S455">
        <v>37</v>
      </c>
      <c r="T455">
        <v>35.4</v>
      </c>
      <c r="U455">
        <v>62.9</v>
      </c>
      <c r="V455">
        <v>-5.2</v>
      </c>
      <c r="W455" cm="1">
        <f t="array" ref="W455">_xlfn.IFS(OR(X455="N/A",X455="NA"),0,OR(X455="R64",X455="R68"),1,X455="R32",2,X455="S16",3,X455="E8",4,X455="F4",5,X455="2ND",6,X455="Champions",7)</f>
        <v>0</v>
      </c>
      <c r="X455" t="s">
        <v>90</v>
      </c>
      <c r="Y455" t="s">
        <v>90</v>
      </c>
      <c r="Z455">
        <v>2015</v>
      </c>
    </row>
    <row r="456" spans="1:26" x14ac:dyDescent="0.3">
      <c r="A456" t="s">
        <v>188</v>
      </c>
      <c r="B456" t="s">
        <v>48</v>
      </c>
      <c r="C456">
        <v>28</v>
      </c>
      <c r="D456">
        <v>8</v>
      </c>
      <c r="E456" s="1">
        <f t="shared" si="7"/>
        <v>0.2857142857142857</v>
      </c>
      <c r="F456">
        <v>106.6</v>
      </c>
      <c r="G456">
        <v>109.6</v>
      </c>
      <c r="H456">
        <v>0.42230000000000001</v>
      </c>
      <c r="I456">
        <v>48</v>
      </c>
      <c r="J456">
        <v>53.2</v>
      </c>
      <c r="K456">
        <v>15.1</v>
      </c>
      <c r="L456">
        <v>15.9</v>
      </c>
      <c r="M456">
        <v>30.1</v>
      </c>
      <c r="N456">
        <v>28.3</v>
      </c>
      <c r="O456">
        <v>35.200000000000003</v>
      </c>
      <c r="P456">
        <v>40.200000000000003</v>
      </c>
      <c r="Q456">
        <v>44.9</v>
      </c>
      <c r="R456">
        <v>50</v>
      </c>
      <c r="S456">
        <v>35.4</v>
      </c>
      <c r="T456">
        <v>40</v>
      </c>
      <c r="U456">
        <v>67.3</v>
      </c>
      <c r="V456">
        <v>-12</v>
      </c>
      <c r="W456" cm="1">
        <f t="array" ref="W456">_xlfn.IFS(OR(X456="N/A",X456="NA"),0,OR(X456="R64",X456="R68"),1,X456="R32",2,X456="S16",3,X456="E8",4,X456="F4",5,X456="2ND",6,X456="Champions",7)</f>
        <v>0</v>
      </c>
      <c r="X456" t="s">
        <v>90</v>
      </c>
      <c r="Y456" t="s">
        <v>90</v>
      </c>
      <c r="Z456">
        <v>2016</v>
      </c>
    </row>
    <row r="457" spans="1:26" x14ac:dyDescent="0.3">
      <c r="A457" t="s">
        <v>189</v>
      </c>
      <c r="B457" t="s">
        <v>48</v>
      </c>
      <c r="C457">
        <v>28</v>
      </c>
      <c r="D457">
        <v>8</v>
      </c>
      <c r="E457" s="1">
        <f t="shared" si="7"/>
        <v>0.2857142857142857</v>
      </c>
      <c r="F457">
        <v>101.4</v>
      </c>
      <c r="G457">
        <v>108.4</v>
      </c>
      <c r="H457">
        <v>0.3165</v>
      </c>
      <c r="I457">
        <v>46.4</v>
      </c>
      <c r="J457">
        <v>50.7</v>
      </c>
      <c r="K457">
        <v>19</v>
      </c>
      <c r="L457">
        <v>16.399999999999999</v>
      </c>
      <c r="M457">
        <v>29.7</v>
      </c>
      <c r="N457">
        <v>29</v>
      </c>
      <c r="O457">
        <v>43.7</v>
      </c>
      <c r="P457">
        <v>39.700000000000003</v>
      </c>
      <c r="Q457">
        <v>44.4</v>
      </c>
      <c r="R457">
        <v>48.1</v>
      </c>
      <c r="S457">
        <v>33.299999999999997</v>
      </c>
      <c r="T457">
        <v>36.6</v>
      </c>
      <c r="U457">
        <v>69.5</v>
      </c>
      <c r="V457">
        <v>-13.7</v>
      </c>
      <c r="W457" cm="1">
        <f t="array" ref="W457">_xlfn.IFS(OR(X457="N/A",X457="NA"),0,OR(X457="R64",X457="R68"),1,X457="R32",2,X457="S16",3,X457="E8",4,X457="F4",5,X457="2ND",6,X457="Champions",7)</f>
        <v>0</v>
      </c>
      <c r="X457" t="s">
        <v>90</v>
      </c>
      <c r="Y457" t="s">
        <v>90</v>
      </c>
      <c r="Z457">
        <v>2016</v>
      </c>
    </row>
    <row r="458" spans="1:26" x14ac:dyDescent="0.3">
      <c r="A458" t="s">
        <v>190</v>
      </c>
      <c r="B458" t="s">
        <v>48</v>
      </c>
      <c r="C458">
        <v>28</v>
      </c>
      <c r="D458">
        <v>8</v>
      </c>
      <c r="E458" s="1">
        <f t="shared" si="7"/>
        <v>0.2857142857142857</v>
      </c>
      <c r="F458">
        <v>99.2</v>
      </c>
      <c r="G458">
        <v>105.8</v>
      </c>
      <c r="H458">
        <v>0.32300000000000001</v>
      </c>
      <c r="I458">
        <v>46.7</v>
      </c>
      <c r="J458">
        <v>51.7</v>
      </c>
      <c r="K458">
        <v>19.399999999999999</v>
      </c>
      <c r="L458">
        <v>18.899999999999999</v>
      </c>
      <c r="M458">
        <v>27.6</v>
      </c>
      <c r="N458">
        <v>31.3</v>
      </c>
      <c r="O458">
        <v>42.1</v>
      </c>
      <c r="P458">
        <v>36</v>
      </c>
      <c r="Q458">
        <v>47.1</v>
      </c>
      <c r="R458">
        <v>47.8</v>
      </c>
      <c r="S458">
        <v>30.2</v>
      </c>
      <c r="T458">
        <v>39.700000000000003</v>
      </c>
      <c r="U458">
        <v>71.3</v>
      </c>
      <c r="V458">
        <v>-13.4</v>
      </c>
      <c r="W458" cm="1">
        <f t="array" ref="W458">_xlfn.IFS(OR(X458="N/A",X458="NA"),0,OR(X458="R64",X458="R68"),1,X458="R32",2,X458="S16",3,X458="E8",4,X458="F4",5,X458="2ND",6,X458="Champions",7)</f>
        <v>0</v>
      </c>
      <c r="X458" t="s">
        <v>90</v>
      </c>
      <c r="Y458" t="s">
        <v>90</v>
      </c>
      <c r="Z458">
        <v>2016</v>
      </c>
    </row>
    <row r="459" spans="1:26" x14ac:dyDescent="0.3">
      <c r="A459" t="s">
        <v>192</v>
      </c>
      <c r="B459" t="s">
        <v>48</v>
      </c>
      <c r="C459">
        <v>33</v>
      </c>
      <c r="D459">
        <v>18</v>
      </c>
      <c r="E459" s="1">
        <f t="shared" si="7"/>
        <v>0.54545454545454541</v>
      </c>
      <c r="F459">
        <v>108</v>
      </c>
      <c r="G459">
        <v>99.8</v>
      </c>
      <c r="H459">
        <v>0.71099999999999997</v>
      </c>
      <c r="I459">
        <v>49.7</v>
      </c>
      <c r="J459">
        <v>51.1</v>
      </c>
      <c r="K459">
        <v>17.399999999999999</v>
      </c>
      <c r="L459">
        <v>19.8</v>
      </c>
      <c r="M459">
        <v>27.7</v>
      </c>
      <c r="N459">
        <v>30.6</v>
      </c>
      <c r="O459">
        <v>37.6</v>
      </c>
      <c r="P459">
        <v>38.700000000000003</v>
      </c>
      <c r="Q459">
        <v>46.4</v>
      </c>
      <c r="R459">
        <v>50.3</v>
      </c>
      <c r="S459">
        <v>36.700000000000003</v>
      </c>
      <c r="T459">
        <v>35</v>
      </c>
      <c r="U459">
        <v>70.900000000000006</v>
      </c>
      <c r="V459">
        <v>-3</v>
      </c>
      <c r="W459" cm="1">
        <f t="array" ref="W459">_xlfn.IFS(OR(X459="N/A",X459="NA"),0,OR(X459="R64",X459="R68"),1,X459="R32",2,X459="S16",3,X459="E8",4,X459="F4",5,X459="2ND",6,X459="Champions",7)</f>
        <v>0</v>
      </c>
      <c r="X459" t="s">
        <v>90</v>
      </c>
      <c r="Y459" t="s">
        <v>90</v>
      </c>
      <c r="Z459">
        <v>2016</v>
      </c>
    </row>
    <row r="460" spans="1:26" x14ac:dyDescent="0.3">
      <c r="A460" t="s">
        <v>193</v>
      </c>
      <c r="B460" t="s">
        <v>48</v>
      </c>
      <c r="C460">
        <v>28</v>
      </c>
      <c r="D460">
        <v>9</v>
      </c>
      <c r="E460" s="1">
        <f t="shared" si="7"/>
        <v>0.32142857142857145</v>
      </c>
      <c r="F460">
        <v>93</v>
      </c>
      <c r="G460">
        <v>98.8</v>
      </c>
      <c r="H460">
        <v>0.33450000000000002</v>
      </c>
      <c r="I460">
        <v>47.9</v>
      </c>
      <c r="J460">
        <v>48.3</v>
      </c>
      <c r="K460">
        <v>20.7</v>
      </c>
      <c r="L460">
        <v>19.7</v>
      </c>
      <c r="M460">
        <v>25</v>
      </c>
      <c r="N460">
        <v>28.4</v>
      </c>
      <c r="O460">
        <v>33.6</v>
      </c>
      <c r="P460">
        <v>31.8</v>
      </c>
      <c r="Q460">
        <v>45.5</v>
      </c>
      <c r="R460">
        <v>48.7</v>
      </c>
      <c r="S460">
        <v>35.9</v>
      </c>
      <c r="T460">
        <v>31.7</v>
      </c>
      <c r="U460">
        <v>66.900000000000006</v>
      </c>
      <c r="V460">
        <v>-12.9</v>
      </c>
      <c r="W460" cm="1">
        <f t="array" ref="W460">_xlfn.IFS(OR(X460="N/A",X460="NA"),0,OR(X460="R64",X460="R68"),1,X460="R32",2,X460="S16",3,X460="E8",4,X460="F4",5,X460="2ND",6,X460="Champions",7)</f>
        <v>0</v>
      </c>
      <c r="X460" t="s">
        <v>90</v>
      </c>
      <c r="Y460" t="s">
        <v>90</v>
      </c>
      <c r="Z460">
        <v>2016</v>
      </c>
    </row>
    <row r="461" spans="1:26" x14ac:dyDescent="0.3">
      <c r="A461" t="s">
        <v>196</v>
      </c>
      <c r="B461" t="s">
        <v>48</v>
      </c>
      <c r="C461">
        <v>36</v>
      </c>
      <c r="D461">
        <v>26</v>
      </c>
      <c r="E461" s="1">
        <f t="shared" si="7"/>
        <v>0.72222222222222221</v>
      </c>
      <c r="F461">
        <v>105.5</v>
      </c>
      <c r="G461">
        <v>96.7</v>
      </c>
      <c r="H461">
        <v>0.73170000000000002</v>
      </c>
      <c r="I461">
        <v>51.1</v>
      </c>
      <c r="J461">
        <v>44.6</v>
      </c>
      <c r="K461">
        <v>18.2</v>
      </c>
      <c r="L461">
        <v>17.399999999999999</v>
      </c>
      <c r="M461">
        <v>29.1</v>
      </c>
      <c r="N461">
        <v>28.2</v>
      </c>
      <c r="O461">
        <v>35.1</v>
      </c>
      <c r="P461">
        <v>34.700000000000003</v>
      </c>
      <c r="Q461">
        <v>49.3</v>
      </c>
      <c r="R461">
        <v>41.6</v>
      </c>
      <c r="S461">
        <v>36.700000000000003</v>
      </c>
      <c r="T461">
        <v>33.200000000000003</v>
      </c>
      <c r="U461">
        <v>68.099999999999994</v>
      </c>
      <c r="V461">
        <v>-0.8</v>
      </c>
      <c r="W461" cm="1">
        <f t="array" ref="W461">_xlfn.IFS(OR(X461="N/A",X461="NA"),0,OR(X461="R64",X461="R68"),1,X461="R32",2,X461="S16",3,X461="E8",4,X461="F4",5,X461="2ND",6,X461="Champions",7)</f>
        <v>0</v>
      </c>
      <c r="X461" t="s">
        <v>90</v>
      </c>
      <c r="Y461" t="s">
        <v>90</v>
      </c>
      <c r="Z461">
        <v>2016</v>
      </c>
    </row>
    <row r="462" spans="1:26" x14ac:dyDescent="0.3">
      <c r="A462" t="s">
        <v>194</v>
      </c>
      <c r="B462" t="s">
        <v>48</v>
      </c>
      <c r="C462">
        <v>31</v>
      </c>
      <c r="D462">
        <v>12</v>
      </c>
      <c r="E462" s="1">
        <f t="shared" si="7"/>
        <v>0.38709677419354838</v>
      </c>
      <c r="F462">
        <v>99.6</v>
      </c>
      <c r="G462">
        <v>104.6</v>
      </c>
      <c r="H462">
        <v>0.36520000000000002</v>
      </c>
      <c r="I462">
        <v>48.9</v>
      </c>
      <c r="J462">
        <v>49.1</v>
      </c>
      <c r="K462">
        <v>19.7</v>
      </c>
      <c r="L462">
        <v>17.2</v>
      </c>
      <c r="M462">
        <v>28.4</v>
      </c>
      <c r="N462">
        <v>28.1</v>
      </c>
      <c r="O462">
        <v>36.799999999999997</v>
      </c>
      <c r="P462">
        <v>38.299999999999997</v>
      </c>
      <c r="Q462">
        <v>47</v>
      </c>
      <c r="R462">
        <v>47.6</v>
      </c>
      <c r="S462">
        <v>34.5</v>
      </c>
      <c r="T462">
        <v>34.799999999999997</v>
      </c>
      <c r="U462">
        <v>68</v>
      </c>
      <c r="V462">
        <v>-13.2</v>
      </c>
      <c r="W462" cm="1">
        <f t="array" ref="W462">_xlfn.IFS(OR(X462="N/A",X462="NA"),0,OR(X462="R64",X462="R68"),1,X462="R32",2,X462="S16",3,X462="E8",4,X462="F4",5,X462="2ND",6,X462="Champions",7)</f>
        <v>0</v>
      </c>
      <c r="X462" t="s">
        <v>90</v>
      </c>
      <c r="Y462" t="s">
        <v>90</v>
      </c>
      <c r="Z462">
        <v>2016</v>
      </c>
    </row>
    <row r="463" spans="1:26" x14ac:dyDescent="0.3">
      <c r="A463" t="s">
        <v>195</v>
      </c>
      <c r="B463" t="s">
        <v>48</v>
      </c>
      <c r="C463">
        <v>32</v>
      </c>
      <c r="D463">
        <v>18</v>
      </c>
      <c r="E463" s="1">
        <f t="shared" si="7"/>
        <v>0.5625</v>
      </c>
      <c r="F463">
        <v>106.3</v>
      </c>
      <c r="G463">
        <v>97.9</v>
      </c>
      <c r="H463">
        <v>0.71950000000000003</v>
      </c>
      <c r="I463">
        <v>50.3</v>
      </c>
      <c r="J463">
        <v>46.7</v>
      </c>
      <c r="K463">
        <v>18.5</v>
      </c>
      <c r="L463">
        <v>17.5</v>
      </c>
      <c r="M463">
        <v>28.8</v>
      </c>
      <c r="N463">
        <v>27.9</v>
      </c>
      <c r="O463">
        <v>27.4</v>
      </c>
      <c r="P463">
        <v>41.8</v>
      </c>
      <c r="Q463">
        <v>48.4</v>
      </c>
      <c r="R463">
        <v>47.8</v>
      </c>
      <c r="S463">
        <v>35.799999999999997</v>
      </c>
      <c r="T463">
        <v>30</v>
      </c>
      <c r="U463">
        <v>67.599999999999994</v>
      </c>
      <c r="V463">
        <v>-4.8</v>
      </c>
      <c r="W463" cm="1">
        <f t="array" ref="W463">_xlfn.IFS(OR(X463="N/A",X463="NA"),0,OR(X463="R64",X463="R68"),1,X463="R32",2,X463="S16",3,X463="E8",4,X463="F4",5,X463="2ND",6,X463="Champions",7)</f>
        <v>0</v>
      </c>
      <c r="X463" t="s">
        <v>90</v>
      </c>
      <c r="Y463" t="s">
        <v>90</v>
      </c>
      <c r="Z463">
        <v>2016</v>
      </c>
    </row>
    <row r="464" spans="1:26" x14ac:dyDescent="0.3">
      <c r="A464" t="s">
        <v>188</v>
      </c>
      <c r="B464" t="s">
        <v>48</v>
      </c>
      <c r="C464">
        <v>29</v>
      </c>
      <c r="D464">
        <v>11</v>
      </c>
      <c r="E464" s="1">
        <f t="shared" si="7"/>
        <v>0.37931034482758619</v>
      </c>
      <c r="F464">
        <v>100.5</v>
      </c>
      <c r="G464">
        <v>110.7</v>
      </c>
      <c r="H464">
        <v>0.24779999999999999</v>
      </c>
      <c r="I464">
        <v>47.3</v>
      </c>
      <c r="J464">
        <v>52.6</v>
      </c>
      <c r="K464">
        <v>16.100000000000001</v>
      </c>
      <c r="L464">
        <v>17.7</v>
      </c>
      <c r="M464">
        <v>25.6</v>
      </c>
      <c r="N464">
        <v>30.3</v>
      </c>
      <c r="O464">
        <v>29.4</v>
      </c>
      <c r="P464">
        <v>41.1</v>
      </c>
      <c r="Q464">
        <v>45.1</v>
      </c>
      <c r="R464">
        <v>50</v>
      </c>
      <c r="S464">
        <v>33.5</v>
      </c>
      <c r="T464">
        <v>39.799999999999997</v>
      </c>
      <c r="U464">
        <v>66.400000000000006</v>
      </c>
      <c r="V464">
        <v>-14.9</v>
      </c>
      <c r="W464" cm="1">
        <f t="array" ref="W464">_xlfn.IFS(OR(X464="N/A",X464="NA"),0,OR(X464="R64",X464="R68"),1,X464="R32",2,X464="S16",3,X464="E8",4,X464="F4",5,X464="2ND",6,X464="Champions",7)</f>
        <v>0</v>
      </c>
      <c r="X464" t="s">
        <v>90</v>
      </c>
      <c r="Y464" t="s">
        <v>90</v>
      </c>
      <c r="Z464">
        <v>2017</v>
      </c>
    </row>
    <row r="465" spans="1:26" x14ac:dyDescent="0.3">
      <c r="A465" t="s">
        <v>189</v>
      </c>
      <c r="B465" t="s">
        <v>48</v>
      </c>
      <c r="C465">
        <v>30</v>
      </c>
      <c r="D465">
        <v>17</v>
      </c>
      <c r="E465" s="1">
        <f t="shared" si="7"/>
        <v>0.56666666666666665</v>
      </c>
      <c r="F465">
        <v>97.1</v>
      </c>
      <c r="G465">
        <v>103.1</v>
      </c>
      <c r="H465">
        <v>0.33260000000000001</v>
      </c>
      <c r="I465">
        <v>49.1</v>
      </c>
      <c r="J465">
        <v>49.7</v>
      </c>
      <c r="K465">
        <v>20.7</v>
      </c>
      <c r="L465">
        <v>19.600000000000001</v>
      </c>
      <c r="M465">
        <v>30.3</v>
      </c>
      <c r="N465">
        <v>27.5</v>
      </c>
      <c r="O465">
        <v>39.9</v>
      </c>
      <c r="P465">
        <v>42.1</v>
      </c>
      <c r="Q465">
        <v>50.6</v>
      </c>
      <c r="R465">
        <v>48.8</v>
      </c>
      <c r="S465">
        <v>30.8</v>
      </c>
      <c r="T465">
        <v>34.299999999999997</v>
      </c>
      <c r="U465">
        <v>70</v>
      </c>
      <c r="V465">
        <v>-11</v>
      </c>
      <c r="W465" cm="1">
        <f t="array" ref="W465">_xlfn.IFS(OR(X465="N/A",X465="NA"),0,OR(X465="R64",X465="R68"),1,X465="R32",2,X465="S16",3,X465="E8",4,X465="F4",5,X465="2ND",6,X465="Champions",7)</f>
        <v>0</v>
      </c>
      <c r="X465" t="s">
        <v>90</v>
      </c>
      <c r="Y465" t="s">
        <v>90</v>
      </c>
      <c r="Z465">
        <v>2017</v>
      </c>
    </row>
    <row r="466" spans="1:26" x14ac:dyDescent="0.3">
      <c r="A466" t="s">
        <v>190</v>
      </c>
      <c r="B466" t="s">
        <v>48</v>
      </c>
      <c r="C466">
        <v>28</v>
      </c>
      <c r="D466">
        <v>11</v>
      </c>
      <c r="E466" s="1">
        <f t="shared" si="7"/>
        <v>0.39285714285714285</v>
      </c>
      <c r="F466">
        <v>103.3</v>
      </c>
      <c r="G466">
        <v>114.4</v>
      </c>
      <c r="H466">
        <v>0.2364</v>
      </c>
      <c r="I466">
        <v>49.7</v>
      </c>
      <c r="J466">
        <v>51.9</v>
      </c>
      <c r="K466">
        <v>17.899999999999999</v>
      </c>
      <c r="L466">
        <v>17.8</v>
      </c>
      <c r="M466">
        <v>27.7</v>
      </c>
      <c r="N466">
        <v>31.8</v>
      </c>
      <c r="O466">
        <v>45</v>
      </c>
      <c r="P466">
        <v>41.7</v>
      </c>
      <c r="Q466">
        <v>49.4</v>
      </c>
      <c r="R466">
        <v>49.6</v>
      </c>
      <c r="S466">
        <v>33.700000000000003</v>
      </c>
      <c r="T466">
        <v>38.4</v>
      </c>
      <c r="U466">
        <v>74.2</v>
      </c>
      <c r="V466">
        <v>-13.1</v>
      </c>
      <c r="W466" cm="1">
        <f t="array" ref="W466">_xlfn.IFS(OR(X466="N/A",X466="NA"),0,OR(X466="R64",X466="R68"),1,X466="R32",2,X466="S16",3,X466="E8",4,X466="F4",5,X466="2ND",6,X466="Champions",7)</f>
        <v>0</v>
      </c>
      <c r="X466" t="s">
        <v>90</v>
      </c>
      <c r="Y466" t="s">
        <v>90</v>
      </c>
      <c r="Z466">
        <v>2017</v>
      </c>
    </row>
    <row r="467" spans="1:26" x14ac:dyDescent="0.3">
      <c r="A467" t="s">
        <v>191</v>
      </c>
      <c r="B467" t="s">
        <v>48</v>
      </c>
      <c r="C467">
        <v>29</v>
      </c>
      <c r="D467">
        <v>14</v>
      </c>
      <c r="E467" s="1">
        <f t="shared" si="7"/>
        <v>0.48275862068965519</v>
      </c>
      <c r="F467">
        <v>96.6</v>
      </c>
      <c r="G467">
        <v>103.6</v>
      </c>
      <c r="H467">
        <v>0.311</v>
      </c>
      <c r="I467">
        <v>48.5</v>
      </c>
      <c r="J467">
        <v>50.8</v>
      </c>
      <c r="K467">
        <v>20.3</v>
      </c>
      <c r="L467">
        <v>20.3</v>
      </c>
      <c r="M467">
        <v>28</v>
      </c>
      <c r="N467">
        <v>28.9</v>
      </c>
      <c r="O467">
        <v>36.9</v>
      </c>
      <c r="P467">
        <v>38.299999999999997</v>
      </c>
      <c r="Q467">
        <v>48.6</v>
      </c>
      <c r="R467">
        <v>50.9</v>
      </c>
      <c r="S467">
        <v>32.1</v>
      </c>
      <c r="T467">
        <v>33.799999999999997</v>
      </c>
      <c r="U467">
        <v>68.599999999999994</v>
      </c>
      <c r="V467">
        <v>-11.6</v>
      </c>
      <c r="W467" cm="1">
        <f t="array" ref="W467">_xlfn.IFS(OR(X467="N/A",X467="NA"),0,OR(X467="R64",X467="R68"),1,X467="R32",2,X467="S16",3,X467="E8",4,X467="F4",5,X467="2ND",6,X467="Champions",7)</f>
        <v>0</v>
      </c>
      <c r="X467" t="s">
        <v>90</v>
      </c>
      <c r="Y467" t="s">
        <v>90</v>
      </c>
      <c r="Z467">
        <v>2017</v>
      </c>
    </row>
    <row r="468" spans="1:26" x14ac:dyDescent="0.3">
      <c r="A468" t="s">
        <v>192</v>
      </c>
      <c r="B468" t="s">
        <v>48</v>
      </c>
      <c r="C468">
        <v>32</v>
      </c>
      <c r="D468">
        <v>15</v>
      </c>
      <c r="E468" s="1">
        <f t="shared" si="7"/>
        <v>0.46875</v>
      </c>
      <c r="F468">
        <v>104.3</v>
      </c>
      <c r="G468">
        <v>107.9</v>
      </c>
      <c r="H468">
        <v>0.4042</v>
      </c>
      <c r="I468">
        <v>48.7</v>
      </c>
      <c r="J468">
        <v>53.1</v>
      </c>
      <c r="K468">
        <v>19.899999999999999</v>
      </c>
      <c r="L468">
        <v>18.600000000000001</v>
      </c>
      <c r="M468">
        <v>31.6</v>
      </c>
      <c r="N468">
        <v>33</v>
      </c>
      <c r="O468">
        <v>36.200000000000003</v>
      </c>
      <c r="P468">
        <v>37.700000000000003</v>
      </c>
      <c r="Q468">
        <v>47</v>
      </c>
      <c r="R468">
        <v>51.3</v>
      </c>
      <c r="S468">
        <v>35.1</v>
      </c>
      <c r="T468">
        <v>37.9</v>
      </c>
      <c r="U468">
        <v>71.099999999999994</v>
      </c>
      <c r="V468">
        <v>-10.5</v>
      </c>
      <c r="W468" cm="1">
        <f t="array" ref="W468">_xlfn.IFS(OR(X468="N/A",X468="NA"),0,OR(X468="R64",X468="R68"),1,X468="R32",2,X468="S16",3,X468="E8",4,X468="F4",5,X468="2ND",6,X468="Champions",7)</f>
        <v>0</v>
      </c>
      <c r="X468" t="s">
        <v>90</v>
      </c>
      <c r="Y468" t="s">
        <v>90</v>
      </c>
      <c r="Z468">
        <v>2017</v>
      </c>
    </row>
    <row r="469" spans="1:26" x14ac:dyDescent="0.3">
      <c r="A469" t="s">
        <v>196</v>
      </c>
      <c r="B469" t="s">
        <v>48</v>
      </c>
      <c r="C469">
        <v>34</v>
      </c>
      <c r="D469">
        <v>21</v>
      </c>
      <c r="E469" s="1">
        <f t="shared" si="7"/>
        <v>0.61764705882352944</v>
      </c>
      <c r="F469">
        <v>102.1</v>
      </c>
      <c r="G469">
        <v>98.4</v>
      </c>
      <c r="H469">
        <v>0.60419999999999996</v>
      </c>
      <c r="I469">
        <v>50</v>
      </c>
      <c r="J469">
        <v>44.1</v>
      </c>
      <c r="K469">
        <v>19.899999999999999</v>
      </c>
      <c r="L469">
        <v>15.3</v>
      </c>
      <c r="M469">
        <v>31.9</v>
      </c>
      <c r="N469">
        <v>26.4</v>
      </c>
      <c r="O469">
        <v>29.7</v>
      </c>
      <c r="P469">
        <v>40.200000000000003</v>
      </c>
      <c r="Q469">
        <v>48.2</v>
      </c>
      <c r="R469">
        <v>41.6</v>
      </c>
      <c r="S469">
        <v>35.6</v>
      </c>
      <c r="T469">
        <v>32.700000000000003</v>
      </c>
      <c r="U469">
        <v>67.900000000000006</v>
      </c>
      <c r="V469">
        <v>-7.4</v>
      </c>
      <c r="W469" cm="1">
        <f t="array" ref="W469">_xlfn.IFS(OR(X469="N/A",X469="NA"),0,OR(X469="R64",X469="R68"),1,X469="R32",2,X469="S16",3,X469="E8",4,X469="F4",5,X469="2ND",6,X469="Champions",7)</f>
        <v>0</v>
      </c>
      <c r="X469" t="s">
        <v>90</v>
      </c>
      <c r="Y469" t="s">
        <v>90</v>
      </c>
      <c r="Z469">
        <v>2017</v>
      </c>
    </row>
    <row r="470" spans="1:26" x14ac:dyDescent="0.3">
      <c r="A470" t="s">
        <v>194</v>
      </c>
      <c r="B470" t="s">
        <v>48</v>
      </c>
      <c r="C470">
        <v>27</v>
      </c>
      <c r="D470">
        <v>8</v>
      </c>
      <c r="E470" s="1">
        <f t="shared" si="7"/>
        <v>0.29629629629629628</v>
      </c>
      <c r="F470">
        <v>93.1</v>
      </c>
      <c r="G470">
        <v>104.7</v>
      </c>
      <c r="H470">
        <v>0.20530000000000001</v>
      </c>
      <c r="I470">
        <v>45.7</v>
      </c>
      <c r="J470">
        <v>49.8</v>
      </c>
      <c r="K470">
        <v>19.899999999999999</v>
      </c>
      <c r="L470">
        <v>19.100000000000001</v>
      </c>
      <c r="M470">
        <v>26</v>
      </c>
      <c r="N470">
        <v>29.9</v>
      </c>
      <c r="O470">
        <v>30</v>
      </c>
      <c r="P470">
        <v>34.1</v>
      </c>
      <c r="Q470">
        <v>44.9</v>
      </c>
      <c r="R470">
        <v>47.9</v>
      </c>
      <c r="S470">
        <v>31.6</v>
      </c>
      <c r="T470">
        <v>35.1</v>
      </c>
      <c r="U470">
        <v>69</v>
      </c>
      <c r="V470">
        <v>-16.3</v>
      </c>
      <c r="W470" cm="1">
        <f t="array" ref="W470">_xlfn.IFS(OR(X470="N/A",X470="NA"),0,OR(X470="R64",X470="R68"),1,X470="R32",2,X470="S16",3,X470="E8",4,X470="F4",5,X470="2ND",6,X470="Champions",7)</f>
        <v>0</v>
      </c>
      <c r="X470" t="s">
        <v>90</v>
      </c>
      <c r="Y470" t="s">
        <v>90</v>
      </c>
      <c r="Z470">
        <v>2017</v>
      </c>
    </row>
    <row r="471" spans="1:26" x14ac:dyDescent="0.3">
      <c r="A471" t="s">
        <v>195</v>
      </c>
      <c r="B471" t="s">
        <v>48</v>
      </c>
      <c r="C471">
        <v>27</v>
      </c>
      <c r="D471">
        <v>6</v>
      </c>
      <c r="E471" s="1">
        <f t="shared" si="7"/>
        <v>0.22222222222222221</v>
      </c>
      <c r="F471">
        <v>92</v>
      </c>
      <c r="G471">
        <v>106.2</v>
      </c>
      <c r="H471">
        <v>0.15970000000000001</v>
      </c>
      <c r="I471">
        <v>42.1</v>
      </c>
      <c r="J471">
        <v>52.5</v>
      </c>
      <c r="K471">
        <v>18.3</v>
      </c>
      <c r="L471">
        <v>17.600000000000001</v>
      </c>
      <c r="M471">
        <v>30.8</v>
      </c>
      <c r="N471">
        <v>29.6</v>
      </c>
      <c r="O471">
        <v>28.8</v>
      </c>
      <c r="P471">
        <v>32.299999999999997</v>
      </c>
      <c r="Q471">
        <v>41.7</v>
      </c>
      <c r="R471">
        <v>53.2</v>
      </c>
      <c r="S471">
        <v>28.5</v>
      </c>
      <c r="T471">
        <v>34.4</v>
      </c>
      <c r="U471">
        <v>66.099999999999994</v>
      </c>
      <c r="V471">
        <v>-16.2</v>
      </c>
      <c r="W471" cm="1">
        <f t="array" ref="W471">_xlfn.IFS(OR(X471="N/A",X471="NA"),0,OR(X471="R64",X471="R68"),1,X471="R32",2,X471="S16",3,X471="E8",4,X471="F4",5,X471="2ND",6,X471="Champions",7)</f>
        <v>0</v>
      </c>
      <c r="X471" t="s">
        <v>90</v>
      </c>
      <c r="Y471" t="s">
        <v>90</v>
      </c>
      <c r="Z471">
        <v>2017</v>
      </c>
    </row>
    <row r="472" spans="1:26" x14ac:dyDescent="0.3">
      <c r="A472" t="s">
        <v>188</v>
      </c>
      <c r="B472" t="s">
        <v>48</v>
      </c>
      <c r="C472">
        <v>29</v>
      </c>
      <c r="D472">
        <v>9</v>
      </c>
      <c r="E472" s="1">
        <f t="shared" si="7"/>
        <v>0.31034482758620691</v>
      </c>
      <c r="F472">
        <v>96.3</v>
      </c>
      <c r="G472">
        <v>113.6</v>
      </c>
      <c r="H472">
        <v>0.12959999999999999</v>
      </c>
      <c r="I472">
        <v>46.6</v>
      </c>
      <c r="J472">
        <v>53.2</v>
      </c>
      <c r="K472">
        <v>17.399999999999999</v>
      </c>
      <c r="L472">
        <v>16.3</v>
      </c>
      <c r="M472">
        <v>24.7</v>
      </c>
      <c r="N472">
        <v>29.6</v>
      </c>
      <c r="O472">
        <v>26.7</v>
      </c>
      <c r="P472">
        <v>34.6</v>
      </c>
      <c r="Q472">
        <v>41.5</v>
      </c>
      <c r="R472">
        <v>49.8</v>
      </c>
      <c r="S472">
        <v>35.799999999999997</v>
      </c>
      <c r="T472">
        <v>40.1</v>
      </c>
      <c r="U472">
        <v>67.400000000000006</v>
      </c>
      <c r="V472">
        <v>-16.8</v>
      </c>
      <c r="W472" cm="1">
        <f t="array" ref="W472">_xlfn.IFS(OR(X472="N/A",X472="NA"),0,OR(X472="R64",X472="R68"),1,X472="R32",2,X472="S16",3,X472="E8",4,X472="F4",5,X472="2ND",6,X472="Champions",7)</f>
        <v>0</v>
      </c>
      <c r="X472" t="s">
        <v>90</v>
      </c>
      <c r="Y472" t="s">
        <v>90</v>
      </c>
      <c r="Z472">
        <v>2018</v>
      </c>
    </row>
    <row r="473" spans="1:26" x14ac:dyDescent="0.3">
      <c r="A473" t="s">
        <v>190</v>
      </c>
      <c r="B473" t="s">
        <v>48</v>
      </c>
      <c r="C473">
        <v>28</v>
      </c>
      <c r="D473">
        <v>6</v>
      </c>
      <c r="E473" s="1">
        <f t="shared" si="7"/>
        <v>0.21428571428571427</v>
      </c>
      <c r="F473">
        <v>97.3</v>
      </c>
      <c r="G473">
        <v>113.2</v>
      </c>
      <c r="H473">
        <v>0.14979999999999999</v>
      </c>
      <c r="I473">
        <v>47.7</v>
      </c>
      <c r="J473">
        <v>52.6</v>
      </c>
      <c r="K473">
        <v>18.3</v>
      </c>
      <c r="L473">
        <v>16.399999999999999</v>
      </c>
      <c r="M473">
        <v>23.3</v>
      </c>
      <c r="N473">
        <v>32.700000000000003</v>
      </c>
      <c r="O473">
        <v>28.3</v>
      </c>
      <c r="P473">
        <v>32.799999999999997</v>
      </c>
      <c r="Q473">
        <v>45.9</v>
      </c>
      <c r="R473">
        <v>51.7</v>
      </c>
      <c r="S473">
        <v>34.700000000000003</v>
      </c>
      <c r="T473">
        <v>36.299999999999997</v>
      </c>
      <c r="U473">
        <v>67</v>
      </c>
      <c r="V473">
        <v>-19.3</v>
      </c>
      <c r="W473" cm="1">
        <f t="array" ref="W473">_xlfn.IFS(OR(X473="N/A",X473="NA"),0,OR(X473="R64",X473="R68"),1,X473="R32",2,X473="S16",3,X473="E8",4,X473="F4",5,X473="2ND",6,X473="Champions",7)</f>
        <v>0</v>
      </c>
      <c r="X473" t="s">
        <v>90</v>
      </c>
      <c r="Y473" t="s">
        <v>90</v>
      </c>
      <c r="Z473">
        <v>2018</v>
      </c>
    </row>
    <row r="474" spans="1:26" x14ac:dyDescent="0.3">
      <c r="A474" t="s">
        <v>191</v>
      </c>
      <c r="B474" t="s">
        <v>48</v>
      </c>
      <c r="C474">
        <v>28</v>
      </c>
      <c r="D474">
        <v>17</v>
      </c>
      <c r="E474" s="1">
        <f t="shared" si="7"/>
        <v>0.6071428571428571</v>
      </c>
      <c r="F474">
        <v>99.1</v>
      </c>
      <c r="G474">
        <v>101.4</v>
      </c>
      <c r="H474">
        <v>0.43280000000000002</v>
      </c>
      <c r="I474">
        <v>50.1</v>
      </c>
      <c r="J474">
        <v>49.9</v>
      </c>
      <c r="K474">
        <v>19.5</v>
      </c>
      <c r="L474">
        <v>19.899999999999999</v>
      </c>
      <c r="M474">
        <v>26.3</v>
      </c>
      <c r="N474">
        <v>24.5</v>
      </c>
      <c r="O474">
        <v>40.799999999999997</v>
      </c>
      <c r="P474">
        <v>38.700000000000003</v>
      </c>
      <c r="Q474">
        <v>50.9</v>
      </c>
      <c r="R474">
        <v>50.1</v>
      </c>
      <c r="S474">
        <v>32.5</v>
      </c>
      <c r="T474">
        <v>33.1</v>
      </c>
      <c r="U474">
        <v>69</v>
      </c>
      <c r="V474">
        <v>-8.5</v>
      </c>
      <c r="W474" cm="1">
        <f t="array" ref="W474">_xlfn.IFS(OR(X474="N/A",X474="NA"),0,OR(X474="R64",X474="R68"),1,X474="R32",2,X474="S16",3,X474="E8",4,X474="F4",5,X474="2ND",6,X474="Champions",7)</f>
        <v>0</v>
      </c>
      <c r="X474" t="s">
        <v>90</v>
      </c>
      <c r="Y474" t="s">
        <v>90</v>
      </c>
      <c r="Z474">
        <v>2018</v>
      </c>
    </row>
    <row r="475" spans="1:26" x14ac:dyDescent="0.3">
      <c r="A475" t="s">
        <v>192</v>
      </c>
      <c r="B475" t="s">
        <v>48</v>
      </c>
      <c r="C475">
        <v>31</v>
      </c>
      <c r="D475">
        <v>15</v>
      </c>
      <c r="E475" s="1">
        <f t="shared" si="7"/>
        <v>0.4838709677419355</v>
      </c>
      <c r="F475">
        <v>104.6</v>
      </c>
      <c r="G475">
        <v>107.5</v>
      </c>
      <c r="H475">
        <v>0.42080000000000001</v>
      </c>
      <c r="I475">
        <v>49.6</v>
      </c>
      <c r="J475">
        <v>53.7</v>
      </c>
      <c r="K475">
        <v>20.7</v>
      </c>
      <c r="L475">
        <v>18.7</v>
      </c>
      <c r="M475">
        <v>32.200000000000003</v>
      </c>
      <c r="N475">
        <v>30.4</v>
      </c>
      <c r="O475">
        <v>40.299999999999997</v>
      </c>
      <c r="P475">
        <v>28.6</v>
      </c>
      <c r="Q475">
        <v>48.4</v>
      </c>
      <c r="R475">
        <v>52.5</v>
      </c>
      <c r="S475">
        <v>35.1</v>
      </c>
      <c r="T475">
        <v>37.5</v>
      </c>
      <c r="U475">
        <v>73.099999999999994</v>
      </c>
      <c r="V475">
        <v>-10.199999999999999</v>
      </c>
      <c r="W475" cm="1">
        <f t="array" ref="W475">_xlfn.IFS(OR(X475="N/A",X475="NA"),0,OR(X475="R64",X475="R68"),1,X475="R32",2,X475="S16",3,X475="E8",4,X475="F4",5,X475="2ND",6,X475="Champions",7)</f>
        <v>0</v>
      </c>
      <c r="X475" t="s">
        <v>90</v>
      </c>
      <c r="Y475" t="s">
        <v>90</v>
      </c>
      <c r="Z475">
        <v>2018</v>
      </c>
    </row>
    <row r="476" spans="1:26" x14ac:dyDescent="0.3">
      <c r="A476" t="s">
        <v>193</v>
      </c>
      <c r="B476" t="s">
        <v>48</v>
      </c>
      <c r="C476">
        <v>31</v>
      </c>
      <c r="D476">
        <v>22</v>
      </c>
      <c r="E476" s="1">
        <f t="shared" si="7"/>
        <v>0.70967741935483875</v>
      </c>
      <c r="F476">
        <v>103.2</v>
      </c>
      <c r="G476">
        <v>100.8</v>
      </c>
      <c r="H476">
        <v>0.56910000000000005</v>
      </c>
      <c r="I476">
        <v>52</v>
      </c>
      <c r="J476">
        <v>49.4</v>
      </c>
      <c r="K476">
        <v>18.600000000000001</v>
      </c>
      <c r="L476">
        <v>21.9</v>
      </c>
      <c r="M476">
        <v>24.4</v>
      </c>
      <c r="N476">
        <v>29.1</v>
      </c>
      <c r="O476">
        <v>38.5</v>
      </c>
      <c r="P476">
        <v>36.5</v>
      </c>
      <c r="Q476">
        <v>50.7</v>
      </c>
      <c r="R476">
        <v>49.2</v>
      </c>
      <c r="S476">
        <v>36.6</v>
      </c>
      <c r="T476">
        <v>33</v>
      </c>
      <c r="U476">
        <v>67.5</v>
      </c>
      <c r="V476">
        <v>-4.4000000000000004</v>
      </c>
      <c r="W476" cm="1">
        <f t="array" ref="W476">_xlfn.IFS(OR(X476="N/A",X476="NA"),0,OR(X476="R64",X476="R68"),1,X476="R32",2,X476="S16",3,X476="E8",4,X476="F4",5,X476="2ND",6,X476="Champions",7)</f>
        <v>0</v>
      </c>
      <c r="X476" t="s">
        <v>90</v>
      </c>
      <c r="Y476" t="s">
        <v>90</v>
      </c>
      <c r="Z476">
        <v>2018</v>
      </c>
    </row>
    <row r="477" spans="1:26" x14ac:dyDescent="0.3">
      <c r="A477" t="s">
        <v>196</v>
      </c>
      <c r="B477" t="s">
        <v>48</v>
      </c>
      <c r="C477">
        <v>33</v>
      </c>
      <c r="D477">
        <v>18</v>
      </c>
      <c r="E477" s="1">
        <f t="shared" si="7"/>
        <v>0.54545454545454541</v>
      </c>
      <c r="F477">
        <v>99.4</v>
      </c>
      <c r="G477">
        <v>97.3</v>
      </c>
      <c r="H477">
        <v>0.5585</v>
      </c>
      <c r="I477">
        <v>48.1</v>
      </c>
      <c r="J477">
        <v>45</v>
      </c>
      <c r="K477">
        <v>20.5</v>
      </c>
      <c r="L477">
        <v>14.8</v>
      </c>
      <c r="M477">
        <v>32.299999999999997</v>
      </c>
      <c r="N477">
        <v>24.8</v>
      </c>
      <c r="O477">
        <v>28.2</v>
      </c>
      <c r="P477">
        <v>41.2</v>
      </c>
      <c r="Q477">
        <v>47.5</v>
      </c>
      <c r="R477">
        <v>42.9</v>
      </c>
      <c r="S477">
        <v>33</v>
      </c>
      <c r="T477">
        <v>32.799999999999997</v>
      </c>
      <c r="U477">
        <v>68.2</v>
      </c>
      <c r="V477">
        <v>-9.1</v>
      </c>
      <c r="W477" cm="1">
        <f t="array" ref="W477">_xlfn.IFS(OR(X477="N/A",X477="NA"),0,OR(X477="R64",X477="R68"),1,X477="R32",2,X477="S16",3,X477="E8",4,X477="F4",5,X477="2ND",6,X477="Champions",7)</f>
        <v>0</v>
      </c>
      <c r="X477" t="s">
        <v>90</v>
      </c>
      <c r="Y477" t="s">
        <v>90</v>
      </c>
      <c r="Z477">
        <v>2018</v>
      </c>
    </row>
    <row r="478" spans="1:26" x14ac:dyDescent="0.3">
      <c r="A478" t="s">
        <v>194</v>
      </c>
      <c r="B478" t="s">
        <v>48</v>
      </c>
      <c r="C478">
        <v>29</v>
      </c>
      <c r="D478">
        <v>9</v>
      </c>
      <c r="E478" s="1">
        <f t="shared" si="7"/>
        <v>0.31034482758620691</v>
      </c>
      <c r="F478">
        <v>92.8</v>
      </c>
      <c r="G478">
        <v>103.5</v>
      </c>
      <c r="H478">
        <v>0.22159999999999999</v>
      </c>
      <c r="I478">
        <v>45.1</v>
      </c>
      <c r="J478">
        <v>49.1</v>
      </c>
      <c r="K478">
        <v>20</v>
      </c>
      <c r="L478">
        <v>19.3</v>
      </c>
      <c r="M478">
        <v>26.8</v>
      </c>
      <c r="N478">
        <v>31.8</v>
      </c>
      <c r="O478">
        <v>32.4</v>
      </c>
      <c r="P478">
        <v>38.200000000000003</v>
      </c>
      <c r="Q478">
        <v>44.1</v>
      </c>
      <c r="R478">
        <v>48.5</v>
      </c>
      <c r="S478">
        <v>31.3</v>
      </c>
      <c r="T478">
        <v>33.299999999999997</v>
      </c>
      <c r="U478">
        <v>69.5</v>
      </c>
      <c r="V478">
        <v>-16.2</v>
      </c>
      <c r="W478" cm="1">
        <f t="array" ref="W478">_xlfn.IFS(OR(X478="N/A",X478="NA"),0,OR(X478="R64",X478="R68"),1,X478="R32",2,X478="S16",3,X478="E8",4,X478="F4",5,X478="2ND",6,X478="Champions",7)</f>
        <v>0</v>
      </c>
      <c r="X478" t="s">
        <v>90</v>
      </c>
      <c r="Y478" t="s">
        <v>90</v>
      </c>
      <c r="Z478">
        <v>2018</v>
      </c>
    </row>
    <row r="479" spans="1:26" x14ac:dyDescent="0.3">
      <c r="A479" t="s">
        <v>195</v>
      </c>
      <c r="B479" t="s">
        <v>48</v>
      </c>
      <c r="C479">
        <v>30</v>
      </c>
      <c r="D479">
        <v>23</v>
      </c>
      <c r="E479" s="1">
        <f t="shared" si="7"/>
        <v>0.76666666666666672</v>
      </c>
      <c r="F479">
        <v>110.2</v>
      </c>
      <c r="G479">
        <v>106.2</v>
      </c>
      <c r="H479">
        <v>0.60450000000000004</v>
      </c>
      <c r="I479">
        <v>53</v>
      </c>
      <c r="J479">
        <v>49.9</v>
      </c>
      <c r="K479">
        <v>14.9</v>
      </c>
      <c r="L479">
        <v>16.600000000000001</v>
      </c>
      <c r="M479">
        <v>28.7</v>
      </c>
      <c r="N479">
        <v>27</v>
      </c>
      <c r="O479">
        <v>32</v>
      </c>
      <c r="P479">
        <v>29.5</v>
      </c>
      <c r="Q479">
        <v>50.5</v>
      </c>
      <c r="R479">
        <v>48.9</v>
      </c>
      <c r="S479">
        <v>38.299999999999997</v>
      </c>
      <c r="T479">
        <v>34.4</v>
      </c>
      <c r="U479">
        <v>67.900000000000006</v>
      </c>
      <c r="V479">
        <v>-3.9</v>
      </c>
      <c r="W479" cm="1">
        <f t="array" ref="W479">_xlfn.IFS(OR(X479="N/A",X479="NA"),0,OR(X479="R64",X479="R68"),1,X479="R32",2,X479="S16",3,X479="E8",4,X479="F4",5,X479="2ND",6,X479="Champions",7)</f>
        <v>0</v>
      </c>
      <c r="X479" t="s">
        <v>90</v>
      </c>
      <c r="Y479" t="s">
        <v>90</v>
      </c>
      <c r="Z479">
        <v>2018</v>
      </c>
    </row>
    <row r="480" spans="1:26" x14ac:dyDescent="0.3">
      <c r="A480" t="s">
        <v>188</v>
      </c>
      <c r="B480" t="s">
        <v>48</v>
      </c>
      <c r="C480">
        <v>27</v>
      </c>
      <c r="D480">
        <v>6</v>
      </c>
      <c r="E480" s="1">
        <f t="shared" si="7"/>
        <v>0.22222222222222221</v>
      </c>
      <c r="F480">
        <v>97.1</v>
      </c>
      <c r="G480">
        <v>114.9</v>
      </c>
      <c r="H480">
        <v>0.12620000000000001</v>
      </c>
      <c r="I480">
        <v>47.2</v>
      </c>
      <c r="J480">
        <v>52.6</v>
      </c>
      <c r="K480">
        <v>17</v>
      </c>
      <c r="L480">
        <v>15.6</v>
      </c>
      <c r="M480">
        <v>26.1</v>
      </c>
      <c r="N480">
        <v>31.4</v>
      </c>
      <c r="O480">
        <v>25.8</v>
      </c>
      <c r="P480">
        <v>38.1</v>
      </c>
      <c r="Q480">
        <v>46.6</v>
      </c>
      <c r="R480">
        <v>51.5</v>
      </c>
      <c r="S480">
        <v>32</v>
      </c>
      <c r="T480">
        <v>36.5</v>
      </c>
      <c r="U480">
        <v>67.5</v>
      </c>
      <c r="V480">
        <v>-18.600000000000001</v>
      </c>
      <c r="W480" cm="1">
        <f t="array" ref="W480">_xlfn.IFS(OR(X480="N/A",X480="NA"),0,OR(X480="R64",X480="R68"),1,X480="R32",2,X480="S16",3,X480="E8",4,X480="F4",5,X480="2ND",6,X480="Champions",7)</f>
        <v>0</v>
      </c>
      <c r="X480" t="s">
        <v>90</v>
      </c>
      <c r="Y480" t="s">
        <v>90</v>
      </c>
      <c r="Z480">
        <v>2019</v>
      </c>
    </row>
    <row r="481" spans="1:26" x14ac:dyDescent="0.3">
      <c r="A481" t="s">
        <v>189</v>
      </c>
      <c r="B481" t="s">
        <v>48</v>
      </c>
      <c r="C481">
        <v>32</v>
      </c>
      <c r="D481">
        <v>16</v>
      </c>
      <c r="E481" s="1">
        <f t="shared" si="7"/>
        <v>0.5</v>
      </c>
      <c r="F481">
        <v>97</v>
      </c>
      <c r="G481">
        <v>102.2</v>
      </c>
      <c r="H481">
        <v>0.35399999999999998</v>
      </c>
      <c r="I481">
        <v>49.1</v>
      </c>
      <c r="J481">
        <v>48.3</v>
      </c>
      <c r="K481">
        <v>19.100000000000001</v>
      </c>
      <c r="L481">
        <v>16.8</v>
      </c>
      <c r="M481">
        <v>24.5</v>
      </c>
      <c r="N481">
        <v>27</v>
      </c>
      <c r="O481">
        <v>38.5</v>
      </c>
      <c r="P481">
        <v>35.700000000000003</v>
      </c>
      <c r="Q481">
        <v>50.3</v>
      </c>
      <c r="R481">
        <v>48.5</v>
      </c>
      <c r="S481">
        <v>30.8</v>
      </c>
      <c r="T481">
        <v>32</v>
      </c>
      <c r="U481">
        <v>71.099999999999994</v>
      </c>
      <c r="V481">
        <v>-9.6999999999999993</v>
      </c>
      <c r="W481" cm="1">
        <f t="array" ref="W481">_xlfn.IFS(OR(X481="N/A",X481="NA"),0,OR(X481="R64",X481="R68"),1,X481="R32",2,X481="S16",3,X481="E8",4,X481="F4",5,X481="2ND",6,X481="Champions",7)</f>
        <v>0</v>
      </c>
      <c r="X481" t="s">
        <v>90</v>
      </c>
      <c r="Y481" t="s">
        <v>90</v>
      </c>
      <c r="Z481">
        <v>2019</v>
      </c>
    </row>
    <row r="482" spans="1:26" x14ac:dyDescent="0.3">
      <c r="A482" t="s">
        <v>190</v>
      </c>
      <c r="B482" t="s">
        <v>48</v>
      </c>
      <c r="C482">
        <v>33</v>
      </c>
      <c r="D482">
        <v>13</v>
      </c>
      <c r="E482" s="1">
        <f t="shared" si="7"/>
        <v>0.39393939393939392</v>
      </c>
      <c r="F482">
        <v>103.3</v>
      </c>
      <c r="G482">
        <v>111.4</v>
      </c>
      <c r="H482">
        <v>0.29670000000000002</v>
      </c>
      <c r="I482">
        <v>51.5</v>
      </c>
      <c r="J482">
        <v>51.6</v>
      </c>
      <c r="K482">
        <v>16.7</v>
      </c>
      <c r="L482">
        <v>17.100000000000001</v>
      </c>
      <c r="M482">
        <v>28.4</v>
      </c>
      <c r="N482">
        <v>32.5</v>
      </c>
      <c r="O482">
        <v>31.8</v>
      </c>
      <c r="P482">
        <v>32.200000000000003</v>
      </c>
      <c r="Q482">
        <v>50.3</v>
      </c>
      <c r="R482">
        <v>48.2</v>
      </c>
      <c r="S482">
        <v>36.1</v>
      </c>
      <c r="T482">
        <v>38.4</v>
      </c>
      <c r="U482">
        <v>72.3</v>
      </c>
      <c r="V482">
        <v>-14.7</v>
      </c>
      <c r="W482" cm="1">
        <f t="array" ref="W482">_xlfn.IFS(OR(X482="N/A",X482="NA"),0,OR(X482="R64",X482="R68"),1,X482="R32",2,X482="S16",3,X482="E8",4,X482="F4",5,X482="2ND",6,X482="Champions",7)</f>
        <v>0</v>
      </c>
      <c r="X482" t="s">
        <v>90</v>
      </c>
      <c r="Y482" t="s">
        <v>90</v>
      </c>
      <c r="Z482">
        <v>2019</v>
      </c>
    </row>
    <row r="483" spans="1:26" x14ac:dyDescent="0.3">
      <c r="A483" t="s">
        <v>191</v>
      </c>
      <c r="B483" t="s">
        <v>48</v>
      </c>
      <c r="C483">
        <v>29</v>
      </c>
      <c r="D483">
        <v>18</v>
      </c>
      <c r="E483" s="1">
        <f t="shared" si="7"/>
        <v>0.62068965517241381</v>
      </c>
      <c r="F483">
        <v>102.4</v>
      </c>
      <c r="G483">
        <v>106</v>
      </c>
      <c r="H483">
        <v>0.40129999999999999</v>
      </c>
      <c r="I483">
        <v>52.3</v>
      </c>
      <c r="J483">
        <v>50.8</v>
      </c>
      <c r="K483">
        <v>17.600000000000001</v>
      </c>
      <c r="L483">
        <v>17.399999999999999</v>
      </c>
      <c r="M483">
        <v>26.9</v>
      </c>
      <c r="N483">
        <v>24.7</v>
      </c>
      <c r="O483">
        <v>31.2</v>
      </c>
      <c r="P483">
        <v>32.9</v>
      </c>
      <c r="Q483">
        <v>52.2</v>
      </c>
      <c r="R483">
        <v>50.3</v>
      </c>
      <c r="S483">
        <v>35</v>
      </c>
      <c r="T483">
        <v>34.5</v>
      </c>
      <c r="U483">
        <v>67.5</v>
      </c>
      <c r="V483">
        <v>-8.6</v>
      </c>
      <c r="W483" cm="1">
        <f t="array" ref="W483">_xlfn.IFS(OR(X483="N/A",X483="NA"),0,OR(X483="R64",X483="R68"),1,X483="R32",2,X483="S16",3,X483="E8",4,X483="F4",5,X483="2ND",6,X483="Champions",7)</f>
        <v>0</v>
      </c>
      <c r="X483" t="s">
        <v>90</v>
      </c>
      <c r="Y483" t="s">
        <v>90</v>
      </c>
      <c r="Z483">
        <v>2019</v>
      </c>
    </row>
    <row r="484" spans="1:26" x14ac:dyDescent="0.3">
      <c r="A484" t="s">
        <v>192</v>
      </c>
      <c r="B484" t="s">
        <v>48</v>
      </c>
      <c r="C484">
        <v>32</v>
      </c>
      <c r="D484">
        <v>15</v>
      </c>
      <c r="E484" s="1">
        <f t="shared" si="7"/>
        <v>0.46875</v>
      </c>
      <c r="F484">
        <v>99.9</v>
      </c>
      <c r="G484">
        <v>105.3</v>
      </c>
      <c r="H484">
        <v>0.3533</v>
      </c>
      <c r="I484">
        <v>47.6</v>
      </c>
      <c r="J484">
        <v>51.1</v>
      </c>
      <c r="K484">
        <v>19</v>
      </c>
      <c r="L484">
        <v>18.899999999999999</v>
      </c>
      <c r="M484">
        <v>28.9</v>
      </c>
      <c r="N484">
        <v>33</v>
      </c>
      <c r="O484">
        <v>40.799999999999997</v>
      </c>
      <c r="P484">
        <v>30.2</v>
      </c>
      <c r="Q484">
        <v>46.3</v>
      </c>
      <c r="R484">
        <v>51.6</v>
      </c>
      <c r="S484">
        <v>33.799999999999997</v>
      </c>
      <c r="T484">
        <v>33.5</v>
      </c>
      <c r="U484">
        <v>73</v>
      </c>
      <c r="V484">
        <v>-11.8</v>
      </c>
      <c r="W484" cm="1">
        <f t="array" ref="W484">_xlfn.IFS(OR(X484="N/A",X484="NA"),0,OR(X484="R64",X484="R68"),1,X484="R32",2,X484="S16",3,X484="E8",4,X484="F4",5,X484="2ND",6,X484="Champions",7)</f>
        <v>0</v>
      </c>
      <c r="X484" t="s">
        <v>90</v>
      </c>
      <c r="Y484" t="s">
        <v>90</v>
      </c>
      <c r="Z484">
        <v>2019</v>
      </c>
    </row>
    <row r="485" spans="1:26" x14ac:dyDescent="0.3">
      <c r="A485" t="s">
        <v>193</v>
      </c>
      <c r="B485" t="s">
        <v>48</v>
      </c>
      <c r="C485">
        <v>29</v>
      </c>
      <c r="D485">
        <v>11</v>
      </c>
      <c r="E485" s="1">
        <f t="shared" si="7"/>
        <v>0.37931034482758619</v>
      </c>
      <c r="F485">
        <v>95.3</v>
      </c>
      <c r="G485">
        <v>102.6</v>
      </c>
      <c r="H485">
        <v>0.30099999999999999</v>
      </c>
      <c r="I485">
        <v>49</v>
      </c>
      <c r="J485">
        <v>52.8</v>
      </c>
      <c r="K485">
        <v>19.899999999999999</v>
      </c>
      <c r="L485">
        <v>21.1</v>
      </c>
      <c r="M485">
        <v>22.1</v>
      </c>
      <c r="N485">
        <v>27.7</v>
      </c>
      <c r="O485">
        <v>29.7</v>
      </c>
      <c r="P485">
        <v>37.700000000000003</v>
      </c>
      <c r="Q485">
        <v>49</v>
      </c>
      <c r="R485">
        <v>53.3</v>
      </c>
      <c r="S485">
        <v>32.700000000000003</v>
      </c>
      <c r="T485">
        <v>34.6</v>
      </c>
      <c r="U485">
        <v>67.3</v>
      </c>
      <c r="V485">
        <v>-14</v>
      </c>
      <c r="W485" cm="1">
        <f t="array" ref="W485">_xlfn.IFS(OR(X485="N/A",X485="NA"),0,OR(X485="R64",X485="R68"),1,X485="R32",2,X485="S16",3,X485="E8",4,X485="F4",5,X485="2ND",6,X485="Champions",7)</f>
        <v>0</v>
      </c>
      <c r="X485" t="s">
        <v>90</v>
      </c>
      <c r="Y485" t="s">
        <v>90</v>
      </c>
      <c r="Z485">
        <v>2019</v>
      </c>
    </row>
    <row r="486" spans="1:26" x14ac:dyDescent="0.3">
      <c r="A486" t="s">
        <v>194</v>
      </c>
      <c r="B486" t="s">
        <v>48</v>
      </c>
      <c r="C486">
        <v>30</v>
      </c>
      <c r="D486">
        <v>10</v>
      </c>
      <c r="E486" s="1">
        <f t="shared" si="7"/>
        <v>0.33333333333333331</v>
      </c>
      <c r="F486">
        <v>96.9</v>
      </c>
      <c r="G486">
        <v>111.8</v>
      </c>
      <c r="H486">
        <v>0.1613</v>
      </c>
      <c r="I486">
        <v>51.2</v>
      </c>
      <c r="J486">
        <v>54.4</v>
      </c>
      <c r="K486">
        <v>20.3</v>
      </c>
      <c r="L486">
        <v>16</v>
      </c>
      <c r="M486">
        <v>25.1</v>
      </c>
      <c r="N486">
        <v>26.5</v>
      </c>
      <c r="O486">
        <v>22.7</v>
      </c>
      <c r="P486">
        <v>33.4</v>
      </c>
      <c r="Q486">
        <v>47.2</v>
      </c>
      <c r="R486">
        <v>53.7</v>
      </c>
      <c r="S486">
        <v>38</v>
      </c>
      <c r="T486">
        <v>37.200000000000003</v>
      </c>
      <c r="U486">
        <v>64.8</v>
      </c>
      <c r="V486">
        <v>-18.2</v>
      </c>
      <c r="W486" cm="1">
        <f t="array" ref="W486">_xlfn.IFS(OR(X486="N/A",X486="NA"),0,OR(X486="R64",X486="R68"),1,X486="R32",2,X486="S16",3,X486="E8",4,X486="F4",5,X486="2ND",6,X486="Champions",7)</f>
        <v>0</v>
      </c>
      <c r="X486" t="s">
        <v>90</v>
      </c>
      <c r="Y486" t="s">
        <v>90</v>
      </c>
      <c r="Z486">
        <v>2019</v>
      </c>
    </row>
    <row r="487" spans="1:26" x14ac:dyDescent="0.3">
      <c r="A487" t="s">
        <v>195</v>
      </c>
      <c r="B487" t="s">
        <v>48</v>
      </c>
      <c r="C487">
        <v>30</v>
      </c>
      <c r="D487">
        <v>22</v>
      </c>
      <c r="E487" s="1">
        <f t="shared" si="7"/>
        <v>0.73333333333333328</v>
      </c>
      <c r="F487">
        <v>103.2</v>
      </c>
      <c r="G487">
        <v>105.7</v>
      </c>
      <c r="H487">
        <v>0.42949999999999999</v>
      </c>
      <c r="I487">
        <v>50.3</v>
      </c>
      <c r="J487">
        <v>49.7</v>
      </c>
      <c r="K487">
        <v>16.8</v>
      </c>
      <c r="L487">
        <v>16.600000000000001</v>
      </c>
      <c r="M487">
        <v>33.1</v>
      </c>
      <c r="N487">
        <v>26.2</v>
      </c>
      <c r="O487">
        <v>39.5</v>
      </c>
      <c r="P487">
        <v>32.4</v>
      </c>
      <c r="Q487">
        <v>49.4</v>
      </c>
      <c r="R487">
        <v>50.8</v>
      </c>
      <c r="S487">
        <v>34.799999999999997</v>
      </c>
      <c r="T487">
        <v>31.8</v>
      </c>
      <c r="U487">
        <v>65.900000000000006</v>
      </c>
      <c r="V487">
        <v>-6</v>
      </c>
      <c r="W487" cm="1">
        <f t="array" ref="W487">_xlfn.IFS(OR(X487="N/A",X487="NA"),0,OR(X487="R64",X487="R68"),1,X487="R32",2,X487="S16",3,X487="E8",4,X487="F4",5,X487="2ND",6,X487="Champions",7)</f>
        <v>0</v>
      </c>
      <c r="X487" t="s">
        <v>90</v>
      </c>
      <c r="Y487" t="s">
        <v>90</v>
      </c>
      <c r="Z487">
        <v>2019</v>
      </c>
    </row>
    <row r="488" spans="1:26" x14ac:dyDescent="0.3">
      <c r="A488" t="s">
        <v>197</v>
      </c>
      <c r="B488" t="s">
        <v>53</v>
      </c>
      <c r="C488">
        <v>33</v>
      </c>
      <c r="D488">
        <v>9</v>
      </c>
      <c r="E488" s="1">
        <f t="shared" si="7"/>
        <v>0.27272727272727271</v>
      </c>
      <c r="F488">
        <v>93.7</v>
      </c>
      <c r="G488">
        <v>102.7</v>
      </c>
      <c r="H488">
        <v>0.25769999999999998</v>
      </c>
      <c r="I488">
        <v>46</v>
      </c>
      <c r="J488">
        <v>48.1</v>
      </c>
      <c r="K488">
        <v>19.3</v>
      </c>
      <c r="L488">
        <v>18.399999999999999</v>
      </c>
      <c r="M488">
        <v>27.5</v>
      </c>
      <c r="N488">
        <v>32.200000000000003</v>
      </c>
      <c r="O488">
        <v>32.4</v>
      </c>
      <c r="P488">
        <v>47.4</v>
      </c>
      <c r="Q488">
        <v>43.2</v>
      </c>
      <c r="R488">
        <v>45.4</v>
      </c>
      <c r="S488">
        <v>34.299999999999997</v>
      </c>
      <c r="T488">
        <v>35.799999999999997</v>
      </c>
      <c r="U488">
        <v>61.6</v>
      </c>
      <c r="V488">
        <v>-17.100000000000001</v>
      </c>
      <c r="W488" cm="1">
        <f t="array" ref="W488">_xlfn.IFS(OR(X488="N/A",X488="NA"),0,OR(X488="R64",X488="R68"),1,X488="R32",2,X488="S16",3,X488="E8",4,X488="F4",5,X488="2ND",6,X488="Champions",7)</f>
        <v>0</v>
      </c>
      <c r="X488" t="s">
        <v>90</v>
      </c>
      <c r="Y488" t="s">
        <v>90</v>
      </c>
      <c r="Z488">
        <v>2015</v>
      </c>
    </row>
    <row r="489" spans="1:26" x14ac:dyDescent="0.3">
      <c r="A489" t="s">
        <v>198</v>
      </c>
      <c r="B489" t="s">
        <v>53</v>
      </c>
      <c r="C489">
        <v>30</v>
      </c>
      <c r="D489">
        <v>10</v>
      </c>
      <c r="E489" s="1">
        <f t="shared" si="7"/>
        <v>0.33333333333333331</v>
      </c>
      <c r="F489">
        <v>99.1</v>
      </c>
      <c r="G489">
        <v>107.3</v>
      </c>
      <c r="H489">
        <v>0.28549999999999998</v>
      </c>
      <c r="I489">
        <v>47.1</v>
      </c>
      <c r="J489">
        <v>50</v>
      </c>
      <c r="K489">
        <v>18.399999999999999</v>
      </c>
      <c r="L489">
        <v>15.6</v>
      </c>
      <c r="M489">
        <v>28.8</v>
      </c>
      <c r="N489">
        <v>31.5</v>
      </c>
      <c r="O489">
        <v>38.1</v>
      </c>
      <c r="P489">
        <v>33.200000000000003</v>
      </c>
      <c r="Q489">
        <v>44.5</v>
      </c>
      <c r="R489">
        <v>46.7</v>
      </c>
      <c r="S489">
        <v>34.5</v>
      </c>
      <c r="T489">
        <v>37</v>
      </c>
      <c r="U489">
        <v>65.8</v>
      </c>
      <c r="V489">
        <v>-14</v>
      </c>
      <c r="W489" cm="1">
        <f t="array" ref="W489">_xlfn.IFS(OR(X489="N/A",X489="NA"),0,OR(X489="R64",X489="R68"),1,X489="R32",2,X489="S16",3,X489="E8",4,X489="F4",5,X489="2ND",6,X489="Champions",7)</f>
        <v>0</v>
      </c>
      <c r="X489" t="s">
        <v>90</v>
      </c>
      <c r="Y489" t="s">
        <v>90</v>
      </c>
      <c r="Z489">
        <v>2015</v>
      </c>
    </row>
    <row r="490" spans="1:26" x14ac:dyDescent="0.3">
      <c r="A490" t="s">
        <v>199</v>
      </c>
      <c r="B490" t="s">
        <v>53</v>
      </c>
      <c r="C490">
        <v>29</v>
      </c>
      <c r="D490">
        <v>11</v>
      </c>
      <c r="E490" s="1">
        <f t="shared" si="7"/>
        <v>0.37931034482758619</v>
      </c>
      <c r="F490">
        <v>98.2</v>
      </c>
      <c r="G490">
        <v>104.1</v>
      </c>
      <c r="H490">
        <v>0.33960000000000001</v>
      </c>
      <c r="I490">
        <v>45</v>
      </c>
      <c r="J490">
        <v>50.1</v>
      </c>
      <c r="K490">
        <v>17</v>
      </c>
      <c r="L490">
        <v>18.5</v>
      </c>
      <c r="M490">
        <v>27.5</v>
      </c>
      <c r="N490">
        <v>31.2</v>
      </c>
      <c r="O490">
        <v>33.1</v>
      </c>
      <c r="P490">
        <v>35.700000000000003</v>
      </c>
      <c r="Q490">
        <v>42.6</v>
      </c>
      <c r="R490">
        <v>49</v>
      </c>
      <c r="S490">
        <v>33</v>
      </c>
      <c r="T490">
        <v>35.1</v>
      </c>
      <c r="U490">
        <v>61.2</v>
      </c>
      <c r="V490">
        <v>-12.5</v>
      </c>
      <c r="W490" cm="1">
        <f t="array" ref="W490">_xlfn.IFS(OR(X490="N/A",X490="NA"),0,OR(X490="R64",X490="R68"),1,X490="R32",2,X490="S16",3,X490="E8",4,X490="F4",5,X490="2ND",6,X490="Champions",7)</f>
        <v>0</v>
      </c>
      <c r="X490" t="s">
        <v>90</v>
      </c>
      <c r="Y490" t="s">
        <v>90</v>
      </c>
      <c r="Z490">
        <v>2015</v>
      </c>
    </row>
    <row r="491" spans="1:26" x14ac:dyDescent="0.3">
      <c r="A491" t="s">
        <v>200</v>
      </c>
      <c r="B491" t="s">
        <v>53</v>
      </c>
      <c r="C491">
        <v>31</v>
      </c>
      <c r="D491">
        <v>13</v>
      </c>
      <c r="E491" s="1">
        <f t="shared" si="7"/>
        <v>0.41935483870967744</v>
      </c>
      <c r="F491">
        <v>96.2</v>
      </c>
      <c r="G491">
        <v>105.2</v>
      </c>
      <c r="H491">
        <v>0.2641</v>
      </c>
      <c r="I491">
        <v>47.5</v>
      </c>
      <c r="J491">
        <v>51.3</v>
      </c>
      <c r="K491">
        <v>19</v>
      </c>
      <c r="L491">
        <v>21.2</v>
      </c>
      <c r="M491">
        <v>27.9</v>
      </c>
      <c r="N491">
        <v>31.9</v>
      </c>
      <c r="O491">
        <v>37.6</v>
      </c>
      <c r="P491">
        <v>44.1</v>
      </c>
      <c r="Q491">
        <v>45.1</v>
      </c>
      <c r="R491">
        <v>50.6</v>
      </c>
      <c r="S491">
        <v>34.5</v>
      </c>
      <c r="T491">
        <v>35</v>
      </c>
      <c r="U491">
        <v>68.5</v>
      </c>
      <c r="V491">
        <v>-12.6</v>
      </c>
      <c r="W491" cm="1">
        <f t="array" ref="W491">_xlfn.IFS(OR(X491="N/A",X491="NA"),0,OR(X491="R64",X491="R68"),1,X491="R32",2,X491="S16",3,X491="E8",4,X491="F4",5,X491="2ND",6,X491="Champions",7)</f>
        <v>0</v>
      </c>
      <c r="X491" t="s">
        <v>90</v>
      </c>
      <c r="Y491" t="s">
        <v>90</v>
      </c>
      <c r="Z491">
        <v>2015</v>
      </c>
    </row>
    <row r="492" spans="1:26" x14ac:dyDescent="0.3">
      <c r="A492" t="s">
        <v>201</v>
      </c>
      <c r="B492" t="s">
        <v>53</v>
      </c>
      <c r="C492">
        <v>34</v>
      </c>
      <c r="D492">
        <v>20</v>
      </c>
      <c r="E492" s="1">
        <f t="shared" si="7"/>
        <v>0.58823529411764708</v>
      </c>
      <c r="F492">
        <v>108.7</v>
      </c>
      <c r="G492">
        <v>104.6</v>
      </c>
      <c r="H492">
        <v>0.60940000000000005</v>
      </c>
      <c r="I492">
        <v>52.3</v>
      </c>
      <c r="J492">
        <v>49.5</v>
      </c>
      <c r="K492">
        <v>16</v>
      </c>
      <c r="L492">
        <v>19.600000000000001</v>
      </c>
      <c r="M492">
        <v>32.700000000000003</v>
      </c>
      <c r="N492">
        <v>28.4</v>
      </c>
      <c r="O492">
        <v>39.799999999999997</v>
      </c>
      <c r="P492">
        <v>38.700000000000003</v>
      </c>
      <c r="Q492">
        <v>50.9</v>
      </c>
      <c r="R492">
        <v>48.8</v>
      </c>
      <c r="S492">
        <v>36.200000000000003</v>
      </c>
      <c r="T492">
        <v>33.9</v>
      </c>
      <c r="U492">
        <v>69.400000000000006</v>
      </c>
      <c r="V492">
        <v>-8.3000000000000007</v>
      </c>
      <c r="W492" cm="1">
        <f t="array" ref="W492">_xlfn.IFS(OR(X492="N/A",X492="NA"),0,OR(X492="R64",X492="R68"),1,X492="R32",2,X492="S16",3,X492="E8",4,X492="F4",5,X492="2ND",6,X492="Champions",7)</f>
        <v>0</v>
      </c>
      <c r="X492" t="s">
        <v>90</v>
      </c>
      <c r="Y492" t="s">
        <v>90</v>
      </c>
      <c r="Z492">
        <v>2015</v>
      </c>
    </row>
    <row r="493" spans="1:26" x14ac:dyDescent="0.3">
      <c r="A493" t="s">
        <v>202</v>
      </c>
      <c r="B493" t="s">
        <v>53</v>
      </c>
      <c r="C493">
        <v>33</v>
      </c>
      <c r="D493">
        <v>19</v>
      </c>
      <c r="E493" s="1">
        <f t="shared" si="7"/>
        <v>0.5757575757575758</v>
      </c>
      <c r="F493">
        <v>103.1</v>
      </c>
      <c r="G493">
        <v>107.6</v>
      </c>
      <c r="H493">
        <v>0.3805</v>
      </c>
      <c r="I493">
        <v>51.9</v>
      </c>
      <c r="J493">
        <v>50.2</v>
      </c>
      <c r="K493">
        <v>20.3</v>
      </c>
      <c r="L493">
        <v>17.899999999999999</v>
      </c>
      <c r="M493">
        <v>29</v>
      </c>
      <c r="N493">
        <v>31.9</v>
      </c>
      <c r="O493">
        <v>42.2</v>
      </c>
      <c r="P493">
        <v>31.9</v>
      </c>
      <c r="Q493">
        <v>49.7</v>
      </c>
      <c r="R493">
        <v>48.2</v>
      </c>
      <c r="S493">
        <v>37.200000000000003</v>
      </c>
      <c r="T493">
        <v>35.700000000000003</v>
      </c>
      <c r="U493">
        <v>64.7</v>
      </c>
      <c r="V493">
        <v>-7.2</v>
      </c>
      <c r="W493" cm="1">
        <f t="array" ref="W493">_xlfn.IFS(OR(X493="N/A",X493="NA"),0,OR(X493="R64",X493="R68"),1,X493="R32",2,X493="S16",3,X493="E8",4,X493="F4",5,X493="2ND",6,X493="Champions",7)</f>
        <v>0</v>
      </c>
      <c r="X493" t="s">
        <v>90</v>
      </c>
      <c r="Y493" t="s">
        <v>90</v>
      </c>
      <c r="Z493">
        <v>2015</v>
      </c>
    </row>
    <row r="494" spans="1:26" x14ac:dyDescent="0.3">
      <c r="A494" t="s">
        <v>203</v>
      </c>
      <c r="B494" t="s">
        <v>53</v>
      </c>
      <c r="C494">
        <v>31</v>
      </c>
      <c r="D494">
        <v>11</v>
      </c>
      <c r="E494" s="1">
        <f t="shared" si="7"/>
        <v>0.35483870967741937</v>
      </c>
      <c r="F494">
        <v>98.8</v>
      </c>
      <c r="G494">
        <v>107</v>
      </c>
      <c r="H494">
        <v>0.28420000000000001</v>
      </c>
      <c r="I494">
        <v>44.6</v>
      </c>
      <c r="J494">
        <v>47.6</v>
      </c>
      <c r="K494">
        <v>21.5</v>
      </c>
      <c r="L494">
        <v>14.9</v>
      </c>
      <c r="M494">
        <v>41.1</v>
      </c>
      <c r="N494">
        <v>29.5</v>
      </c>
      <c r="O494">
        <v>48.3</v>
      </c>
      <c r="P494">
        <v>45</v>
      </c>
      <c r="Q494">
        <v>44.4</v>
      </c>
      <c r="R494">
        <v>45.7</v>
      </c>
      <c r="S494">
        <v>30.1</v>
      </c>
      <c r="T494">
        <v>34.200000000000003</v>
      </c>
      <c r="U494">
        <v>60.9</v>
      </c>
      <c r="V494">
        <v>-14.5</v>
      </c>
      <c r="W494" cm="1">
        <f t="array" ref="W494">_xlfn.IFS(OR(X494="N/A",X494="NA"),0,OR(X494="R64",X494="R68"),1,X494="R32",2,X494="S16",3,X494="E8",4,X494="F4",5,X494="2ND",6,X494="Champions",7)</f>
        <v>0</v>
      </c>
      <c r="X494" t="s">
        <v>90</v>
      </c>
      <c r="Y494" t="s">
        <v>90</v>
      </c>
      <c r="Z494">
        <v>2015</v>
      </c>
    </row>
    <row r="495" spans="1:26" x14ac:dyDescent="0.3">
      <c r="A495" t="s">
        <v>204</v>
      </c>
      <c r="B495" t="s">
        <v>53</v>
      </c>
      <c r="C495">
        <v>31</v>
      </c>
      <c r="D495">
        <v>17</v>
      </c>
      <c r="E495" s="1">
        <f t="shared" si="7"/>
        <v>0.54838709677419351</v>
      </c>
      <c r="F495">
        <v>100.5</v>
      </c>
      <c r="G495">
        <v>99.7</v>
      </c>
      <c r="H495">
        <v>0.52080000000000004</v>
      </c>
      <c r="I495">
        <v>47.5</v>
      </c>
      <c r="J495">
        <v>47.9</v>
      </c>
      <c r="K495">
        <v>18</v>
      </c>
      <c r="L495">
        <v>20.399999999999999</v>
      </c>
      <c r="M495">
        <v>31</v>
      </c>
      <c r="N495">
        <v>32.4</v>
      </c>
      <c r="O495">
        <v>37.5</v>
      </c>
      <c r="P495">
        <v>47.4</v>
      </c>
      <c r="Q495">
        <v>46.3</v>
      </c>
      <c r="R495">
        <v>46.9</v>
      </c>
      <c r="S495">
        <v>34</v>
      </c>
      <c r="T495">
        <v>33.5</v>
      </c>
      <c r="U495">
        <v>67.900000000000006</v>
      </c>
      <c r="V495">
        <v>-6.8</v>
      </c>
      <c r="W495" cm="1">
        <f t="array" ref="W495">_xlfn.IFS(OR(X495="N/A",X495="NA"),0,OR(X495="R64",X495="R68"),1,X495="R32",2,X495="S16",3,X495="E8",4,X495="F4",5,X495="2ND",6,X495="Champions",7)</f>
        <v>0</v>
      </c>
      <c r="X495" t="s">
        <v>90</v>
      </c>
      <c r="Y495" t="s">
        <v>90</v>
      </c>
      <c r="Z495">
        <v>2015</v>
      </c>
    </row>
    <row r="496" spans="1:26" x14ac:dyDescent="0.3">
      <c r="A496" t="s">
        <v>205</v>
      </c>
      <c r="B496" t="s">
        <v>53</v>
      </c>
      <c r="C496">
        <v>31</v>
      </c>
      <c r="D496">
        <v>18</v>
      </c>
      <c r="E496" s="1">
        <f t="shared" si="7"/>
        <v>0.58064516129032262</v>
      </c>
      <c r="F496">
        <v>111.2</v>
      </c>
      <c r="G496">
        <v>106.9</v>
      </c>
      <c r="H496">
        <v>0.61050000000000004</v>
      </c>
      <c r="I496">
        <v>56.3</v>
      </c>
      <c r="J496">
        <v>50.5</v>
      </c>
      <c r="K496">
        <v>17.5</v>
      </c>
      <c r="L496">
        <v>17.600000000000001</v>
      </c>
      <c r="M496">
        <v>24.2</v>
      </c>
      <c r="N496">
        <v>29.9</v>
      </c>
      <c r="O496">
        <v>35.5</v>
      </c>
      <c r="P496">
        <v>31.9</v>
      </c>
      <c r="Q496">
        <v>54.8</v>
      </c>
      <c r="R496">
        <v>49.1</v>
      </c>
      <c r="S496">
        <v>38.9</v>
      </c>
      <c r="T496">
        <v>35.299999999999997</v>
      </c>
      <c r="U496">
        <v>64.400000000000006</v>
      </c>
      <c r="V496">
        <v>-5.5</v>
      </c>
      <c r="W496" cm="1">
        <f t="array" ref="W496">_xlfn.IFS(OR(X496="N/A",X496="NA"),0,OR(X496="R64",X496="R68"),1,X496="R32",2,X496="S16",3,X496="E8",4,X496="F4",5,X496="2ND",6,X496="Champions",7)</f>
        <v>0</v>
      </c>
      <c r="X496" t="s">
        <v>90</v>
      </c>
      <c r="Y496" t="s">
        <v>90</v>
      </c>
      <c r="Z496">
        <v>2015</v>
      </c>
    </row>
    <row r="497" spans="1:26" x14ac:dyDescent="0.3">
      <c r="A497" t="s">
        <v>197</v>
      </c>
      <c r="B497" t="s">
        <v>53</v>
      </c>
      <c r="C497">
        <v>30</v>
      </c>
      <c r="D497">
        <v>16</v>
      </c>
      <c r="E497" s="1">
        <f t="shared" si="7"/>
        <v>0.53333333333333333</v>
      </c>
      <c r="F497">
        <v>96.4</v>
      </c>
      <c r="G497">
        <v>93.3</v>
      </c>
      <c r="H497">
        <v>0.59219999999999995</v>
      </c>
      <c r="I497">
        <v>47.4</v>
      </c>
      <c r="J497">
        <v>48.1</v>
      </c>
      <c r="K497">
        <v>19.5</v>
      </c>
      <c r="L497">
        <v>21.6</v>
      </c>
      <c r="M497">
        <v>30.4</v>
      </c>
      <c r="N497">
        <v>26.9</v>
      </c>
      <c r="O497">
        <v>32.799999999999997</v>
      </c>
      <c r="P497">
        <v>43.1</v>
      </c>
      <c r="Q497">
        <v>45.6</v>
      </c>
      <c r="R497">
        <v>48.2</v>
      </c>
      <c r="S497">
        <v>34</v>
      </c>
      <c r="T497">
        <v>32</v>
      </c>
      <c r="U497">
        <v>65</v>
      </c>
      <c r="V497">
        <v>-7.3</v>
      </c>
      <c r="W497" cm="1">
        <f t="array" ref="W497">_xlfn.IFS(OR(X497="N/A",X497="NA"),0,OR(X497="R64",X497="R68"),1,X497="R32",2,X497="S16",3,X497="E8",4,X497="F4",5,X497="2ND",6,X497="Champions",7)</f>
        <v>0</v>
      </c>
      <c r="X497" t="s">
        <v>90</v>
      </c>
      <c r="Y497" t="s">
        <v>90</v>
      </c>
      <c r="Z497">
        <v>2016</v>
      </c>
    </row>
    <row r="498" spans="1:26" x14ac:dyDescent="0.3">
      <c r="A498" t="s">
        <v>198</v>
      </c>
      <c r="B498" t="s">
        <v>53</v>
      </c>
      <c r="C498">
        <v>30</v>
      </c>
      <c r="D498">
        <v>7</v>
      </c>
      <c r="E498" s="1">
        <f t="shared" si="7"/>
        <v>0.23333333333333334</v>
      </c>
      <c r="F498">
        <v>100.5</v>
      </c>
      <c r="G498">
        <v>109.9</v>
      </c>
      <c r="H498">
        <v>0.26350000000000001</v>
      </c>
      <c r="I498">
        <v>45.3</v>
      </c>
      <c r="J498">
        <v>51.8</v>
      </c>
      <c r="K498">
        <v>17.7</v>
      </c>
      <c r="L498">
        <v>13.5</v>
      </c>
      <c r="M498">
        <v>29.6</v>
      </c>
      <c r="N498">
        <v>28</v>
      </c>
      <c r="O498">
        <v>42.2</v>
      </c>
      <c r="P498">
        <v>31.9</v>
      </c>
      <c r="Q498">
        <v>43.7</v>
      </c>
      <c r="R498">
        <v>51.4</v>
      </c>
      <c r="S498">
        <v>32.5</v>
      </c>
      <c r="T498">
        <v>34.799999999999997</v>
      </c>
      <c r="U498">
        <v>68.099999999999994</v>
      </c>
      <c r="V498">
        <v>-15.3</v>
      </c>
      <c r="W498" cm="1">
        <f t="array" ref="W498">_xlfn.IFS(OR(X498="N/A",X498="NA"),0,OR(X498="R64",X498="R68"),1,X498="R32",2,X498="S16",3,X498="E8",4,X498="F4",5,X498="2ND",6,X498="Champions",7)</f>
        <v>0</v>
      </c>
      <c r="X498" t="s">
        <v>90</v>
      </c>
      <c r="Y498" t="s">
        <v>90</v>
      </c>
      <c r="Z498">
        <v>2016</v>
      </c>
    </row>
    <row r="499" spans="1:26" x14ac:dyDescent="0.3">
      <c r="A499" t="s">
        <v>199</v>
      </c>
      <c r="B499" t="s">
        <v>53</v>
      </c>
      <c r="C499">
        <v>30</v>
      </c>
      <c r="D499">
        <v>6</v>
      </c>
      <c r="E499" s="1">
        <f t="shared" si="7"/>
        <v>0.2</v>
      </c>
      <c r="F499">
        <v>98.8</v>
      </c>
      <c r="G499">
        <v>105.7</v>
      </c>
      <c r="H499">
        <v>0.31609999999999999</v>
      </c>
      <c r="I499">
        <v>44.3</v>
      </c>
      <c r="J499">
        <v>52.5</v>
      </c>
      <c r="K499">
        <v>16.8</v>
      </c>
      <c r="L499">
        <v>18.100000000000001</v>
      </c>
      <c r="M499">
        <v>27.7</v>
      </c>
      <c r="N499">
        <v>28.8</v>
      </c>
      <c r="O499">
        <v>36.9</v>
      </c>
      <c r="P499">
        <v>47.4</v>
      </c>
      <c r="Q499">
        <v>42.3</v>
      </c>
      <c r="R499">
        <v>51.5</v>
      </c>
      <c r="S499">
        <v>32.700000000000003</v>
      </c>
      <c r="T499">
        <v>36.5</v>
      </c>
      <c r="U499">
        <v>65.5</v>
      </c>
      <c r="V499">
        <v>-16.399999999999999</v>
      </c>
      <c r="W499" cm="1">
        <f t="array" ref="W499">_xlfn.IFS(OR(X499="N/A",X499="NA"),0,OR(X499="R64",X499="R68"),1,X499="R32",2,X499="S16",3,X499="E8",4,X499="F4",5,X499="2ND",6,X499="Champions",7)</f>
        <v>0</v>
      </c>
      <c r="X499" t="s">
        <v>90</v>
      </c>
      <c r="Y499" t="s">
        <v>90</v>
      </c>
      <c r="Z499">
        <v>2016</v>
      </c>
    </row>
    <row r="500" spans="1:26" x14ac:dyDescent="0.3">
      <c r="A500" t="s">
        <v>200</v>
      </c>
      <c r="B500" t="s">
        <v>53</v>
      </c>
      <c r="C500">
        <v>30</v>
      </c>
      <c r="D500">
        <v>14</v>
      </c>
      <c r="E500" s="1">
        <f t="shared" si="7"/>
        <v>0.46666666666666667</v>
      </c>
      <c r="F500">
        <v>105</v>
      </c>
      <c r="G500">
        <v>105.2</v>
      </c>
      <c r="H500">
        <v>0.49270000000000003</v>
      </c>
      <c r="I500">
        <v>51.8</v>
      </c>
      <c r="J500">
        <v>50.3</v>
      </c>
      <c r="K500">
        <v>17.7</v>
      </c>
      <c r="L500">
        <v>15.8</v>
      </c>
      <c r="M500">
        <v>27.2</v>
      </c>
      <c r="N500">
        <v>29.8</v>
      </c>
      <c r="O500">
        <v>30.4</v>
      </c>
      <c r="P500">
        <v>33.4</v>
      </c>
      <c r="Q500">
        <v>52.5</v>
      </c>
      <c r="R500">
        <v>49.1</v>
      </c>
      <c r="S500">
        <v>33.9</v>
      </c>
      <c r="T500">
        <v>35.299999999999997</v>
      </c>
      <c r="U500">
        <v>72.400000000000006</v>
      </c>
      <c r="V500">
        <v>-8.5</v>
      </c>
      <c r="W500" cm="1">
        <f t="array" ref="W500">_xlfn.IFS(OR(X500="N/A",X500="NA"),0,OR(X500="R64",X500="R68"),1,X500="R32",2,X500="S16",3,X500="E8",4,X500="F4",5,X500="2ND",6,X500="Champions",7)</f>
        <v>0</v>
      </c>
      <c r="X500" t="s">
        <v>90</v>
      </c>
      <c r="Y500" t="s">
        <v>90</v>
      </c>
      <c r="Z500">
        <v>2016</v>
      </c>
    </row>
    <row r="501" spans="1:26" x14ac:dyDescent="0.3">
      <c r="A501" t="s">
        <v>201</v>
      </c>
      <c r="B501" t="s">
        <v>53</v>
      </c>
      <c r="C501">
        <v>33</v>
      </c>
      <c r="D501">
        <v>23</v>
      </c>
      <c r="E501" s="1">
        <f t="shared" si="7"/>
        <v>0.69696969696969702</v>
      </c>
      <c r="F501">
        <v>110.1</v>
      </c>
      <c r="G501">
        <v>102.9</v>
      </c>
      <c r="H501">
        <v>0.6855</v>
      </c>
      <c r="I501">
        <v>51.4</v>
      </c>
      <c r="J501">
        <v>49.9</v>
      </c>
      <c r="K501">
        <v>16.7</v>
      </c>
      <c r="L501">
        <v>16.399999999999999</v>
      </c>
      <c r="M501">
        <v>31.9</v>
      </c>
      <c r="N501">
        <v>30</v>
      </c>
      <c r="O501">
        <v>39.5</v>
      </c>
      <c r="P501">
        <v>24</v>
      </c>
      <c r="Q501">
        <v>50.1</v>
      </c>
      <c r="R501">
        <v>48.3</v>
      </c>
      <c r="S501">
        <v>35.6</v>
      </c>
      <c r="T501">
        <v>35.299999999999997</v>
      </c>
      <c r="U501">
        <v>70.400000000000006</v>
      </c>
      <c r="V501">
        <v>-1.6</v>
      </c>
      <c r="W501" cm="1">
        <f t="array" ref="W501">_xlfn.IFS(OR(X501="N/A",X501="NA"),0,OR(X501="R64",X501="R68"),1,X501="R32",2,X501="S16",3,X501="E8",4,X501="F4",5,X501="2ND",6,X501="Champions",7)</f>
        <v>0</v>
      </c>
      <c r="X501" t="s">
        <v>90</v>
      </c>
      <c r="Y501" t="s">
        <v>90</v>
      </c>
      <c r="Z501">
        <v>2016</v>
      </c>
    </row>
    <row r="502" spans="1:26" x14ac:dyDescent="0.3">
      <c r="A502" t="s">
        <v>202</v>
      </c>
      <c r="B502" t="s">
        <v>53</v>
      </c>
      <c r="C502">
        <v>31</v>
      </c>
      <c r="D502">
        <v>20</v>
      </c>
      <c r="E502" s="1">
        <f t="shared" si="7"/>
        <v>0.64516129032258063</v>
      </c>
      <c r="F502">
        <v>106</v>
      </c>
      <c r="G502">
        <v>98.7</v>
      </c>
      <c r="H502">
        <v>0.69350000000000001</v>
      </c>
      <c r="I502">
        <v>51.6</v>
      </c>
      <c r="J502">
        <v>45.5</v>
      </c>
      <c r="K502">
        <v>17.2</v>
      </c>
      <c r="L502">
        <v>15.4</v>
      </c>
      <c r="M502">
        <v>29.5</v>
      </c>
      <c r="N502">
        <v>27</v>
      </c>
      <c r="O502">
        <v>37</v>
      </c>
      <c r="P502">
        <v>37</v>
      </c>
      <c r="Q502">
        <v>50.9</v>
      </c>
      <c r="R502">
        <v>47.3</v>
      </c>
      <c r="S502">
        <v>35</v>
      </c>
      <c r="T502">
        <v>28.7</v>
      </c>
      <c r="U502">
        <v>67.7</v>
      </c>
      <c r="V502">
        <v>-4.3</v>
      </c>
      <c r="W502" cm="1">
        <f t="array" ref="W502">_xlfn.IFS(OR(X502="N/A",X502="NA"),0,OR(X502="R64",X502="R68"),1,X502="R32",2,X502="S16",3,X502="E8",4,X502="F4",5,X502="2ND",6,X502="Champions",7)</f>
        <v>0</v>
      </c>
      <c r="X502" t="s">
        <v>90</v>
      </c>
      <c r="Y502" t="s">
        <v>90</v>
      </c>
      <c r="Z502">
        <v>2016</v>
      </c>
    </row>
    <row r="503" spans="1:26" x14ac:dyDescent="0.3">
      <c r="A503" t="s">
        <v>206</v>
      </c>
      <c r="B503" t="s">
        <v>53</v>
      </c>
      <c r="C503">
        <v>32</v>
      </c>
      <c r="D503">
        <v>17</v>
      </c>
      <c r="E503" s="1">
        <f t="shared" si="7"/>
        <v>0.53125</v>
      </c>
      <c r="F503">
        <v>106.2</v>
      </c>
      <c r="G503">
        <v>102.3</v>
      </c>
      <c r="H503">
        <v>0.60550000000000004</v>
      </c>
      <c r="I503">
        <v>51.7</v>
      </c>
      <c r="J503">
        <v>51.7</v>
      </c>
      <c r="K503">
        <v>18.2</v>
      </c>
      <c r="L503">
        <v>17.2</v>
      </c>
      <c r="M503">
        <v>25.9</v>
      </c>
      <c r="N503">
        <v>28.8</v>
      </c>
      <c r="O503">
        <v>38.700000000000003</v>
      </c>
      <c r="P503">
        <v>27.9</v>
      </c>
      <c r="Q503">
        <v>48.5</v>
      </c>
      <c r="R503">
        <v>52</v>
      </c>
      <c r="S503">
        <v>37.200000000000003</v>
      </c>
      <c r="T503">
        <v>33.9</v>
      </c>
      <c r="U503">
        <v>66.2</v>
      </c>
      <c r="V503">
        <v>-7</v>
      </c>
      <c r="W503" cm="1">
        <f t="array" ref="W503">_xlfn.IFS(OR(X503="N/A",X503="NA"),0,OR(X503="R64",X503="R68"),1,X503="R32",2,X503="S16",3,X503="E8",4,X503="F4",5,X503="2ND",6,X503="Champions",7)</f>
        <v>0</v>
      </c>
      <c r="X503" t="s">
        <v>90</v>
      </c>
      <c r="Y503" t="s">
        <v>90</v>
      </c>
      <c r="Z503">
        <v>2016</v>
      </c>
    </row>
    <row r="504" spans="1:26" x14ac:dyDescent="0.3">
      <c r="A504" t="s">
        <v>203</v>
      </c>
      <c r="B504" t="s">
        <v>53</v>
      </c>
      <c r="C504">
        <v>31</v>
      </c>
      <c r="D504">
        <v>18</v>
      </c>
      <c r="E504" s="1">
        <f t="shared" si="7"/>
        <v>0.58064516129032262</v>
      </c>
      <c r="F504">
        <v>104.5</v>
      </c>
      <c r="G504">
        <v>103.2</v>
      </c>
      <c r="H504">
        <v>0.53639999999999999</v>
      </c>
      <c r="I504">
        <v>46.9</v>
      </c>
      <c r="J504">
        <v>48.4</v>
      </c>
      <c r="K504">
        <v>17.899999999999999</v>
      </c>
      <c r="L504">
        <v>17.7</v>
      </c>
      <c r="M504">
        <v>38.299999999999997</v>
      </c>
      <c r="N504">
        <v>27.3</v>
      </c>
      <c r="O504">
        <v>45.1</v>
      </c>
      <c r="P504">
        <v>41</v>
      </c>
      <c r="Q504">
        <v>46.3</v>
      </c>
      <c r="R504">
        <v>46.2</v>
      </c>
      <c r="S504">
        <v>32.1</v>
      </c>
      <c r="T504">
        <v>35.200000000000003</v>
      </c>
      <c r="U504">
        <v>66.599999999999994</v>
      </c>
      <c r="V504">
        <v>-6.2</v>
      </c>
      <c r="W504" cm="1">
        <f t="array" ref="W504">_xlfn.IFS(OR(X504="N/A",X504="NA"),0,OR(X504="R64",X504="R68"),1,X504="R32",2,X504="S16",3,X504="E8",4,X504="F4",5,X504="2ND",6,X504="Champions",7)</f>
        <v>0</v>
      </c>
      <c r="X504" t="s">
        <v>90</v>
      </c>
      <c r="Y504" t="s">
        <v>90</v>
      </c>
      <c r="Z504">
        <v>2016</v>
      </c>
    </row>
    <row r="505" spans="1:26" x14ac:dyDescent="0.3">
      <c r="A505" t="s">
        <v>205</v>
      </c>
      <c r="B505" t="s">
        <v>53</v>
      </c>
      <c r="C505">
        <v>29</v>
      </c>
      <c r="D505">
        <v>18</v>
      </c>
      <c r="E505" s="1">
        <f t="shared" si="7"/>
        <v>0.62068965517241381</v>
      </c>
      <c r="F505">
        <v>112.4</v>
      </c>
      <c r="G505">
        <v>103.6</v>
      </c>
      <c r="H505">
        <v>0.71919999999999995</v>
      </c>
      <c r="I505">
        <v>54.9</v>
      </c>
      <c r="J505">
        <v>49.5</v>
      </c>
      <c r="K505">
        <v>15.9</v>
      </c>
      <c r="L505">
        <v>15.3</v>
      </c>
      <c r="M505">
        <v>25.8</v>
      </c>
      <c r="N505">
        <v>27.2</v>
      </c>
      <c r="O505">
        <v>36.6</v>
      </c>
      <c r="P505">
        <v>27.9</v>
      </c>
      <c r="Q505">
        <v>54.8</v>
      </c>
      <c r="R505">
        <v>49.4</v>
      </c>
      <c r="S505">
        <v>36.700000000000003</v>
      </c>
      <c r="T505">
        <v>33.1</v>
      </c>
      <c r="U505">
        <v>69.2</v>
      </c>
      <c r="V505">
        <v>-3.8</v>
      </c>
      <c r="W505" cm="1">
        <f t="array" ref="W505">_xlfn.IFS(OR(X505="N/A",X505="NA"),0,OR(X505="R64",X505="R68"),1,X505="R32",2,X505="S16",3,X505="E8",4,X505="F4",5,X505="2ND",6,X505="Champions",7)</f>
        <v>0</v>
      </c>
      <c r="X505" t="s">
        <v>90</v>
      </c>
      <c r="Y505" t="s">
        <v>90</v>
      </c>
      <c r="Z505">
        <v>2016</v>
      </c>
    </row>
    <row r="506" spans="1:26" x14ac:dyDescent="0.3">
      <c r="A506" t="s">
        <v>197</v>
      </c>
      <c r="B506" t="s">
        <v>53</v>
      </c>
      <c r="C506">
        <v>34</v>
      </c>
      <c r="D506">
        <v>25</v>
      </c>
      <c r="E506" s="1">
        <f t="shared" si="7"/>
        <v>0.73529411764705888</v>
      </c>
      <c r="F506">
        <v>104.6</v>
      </c>
      <c r="G506">
        <v>99.5</v>
      </c>
      <c r="H506">
        <v>0.64180000000000004</v>
      </c>
      <c r="I506">
        <v>49.4</v>
      </c>
      <c r="J506">
        <v>48</v>
      </c>
      <c r="K506">
        <v>15.9</v>
      </c>
      <c r="L506">
        <v>18.600000000000001</v>
      </c>
      <c r="M506">
        <v>25.4</v>
      </c>
      <c r="N506">
        <v>28.9</v>
      </c>
      <c r="O506">
        <v>42.7</v>
      </c>
      <c r="P506">
        <v>31.9</v>
      </c>
      <c r="Q506">
        <v>49.1</v>
      </c>
      <c r="R506">
        <v>48.9</v>
      </c>
      <c r="S506">
        <v>33.200000000000003</v>
      </c>
      <c r="T506">
        <v>31.1</v>
      </c>
      <c r="U506">
        <v>65.7</v>
      </c>
      <c r="V506">
        <v>-2</v>
      </c>
      <c r="W506" cm="1">
        <f t="array" ref="W506">_xlfn.IFS(OR(X506="N/A",X506="NA"),0,OR(X506="R64",X506="R68"),1,X506="R32",2,X506="S16",3,X506="E8",4,X506="F4",5,X506="2ND",6,X506="Champions",7)</f>
        <v>0</v>
      </c>
      <c r="X506" t="s">
        <v>90</v>
      </c>
      <c r="Y506" t="s">
        <v>90</v>
      </c>
      <c r="Z506">
        <v>2017</v>
      </c>
    </row>
    <row r="507" spans="1:26" x14ac:dyDescent="0.3">
      <c r="A507" t="s">
        <v>198</v>
      </c>
      <c r="B507" t="s">
        <v>53</v>
      </c>
      <c r="C507">
        <v>31</v>
      </c>
      <c r="D507">
        <v>13</v>
      </c>
      <c r="E507" s="1">
        <f t="shared" si="7"/>
        <v>0.41935483870967744</v>
      </c>
      <c r="F507">
        <v>97.5</v>
      </c>
      <c r="G507">
        <v>107.2</v>
      </c>
      <c r="H507">
        <v>0.25040000000000001</v>
      </c>
      <c r="I507">
        <v>46.8</v>
      </c>
      <c r="J507">
        <v>53.2</v>
      </c>
      <c r="K507">
        <v>17.899999999999999</v>
      </c>
      <c r="L507">
        <v>15.2</v>
      </c>
      <c r="M507">
        <v>27.1</v>
      </c>
      <c r="N507">
        <v>27.5</v>
      </c>
      <c r="O507">
        <v>32.200000000000003</v>
      </c>
      <c r="P507">
        <v>40</v>
      </c>
      <c r="Q507">
        <v>47.8</v>
      </c>
      <c r="R507">
        <v>51.6</v>
      </c>
      <c r="S507">
        <v>30</v>
      </c>
      <c r="T507">
        <v>37</v>
      </c>
      <c r="U507">
        <v>66.400000000000006</v>
      </c>
      <c r="V507">
        <v>-13.7</v>
      </c>
      <c r="W507" cm="1">
        <f t="array" ref="W507">_xlfn.IFS(OR(X507="N/A",X507="NA"),0,OR(X507="R64",X507="R68"),1,X507="R32",2,X507="S16",3,X507="E8",4,X507="F4",5,X507="2ND",6,X507="Champions",7)</f>
        <v>0</v>
      </c>
      <c r="X507" t="s">
        <v>90</v>
      </c>
      <c r="Y507" t="s">
        <v>90</v>
      </c>
      <c r="Z507">
        <v>2017</v>
      </c>
    </row>
    <row r="508" spans="1:26" x14ac:dyDescent="0.3">
      <c r="A508" t="s">
        <v>199</v>
      </c>
      <c r="B508" t="s">
        <v>53</v>
      </c>
      <c r="C508">
        <v>31</v>
      </c>
      <c r="D508">
        <v>9</v>
      </c>
      <c r="E508" s="1">
        <f t="shared" si="7"/>
        <v>0.29032258064516131</v>
      </c>
      <c r="F508">
        <v>101.9</v>
      </c>
      <c r="G508">
        <v>108.8</v>
      </c>
      <c r="H508">
        <v>0.31840000000000002</v>
      </c>
      <c r="I508">
        <v>49.9</v>
      </c>
      <c r="J508">
        <v>53.1</v>
      </c>
      <c r="K508">
        <v>18.5</v>
      </c>
      <c r="L508">
        <v>17.399999999999999</v>
      </c>
      <c r="M508">
        <v>30.4</v>
      </c>
      <c r="N508">
        <v>30.5</v>
      </c>
      <c r="O508">
        <v>31.6</v>
      </c>
      <c r="P508">
        <v>39.9</v>
      </c>
      <c r="Q508">
        <v>48.5</v>
      </c>
      <c r="R508">
        <v>52.6</v>
      </c>
      <c r="S508">
        <v>34.9</v>
      </c>
      <c r="T508">
        <v>36</v>
      </c>
      <c r="U508">
        <v>71.900000000000006</v>
      </c>
      <c r="V508">
        <v>-17.3</v>
      </c>
      <c r="W508" cm="1">
        <f t="array" ref="W508">_xlfn.IFS(OR(X508="N/A",X508="NA"),0,OR(X508="R64",X508="R68"),1,X508="R32",2,X508="S16",3,X508="E8",4,X508="F4",5,X508="2ND",6,X508="Champions",7)</f>
        <v>0</v>
      </c>
      <c r="X508" t="s">
        <v>90</v>
      </c>
      <c r="Y508" t="s">
        <v>90</v>
      </c>
      <c r="Z508">
        <v>2017</v>
      </c>
    </row>
    <row r="509" spans="1:26" x14ac:dyDescent="0.3">
      <c r="A509" t="s">
        <v>200</v>
      </c>
      <c r="B509" t="s">
        <v>53</v>
      </c>
      <c r="C509">
        <v>30</v>
      </c>
      <c r="D509">
        <v>18</v>
      </c>
      <c r="E509" s="1">
        <f t="shared" si="7"/>
        <v>0.6</v>
      </c>
      <c r="F509">
        <v>102.9</v>
      </c>
      <c r="G509">
        <v>101.4</v>
      </c>
      <c r="H509">
        <v>0.54159999999999997</v>
      </c>
      <c r="I509">
        <v>52.1</v>
      </c>
      <c r="J509">
        <v>48.6</v>
      </c>
      <c r="K509">
        <v>16.600000000000001</v>
      </c>
      <c r="L509">
        <v>14.9</v>
      </c>
      <c r="M509">
        <v>24.2</v>
      </c>
      <c r="N509">
        <v>26.7</v>
      </c>
      <c r="O509">
        <v>30.7</v>
      </c>
      <c r="P509">
        <v>26.4</v>
      </c>
      <c r="Q509">
        <v>50.9</v>
      </c>
      <c r="R509">
        <v>48.8</v>
      </c>
      <c r="S509">
        <v>35.700000000000003</v>
      </c>
      <c r="T509">
        <v>32.200000000000003</v>
      </c>
      <c r="U509">
        <v>69.099999999999994</v>
      </c>
      <c r="V509">
        <v>-7.8</v>
      </c>
      <c r="W509" cm="1">
        <f t="array" ref="W509">_xlfn.IFS(OR(X509="N/A",X509="NA"),0,OR(X509="R64",X509="R68"),1,X509="R32",2,X509="S16",3,X509="E8",4,X509="F4",5,X509="2ND",6,X509="Champions",7)</f>
        <v>0</v>
      </c>
      <c r="X509" t="s">
        <v>90</v>
      </c>
      <c r="Y509" t="s">
        <v>90</v>
      </c>
      <c r="Z509">
        <v>2017</v>
      </c>
    </row>
    <row r="510" spans="1:26" x14ac:dyDescent="0.3">
      <c r="A510" t="s">
        <v>201</v>
      </c>
      <c r="B510" t="s">
        <v>53</v>
      </c>
      <c r="C510">
        <v>31</v>
      </c>
      <c r="D510">
        <v>15</v>
      </c>
      <c r="E510" s="1">
        <f t="shared" si="7"/>
        <v>0.4838709677419355</v>
      </c>
      <c r="F510">
        <v>109.4</v>
      </c>
      <c r="G510">
        <v>111.8</v>
      </c>
      <c r="H510">
        <v>0.43680000000000002</v>
      </c>
      <c r="I510">
        <v>51.7</v>
      </c>
      <c r="J510">
        <v>53.1</v>
      </c>
      <c r="K510">
        <v>15.2</v>
      </c>
      <c r="L510">
        <v>15.4</v>
      </c>
      <c r="M510">
        <v>31.1</v>
      </c>
      <c r="N510">
        <v>29.6</v>
      </c>
      <c r="O510">
        <v>37.700000000000003</v>
      </c>
      <c r="P510">
        <v>29.3</v>
      </c>
      <c r="Q510">
        <v>49.6</v>
      </c>
      <c r="R510">
        <v>52</v>
      </c>
      <c r="S510">
        <v>36.4</v>
      </c>
      <c r="T510">
        <v>36.9</v>
      </c>
      <c r="U510">
        <v>69</v>
      </c>
      <c r="V510">
        <v>-11.1</v>
      </c>
      <c r="W510" cm="1">
        <f t="array" ref="W510">_xlfn.IFS(OR(X510="N/A",X510="NA"),0,OR(X510="R64",X510="R68"),1,X510="R32",2,X510="S16",3,X510="E8",4,X510="F4",5,X510="2ND",6,X510="Champions",7)</f>
        <v>0</v>
      </c>
      <c r="X510" t="s">
        <v>90</v>
      </c>
      <c r="Y510" t="s">
        <v>90</v>
      </c>
      <c r="Z510">
        <v>2017</v>
      </c>
    </row>
    <row r="511" spans="1:26" x14ac:dyDescent="0.3">
      <c r="A511" t="s">
        <v>202</v>
      </c>
      <c r="B511" t="s">
        <v>53</v>
      </c>
      <c r="C511">
        <v>32</v>
      </c>
      <c r="D511">
        <v>10</v>
      </c>
      <c r="E511" s="1">
        <f t="shared" si="7"/>
        <v>0.3125</v>
      </c>
      <c r="F511">
        <v>98.4</v>
      </c>
      <c r="G511">
        <v>103.4</v>
      </c>
      <c r="H511">
        <v>0.36059999999999998</v>
      </c>
      <c r="I511">
        <v>50.2</v>
      </c>
      <c r="J511">
        <v>51.1</v>
      </c>
      <c r="K511">
        <v>21.4</v>
      </c>
      <c r="L511">
        <v>17.600000000000001</v>
      </c>
      <c r="M511">
        <v>29.1</v>
      </c>
      <c r="N511">
        <v>25.5</v>
      </c>
      <c r="O511">
        <v>36.1</v>
      </c>
      <c r="P511">
        <v>38.5</v>
      </c>
      <c r="Q511">
        <v>50.3</v>
      </c>
      <c r="R511">
        <v>50.6</v>
      </c>
      <c r="S511">
        <v>33.299999999999997</v>
      </c>
      <c r="T511">
        <v>34.6</v>
      </c>
      <c r="U511">
        <v>65.400000000000006</v>
      </c>
      <c r="V511">
        <v>-17.100000000000001</v>
      </c>
      <c r="W511" cm="1">
        <f t="array" ref="W511">_xlfn.IFS(OR(X511="N/A",X511="NA"),0,OR(X511="R64",X511="R68"),1,X511="R32",2,X511="S16",3,X511="E8",4,X511="F4",5,X511="2ND",6,X511="Champions",7)</f>
        <v>0</v>
      </c>
      <c r="X511" t="s">
        <v>90</v>
      </c>
      <c r="Y511" t="s">
        <v>90</v>
      </c>
      <c r="Z511">
        <v>2017</v>
      </c>
    </row>
    <row r="512" spans="1:26" x14ac:dyDescent="0.3">
      <c r="A512" t="s">
        <v>206</v>
      </c>
      <c r="B512" t="s">
        <v>53</v>
      </c>
      <c r="C512">
        <v>31</v>
      </c>
      <c r="D512">
        <v>15</v>
      </c>
      <c r="E512" s="1">
        <f t="shared" si="7"/>
        <v>0.4838709677419355</v>
      </c>
      <c r="F512">
        <v>105.2</v>
      </c>
      <c r="G512">
        <v>106.5</v>
      </c>
      <c r="H512">
        <v>0.46539999999999998</v>
      </c>
      <c r="I512">
        <v>53.5</v>
      </c>
      <c r="J512">
        <v>52.1</v>
      </c>
      <c r="K512">
        <v>18.5</v>
      </c>
      <c r="L512">
        <v>17</v>
      </c>
      <c r="M512">
        <v>25.7</v>
      </c>
      <c r="N512">
        <v>27</v>
      </c>
      <c r="O512">
        <v>37.799999999999997</v>
      </c>
      <c r="P512">
        <v>31</v>
      </c>
      <c r="Q512">
        <v>52.4</v>
      </c>
      <c r="R512">
        <v>50.7</v>
      </c>
      <c r="S512">
        <v>36.700000000000003</v>
      </c>
      <c r="T512">
        <v>36.4</v>
      </c>
      <c r="U512">
        <v>67.7</v>
      </c>
      <c r="V512">
        <v>-8.9</v>
      </c>
      <c r="W512" cm="1">
        <f t="array" ref="W512">_xlfn.IFS(OR(X512="N/A",X512="NA"),0,OR(X512="R64",X512="R68"),1,X512="R32",2,X512="S16",3,X512="E8",4,X512="F4",5,X512="2ND",6,X512="Champions",7)</f>
        <v>0</v>
      </c>
      <c r="X512" t="s">
        <v>90</v>
      </c>
      <c r="Y512" t="s">
        <v>90</v>
      </c>
      <c r="Z512">
        <v>2017</v>
      </c>
    </row>
    <row r="513" spans="1:26" x14ac:dyDescent="0.3">
      <c r="A513" t="s">
        <v>203</v>
      </c>
      <c r="B513" t="s">
        <v>53</v>
      </c>
      <c r="C513">
        <v>32</v>
      </c>
      <c r="D513">
        <v>20</v>
      </c>
      <c r="E513" s="1">
        <f t="shared" si="7"/>
        <v>0.625</v>
      </c>
      <c r="F513">
        <v>104.3</v>
      </c>
      <c r="G513">
        <v>100.6</v>
      </c>
      <c r="H513">
        <v>0.60340000000000005</v>
      </c>
      <c r="I513">
        <v>48.3</v>
      </c>
      <c r="J513">
        <v>49</v>
      </c>
      <c r="K513">
        <v>18.7</v>
      </c>
      <c r="L513">
        <v>18.7</v>
      </c>
      <c r="M513">
        <v>37</v>
      </c>
      <c r="N513">
        <v>26.1</v>
      </c>
      <c r="O513">
        <v>45.6</v>
      </c>
      <c r="P513">
        <v>47.1</v>
      </c>
      <c r="Q513">
        <v>49.2</v>
      </c>
      <c r="R513">
        <v>47.4</v>
      </c>
      <c r="S513">
        <v>30.6</v>
      </c>
      <c r="T513">
        <v>34.299999999999997</v>
      </c>
      <c r="U513">
        <v>69.3</v>
      </c>
      <c r="V513">
        <v>-6.6</v>
      </c>
      <c r="W513" cm="1">
        <f t="array" ref="W513">_xlfn.IFS(OR(X513="N/A",X513="NA"),0,OR(X513="R64",X513="R68"),1,X513="R32",2,X513="S16",3,X513="E8",4,X513="F4",5,X513="2ND",6,X513="Champions",7)</f>
        <v>0</v>
      </c>
      <c r="X513" t="s">
        <v>90</v>
      </c>
      <c r="Y513" t="s">
        <v>90</v>
      </c>
      <c r="Z513">
        <v>2017</v>
      </c>
    </row>
    <row r="514" spans="1:26" x14ac:dyDescent="0.3">
      <c r="A514" t="s">
        <v>205</v>
      </c>
      <c r="B514" t="s">
        <v>53</v>
      </c>
      <c r="C514">
        <v>29</v>
      </c>
      <c r="D514">
        <v>17</v>
      </c>
      <c r="E514" s="1">
        <f t="shared" si="7"/>
        <v>0.58620689655172409</v>
      </c>
      <c r="F514">
        <v>111.5</v>
      </c>
      <c r="G514">
        <v>108.7</v>
      </c>
      <c r="H514">
        <v>0.57030000000000003</v>
      </c>
      <c r="I514">
        <v>56.2</v>
      </c>
      <c r="J514">
        <v>52.3</v>
      </c>
      <c r="K514">
        <v>17.399999999999999</v>
      </c>
      <c r="L514">
        <v>14.5</v>
      </c>
      <c r="M514">
        <v>25.6</v>
      </c>
      <c r="N514">
        <v>27.4</v>
      </c>
      <c r="O514">
        <v>38.700000000000003</v>
      </c>
      <c r="P514">
        <v>35.1</v>
      </c>
      <c r="Q514">
        <v>55.8</v>
      </c>
      <c r="R514">
        <v>51</v>
      </c>
      <c r="S514">
        <v>37.799999999999997</v>
      </c>
      <c r="T514">
        <v>36.1</v>
      </c>
      <c r="U514">
        <v>72</v>
      </c>
      <c r="V514">
        <v>-6.8</v>
      </c>
      <c r="W514" cm="1">
        <f t="array" ref="W514">_xlfn.IFS(OR(X514="N/A",X514="NA"),0,OR(X514="R64",X514="R68"),1,X514="R32",2,X514="S16",3,X514="E8",4,X514="F4",5,X514="2ND",6,X514="Champions",7)</f>
        <v>0</v>
      </c>
      <c r="X514" t="s">
        <v>90</v>
      </c>
      <c r="Y514" t="s">
        <v>90</v>
      </c>
      <c r="Z514">
        <v>2017</v>
      </c>
    </row>
    <row r="515" spans="1:26" x14ac:dyDescent="0.3">
      <c r="A515" t="s">
        <v>198</v>
      </c>
      <c r="B515" t="s">
        <v>53</v>
      </c>
      <c r="C515">
        <v>31</v>
      </c>
      <c r="D515">
        <v>14</v>
      </c>
      <c r="E515" s="1">
        <f t="shared" ref="E515:E578" si="8">D515/C515</f>
        <v>0.45161290322580644</v>
      </c>
      <c r="F515">
        <v>101.8</v>
      </c>
      <c r="G515">
        <v>108</v>
      </c>
      <c r="H515">
        <v>0.33510000000000001</v>
      </c>
      <c r="I515">
        <v>50.3</v>
      </c>
      <c r="J515">
        <v>52.9</v>
      </c>
      <c r="K515">
        <v>15.8</v>
      </c>
      <c r="L515">
        <v>14.9</v>
      </c>
      <c r="M515">
        <v>26</v>
      </c>
      <c r="N515">
        <v>26.2</v>
      </c>
      <c r="O515">
        <v>34.4</v>
      </c>
      <c r="P515">
        <v>29.6</v>
      </c>
      <c r="Q515">
        <v>50.7</v>
      </c>
      <c r="R515">
        <v>51.2</v>
      </c>
      <c r="S515">
        <v>32.9</v>
      </c>
      <c r="T515">
        <v>37</v>
      </c>
      <c r="U515">
        <v>66.900000000000006</v>
      </c>
      <c r="V515">
        <v>-13.8</v>
      </c>
      <c r="W515" cm="1">
        <f t="array" ref="W515">_xlfn.IFS(OR(X515="N/A",X515="NA"),0,OR(X515="R64",X515="R68"),1,X515="R32",2,X515="S16",3,X515="E8",4,X515="F4",5,X515="2ND",6,X515="Champions",7)</f>
        <v>0</v>
      </c>
      <c r="X515" t="s">
        <v>90</v>
      </c>
      <c r="Y515" t="s">
        <v>90</v>
      </c>
      <c r="Z515">
        <v>2018</v>
      </c>
    </row>
    <row r="516" spans="1:26" x14ac:dyDescent="0.3">
      <c r="A516" t="s">
        <v>199</v>
      </c>
      <c r="B516" t="s">
        <v>53</v>
      </c>
      <c r="C516">
        <v>32</v>
      </c>
      <c r="D516">
        <v>13</v>
      </c>
      <c r="E516" s="1">
        <f t="shared" si="8"/>
        <v>0.40625</v>
      </c>
      <c r="F516">
        <v>102.3</v>
      </c>
      <c r="G516">
        <v>110.2</v>
      </c>
      <c r="H516">
        <v>0.29809999999999998</v>
      </c>
      <c r="I516">
        <v>49.6</v>
      </c>
      <c r="J516">
        <v>52.2</v>
      </c>
      <c r="K516">
        <v>17.3</v>
      </c>
      <c r="L516">
        <v>15.6</v>
      </c>
      <c r="M516">
        <v>30.8</v>
      </c>
      <c r="N516">
        <v>30.7</v>
      </c>
      <c r="O516">
        <v>31.8</v>
      </c>
      <c r="P516">
        <v>30.6</v>
      </c>
      <c r="Q516">
        <v>50.2</v>
      </c>
      <c r="R516">
        <v>51.1</v>
      </c>
      <c r="S516">
        <v>32.200000000000003</v>
      </c>
      <c r="T516">
        <v>36.299999999999997</v>
      </c>
      <c r="U516">
        <v>70.099999999999994</v>
      </c>
      <c r="V516">
        <v>-14.5</v>
      </c>
      <c r="W516" cm="1">
        <f t="array" ref="W516">_xlfn.IFS(OR(X516="N/A",X516="NA"),0,OR(X516="R64",X516="R68"),1,X516="R32",2,X516="S16",3,X516="E8",4,X516="F4",5,X516="2ND",6,X516="Champions",7)</f>
        <v>0</v>
      </c>
      <c r="X516" t="s">
        <v>90</v>
      </c>
      <c r="Y516" t="s">
        <v>90</v>
      </c>
      <c r="Z516">
        <v>2018</v>
      </c>
    </row>
    <row r="517" spans="1:26" x14ac:dyDescent="0.3">
      <c r="A517" t="s">
        <v>200</v>
      </c>
      <c r="B517" t="s">
        <v>53</v>
      </c>
      <c r="C517">
        <v>30</v>
      </c>
      <c r="D517">
        <v>14</v>
      </c>
      <c r="E517" s="1">
        <f t="shared" si="8"/>
        <v>0.46666666666666667</v>
      </c>
      <c r="F517">
        <v>102.6</v>
      </c>
      <c r="G517">
        <v>110.7</v>
      </c>
      <c r="H517">
        <v>0.29430000000000001</v>
      </c>
      <c r="I517">
        <v>52.3</v>
      </c>
      <c r="J517">
        <v>52.5</v>
      </c>
      <c r="K517">
        <v>16.7</v>
      </c>
      <c r="L517">
        <v>14.2</v>
      </c>
      <c r="M517">
        <v>21.7</v>
      </c>
      <c r="N517">
        <v>28.9</v>
      </c>
      <c r="O517">
        <v>24</v>
      </c>
      <c r="P517">
        <v>23.6</v>
      </c>
      <c r="Q517">
        <v>52.5</v>
      </c>
      <c r="R517">
        <v>50</v>
      </c>
      <c r="S517">
        <v>34.700000000000003</v>
      </c>
      <c r="T517">
        <v>37.1</v>
      </c>
      <c r="U517">
        <v>68.5</v>
      </c>
      <c r="V517">
        <v>-12</v>
      </c>
      <c r="W517" cm="1">
        <f t="array" ref="W517">_xlfn.IFS(OR(X517="N/A",X517="NA"),0,OR(X517="R64",X517="R68"),1,X517="R32",2,X517="S16",3,X517="E8",4,X517="F4",5,X517="2ND",6,X517="Champions",7)</f>
        <v>0</v>
      </c>
      <c r="X517" t="s">
        <v>90</v>
      </c>
      <c r="Y517" t="s">
        <v>90</v>
      </c>
      <c r="Z517">
        <v>2018</v>
      </c>
    </row>
    <row r="518" spans="1:26" x14ac:dyDescent="0.3">
      <c r="A518" t="s">
        <v>201</v>
      </c>
      <c r="B518" t="s">
        <v>53</v>
      </c>
      <c r="C518">
        <v>30</v>
      </c>
      <c r="D518">
        <v>19</v>
      </c>
      <c r="E518" s="1">
        <f t="shared" si="8"/>
        <v>0.6333333333333333</v>
      </c>
      <c r="F518">
        <v>110</v>
      </c>
      <c r="G518">
        <v>109.4</v>
      </c>
      <c r="H518">
        <v>0.51690000000000003</v>
      </c>
      <c r="I518">
        <v>53.2</v>
      </c>
      <c r="J518">
        <v>54.2</v>
      </c>
      <c r="K518">
        <v>15.6</v>
      </c>
      <c r="L518">
        <v>16.3</v>
      </c>
      <c r="M518">
        <v>30.6</v>
      </c>
      <c r="N518">
        <v>27.5</v>
      </c>
      <c r="O518">
        <v>36.5</v>
      </c>
      <c r="P518">
        <v>32.5</v>
      </c>
      <c r="Q518">
        <v>51.6</v>
      </c>
      <c r="R518">
        <v>54.3</v>
      </c>
      <c r="S518">
        <v>37.299999999999997</v>
      </c>
      <c r="T518">
        <v>36</v>
      </c>
      <c r="U518">
        <v>70</v>
      </c>
      <c r="V518">
        <v>-6.1</v>
      </c>
      <c r="W518" cm="1">
        <f t="array" ref="W518">_xlfn.IFS(OR(X518="N/A",X518="NA"),0,OR(X518="R64",X518="R68"),1,X518="R32",2,X518="S16",3,X518="E8",4,X518="F4",5,X518="2ND",6,X518="Champions",7)</f>
        <v>0</v>
      </c>
      <c r="X518" t="s">
        <v>90</v>
      </c>
      <c r="Y518" t="s">
        <v>90</v>
      </c>
      <c r="Z518">
        <v>2018</v>
      </c>
    </row>
    <row r="519" spans="1:26" x14ac:dyDescent="0.3">
      <c r="A519" t="s">
        <v>202</v>
      </c>
      <c r="B519" t="s">
        <v>53</v>
      </c>
      <c r="C519">
        <v>31</v>
      </c>
      <c r="D519">
        <v>10</v>
      </c>
      <c r="E519" s="1">
        <f t="shared" si="8"/>
        <v>0.32258064516129031</v>
      </c>
      <c r="F519">
        <v>100.7</v>
      </c>
      <c r="G519">
        <v>106.4</v>
      </c>
      <c r="H519">
        <v>0.34620000000000001</v>
      </c>
      <c r="I519">
        <v>48</v>
      </c>
      <c r="J519">
        <v>52.8</v>
      </c>
      <c r="K519">
        <v>16.5</v>
      </c>
      <c r="L519">
        <v>18.5</v>
      </c>
      <c r="M519">
        <v>28.9</v>
      </c>
      <c r="N519">
        <v>28.2</v>
      </c>
      <c r="O519">
        <v>34.1</v>
      </c>
      <c r="P519">
        <v>42</v>
      </c>
      <c r="Q519">
        <v>46.7</v>
      </c>
      <c r="R519">
        <v>50.9</v>
      </c>
      <c r="S519">
        <v>33.5</v>
      </c>
      <c r="T519">
        <v>37.200000000000003</v>
      </c>
      <c r="U519">
        <v>69.099999999999994</v>
      </c>
      <c r="V519">
        <v>-16.5</v>
      </c>
      <c r="W519" cm="1">
        <f t="array" ref="W519">_xlfn.IFS(OR(X519="N/A",X519="NA"),0,OR(X519="R64",X519="R68"),1,X519="R32",2,X519="S16",3,X519="E8",4,X519="F4",5,X519="2ND",6,X519="Champions",7)</f>
        <v>0</v>
      </c>
      <c r="X519" t="s">
        <v>90</v>
      </c>
      <c r="Y519" t="s">
        <v>90</v>
      </c>
      <c r="Z519">
        <v>2018</v>
      </c>
    </row>
    <row r="520" spans="1:26" x14ac:dyDescent="0.3">
      <c r="A520" t="s">
        <v>206</v>
      </c>
      <c r="B520" t="s">
        <v>53</v>
      </c>
      <c r="C520">
        <v>32</v>
      </c>
      <c r="D520">
        <v>23</v>
      </c>
      <c r="E520" s="1">
        <f t="shared" si="8"/>
        <v>0.71875</v>
      </c>
      <c r="F520">
        <v>106.1</v>
      </c>
      <c r="G520">
        <v>99.8</v>
      </c>
      <c r="H520">
        <v>0.67090000000000005</v>
      </c>
      <c r="I520">
        <v>56.9</v>
      </c>
      <c r="J520">
        <v>49.4</v>
      </c>
      <c r="K520">
        <v>19.8</v>
      </c>
      <c r="L520">
        <v>17.899999999999999</v>
      </c>
      <c r="M520">
        <v>25.3</v>
      </c>
      <c r="N520">
        <v>25.6</v>
      </c>
      <c r="O520">
        <v>35.1</v>
      </c>
      <c r="P520">
        <v>33</v>
      </c>
      <c r="Q520">
        <v>57.6</v>
      </c>
      <c r="R520">
        <v>51.1</v>
      </c>
      <c r="S520">
        <v>37.299999999999997</v>
      </c>
      <c r="T520">
        <v>30</v>
      </c>
      <c r="U520">
        <v>68</v>
      </c>
      <c r="V520">
        <v>-4</v>
      </c>
      <c r="W520" cm="1">
        <f t="array" ref="W520">_xlfn.IFS(OR(X520="N/A",X520="NA"),0,OR(X520="R64",X520="R68"),1,X520="R32",2,X520="S16",3,X520="E8",4,X520="F4",5,X520="2ND",6,X520="Champions",7)</f>
        <v>0</v>
      </c>
      <c r="X520" t="s">
        <v>90</v>
      </c>
      <c r="Y520" t="s">
        <v>90</v>
      </c>
      <c r="Z520">
        <v>2018</v>
      </c>
    </row>
    <row r="521" spans="1:26" x14ac:dyDescent="0.3">
      <c r="A521" t="s">
        <v>203</v>
      </c>
      <c r="B521" t="s">
        <v>53</v>
      </c>
      <c r="C521">
        <v>30</v>
      </c>
      <c r="D521">
        <v>18</v>
      </c>
      <c r="E521" s="1">
        <f t="shared" si="8"/>
        <v>0.6</v>
      </c>
      <c r="F521">
        <v>104</v>
      </c>
      <c r="G521">
        <v>105.5</v>
      </c>
      <c r="H521">
        <v>0.45839999999999997</v>
      </c>
      <c r="I521">
        <v>51.6</v>
      </c>
      <c r="J521">
        <v>50.6</v>
      </c>
      <c r="K521">
        <v>18.2</v>
      </c>
      <c r="L521">
        <v>18.7</v>
      </c>
      <c r="M521">
        <v>34.299999999999997</v>
      </c>
      <c r="N521">
        <v>27.4</v>
      </c>
      <c r="O521">
        <v>35.4</v>
      </c>
      <c r="P521">
        <v>39.299999999999997</v>
      </c>
      <c r="Q521">
        <v>51.1</v>
      </c>
      <c r="R521">
        <v>49.4</v>
      </c>
      <c r="S521">
        <v>35.299999999999997</v>
      </c>
      <c r="T521">
        <v>35</v>
      </c>
      <c r="U521">
        <v>69</v>
      </c>
      <c r="V521">
        <v>-9.1</v>
      </c>
      <c r="W521" cm="1">
        <f t="array" ref="W521">_xlfn.IFS(OR(X521="N/A",X521="NA"),0,OR(X521="R64",X521="R68"),1,X521="R32",2,X521="S16",3,X521="E8",4,X521="F4",5,X521="2ND",6,X521="Champions",7)</f>
        <v>0</v>
      </c>
      <c r="X521" t="s">
        <v>90</v>
      </c>
      <c r="Y521" t="s">
        <v>90</v>
      </c>
      <c r="Z521">
        <v>2018</v>
      </c>
    </row>
    <row r="522" spans="1:26" x14ac:dyDescent="0.3">
      <c r="A522" t="s">
        <v>204</v>
      </c>
      <c r="B522" t="s">
        <v>53</v>
      </c>
      <c r="C522">
        <v>30</v>
      </c>
      <c r="D522">
        <v>11</v>
      </c>
      <c r="E522" s="1">
        <f t="shared" si="8"/>
        <v>0.36666666666666664</v>
      </c>
      <c r="F522">
        <v>104.3</v>
      </c>
      <c r="G522">
        <v>110.6</v>
      </c>
      <c r="H522">
        <v>0.33689999999999998</v>
      </c>
      <c r="I522">
        <v>48.9</v>
      </c>
      <c r="J522">
        <v>56.6</v>
      </c>
      <c r="K522">
        <v>17.3</v>
      </c>
      <c r="L522">
        <v>15.6</v>
      </c>
      <c r="M522">
        <v>33.799999999999997</v>
      </c>
      <c r="N522">
        <v>25.5</v>
      </c>
      <c r="O522">
        <v>31.1</v>
      </c>
      <c r="P522">
        <v>36.9</v>
      </c>
      <c r="Q522">
        <v>47.4</v>
      </c>
      <c r="R522">
        <v>54.8</v>
      </c>
      <c r="S522">
        <v>34.5</v>
      </c>
      <c r="T522">
        <v>39.6</v>
      </c>
      <c r="U522">
        <v>73.3</v>
      </c>
      <c r="V522">
        <v>-14.9</v>
      </c>
      <c r="W522" cm="1">
        <f t="array" ref="W522">_xlfn.IFS(OR(X522="N/A",X522="NA"),0,OR(X522="R64",X522="R68"),1,X522="R32",2,X522="S16",3,X522="E8",4,X522="F4",5,X522="2ND",6,X522="Champions",7)</f>
        <v>0</v>
      </c>
      <c r="X522" t="s">
        <v>90</v>
      </c>
      <c r="Y522" t="s">
        <v>90</v>
      </c>
      <c r="Z522">
        <v>2018</v>
      </c>
    </row>
    <row r="523" spans="1:26" x14ac:dyDescent="0.3">
      <c r="A523" t="s">
        <v>205</v>
      </c>
      <c r="B523" t="s">
        <v>53</v>
      </c>
      <c r="C523">
        <v>29</v>
      </c>
      <c r="D523">
        <v>19</v>
      </c>
      <c r="E523" s="1">
        <f t="shared" si="8"/>
        <v>0.65517241379310343</v>
      </c>
      <c r="F523">
        <v>114</v>
      </c>
      <c r="G523">
        <v>114.8</v>
      </c>
      <c r="H523">
        <v>0.48149999999999998</v>
      </c>
      <c r="I523">
        <v>59.5</v>
      </c>
      <c r="J523">
        <v>56.8</v>
      </c>
      <c r="K523">
        <v>17.2</v>
      </c>
      <c r="L523">
        <v>14.4</v>
      </c>
      <c r="M523">
        <v>21.2</v>
      </c>
      <c r="N523">
        <v>25.4</v>
      </c>
      <c r="O523">
        <v>33.4</v>
      </c>
      <c r="P523">
        <v>32.4</v>
      </c>
      <c r="Q523">
        <v>56.6</v>
      </c>
      <c r="R523">
        <v>57.2</v>
      </c>
      <c r="S523">
        <v>42.2</v>
      </c>
      <c r="T523">
        <v>37.4</v>
      </c>
      <c r="U523">
        <v>71</v>
      </c>
      <c r="V523">
        <v>-6.2</v>
      </c>
      <c r="W523" cm="1">
        <f t="array" ref="W523">_xlfn.IFS(OR(X523="N/A",X523="NA"),0,OR(X523="R64",X523="R68"),1,X523="R32",2,X523="S16",3,X523="E8",4,X523="F4",5,X523="2ND",6,X523="Champions",7)</f>
        <v>0</v>
      </c>
      <c r="X523" t="s">
        <v>90</v>
      </c>
      <c r="Y523" t="s">
        <v>90</v>
      </c>
      <c r="Z523">
        <v>2018</v>
      </c>
    </row>
    <row r="524" spans="1:26" x14ac:dyDescent="0.3">
      <c r="A524" t="s">
        <v>197</v>
      </c>
      <c r="B524" t="s">
        <v>53</v>
      </c>
      <c r="C524">
        <v>32</v>
      </c>
      <c r="D524">
        <v>24</v>
      </c>
      <c r="E524" s="1">
        <f t="shared" si="8"/>
        <v>0.75</v>
      </c>
      <c r="F524">
        <v>106.8</v>
      </c>
      <c r="G524">
        <v>103.1</v>
      </c>
      <c r="H524">
        <v>0.60099999999999998</v>
      </c>
      <c r="I524">
        <v>54.2</v>
      </c>
      <c r="J524">
        <v>52.1</v>
      </c>
      <c r="K524">
        <v>15.6</v>
      </c>
      <c r="L524">
        <v>19.100000000000001</v>
      </c>
      <c r="M524">
        <v>25.6</v>
      </c>
      <c r="N524">
        <v>25.9</v>
      </c>
      <c r="O524">
        <v>33.5</v>
      </c>
      <c r="P524">
        <v>26.4</v>
      </c>
      <c r="Q524">
        <v>56.3</v>
      </c>
      <c r="R524">
        <v>53.7</v>
      </c>
      <c r="S524">
        <v>33.700000000000003</v>
      </c>
      <c r="T524">
        <v>33.299999999999997</v>
      </c>
      <c r="U524">
        <v>66.8</v>
      </c>
      <c r="V524">
        <v>-3.1</v>
      </c>
      <c r="W524" cm="1">
        <f t="array" ref="W524">_xlfn.IFS(OR(X524="N/A",X524="NA"),0,OR(X524="R64",X524="R68"),1,X524="R32",2,X524="S16",3,X524="E8",4,X524="F4",5,X524="2ND",6,X524="Champions",7)</f>
        <v>0</v>
      </c>
      <c r="X524" t="s">
        <v>90</v>
      </c>
      <c r="Y524" t="s">
        <v>90</v>
      </c>
      <c r="Z524">
        <v>2019</v>
      </c>
    </row>
    <row r="525" spans="1:26" x14ac:dyDescent="0.3">
      <c r="A525" t="s">
        <v>198</v>
      </c>
      <c r="B525" t="s">
        <v>53</v>
      </c>
      <c r="C525">
        <v>31</v>
      </c>
      <c r="D525">
        <v>17</v>
      </c>
      <c r="E525" s="1">
        <f t="shared" si="8"/>
        <v>0.54838709677419351</v>
      </c>
      <c r="F525">
        <v>103.4</v>
      </c>
      <c r="G525">
        <v>112.1</v>
      </c>
      <c r="H525">
        <v>0.28210000000000002</v>
      </c>
      <c r="I525">
        <v>53.3</v>
      </c>
      <c r="J525">
        <v>52.8</v>
      </c>
      <c r="K525">
        <v>17.2</v>
      </c>
      <c r="L525">
        <v>14.9</v>
      </c>
      <c r="M525">
        <v>24.2</v>
      </c>
      <c r="N525">
        <v>28.8</v>
      </c>
      <c r="O525">
        <v>31.2</v>
      </c>
      <c r="P525">
        <v>28.6</v>
      </c>
      <c r="Q525">
        <v>50.9</v>
      </c>
      <c r="R525">
        <v>49.9</v>
      </c>
      <c r="S525">
        <v>37.799999999999997</v>
      </c>
      <c r="T525">
        <v>38.4</v>
      </c>
      <c r="U525">
        <v>64.8</v>
      </c>
      <c r="V525">
        <v>-11.1</v>
      </c>
      <c r="W525" cm="1">
        <f t="array" ref="W525">_xlfn.IFS(OR(X525="N/A",X525="NA"),0,OR(X525="R64",X525="R68"),1,X525="R32",2,X525="S16",3,X525="E8",4,X525="F4",5,X525="2ND",6,X525="Champions",7)</f>
        <v>0</v>
      </c>
      <c r="X525" t="s">
        <v>90</v>
      </c>
      <c r="Y525" t="s">
        <v>90</v>
      </c>
      <c r="Z525">
        <v>2019</v>
      </c>
    </row>
    <row r="526" spans="1:26" x14ac:dyDescent="0.3">
      <c r="A526" t="s">
        <v>199</v>
      </c>
      <c r="B526" t="s">
        <v>53</v>
      </c>
      <c r="C526">
        <v>31</v>
      </c>
      <c r="D526">
        <v>13</v>
      </c>
      <c r="E526" s="1">
        <f t="shared" si="8"/>
        <v>0.41935483870967744</v>
      </c>
      <c r="F526">
        <v>103.1</v>
      </c>
      <c r="G526">
        <v>112.9</v>
      </c>
      <c r="H526">
        <v>0.26019999999999999</v>
      </c>
      <c r="I526">
        <v>51.3</v>
      </c>
      <c r="J526">
        <v>55.6</v>
      </c>
      <c r="K526">
        <v>16.600000000000001</v>
      </c>
      <c r="L526">
        <v>14.6</v>
      </c>
      <c r="M526">
        <v>29.2</v>
      </c>
      <c r="N526">
        <v>26.3</v>
      </c>
      <c r="O526">
        <v>30.6</v>
      </c>
      <c r="P526">
        <v>30.3</v>
      </c>
      <c r="Q526">
        <v>50.9</v>
      </c>
      <c r="R526">
        <v>54.7</v>
      </c>
      <c r="S526">
        <v>34.700000000000003</v>
      </c>
      <c r="T526">
        <v>38.200000000000003</v>
      </c>
      <c r="U526">
        <v>70.7</v>
      </c>
      <c r="V526">
        <v>-13.6</v>
      </c>
      <c r="W526" cm="1">
        <f t="array" ref="W526">_xlfn.IFS(OR(X526="N/A",X526="NA"),0,OR(X526="R64",X526="R68"),1,X526="R32",2,X526="S16",3,X526="E8",4,X526="F4",5,X526="2ND",6,X526="Champions",7)</f>
        <v>0</v>
      </c>
      <c r="X526" t="s">
        <v>90</v>
      </c>
      <c r="Y526" t="s">
        <v>90</v>
      </c>
      <c r="Z526">
        <v>2019</v>
      </c>
    </row>
    <row r="527" spans="1:26" x14ac:dyDescent="0.3">
      <c r="A527" t="s">
        <v>200</v>
      </c>
      <c r="B527" t="s">
        <v>53</v>
      </c>
      <c r="C527">
        <v>30</v>
      </c>
      <c r="D527">
        <v>11</v>
      </c>
      <c r="E527" s="1">
        <f t="shared" si="8"/>
        <v>0.36666666666666664</v>
      </c>
      <c r="F527">
        <v>99.2</v>
      </c>
      <c r="G527">
        <v>110</v>
      </c>
      <c r="H527">
        <v>0.23350000000000001</v>
      </c>
      <c r="I527">
        <v>52</v>
      </c>
      <c r="J527">
        <v>53.6</v>
      </c>
      <c r="K527">
        <v>18.399999999999999</v>
      </c>
      <c r="L527">
        <v>15.2</v>
      </c>
      <c r="M527">
        <v>22.4</v>
      </c>
      <c r="N527">
        <v>28.3</v>
      </c>
      <c r="O527">
        <v>24.3</v>
      </c>
      <c r="P527">
        <v>29.4</v>
      </c>
      <c r="Q527">
        <v>52.2</v>
      </c>
      <c r="R527">
        <v>51.5</v>
      </c>
      <c r="S527">
        <v>34.6</v>
      </c>
      <c r="T527">
        <v>37.799999999999997</v>
      </c>
      <c r="U527">
        <v>69.5</v>
      </c>
      <c r="V527">
        <v>-16.3</v>
      </c>
      <c r="W527" cm="1">
        <f t="array" ref="W527">_xlfn.IFS(OR(X527="N/A",X527="NA"),0,OR(X527="R64",X527="R68"),1,X527="R32",2,X527="S16",3,X527="E8",4,X527="F4",5,X527="2ND",6,X527="Champions",7)</f>
        <v>0</v>
      </c>
      <c r="X527" t="s">
        <v>90</v>
      </c>
      <c r="Y527" t="s">
        <v>90</v>
      </c>
      <c r="Z527">
        <v>2019</v>
      </c>
    </row>
    <row r="528" spans="1:26" x14ac:dyDescent="0.3">
      <c r="A528" t="s">
        <v>201</v>
      </c>
      <c r="B528" t="s">
        <v>53</v>
      </c>
      <c r="C528">
        <v>34</v>
      </c>
      <c r="D528">
        <v>27</v>
      </c>
      <c r="E528" s="1">
        <f t="shared" si="8"/>
        <v>0.79411764705882348</v>
      </c>
      <c r="F528">
        <v>114.7</v>
      </c>
      <c r="G528">
        <v>108.6</v>
      </c>
      <c r="H528">
        <v>0.65329999999999999</v>
      </c>
      <c r="I528">
        <v>55.9</v>
      </c>
      <c r="J528">
        <v>52.1</v>
      </c>
      <c r="K528">
        <v>13.8</v>
      </c>
      <c r="L528">
        <v>18.3</v>
      </c>
      <c r="M528">
        <v>26.8</v>
      </c>
      <c r="N528">
        <v>29.9</v>
      </c>
      <c r="O528">
        <v>37.700000000000003</v>
      </c>
      <c r="P528">
        <v>25</v>
      </c>
      <c r="Q528">
        <v>54.5</v>
      </c>
      <c r="R528">
        <v>51.5</v>
      </c>
      <c r="S528">
        <v>38.700000000000003</v>
      </c>
      <c r="T528">
        <v>35.299999999999997</v>
      </c>
      <c r="U528">
        <v>69</v>
      </c>
      <c r="V528">
        <v>-1.9</v>
      </c>
      <c r="W528" cm="1">
        <f t="array" ref="W528">_xlfn.IFS(OR(X528="N/A",X528="NA"),0,OR(X528="R64",X528="R68"),1,X528="R32",2,X528="S16",3,X528="E8",4,X528="F4",5,X528="2ND",6,X528="Champions",7)</f>
        <v>0</v>
      </c>
      <c r="X528" t="s">
        <v>90</v>
      </c>
      <c r="Y528" t="s">
        <v>90</v>
      </c>
      <c r="Z528">
        <v>2019</v>
      </c>
    </row>
    <row r="529" spans="1:26" x14ac:dyDescent="0.3">
      <c r="A529" t="s">
        <v>202</v>
      </c>
      <c r="B529" t="s">
        <v>53</v>
      </c>
      <c r="C529">
        <v>31</v>
      </c>
      <c r="D529">
        <v>14</v>
      </c>
      <c r="E529" s="1">
        <f t="shared" si="8"/>
        <v>0.45161290322580644</v>
      </c>
      <c r="F529">
        <v>100</v>
      </c>
      <c r="G529">
        <v>110.1</v>
      </c>
      <c r="H529">
        <v>0.2487</v>
      </c>
      <c r="I529">
        <v>50.2</v>
      </c>
      <c r="J529">
        <v>52.9</v>
      </c>
      <c r="K529">
        <v>18.8</v>
      </c>
      <c r="L529">
        <v>16.399999999999999</v>
      </c>
      <c r="M529">
        <v>30.1</v>
      </c>
      <c r="N529">
        <v>29.4</v>
      </c>
      <c r="O529">
        <v>33.4</v>
      </c>
      <c r="P529">
        <v>34</v>
      </c>
      <c r="Q529">
        <v>47.5</v>
      </c>
      <c r="R529">
        <v>52.6</v>
      </c>
      <c r="S529">
        <v>36.6</v>
      </c>
      <c r="T529">
        <v>35.700000000000003</v>
      </c>
      <c r="U529">
        <v>66.400000000000006</v>
      </c>
      <c r="V529">
        <v>-14.1</v>
      </c>
      <c r="W529" cm="1">
        <f t="array" ref="W529">_xlfn.IFS(OR(X529="N/A",X529="NA"),0,OR(X529="R64",X529="R68"),1,X529="R32",2,X529="S16",3,X529="E8",4,X529="F4",5,X529="2ND",6,X529="Champions",7)</f>
        <v>0</v>
      </c>
      <c r="X529" t="s">
        <v>90</v>
      </c>
      <c r="Y529" t="s">
        <v>90</v>
      </c>
      <c r="Z529">
        <v>2019</v>
      </c>
    </row>
    <row r="530" spans="1:26" x14ac:dyDescent="0.3">
      <c r="A530" t="s">
        <v>203</v>
      </c>
      <c r="B530" t="s">
        <v>53</v>
      </c>
      <c r="C530">
        <v>31</v>
      </c>
      <c r="D530">
        <v>10</v>
      </c>
      <c r="E530" s="1">
        <f t="shared" si="8"/>
        <v>0.32258064516129031</v>
      </c>
      <c r="F530">
        <v>99.6</v>
      </c>
      <c r="G530">
        <v>109.6</v>
      </c>
      <c r="H530">
        <v>0.25009999999999999</v>
      </c>
      <c r="I530">
        <v>47.9</v>
      </c>
      <c r="J530">
        <v>52.1</v>
      </c>
      <c r="K530">
        <v>18.8</v>
      </c>
      <c r="L530">
        <v>15.2</v>
      </c>
      <c r="M530">
        <v>35.200000000000003</v>
      </c>
      <c r="N530">
        <v>27.3</v>
      </c>
      <c r="O530">
        <v>28.1</v>
      </c>
      <c r="P530">
        <v>33</v>
      </c>
      <c r="Q530">
        <v>47.6</v>
      </c>
      <c r="R530">
        <v>50.8</v>
      </c>
      <c r="S530">
        <v>32.6</v>
      </c>
      <c r="T530">
        <v>35.700000000000003</v>
      </c>
      <c r="U530">
        <v>64.8</v>
      </c>
      <c r="V530">
        <v>-16.899999999999999</v>
      </c>
      <c r="W530" cm="1">
        <f t="array" ref="W530">_xlfn.IFS(OR(X530="N/A",X530="NA"),0,OR(X530="R64",X530="R68"),1,X530="R32",2,X530="S16",3,X530="E8",4,X530="F4",5,X530="2ND",6,X530="Champions",7)</f>
        <v>0</v>
      </c>
      <c r="X530" t="s">
        <v>90</v>
      </c>
      <c r="Y530" t="s">
        <v>90</v>
      </c>
      <c r="Z530">
        <v>2019</v>
      </c>
    </row>
    <row r="531" spans="1:26" x14ac:dyDescent="0.3">
      <c r="A531" t="s">
        <v>204</v>
      </c>
      <c r="B531" t="s">
        <v>53</v>
      </c>
      <c r="C531">
        <v>32</v>
      </c>
      <c r="D531">
        <v>10</v>
      </c>
      <c r="E531" s="1">
        <f t="shared" si="8"/>
        <v>0.3125</v>
      </c>
      <c r="F531">
        <v>103.8</v>
      </c>
      <c r="G531">
        <v>113</v>
      </c>
      <c r="H531">
        <v>0.27339999999999998</v>
      </c>
      <c r="I531">
        <v>50.5</v>
      </c>
      <c r="J531">
        <v>56</v>
      </c>
      <c r="K531">
        <v>18.5</v>
      </c>
      <c r="L531">
        <v>14.5</v>
      </c>
      <c r="M531">
        <v>31.7</v>
      </c>
      <c r="N531">
        <v>26.7</v>
      </c>
      <c r="O531">
        <v>32.799999999999997</v>
      </c>
      <c r="P531">
        <v>31.9</v>
      </c>
      <c r="Q531">
        <v>49.3</v>
      </c>
      <c r="R531">
        <v>54.4</v>
      </c>
      <c r="S531">
        <v>35</v>
      </c>
      <c r="T531">
        <v>38.799999999999997</v>
      </c>
      <c r="U531">
        <v>70.599999999999994</v>
      </c>
      <c r="V531">
        <v>-16.7</v>
      </c>
      <c r="W531" cm="1">
        <f t="array" ref="W531">_xlfn.IFS(OR(X531="N/A",X531="NA"),0,OR(X531="R64",X531="R68"),1,X531="R32",2,X531="S16",3,X531="E8",4,X531="F4",5,X531="2ND",6,X531="Champions",7)</f>
        <v>0</v>
      </c>
      <c r="X531" t="s">
        <v>90</v>
      </c>
      <c r="Y531" t="s">
        <v>90</v>
      </c>
      <c r="Z531">
        <v>2019</v>
      </c>
    </row>
    <row r="532" spans="1:26" x14ac:dyDescent="0.3">
      <c r="A532" t="s">
        <v>205</v>
      </c>
      <c r="B532" t="s">
        <v>53</v>
      </c>
      <c r="C532">
        <v>30</v>
      </c>
      <c r="D532">
        <v>14</v>
      </c>
      <c r="E532" s="1">
        <f t="shared" si="8"/>
        <v>0.46666666666666667</v>
      </c>
      <c r="F532">
        <v>102.3</v>
      </c>
      <c r="G532">
        <v>107</v>
      </c>
      <c r="H532">
        <v>0.37330000000000002</v>
      </c>
      <c r="I532">
        <v>54.4</v>
      </c>
      <c r="J532">
        <v>52.7</v>
      </c>
      <c r="K532">
        <v>18.3</v>
      </c>
      <c r="L532">
        <v>15.6</v>
      </c>
      <c r="M532">
        <v>24.5</v>
      </c>
      <c r="N532">
        <v>26</v>
      </c>
      <c r="O532">
        <v>31.3</v>
      </c>
      <c r="P532">
        <v>30</v>
      </c>
      <c r="Q532">
        <v>55.8</v>
      </c>
      <c r="R532">
        <v>51.1</v>
      </c>
      <c r="S532">
        <v>35</v>
      </c>
      <c r="T532">
        <v>36.9</v>
      </c>
      <c r="U532">
        <v>70</v>
      </c>
      <c r="V532">
        <v>-11.1</v>
      </c>
      <c r="W532" cm="1">
        <f t="array" ref="W532">_xlfn.IFS(OR(X532="N/A",X532="NA"),0,OR(X532="R64",X532="R68"),1,X532="R32",2,X532="S16",3,X532="E8",4,X532="F4",5,X532="2ND",6,X532="Champions",7)</f>
        <v>0</v>
      </c>
      <c r="X532" t="s">
        <v>90</v>
      </c>
      <c r="Y532" t="s">
        <v>90</v>
      </c>
      <c r="Z532">
        <v>2019</v>
      </c>
    </row>
    <row r="533" spans="1:26" x14ac:dyDescent="0.3">
      <c r="A533" t="s">
        <v>207</v>
      </c>
      <c r="B533" t="s">
        <v>40</v>
      </c>
      <c r="C533">
        <v>32</v>
      </c>
      <c r="D533">
        <v>14</v>
      </c>
      <c r="E533" s="1">
        <f t="shared" si="8"/>
        <v>0.4375</v>
      </c>
      <c r="F533">
        <v>106.2</v>
      </c>
      <c r="G533">
        <v>106.4</v>
      </c>
      <c r="H533">
        <v>0.49540000000000001</v>
      </c>
      <c r="I533">
        <v>51.7</v>
      </c>
      <c r="J533">
        <v>50.6</v>
      </c>
      <c r="K533">
        <v>19.600000000000001</v>
      </c>
      <c r="L533">
        <v>18.399999999999999</v>
      </c>
      <c r="M533">
        <v>33.700000000000003</v>
      </c>
      <c r="N533">
        <v>31.3</v>
      </c>
      <c r="O533">
        <v>36.9</v>
      </c>
      <c r="P533">
        <v>33.1</v>
      </c>
      <c r="Q533">
        <v>49.8</v>
      </c>
      <c r="R533">
        <v>48.3</v>
      </c>
      <c r="S533">
        <v>37.6</v>
      </c>
      <c r="T533">
        <v>36.5</v>
      </c>
      <c r="U533">
        <v>67.400000000000006</v>
      </c>
      <c r="V533">
        <v>-10.199999999999999</v>
      </c>
      <c r="W533" cm="1">
        <f t="array" ref="W533">_xlfn.IFS(OR(X533="N/A",X533="NA"),0,OR(X533="R64",X533="R68"),1,X533="R32",2,X533="S16",3,X533="E8",4,X533="F4",5,X533="2ND",6,X533="Champions",7)</f>
        <v>0</v>
      </c>
      <c r="X533" t="s">
        <v>90</v>
      </c>
      <c r="Y533" t="s">
        <v>90</v>
      </c>
      <c r="Z533">
        <v>2015</v>
      </c>
    </row>
    <row r="534" spans="1:26" x14ac:dyDescent="0.3">
      <c r="A534" t="s">
        <v>208</v>
      </c>
      <c r="B534" t="s">
        <v>40</v>
      </c>
      <c r="C534">
        <v>31</v>
      </c>
      <c r="D534">
        <v>14</v>
      </c>
      <c r="E534" s="1">
        <f t="shared" si="8"/>
        <v>0.45161290322580644</v>
      </c>
      <c r="F534">
        <v>94</v>
      </c>
      <c r="G534">
        <v>102.6</v>
      </c>
      <c r="H534">
        <v>0.26690000000000003</v>
      </c>
      <c r="I534">
        <v>48.2</v>
      </c>
      <c r="J534">
        <v>48</v>
      </c>
      <c r="K534">
        <v>22.6</v>
      </c>
      <c r="L534">
        <v>19.2</v>
      </c>
      <c r="M534">
        <v>29</v>
      </c>
      <c r="N534">
        <v>31.9</v>
      </c>
      <c r="O534">
        <v>37.4</v>
      </c>
      <c r="P534">
        <v>36.6</v>
      </c>
      <c r="Q534">
        <v>48.6</v>
      </c>
      <c r="R534">
        <v>46.4</v>
      </c>
      <c r="S534">
        <v>31.3</v>
      </c>
      <c r="T534">
        <v>33.700000000000003</v>
      </c>
      <c r="U534">
        <v>65.099999999999994</v>
      </c>
      <c r="V534">
        <v>-11.5</v>
      </c>
      <c r="W534" cm="1">
        <f t="array" ref="W534">_xlfn.IFS(OR(X534="N/A",X534="NA"),0,OR(X534="R64",X534="R68"),1,X534="R32",2,X534="S16",3,X534="E8",4,X534="F4",5,X534="2ND",6,X534="Champions",7)</f>
        <v>0</v>
      </c>
      <c r="X534" t="s">
        <v>90</v>
      </c>
      <c r="Y534" t="s">
        <v>90</v>
      </c>
      <c r="Z534">
        <v>2015</v>
      </c>
    </row>
    <row r="535" spans="1:26" x14ac:dyDescent="0.3">
      <c r="A535" t="s">
        <v>209</v>
      </c>
      <c r="B535" t="s">
        <v>40</v>
      </c>
      <c r="C535">
        <v>27</v>
      </c>
      <c r="D535">
        <v>7</v>
      </c>
      <c r="E535" s="1">
        <f t="shared" si="8"/>
        <v>0.25925925925925924</v>
      </c>
      <c r="F535">
        <v>97</v>
      </c>
      <c r="G535">
        <v>108</v>
      </c>
      <c r="H535">
        <v>0.22389999999999999</v>
      </c>
      <c r="I535">
        <v>48.2</v>
      </c>
      <c r="J535">
        <v>49.9</v>
      </c>
      <c r="K535">
        <v>19.5</v>
      </c>
      <c r="L535">
        <v>16.7</v>
      </c>
      <c r="M535">
        <v>26</v>
      </c>
      <c r="N535">
        <v>31.5</v>
      </c>
      <c r="O535">
        <v>27.8</v>
      </c>
      <c r="P535">
        <v>37.6</v>
      </c>
      <c r="Q535">
        <v>45.6</v>
      </c>
      <c r="R535">
        <v>51.3</v>
      </c>
      <c r="S535">
        <v>34.9</v>
      </c>
      <c r="T535">
        <v>29.9</v>
      </c>
      <c r="U535">
        <v>64.400000000000006</v>
      </c>
      <c r="V535">
        <v>-15</v>
      </c>
      <c r="W535" cm="1">
        <f t="array" ref="W535">_xlfn.IFS(OR(X535="N/A",X535="NA"),0,OR(X535="R64",X535="R68"),1,X535="R32",2,X535="S16",3,X535="E8",4,X535="F4",5,X535="2ND",6,X535="Champions",7)</f>
        <v>0</v>
      </c>
      <c r="X535" t="s">
        <v>90</v>
      </c>
      <c r="Y535" t="s">
        <v>90</v>
      </c>
      <c r="Z535">
        <v>2015</v>
      </c>
    </row>
    <row r="536" spans="1:26" x14ac:dyDescent="0.3">
      <c r="A536" t="s">
        <v>210</v>
      </c>
      <c r="B536" t="s">
        <v>40</v>
      </c>
      <c r="C536">
        <v>35</v>
      </c>
      <c r="D536">
        <v>26</v>
      </c>
      <c r="E536" s="1">
        <f t="shared" si="8"/>
        <v>0.74285714285714288</v>
      </c>
      <c r="F536">
        <v>105.7</v>
      </c>
      <c r="G536">
        <v>98.1</v>
      </c>
      <c r="H536">
        <v>0.7016</v>
      </c>
      <c r="I536">
        <v>50.7</v>
      </c>
      <c r="J536">
        <v>46.9</v>
      </c>
      <c r="K536">
        <v>15.6</v>
      </c>
      <c r="L536">
        <v>22.4</v>
      </c>
      <c r="M536">
        <v>29</v>
      </c>
      <c r="N536">
        <v>35.4</v>
      </c>
      <c r="O536">
        <v>33.700000000000003</v>
      </c>
      <c r="P536">
        <v>31.3</v>
      </c>
      <c r="Q536">
        <v>51.4</v>
      </c>
      <c r="R536">
        <v>45.5</v>
      </c>
      <c r="S536">
        <v>32.9</v>
      </c>
      <c r="T536">
        <v>33.6</v>
      </c>
      <c r="U536">
        <v>67.7</v>
      </c>
      <c r="V536">
        <v>-1.7</v>
      </c>
      <c r="W536" cm="1">
        <f t="array" ref="W536">_xlfn.IFS(OR(X536="N/A",X536="NA"),0,OR(X536="R64",X536="R68"),1,X536="R32",2,X536="S16",3,X536="E8",4,X536="F4",5,X536="2ND",6,X536="Champions",7)</f>
        <v>0</v>
      </c>
      <c r="X536" t="s">
        <v>90</v>
      </c>
      <c r="Y536" t="s">
        <v>90</v>
      </c>
      <c r="Z536">
        <v>2015</v>
      </c>
    </row>
    <row r="537" spans="1:26" x14ac:dyDescent="0.3">
      <c r="A537" t="s">
        <v>211</v>
      </c>
      <c r="B537" t="s">
        <v>40</v>
      </c>
      <c r="C537">
        <v>30</v>
      </c>
      <c r="D537">
        <v>9</v>
      </c>
      <c r="E537" s="1">
        <f t="shared" si="8"/>
        <v>0.3</v>
      </c>
      <c r="F537">
        <v>94.8</v>
      </c>
      <c r="G537">
        <v>102</v>
      </c>
      <c r="H537">
        <v>0.30099999999999999</v>
      </c>
      <c r="I537">
        <v>46.2</v>
      </c>
      <c r="J537">
        <v>48.6</v>
      </c>
      <c r="K537">
        <v>21.6</v>
      </c>
      <c r="L537">
        <v>18.600000000000001</v>
      </c>
      <c r="M537">
        <v>28.2</v>
      </c>
      <c r="N537">
        <v>32.5</v>
      </c>
      <c r="O537">
        <v>34.9</v>
      </c>
      <c r="P537">
        <v>36.6</v>
      </c>
      <c r="Q537">
        <v>45.9</v>
      </c>
      <c r="R537">
        <v>49.1</v>
      </c>
      <c r="S537">
        <v>31.1</v>
      </c>
      <c r="T537">
        <v>31.7</v>
      </c>
      <c r="U537">
        <v>70.400000000000006</v>
      </c>
      <c r="V537">
        <v>-14.7</v>
      </c>
      <c r="W537" cm="1">
        <f t="array" ref="W537">_xlfn.IFS(OR(X537="N/A",X537="NA"),0,OR(X537="R64",X537="R68"),1,X537="R32",2,X537="S16",3,X537="E8",4,X537="F4",5,X537="2ND",6,X537="Champions",7)</f>
        <v>0</v>
      </c>
      <c r="X537" t="s">
        <v>90</v>
      </c>
      <c r="Y537" t="s">
        <v>90</v>
      </c>
      <c r="Z537">
        <v>2015</v>
      </c>
    </row>
    <row r="538" spans="1:26" x14ac:dyDescent="0.3">
      <c r="A538" t="s">
        <v>212</v>
      </c>
      <c r="B538" t="s">
        <v>40</v>
      </c>
      <c r="C538">
        <v>35</v>
      </c>
      <c r="D538">
        <v>18</v>
      </c>
      <c r="E538" s="1">
        <f t="shared" si="8"/>
        <v>0.51428571428571423</v>
      </c>
      <c r="F538">
        <v>100.7</v>
      </c>
      <c r="G538">
        <v>100.5</v>
      </c>
      <c r="H538">
        <v>0.50480000000000003</v>
      </c>
      <c r="I538">
        <v>47.9</v>
      </c>
      <c r="J538">
        <v>49.9</v>
      </c>
      <c r="K538">
        <v>20.3</v>
      </c>
      <c r="L538">
        <v>20.3</v>
      </c>
      <c r="M538">
        <v>31.6</v>
      </c>
      <c r="N538">
        <v>26.1</v>
      </c>
      <c r="O538">
        <v>36.799999999999997</v>
      </c>
      <c r="P538">
        <v>42.2</v>
      </c>
      <c r="Q538">
        <v>44.2</v>
      </c>
      <c r="R538">
        <v>48</v>
      </c>
      <c r="S538">
        <v>36.299999999999997</v>
      </c>
      <c r="T538">
        <v>35.700000000000003</v>
      </c>
      <c r="U538">
        <v>61.4</v>
      </c>
      <c r="V538">
        <v>-8.8000000000000007</v>
      </c>
      <c r="W538" cm="1">
        <f t="array" ref="W538">_xlfn.IFS(OR(X538="N/A",X538="NA"),0,OR(X538="R64",X538="R68"),1,X538="R32",2,X538="S16",3,X538="E8",4,X538="F4",5,X538="2ND",6,X538="Champions",7)</f>
        <v>0</v>
      </c>
      <c r="X538" t="s">
        <v>90</v>
      </c>
      <c r="Y538" t="s">
        <v>90</v>
      </c>
      <c r="Z538">
        <v>2015</v>
      </c>
    </row>
    <row r="539" spans="1:26" x14ac:dyDescent="0.3">
      <c r="A539" t="s">
        <v>213</v>
      </c>
      <c r="B539" t="s">
        <v>40</v>
      </c>
      <c r="C539">
        <v>29</v>
      </c>
      <c r="D539">
        <v>12</v>
      </c>
      <c r="E539" s="1">
        <f t="shared" si="8"/>
        <v>0.41379310344827586</v>
      </c>
      <c r="F539">
        <v>98.6</v>
      </c>
      <c r="G539">
        <v>103</v>
      </c>
      <c r="H539">
        <v>0.37730000000000002</v>
      </c>
      <c r="I539">
        <v>46.9</v>
      </c>
      <c r="J539">
        <v>49.3</v>
      </c>
      <c r="K539">
        <v>20.100000000000001</v>
      </c>
      <c r="L539">
        <v>20.399999999999999</v>
      </c>
      <c r="M539">
        <v>31.1</v>
      </c>
      <c r="N539">
        <v>33.1</v>
      </c>
      <c r="O539">
        <v>40</v>
      </c>
      <c r="P539">
        <v>38.200000000000003</v>
      </c>
      <c r="Q539">
        <v>47.8</v>
      </c>
      <c r="R539">
        <v>48.1</v>
      </c>
      <c r="S539">
        <v>29.9</v>
      </c>
      <c r="T539">
        <v>34.200000000000003</v>
      </c>
      <c r="U539">
        <v>65.900000000000006</v>
      </c>
      <c r="V539">
        <v>-10.8</v>
      </c>
      <c r="W539" cm="1">
        <f t="array" ref="W539">_xlfn.IFS(OR(X539="N/A",X539="NA"),0,OR(X539="R64",X539="R68"),1,X539="R32",2,X539="S16",3,X539="E8",4,X539="F4",5,X539="2ND",6,X539="Champions",7)</f>
        <v>0</v>
      </c>
      <c r="X539" t="s">
        <v>90</v>
      </c>
      <c r="Y539" t="s">
        <v>90</v>
      </c>
      <c r="Z539">
        <v>2015</v>
      </c>
    </row>
    <row r="540" spans="1:26" x14ac:dyDescent="0.3">
      <c r="A540" t="s">
        <v>214</v>
      </c>
      <c r="B540" t="s">
        <v>40</v>
      </c>
      <c r="C540">
        <v>35</v>
      </c>
      <c r="D540">
        <v>27</v>
      </c>
      <c r="E540" s="1">
        <f t="shared" si="8"/>
        <v>0.77142857142857146</v>
      </c>
      <c r="F540">
        <v>104.3</v>
      </c>
      <c r="G540">
        <v>94.4</v>
      </c>
      <c r="H540">
        <v>0.75839999999999996</v>
      </c>
      <c r="I540">
        <v>48.6</v>
      </c>
      <c r="J540">
        <v>46.1</v>
      </c>
      <c r="K540">
        <v>17.5</v>
      </c>
      <c r="L540">
        <v>21</v>
      </c>
      <c r="M540">
        <v>36</v>
      </c>
      <c r="N540">
        <v>26.9</v>
      </c>
      <c r="O540">
        <v>30.6</v>
      </c>
      <c r="P540">
        <v>40.799999999999997</v>
      </c>
      <c r="Q540">
        <v>48.4</v>
      </c>
      <c r="R540">
        <v>45.7</v>
      </c>
      <c r="S540">
        <v>32.5</v>
      </c>
      <c r="T540">
        <v>31.2</v>
      </c>
      <c r="U540">
        <v>60.5</v>
      </c>
      <c r="V540">
        <v>-1.3</v>
      </c>
      <c r="W540" cm="1">
        <f t="array" ref="W540">_xlfn.IFS(OR(X540="N/A",X540="NA"),0,OR(X540="R64",X540="R68"),1,X540="R32",2,X540="S16",3,X540="E8",4,X540="F4",5,X540="2ND",6,X540="Champions",7)</f>
        <v>0</v>
      </c>
      <c r="X540" t="s">
        <v>90</v>
      </c>
      <c r="Y540" t="s">
        <v>90</v>
      </c>
      <c r="Z540">
        <v>2015</v>
      </c>
    </row>
    <row r="541" spans="1:26" x14ac:dyDescent="0.3">
      <c r="A541" t="s">
        <v>215</v>
      </c>
      <c r="B541" t="s">
        <v>40</v>
      </c>
      <c r="C541">
        <v>29</v>
      </c>
      <c r="D541">
        <v>10</v>
      </c>
      <c r="E541" s="1">
        <f t="shared" si="8"/>
        <v>0.34482758620689657</v>
      </c>
      <c r="F541">
        <v>100.4</v>
      </c>
      <c r="G541">
        <v>103.8</v>
      </c>
      <c r="H541">
        <v>0.40479999999999999</v>
      </c>
      <c r="I541">
        <v>51.7</v>
      </c>
      <c r="J541">
        <v>49.9</v>
      </c>
      <c r="K541">
        <v>22.1</v>
      </c>
      <c r="L541">
        <v>19.600000000000001</v>
      </c>
      <c r="M541">
        <v>26.5</v>
      </c>
      <c r="N541">
        <v>32.200000000000003</v>
      </c>
      <c r="O541">
        <v>33.700000000000003</v>
      </c>
      <c r="P541">
        <v>40.1</v>
      </c>
      <c r="Q541">
        <v>47.6</v>
      </c>
      <c r="R541">
        <v>49</v>
      </c>
      <c r="S541">
        <v>37.299999999999997</v>
      </c>
      <c r="T541">
        <v>34.5</v>
      </c>
      <c r="U541">
        <v>62.3</v>
      </c>
      <c r="V541">
        <v>-13.2</v>
      </c>
      <c r="W541" cm="1">
        <f t="array" ref="W541">_xlfn.IFS(OR(X541="N/A",X541="NA"),0,OR(X541="R64",X541="R68"),1,X541="R32",2,X541="S16",3,X541="E8",4,X541="F4",5,X541="2ND",6,X541="Champions",7)</f>
        <v>0</v>
      </c>
      <c r="X541" t="s">
        <v>90</v>
      </c>
      <c r="Y541" t="s">
        <v>90</v>
      </c>
      <c r="Z541">
        <v>2015</v>
      </c>
    </row>
    <row r="542" spans="1:26" x14ac:dyDescent="0.3">
      <c r="A542" t="s">
        <v>216</v>
      </c>
      <c r="B542" t="s">
        <v>40</v>
      </c>
      <c r="C542">
        <v>27</v>
      </c>
      <c r="D542">
        <v>7</v>
      </c>
      <c r="E542" s="1">
        <f t="shared" si="8"/>
        <v>0.25925925925925924</v>
      </c>
      <c r="F542">
        <v>94.1</v>
      </c>
      <c r="G542">
        <v>108.4</v>
      </c>
      <c r="H542">
        <v>0.16350000000000001</v>
      </c>
      <c r="I542">
        <v>48.9</v>
      </c>
      <c r="J542">
        <v>53.5</v>
      </c>
      <c r="K542">
        <v>22.2</v>
      </c>
      <c r="L542">
        <v>20.100000000000001</v>
      </c>
      <c r="M542">
        <v>26.6</v>
      </c>
      <c r="N542">
        <v>34.200000000000003</v>
      </c>
      <c r="O542">
        <v>34.1</v>
      </c>
      <c r="P542">
        <v>31.9</v>
      </c>
      <c r="Q542">
        <v>48.8</v>
      </c>
      <c r="R542">
        <v>53.1</v>
      </c>
      <c r="S542">
        <v>32.799999999999997</v>
      </c>
      <c r="T542">
        <v>36</v>
      </c>
      <c r="U542">
        <v>62.3</v>
      </c>
      <c r="V542">
        <v>-13.8</v>
      </c>
      <c r="W542" cm="1">
        <f t="array" ref="W542">_xlfn.IFS(OR(X542="N/A",X542="NA"),0,OR(X542="R64",X542="R68"),1,X542="R32",2,X542="S16",3,X542="E8",4,X542="F4",5,X542="2ND",6,X542="Champions",7)</f>
        <v>0</v>
      </c>
      <c r="X542" t="s">
        <v>90</v>
      </c>
      <c r="Y542" t="s">
        <v>90</v>
      </c>
      <c r="Z542">
        <v>2015</v>
      </c>
    </row>
    <row r="543" spans="1:26" x14ac:dyDescent="0.3">
      <c r="A543" t="s">
        <v>217</v>
      </c>
      <c r="B543" t="s">
        <v>40</v>
      </c>
      <c r="C543">
        <v>33</v>
      </c>
      <c r="D543">
        <v>22</v>
      </c>
      <c r="E543" s="1">
        <f t="shared" si="8"/>
        <v>0.66666666666666663</v>
      </c>
      <c r="F543">
        <v>104.7</v>
      </c>
      <c r="G543">
        <v>97.8</v>
      </c>
      <c r="H543">
        <v>0.68510000000000004</v>
      </c>
      <c r="I543">
        <v>52</v>
      </c>
      <c r="J543">
        <v>46.9</v>
      </c>
      <c r="K543">
        <v>18.8</v>
      </c>
      <c r="L543">
        <v>18.7</v>
      </c>
      <c r="M543">
        <v>29.1</v>
      </c>
      <c r="N543">
        <v>29.8</v>
      </c>
      <c r="O543">
        <v>43.8</v>
      </c>
      <c r="P543">
        <v>31.9</v>
      </c>
      <c r="Q543">
        <v>50.9</v>
      </c>
      <c r="R543">
        <v>45.2</v>
      </c>
      <c r="S543">
        <v>36.6</v>
      </c>
      <c r="T543">
        <v>33.6</v>
      </c>
      <c r="U543">
        <v>65</v>
      </c>
      <c r="V543">
        <v>-3.7</v>
      </c>
      <c r="W543" cm="1">
        <f t="array" ref="W543">_xlfn.IFS(OR(X543="N/A",X543="NA"),0,OR(X543="R64",X543="R68"),1,X543="R32",2,X543="S16",3,X543="E8",4,X543="F4",5,X543="2ND",6,X543="Champions",7)</f>
        <v>0</v>
      </c>
      <c r="X543" t="s">
        <v>90</v>
      </c>
      <c r="Y543" t="s">
        <v>90</v>
      </c>
      <c r="Z543">
        <v>2015</v>
      </c>
    </row>
    <row r="544" spans="1:26" x14ac:dyDescent="0.3">
      <c r="A544" t="s">
        <v>218</v>
      </c>
      <c r="B544" t="s">
        <v>40</v>
      </c>
      <c r="C544">
        <v>28</v>
      </c>
      <c r="D544">
        <v>12</v>
      </c>
      <c r="E544" s="1">
        <f t="shared" si="8"/>
        <v>0.42857142857142855</v>
      </c>
      <c r="F544">
        <v>104.2</v>
      </c>
      <c r="G544">
        <v>108.7</v>
      </c>
      <c r="H544">
        <v>0.38090000000000002</v>
      </c>
      <c r="I544">
        <v>47.9</v>
      </c>
      <c r="J544">
        <v>52.9</v>
      </c>
      <c r="K544">
        <v>18.2</v>
      </c>
      <c r="L544">
        <v>20.3</v>
      </c>
      <c r="M544">
        <v>35.200000000000003</v>
      </c>
      <c r="N544">
        <v>31.3</v>
      </c>
      <c r="O544">
        <v>42.1</v>
      </c>
      <c r="P544">
        <v>29.7</v>
      </c>
      <c r="Q544">
        <v>47.3</v>
      </c>
      <c r="R544">
        <v>51.5</v>
      </c>
      <c r="S544">
        <v>32.700000000000003</v>
      </c>
      <c r="T544">
        <v>36.700000000000003</v>
      </c>
      <c r="U544">
        <v>66.2</v>
      </c>
      <c r="V544">
        <v>-11.3</v>
      </c>
      <c r="W544" cm="1">
        <f t="array" ref="W544">_xlfn.IFS(OR(X544="N/A",X544="NA"),0,OR(X544="R64",X544="R68"),1,X544="R32",2,X544="S16",3,X544="E8",4,X544="F4",5,X544="2ND",6,X544="Champions",7)</f>
        <v>0</v>
      </c>
      <c r="X544" t="s">
        <v>90</v>
      </c>
      <c r="Y544" t="s">
        <v>90</v>
      </c>
      <c r="Z544">
        <v>2015</v>
      </c>
    </row>
    <row r="545" spans="1:26" x14ac:dyDescent="0.3">
      <c r="A545" t="s">
        <v>219</v>
      </c>
      <c r="B545" t="s">
        <v>40</v>
      </c>
      <c r="C545">
        <v>30</v>
      </c>
      <c r="D545">
        <v>18</v>
      </c>
      <c r="E545" s="1">
        <f t="shared" si="8"/>
        <v>0.6</v>
      </c>
      <c r="F545">
        <v>101.6</v>
      </c>
      <c r="G545">
        <v>102</v>
      </c>
      <c r="H545">
        <v>0.48730000000000001</v>
      </c>
      <c r="I545">
        <v>49.6</v>
      </c>
      <c r="J545">
        <v>48.6</v>
      </c>
      <c r="K545">
        <v>18.899999999999999</v>
      </c>
      <c r="L545">
        <v>18.899999999999999</v>
      </c>
      <c r="M545">
        <v>30.4</v>
      </c>
      <c r="N545">
        <v>29.2</v>
      </c>
      <c r="O545">
        <v>38.700000000000003</v>
      </c>
      <c r="P545">
        <v>34.1</v>
      </c>
      <c r="Q545">
        <v>47.2</v>
      </c>
      <c r="R545">
        <v>48.1</v>
      </c>
      <c r="S545">
        <v>35.6</v>
      </c>
      <c r="T545">
        <v>33.1</v>
      </c>
      <c r="U545">
        <v>66.8</v>
      </c>
      <c r="V545">
        <v>-5.5</v>
      </c>
      <c r="W545" cm="1">
        <f t="array" ref="W545">_xlfn.IFS(OR(X545="N/A",X545="NA"),0,OR(X545="R64",X545="R68"),1,X545="R32",2,X545="S16",3,X545="E8",4,X545="F4",5,X545="2ND",6,X545="Champions",7)</f>
        <v>0</v>
      </c>
      <c r="X545" t="s">
        <v>90</v>
      </c>
      <c r="Y545" t="s">
        <v>90</v>
      </c>
      <c r="Z545">
        <v>2015</v>
      </c>
    </row>
    <row r="546" spans="1:26" x14ac:dyDescent="0.3">
      <c r="A546" t="s">
        <v>207</v>
      </c>
      <c r="B546" t="s">
        <v>40</v>
      </c>
      <c r="C546">
        <v>33</v>
      </c>
      <c r="D546">
        <v>14</v>
      </c>
      <c r="E546" s="1">
        <f t="shared" si="8"/>
        <v>0.42424242424242425</v>
      </c>
      <c r="F546">
        <v>103.4</v>
      </c>
      <c r="G546">
        <v>108.2</v>
      </c>
      <c r="H546">
        <v>0.37259999999999999</v>
      </c>
      <c r="I546">
        <v>51</v>
      </c>
      <c r="J546">
        <v>54.8</v>
      </c>
      <c r="K546">
        <v>16.399999999999999</v>
      </c>
      <c r="L546">
        <v>18.3</v>
      </c>
      <c r="M546">
        <v>29.7</v>
      </c>
      <c r="N546">
        <v>27.7</v>
      </c>
      <c r="O546">
        <v>33.200000000000003</v>
      </c>
      <c r="P546">
        <v>30.9</v>
      </c>
      <c r="Q546">
        <v>47.7</v>
      </c>
      <c r="R546">
        <v>52.7</v>
      </c>
      <c r="S546">
        <v>38.200000000000003</v>
      </c>
      <c r="T546">
        <v>39.299999999999997</v>
      </c>
      <c r="U546">
        <v>71.2</v>
      </c>
      <c r="V546">
        <v>-12.7</v>
      </c>
      <c r="W546" cm="1">
        <f t="array" ref="W546">_xlfn.IFS(OR(X546="N/A",X546="NA"),0,OR(X546="R64",X546="R68"),1,X546="R32",2,X546="S16",3,X546="E8",4,X546="F4",5,X546="2ND",6,X546="Champions",7)</f>
        <v>0</v>
      </c>
      <c r="X546" t="s">
        <v>90</v>
      </c>
      <c r="Y546" t="s">
        <v>90</v>
      </c>
      <c r="Z546">
        <v>2016</v>
      </c>
    </row>
    <row r="547" spans="1:26" x14ac:dyDescent="0.3">
      <c r="A547" t="s">
        <v>208</v>
      </c>
      <c r="B547" t="s">
        <v>40</v>
      </c>
      <c r="C547">
        <v>30</v>
      </c>
      <c r="D547">
        <v>11</v>
      </c>
      <c r="E547" s="1">
        <f t="shared" si="8"/>
        <v>0.36666666666666664</v>
      </c>
      <c r="F547">
        <v>102.2</v>
      </c>
      <c r="G547">
        <v>107.3</v>
      </c>
      <c r="H547">
        <v>0.36459999999999998</v>
      </c>
      <c r="I547">
        <v>52</v>
      </c>
      <c r="J547">
        <v>48.1</v>
      </c>
      <c r="K547">
        <v>19.3</v>
      </c>
      <c r="L547">
        <v>14.2</v>
      </c>
      <c r="M547">
        <v>30.8</v>
      </c>
      <c r="N547">
        <v>29.4</v>
      </c>
      <c r="O547">
        <v>35.6</v>
      </c>
      <c r="P547">
        <v>35.700000000000003</v>
      </c>
      <c r="Q547">
        <v>50.7</v>
      </c>
      <c r="R547">
        <v>47.1</v>
      </c>
      <c r="S547">
        <v>36.799999999999997</v>
      </c>
      <c r="T547">
        <v>33.1</v>
      </c>
      <c r="U547">
        <v>66</v>
      </c>
      <c r="V547">
        <v>-14.6</v>
      </c>
      <c r="W547" cm="1">
        <f t="array" ref="W547">_xlfn.IFS(OR(X547="N/A",X547="NA"),0,OR(X547="R64",X547="R68"),1,X547="R32",2,X547="S16",3,X547="E8",4,X547="F4",5,X547="2ND",6,X547="Champions",7)</f>
        <v>0</v>
      </c>
      <c r="X547" t="s">
        <v>90</v>
      </c>
      <c r="Y547" t="s">
        <v>90</v>
      </c>
      <c r="Z547">
        <v>2016</v>
      </c>
    </row>
    <row r="548" spans="1:26" x14ac:dyDescent="0.3">
      <c r="A548" t="s">
        <v>209</v>
      </c>
      <c r="B548" t="s">
        <v>40</v>
      </c>
      <c r="C548">
        <v>31</v>
      </c>
      <c r="D548">
        <v>7</v>
      </c>
      <c r="E548" s="1">
        <f t="shared" si="8"/>
        <v>0.22580645161290322</v>
      </c>
      <c r="F548">
        <v>95</v>
      </c>
      <c r="G548">
        <v>107.9</v>
      </c>
      <c r="H548">
        <v>0.1885</v>
      </c>
      <c r="I548">
        <v>46.7</v>
      </c>
      <c r="J548">
        <v>50</v>
      </c>
      <c r="K548">
        <v>17.600000000000001</v>
      </c>
      <c r="L548">
        <v>16.600000000000001</v>
      </c>
      <c r="M548">
        <v>23.1</v>
      </c>
      <c r="N548">
        <v>32.9</v>
      </c>
      <c r="O548">
        <v>32.299999999999997</v>
      </c>
      <c r="P548">
        <v>37.700000000000003</v>
      </c>
      <c r="Q548">
        <v>44.2</v>
      </c>
      <c r="R548">
        <v>49</v>
      </c>
      <c r="S548">
        <v>34.1</v>
      </c>
      <c r="T548">
        <v>35.4</v>
      </c>
      <c r="U548">
        <v>68.400000000000006</v>
      </c>
      <c r="V548">
        <v>-17.3</v>
      </c>
      <c r="W548" cm="1">
        <f t="array" ref="W548">_xlfn.IFS(OR(X548="N/A",X548="NA"),0,OR(X548="R64",X548="R68"),1,X548="R32",2,X548="S16",3,X548="E8",4,X548="F4",5,X548="2ND",6,X548="Champions",7)</f>
        <v>0</v>
      </c>
      <c r="X548" t="s">
        <v>90</v>
      </c>
      <c r="Y548" t="s">
        <v>90</v>
      </c>
      <c r="Z548">
        <v>2016</v>
      </c>
    </row>
    <row r="549" spans="1:26" x14ac:dyDescent="0.3">
      <c r="A549" t="s">
        <v>210</v>
      </c>
      <c r="B549" t="s">
        <v>40</v>
      </c>
      <c r="C549">
        <v>31</v>
      </c>
      <c r="D549">
        <v>21</v>
      </c>
      <c r="E549" s="1">
        <f t="shared" si="8"/>
        <v>0.67741935483870963</v>
      </c>
      <c r="F549">
        <v>102.7</v>
      </c>
      <c r="G549">
        <v>102.8</v>
      </c>
      <c r="H549">
        <v>0.49790000000000001</v>
      </c>
      <c r="I549">
        <v>51.3</v>
      </c>
      <c r="J549">
        <v>49.2</v>
      </c>
      <c r="K549">
        <v>16.899999999999999</v>
      </c>
      <c r="L549">
        <v>19</v>
      </c>
      <c r="M549">
        <v>28.8</v>
      </c>
      <c r="N549">
        <v>29</v>
      </c>
      <c r="O549">
        <v>43</v>
      </c>
      <c r="P549">
        <v>34.1</v>
      </c>
      <c r="Q549">
        <v>52</v>
      </c>
      <c r="R549">
        <v>49.7</v>
      </c>
      <c r="S549">
        <v>33.299999999999997</v>
      </c>
      <c r="T549">
        <v>32</v>
      </c>
      <c r="U549">
        <v>72.5</v>
      </c>
      <c r="V549">
        <v>-4.3</v>
      </c>
      <c r="W549" cm="1">
        <f t="array" ref="W549">_xlfn.IFS(OR(X549="N/A",X549="NA"),0,OR(X549="R64",X549="R68"),1,X549="R32",2,X549="S16",3,X549="E8",4,X549="F4",5,X549="2ND",6,X549="Champions",7)</f>
        <v>0</v>
      </c>
      <c r="X549" t="s">
        <v>90</v>
      </c>
      <c r="Y549" t="s">
        <v>90</v>
      </c>
      <c r="Z549">
        <v>2016</v>
      </c>
    </row>
    <row r="550" spans="1:26" x14ac:dyDescent="0.3">
      <c r="A550" t="s">
        <v>211</v>
      </c>
      <c r="B550" t="s">
        <v>40</v>
      </c>
      <c r="C550">
        <v>33</v>
      </c>
      <c r="D550">
        <v>17</v>
      </c>
      <c r="E550" s="1">
        <f t="shared" si="8"/>
        <v>0.51515151515151514</v>
      </c>
      <c r="F550">
        <v>109.8</v>
      </c>
      <c r="G550">
        <v>107.3</v>
      </c>
      <c r="H550">
        <v>0.56399999999999995</v>
      </c>
      <c r="I550">
        <v>54.2</v>
      </c>
      <c r="J550">
        <v>52.3</v>
      </c>
      <c r="K550">
        <v>16.399999999999999</v>
      </c>
      <c r="L550">
        <v>17.100000000000001</v>
      </c>
      <c r="M550">
        <v>26.6</v>
      </c>
      <c r="N550">
        <v>30.9</v>
      </c>
      <c r="O550">
        <v>31.2</v>
      </c>
      <c r="P550">
        <v>35.9</v>
      </c>
      <c r="Q550">
        <v>57.2</v>
      </c>
      <c r="R550">
        <v>50.7</v>
      </c>
      <c r="S550">
        <v>33.700000000000003</v>
      </c>
      <c r="T550">
        <v>37.4</v>
      </c>
      <c r="U550">
        <v>78</v>
      </c>
      <c r="V550">
        <v>-8.6999999999999993</v>
      </c>
      <c r="W550" cm="1">
        <f t="array" ref="W550">_xlfn.IFS(OR(X550="N/A",X550="NA"),0,OR(X550="R64",X550="R68"),1,X550="R32",2,X550="S16",3,X550="E8",4,X550="F4",5,X550="2ND",6,X550="Champions",7)</f>
        <v>0</v>
      </c>
      <c r="X550" t="s">
        <v>90</v>
      </c>
      <c r="Y550" t="s">
        <v>90</v>
      </c>
      <c r="Z550">
        <v>2016</v>
      </c>
    </row>
    <row r="551" spans="1:26" x14ac:dyDescent="0.3">
      <c r="A551" t="s">
        <v>213</v>
      </c>
      <c r="B551" t="s">
        <v>40</v>
      </c>
      <c r="C551">
        <v>30</v>
      </c>
      <c r="D551">
        <v>10</v>
      </c>
      <c r="E551" s="1">
        <f t="shared" si="8"/>
        <v>0.33333333333333331</v>
      </c>
      <c r="F551">
        <v>100.5</v>
      </c>
      <c r="G551">
        <v>111.4</v>
      </c>
      <c r="H551">
        <v>0.23330000000000001</v>
      </c>
      <c r="I551">
        <v>49.3</v>
      </c>
      <c r="J551">
        <v>53.3</v>
      </c>
      <c r="K551">
        <v>19.5</v>
      </c>
      <c r="L551">
        <v>17.2</v>
      </c>
      <c r="M551">
        <v>30.3</v>
      </c>
      <c r="N551">
        <v>31.2</v>
      </c>
      <c r="O551">
        <v>44.1</v>
      </c>
      <c r="P551">
        <v>42.5</v>
      </c>
      <c r="Q551">
        <v>49.8</v>
      </c>
      <c r="R551">
        <v>52.7</v>
      </c>
      <c r="S551">
        <v>32.200000000000003</v>
      </c>
      <c r="T551">
        <v>36.200000000000003</v>
      </c>
      <c r="U551">
        <v>70.7</v>
      </c>
      <c r="V551">
        <v>-14.7</v>
      </c>
      <c r="W551" cm="1">
        <f t="array" ref="W551">_xlfn.IFS(OR(X551="N/A",X551="NA"),0,OR(X551="R64",X551="R68"),1,X551="R32",2,X551="S16",3,X551="E8",4,X551="F4",5,X551="2ND",6,X551="Champions",7)</f>
        <v>0</v>
      </c>
      <c r="X551" t="s">
        <v>90</v>
      </c>
      <c r="Y551" t="s">
        <v>90</v>
      </c>
      <c r="Z551">
        <v>2016</v>
      </c>
    </row>
    <row r="552" spans="1:26" x14ac:dyDescent="0.3">
      <c r="A552" t="s">
        <v>214</v>
      </c>
      <c r="B552" t="s">
        <v>40</v>
      </c>
      <c r="C552">
        <v>38</v>
      </c>
      <c r="D552">
        <v>25</v>
      </c>
      <c r="E552" s="1">
        <f t="shared" si="8"/>
        <v>0.65789473684210531</v>
      </c>
      <c r="F552">
        <v>105.5</v>
      </c>
      <c r="G552">
        <v>97.9</v>
      </c>
      <c r="H552">
        <v>0.70120000000000005</v>
      </c>
      <c r="I552">
        <v>47.9</v>
      </c>
      <c r="J552">
        <v>45.5</v>
      </c>
      <c r="K552">
        <v>14.4</v>
      </c>
      <c r="L552">
        <v>17.2</v>
      </c>
      <c r="M552">
        <v>36.6</v>
      </c>
      <c r="N552">
        <v>27.1</v>
      </c>
      <c r="O552">
        <v>31</v>
      </c>
      <c r="P552">
        <v>35.799999999999997</v>
      </c>
      <c r="Q552">
        <v>48.7</v>
      </c>
      <c r="R552">
        <v>44.4</v>
      </c>
      <c r="S552">
        <v>30.1</v>
      </c>
      <c r="T552">
        <v>31.5</v>
      </c>
      <c r="U552">
        <v>62.2</v>
      </c>
      <c r="V552">
        <v>-6.5</v>
      </c>
      <c r="W552" cm="1">
        <f t="array" ref="W552">_xlfn.IFS(OR(X552="N/A",X552="NA"),0,OR(X552="R64",X552="R68"),1,X552="R32",2,X552="S16",3,X552="E8",4,X552="F4",5,X552="2ND",6,X552="Champions",7)</f>
        <v>0</v>
      </c>
      <c r="X552" t="s">
        <v>90</v>
      </c>
      <c r="Y552" t="s">
        <v>90</v>
      </c>
      <c r="Z552">
        <v>2016</v>
      </c>
    </row>
    <row r="553" spans="1:26" x14ac:dyDescent="0.3">
      <c r="A553" t="s">
        <v>215</v>
      </c>
      <c r="B553" t="s">
        <v>40</v>
      </c>
      <c r="C553">
        <v>30</v>
      </c>
      <c r="D553">
        <v>10</v>
      </c>
      <c r="E553" s="1">
        <f t="shared" si="8"/>
        <v>0.33333333333333331</v>
      </c>
      <c r="F553">
        <v>104.7</v>
      </c>
      <c r="G553">
        <v>115.6</v>
      </c>
      <c r="H553">
        <v>0.24129999999999999</v>
      </c>
      <c r="I553">
        <v>51.2</v>
      </c>
      <c r="J553">
        <v>56.2</v>
      </c>
      <c r="K553">
        <v>17.899999999999999</v>
      </c>
      <c r="L553">
        <v>18.399999999999999</v>
      </c>
      <c r="M553">
        <v>26.7</v>
      </c>
      <c r="N553">
        <v>32.200000000000003</v>
      </c>
      <c r="O553">
        <v>41.5</v>
      </c>
      <c r="P553">
        <v>36.700000000000003</v>
      </c>
      <c r="Q553">
        <v>53.4</v>
      </c>
      <c r="R553">
        <v>52.7</v>
      </c>
      <c r="S553">
        <v>31.9</v>
      </c>
      <c r="T553">
        <v>41.8</v>
      </c>
      <c r="U553">
        <v>70.7</v>
      </c>
      <c r="V553">
        <v>-14.8</v>
      </c>
      <c r="W553" cm="1">
        <f t="array" ref="W553">_xlfn.IFS(OR(X553="N/A",X553="NA"),0,OR(X553="R64",X553="R68"),1,X553="R32",2,X553="S16",3,X553="E8",4,X553="F4",5,X553="2ND",6,X553="Champions",7)</f>
        <v>0</v>
      </c>
      <c r="X553" t="s">
        <v>90</v>
      </c>
      <c r="Y553" t="s">
        <v>90</v>
      </c>
      <c r="Z553">
        <v>2016</v>
      </c>
    </row>
    <row r="554" spans="1:26" x14ac:dyDescent="0.3">
      <c r="A554" t="s">
        <v>216</v>
      </c>
      <c r="B554" t="s">
        <v>40</v>
      </c>
      <c r="C554">
        <v>27</v>
      </c>
      <c r="D554">
        <v>7</v>
      </c>
      <c r="E554" s="1">
        <f t="shared" si="8"/>
        <v>0.25925925925925924</v>
      </c>
      <c r="F554">
        <v>94.6</v>
      </c>
      <c r="G554">
        <v>109.5</v>
      </c>
      <c r="H554">
        <v>0.15659999999999999</v>
      </c>
      <c r="I554">
        <v>49.4</v>
      </c>
      <c r="J554">
        <v>51.6</v>
      </c>
      <c r="K554">
        <v>20.3</v>
      </c>
      <c r="L554">
        <v>17.7</v>
      </c>
      <c r="M554">
        <v>23.3</v>
      </c>
      <c r="N554">
        <v>29.4</v>
      </c>
      <c r="O554">
        <v>36.1</v>
      </c>
      <c r="P554">
        <v>38.9</v>
      </c>
      <c r="Q554">
        <v>45.2</v>
      </c>
      <c r="R554">
        <v>50.2</v>
      </c>
      <c r="S554">
        <v>35.9</v>
      </c>
      <c r="T554">
        <v>35.5</v>
      </c>
      <c r="U554">
        <v>64.099999999999994</v>
      </c>
      <c r="V554">
        <v>-15.9</v>
      </c>
      <c r="W554" cm="1">
        <f t="array" ref="W554">_xlfn.IFS(OR(X554="N/A",X554="NA"),0,OR(X554="R64",X554="R68"),1,X554="R32",2,X554="S16",3,X554="E8",4,X554="F4",5,X554="2ND",6,X554="Champions",7)</f>
        <v>0</v>
      </c>
      <c r="X554" t="s">
        <v>90</v>
      </c>
      <c r="Y554" t="s">
        <v>90</v>
      </c>
      <c r="Z554">
        <v>2016</v>
      </c>
    </row>
    <row r="555" spans="1:26" x14ac:dyDescent="0.3">
      <c r="A555" t="s">
        <v>220</v>
      </c>
      <c r="B555" t="s">
        <v>40</v>
      </c>
      <c r="C555">
        <v>32</v>
      </c>
      <c r="D555">
        <v>25</v>
      </c>
      <c r="E555" s="1">
        <f t="shared" si="8"/>
        <v>0.78125</v>
      </c>
      <c r="F555">
        <v>108.1</v>
      </c>
      <c r="G555">
        <v>103.8</v>
      </c>
      <c r="H555">
        <v>0.61629999999999996</v>
      </c>
      <c r="I555">
        <v>53.6</v>
      </c>
      <c r="J555">
        <v>48.6</v>
      </c>
      <c r="K555">
        <v>17.8</v>
      </c>
      <c r="L555">
        <v>18</v>
      </c>
      <c r="M555">
        <v>32.4</v>
      </c>
      <c r="N555">
        <v>30.4</v>
      </c>
      <c r="O555">
        <v>33.4</v>
      </c>
      <c r="P555">
        <v>29.8</v>
      </c>
      <c r="Q555">
        <v>52.6</v>
      </c>
      <c r="R555">
        <v>48.1</v>
      </c>
      <c r="S555">
        <v>37</v>
      </c>
      <c r="T555">
        <v>33.1</v>
      </c>
      <c r="U555">
        <v>69</v>
      </c>
      <c r="V555">
        <v>-1</v>
      </c>
      <c r="W555" cm="1">
        <f t="array" ref="W555">_xlfn.IFS(OR(X555="N/A",X555="NA"),0,OR(X555="R64",X555="R68"),1,X555="R32",2,X555="S16",3,X555="E8",4,X555="F4",5,X555="2ND",6,X555="Champions",7)</f>
        <v>0</v>
      </c>
      <c r="X555" t="s">
        <v>90</v>
      </c>
      <c r="Y555" t="s">
        <v>90</v>
      </c>
      <c r="Z555">
        <v>2016</v>
      </c>
    </row>
    <row r="556" spans="1:26" x14ac:dyDescent="0.3">
      <c r="A556" t="s">
        <v>217</v>
      </c>
      <c r="B556" t="s">
        <v>40</v>
      </c>
      <c r="C556">
        <v>32</v>
      </c>
      <c r="D556">
        <v>18</v>
      </c>
      <c r="E556" s="1">
        <f t="shared" si="8"/>
        <v>0.5625</v>
      </c>
      <c r="F556">
        <v>102.9</v>
      </c>
      <c r="G556">
        <v>106.2</v>
      </c>
      <c r="H556">
        <v>0.40970000000000001</v>
      </c>
      <c r="I556">
        <v>52.4</v>
      </c>
      <c r="J556">
        <v>49.5</v>
      </c>
      <c r="K556">
        <v>17.100000000000001</v>
      </c>
      <c r="L556">
        <v>19.2</v>
      </c>
      <c r="M556">
        <v>24.5</v>
      </c>
      <c r="N556">
        <v>31.7</v>
      </c>
      <c r="O556">
        <v>40.9</v>
      </c>
      <c r="P556">
        <v>36.6</v>
      </c>
      <c r="Q556">
        <v>51.3</v>
      </c>
      <c r="R556">
        <v>48.3</v>
      </c>
      <c r="S556">
        <v>36.5</v>
      </c>
      <c r="T556">
        <v>34.200000000000003</v>
      </c>
      <c r="U556">
        <v>72.5</v>
      </c>
      <c r="V556">
        <v>-9.6999999999999993</v>
      </c>
      <c r="W556" cm="1">
        <f t="array" ref="W556">_xlfn.IFS(OR(X556="N/A",X556="NA"),0,OR(X556="R64",X556="R68"),1,X556="R32",2,X556="S16",3,X556="E8",4,X556="F4",5,X556="2ND",6,X556="Champions",7)</f>
        <v>0</v>
      </c>
      <c r="X556" t="s">
        <v>90</v>
      </c>
      <c r="Y556" t="s">
        <v>90</v>
      </c>
      <c r="Z556">
        <v>2016</v>
      </c>
    </row>
    <row r="557" spans="1:26" x14ac:dyDescent="0.3">
      <c r="A557" t="s">
        <v>218</v>
      </c>
      <c r="B557" t="s">
        <v>40</v>
      </c>
      <c r="C557">
        <v>30</v>
      </c>
      <c r="D557">
        <v>4</v>
      </c>
      <c r="E557" s="1">
        <f t="shared" si="8"/>
        <v>0.13333333333333333</v>
      </c>
      <c r="F557">
        <v>96.9</v>
      </c>
      <c r="G557">
        <v>116</v>
      </c>
      <c r="H557">
        <v>0.1125</v>
      </c>
      <c r="I557">
        <v>47</v>
      </c>
      <c r="J557">
        <v>59</v>
      </c>
      <c r="K557">
        <v>18.100000000000001</v>
      </c>
      <c r="L557">
        <v>17.2</v>
      </c>
      <c r="M557">
        <v>26</v>
      </c>
      <c r="N557">
        <v>27.8</v>
      </c>
      <c r="O557">
        <v>37.4</v>
      </c>
      <c r="P557">
        <v>46.2</v>
      </c>
      <c r="Q557">
        <v>46.5</v>
      </c>
      <c r="R557">
        <v>57.2</v>
      </c>
      <c r="S557">
        <v>32.1</v>
      </c>
      <c r="T557">
        <v>41.3</v>
      </c>
      <c r="U557">
        <v>73.099999999999994</v>
      </c>
      <c r="V557">
        <v>-20.399999999999999</v>
      </c>
      <c r="W557" cm="1">
        <f t="array" ref="W557">_xlfn.IFS(OR(X557="N/A",X557="NA"),0,OR(X557="R64",X557="R68"),1,X557="R32",2,X557="S16",3,X557="E8",4,X557="F4",5,X557="2ND",6,X557="Champions",7)</f>
        <v>0</v>
      </c>
      <c r="X557" t="s">
        <v>90</v>
      </c>
      <c r="Y557" t="s">
        <v>90</v>
      </c>
      <c r="Z557">
        <v>2016</v>
      </c>
    </row>
    <row r="558" spans="1:26" x14ac:dyDescent="0.3">
      <c r="A558" t="s">
        <v>219</v>
      </c>
      <c r="B558" t="s">
        <v>40</v>
      </c>
      <c r="C558">
        <v>32</v>
      </c>
      <c r="D558">
        <v>16</v>
      </c>
      <c r="E558" s="1">
        <f t="shared" si="8"/>
        <v>0.5</v>
      </c>
      <c r="F558">
        <v>108.1</v>
      </c>
      <c r="G558">
        <v>107.8</v>
      </c>
      <c r="H558">
        <v>0.50900000000000001</v>
      </c>
      <c r="I558">
        <v>52.5</v>
      </c>
      <c r="J558">
        <v>52.4</v>
      </c>
      <c r="K558">
        <v>19</v>
      </c>
      <c r="L558">
        <v>15</v>
      </c>
      <c r="M558">
        <v>33.6</v>
      </c>
      <c r="N558">
        <v>28.6</v>
      </c>
      <c r="O558">
        <v>39.6</v>
      </c>
      <c r="P558">
        <v>30</v>
      </c>
      <c r="Q558">
        <v>51.5</v>
      </c>
      <c r="R558">
        <v>50.4</v>
      </c>
      <c r="S558">
        <v>36.299999999999997</v>
      </c>
      <c r="T558">
        <v>37.299999999999997</v>
      </c>
      <c r="U558">
        <v>67.8</v>
      </c>
      <c r="V558">
        <v>-9.5</v>
      </c>
      <c r="W558" cm="1">
        <f t="array" ref="W558">_xlfn.IFS(OR(X558="N/A",X558="NA"),0,OR(X558="R64",X558="R68"),1,X558="R32",2,X558="S16",3,X558="E8",4,X558="F4",5,X558="2ND",6,X558="Champions",7)</f>
        <v>0</v>
      </c>
      <c r="X558" t="s">
        <v>90</v>
      </c>
      <c r="Y558" t="s">
        <v>90</v>
      </c>
      <c r="Z558">
        <v>2016</v>
      </c>
    </row>
    <row r="559" spans="1:26" x14ac:dyDescent="0.3">
      <c r="A559" t="s">
        <v>207</v>
      </c>
      <c r="B559" t="s">
        <v>40</v>
      </c>
      <c r="C559">
        <v>29</v>
      </c>
      <c r="D559">
        <v>13</v>
      </c>
      <c r="E559" s="1">
        <f t="shared" si="8"/>
        <v>0.44827586206896552</v>
      </c>
      <c r="F559">
        <v>101.6</v>
      </c>
      <c r="G559">
        <v>107.5</v>
      </c>
      <c r="H559">
        <v>0.34339999999999998</v>
      </c>
      <c r="I559">
        <v>50.5</v>
      </c>
      <c r="J559">
        <v>52.3</v>
      </c>
      <c r="K559">
        <v>16.100000000000001</v>
      </c>
      <c r="L559">
        <v>18.3</v>
      </c>
      <c r="M559">
        <v>20.3</v>
      </c>
      <c r="N559">
        <v>31</v>
      </c>
      <c r="O559">
        <v>34</v>
      </c>
      <c r="P559">
        <v>35.6</v>
      </c>
      <c r="Q559">
        <v>47.5</v>
      </c>
      <c r="R559">
        <v>51.7</v>
      </c>
      <c r="S559">
        <v>37.5</v>
      </c>
      <c r="T559">
        <v>35.799999999999997</v>
      </c>
      <c r="U559">
        <v>74.099999999999994</v>
      </c>
      <c r="V559">
        <v>-10.6</v>
      </c>
      <c r="W559" cm="1">
        <f t="array" ref="W559">_xlfn.IFS(OR(X559="N/A",X559="NA"),0,OR(X559="R64",X559="R68"),1,X559="R32",2,X559="S16",3,X559="E8",4,X559="F4",5,X559="2ND",6,X559="Champions",7)</f>
        <v>0</v>
      </c>
      <c r="X559" t="s">
        <v>90</v>
      </c>
      <c r="Y559" t="s">
        <v>90</v>
      </c>
      <c r="Z559">
        <v>2017</v>
      </c>
    </row>
    <row r="560" spans="1:26" x14ac:dyDescent="0.3">
      <c r="A560" t="s">
        <v>208</v>
      </c>
      <c r="B560" t="s">
        <v>40</v>
      </c>
      <c r="C560">
        <v>29</v>
      </c>
      <c r="D560">
        <v>7</v>
      </c>
      <c r="E560" s="1">
        <f t="shared" si="8"/>
        <v>0.2413793103448276</v>
      </c>
      <c r="F560">
        <v>102.5</v>
      </c>
      <c r="G560">
        <v>111.8</v>
      </c>
      <c r="H560">
        <v>0.26840000000000003</v>
      </c>
      <c r="I560">
        <v>49.7</v>
      </c>
      <c r="J560">
        <v>53.2</v>
      </c>
      <c r="K560">
        <v>19.2</v>
      </c>
      <c r="L560">
        <v>16.8</v>
      </c>
      <c r="M560">
        <v>29.8</v>
      </c>
      <c r="N560">
        <v>28</v>
      </c>
      <c r="O560">
        <v>28.5</v>
      </c>
      <c r="P560">
        <v>36.700000000000003</v>
      </c>
      <c r="Q560">
        <v>50.2</v>
      </c>
      <c r="R560">
        <v>52.6</v>
      </c>
      <c r="S560">
        <v>32.4</v>
      </c>
      <c r="T560">
        <v>36.299999999999997</v>
      </c>
      <c r="U560">
        <v>66.2</v>
      </c>
      <c r="V560">
        <v>-18.899999999999999</v>
      </c>
      <c r="W560" cm="1">
        <f t="array" ref="W560">_xlfn.IFS(OR(X560="N/A",X560="NA"),0,OR(X560="R64",X560="R68"),1,X560="R32",2,X560="S16",3,X560="E8",4,X560="F4",5,X560="2ND",6,X560="Champions",7)</f>
        <v>0</v>
      </c>
      <c r="X560" t="s">
        <v>90</v>
      </c>
      <c r="Y560" t="s">
        <v>90</v>
      </c>
      <c r="Z560">
        <v>2017</v>
      </c>
    </row>
    <row r="561" spans="1:26" x14ac:dyDescent="0.3">
      <c r="A561" t="s">
        <v>209</v>
      </c>
      <c r="B561" t="s">
        <v>40</v>
      </c>
      <c r="C561">
        <v>28</v>
      </c>
      <c r="D561">
        <v>10</v>
      </c>
      <c r="E561" s="1">
        <f t="shared" si="8"/>
        <v>0.35714285714285715</v>
      </c>
      <c r="F561">
        <v>97.7</v>
      </c>
      <c r="G561">
        <v>107.5</v>
      </c>
      <c r="H561">
        <v>0.25009999999999999</v>
      </c>
      <c r="I561">
        <v>46</v>
      </c>
      <c r="J561">
        <v>51</v>
      </c>
      <c r="K561">
        <v>16.600000000000001</v>
      </c>
      <c r="L561">
        <v>17.7</v>
      </c>
      <c r="M561">
        <v>26.9</v>
      </c>
      <c r="N561">
        <v>31.2</v>
      </c>
      <c r="O561">
        <v>30.4</v>
      </c>
      <c r="P561">
        <v>35.9</v>
      </c>
      <c r="Q561">
        <v>45.5</v>
      </c>
      <c r="R561">
        <v>49.2</v>
      </c>
      <c r="S561">
        <v>31.4</v>
      </c>
      <c r="T561">
        <v>37</v>
      </c>
      <c r="U561">
        <v>70.3</v>
      </c>
      <c r="V561">
        <v>-14.6</v>
      </c>
      <c r="W561" cm="1">
        <f t="array" ref="W561">_xlfn.IFS(OR(X561="N/A",X561="NA"),0,OR(X561="R64",X561="R68"),1,X561="R32",2,X561="S16",3,X561="E8",4,X561="F4",5,X561="2ND",6,X561="Champions",7)</f>
        <v>0</v>
      </c>
      <c r="X561" t="s">
        <v>90</v>
      </c>
      <c r="Y561" t="s">
        <v>90</v>
      </c>
      <c r="Z561">
        <v>2017</v>
      </c>
    </row>
    <row r="562" spans="1:26" x14ac:dyDescent="0.3">
      <c r="A562" t="s">
        <v>210</v>
      </c>
      <c r="B562" t="s">
        <v>40</v>
      </c>
      <c r="C562">
        <v>31</v>
      </c>
      <c r="D562">
        <v>23</v>
      </c>
      <c r="E562" s="1">
        <f t="shared" si="8"/>
        <v>0.74193548387096775</v>
      </c>
      <c r="F562">
        <v>106.4</v>
      </c>
      <c r="G562">
        <v>99.8</v>
      </c>
      <c r="H562">
        <v>0.67669999999999997</v>
      </c>
      <c r="I562">
        <v>53.4</v>
      </c>
      <c r="J562">
        <v>48</v>
      </c>
      <c r="K562">
        <v>17.7</v>
      </c>
      <c r="L562">
        <v>19.399999999999999</v>
      </c>
      <c r="M562">
        <v>29.2</v>
      </c>
      <c r="N562">
        <v>26.2</v>
      </c>
      <c r="O562">
        <v>34.6</v>
      </c>
      <c r="P562">
        <v>26.9</v>
      </c>
      <c r="Q562">
        <v>52</v>
      </c>
      <c r="R562">
        <v>45.8</v>
      </c>
      <c r="S562">
        <v>37.1</v>
      </c>
      <c r="T562">
        <v>34.700000000000003</v>
      </c>
      <c r="U562">
        <v>70</v>
      </c>
      <c r="V562">
        <v>-4.8</v>
      </c>
      <c r="W562" cm="1">
        <f t="array" ref="W562">_xlfn.IFS(OR(X562="N/A",X562="NA"),0,OR(X562="R64",X562="R68"),1,X562="R32",2,X562="S16",3,X562="E8",4,X562="F4",5,X562="2ND",6,X562="Champions",7)</f>
        <v>0</v>
      </c>
      <c r="X562" t="s">
        <v>90</v>
      </c>
      <c r="Y562" t="s">
        <v>90</v>
      </c>
      <c r="Z562">
        <v>2017</v>
      </c>
    </row>
    <row r="563" spans="1:26" x14ac:dyDescent="0.3">
      <c r="A563" t="s">
        <v>211</v>
      </c>
      <c r="B563" t="s">
        <v>40</v>
      </c>
      <c r="C563">
        <v>34</v>
      </c>
      <c r="D563">
        <v>20</v>
      </c>
      <c r="E563" s="1">
        <f t="shared" si="8"/>
        <v>0.58823529411764708</v>
      </c>
      <c r="F563">
        <v>109.5</v>
      </c>
      <c r="G563">
        <v>108.6</v>
      </c>
      <c r="H563">
        <v>0.52470000000000006</v>
      </c>
      <c r="I563">
        <v>53.6</v>
      </c>
      <c r="J563">
        <v>51.5</v>
      </c>
      <c r="K563">
        <v>15.9</v>
      </c>
      <c r="L563">
        <v>16.8</v>
      </c>
      <c r="M563">
        <v>24.4</v>
      </c>
      <c r="N563">
        <v>32.799999999999997</v>
      </c>
      <c r="O563">
        <v>37.1</v>
      </c>
      <c r="P563">
        <v>31</v>
      </c>
      <c r="Q563">
        <v>51.8</v>
      </c>
      <c r="R563">
        <v>51.3</v>
      </c>
      <c r="S563">
        <v>37.4</v>
      </c>
      <c r="T563">
        <v>34.6</v>
      </c>
      <c r="U563">
        <v>78.900000000000006</v>
      </c>
      <c r="V563">
        <v>-7.4</v>
      </c>
      <c r="W563" cm="1">
        <f t="array" ref="W563">_xlfn.IFS(OR(X563="N/A",X563="NA"),0,OR(X563="R64",X563="R68"),1,X563="R32",2,X563="S16",3,X563="E8",4,X563="F4",5,X563="2ND",6,X563="Champions",7)</f>
        <v>0</v>
      </c>
      <c r="X563" t="s">
        <v>90</v>
      </c>
      <c r="Y563" t="s">
        <v>90</v>
      </c>
      <c r="Z563">
        <v>2017</v>
      </c>
    </row>
    <row r="564" spans="1:26" x14ac:dyDescent="0.3">
      <c r="A564" t="s">
        <v>213</v>
      </c>
      <c r="B564" t="s">
        <v>40</v>
      </c>
      <c r="C564">
        <v>28</v>
      </c>
      <c r="D564">
        <v>8</v>
      </c>
      <c r="E564" s="1">
        <f t="shared" si="8"/>
        <v>0.2857142857142857</v>
      </c>
      <c r="F564">
        <v>95.9</v>
      </c>
      <c r="G564">
        <v>109.6</v>
      </c>
      <c r="H564">
        <v>0.1772</v>
      </c>
      <c r="I564">
        <v>47.4</v>
      </c>
      <c r="J564">
        <v>50.4</v>
      </c>
      <c r="K564">
        <v>18.399999999999999</v>
      </c>
      <c r="L564">
        <v>17.8</v>
      </c>
      <c r="M564">
        <v>26.5</v>
      </c>
      <c r="N564">
        <v>31.2</v>
      </c>
      <c r="O564">
        <v>34.9</v>
      </c>
      <c r="P564">
        <v>35</v>
      </c>
      <c r="Q564">
        <v>47.3</v>
      </c>
      <c r="R564">
        <v>49.6</v>
      </c>
      <c r="S564">
        <v>31.7</v>
      </c>
      <c r="T564">
        <v>34.6</v>
      </c>
      <c r="U564">
        <v>71.2</v>
      </c>
      <c r="V564">
        <v>-17.600000000000001</v>
      </c>
      <c r="W564" cm="1">
        <f t="array" ref="W564">_xlfn.IFS(OR(X564="N/A",X564="NA"),0,OR(X564="R64",X564="R68"),1,X564="R32",2,X564="S16",3,X564="E8",4,X564="F4",5,X564="2ND",6,X564="Champions",7)</f>
        <v>0</v>
      </c>
      <c r="X564" t="s">
        <v>90</v>
      </c>
      <c r="Y564" t="s">
        <v>90</v>
      </c>
      <c r="Z564">
        <v>2017</v>
      </c>
    </row>
    <row r="565" spans="1:26" x14ac:dyDescent="0.3">
      <c r="A565" t="s">
        <v>214</v>
      </c>
      <c r="B565" t="s">
        <v>40</v>
      </c>
      <c r="C565">
        <v>31</v>
      </c>
      <c r="D565">
        <v>19</v>
      </c>
      <c r="E565" s="1">
        <f t="shared" si="8"/>
        <v>0.61290322580645162</v>
      </c>
      <c r="F565">
        <v>99.7</v>
      </c>
      <c r="G565">
        <v>96.3</v>
      </c>
      <c r="H565">
        <v>0.59960000000000002</v>
      </c>
      <c r="I565">
        <v>45.6</v>
      </c>
      <c r="J565">
        <v>46.4</v>
      </c>
      <c r="K565">
        <v>17.5</v>
      </c>
      <c r="L565">
        <v>20.100000000000001</v>
      </c>
      <c r="M565">
        <v>35.5</v>
      </c>
      <c r="N565">
        <v>25.6</v>
      </c>
      <c r="O565">
        <v>34.1</v>
      </c>
      <c r="P565">
        <v>38.6</v>
      </c>
      <c r="Q565">
        <v>44.5</v>
      </c>
      <c r="R565">
        <v>44</v>
      </c>
      <c r="S565">
        <v>32.4</v>
      </c>
      <c r="T565">
        <v>33.6</v>
      </c>
      <c r="U565">
        <v>62.6</v>
      </c>
      <c r="V565">
        <v>-5.7</v>
      </c>
      <c r="W565" cm="1">
        <f t="array" ref="W565">_xlfn.IFS(OR(X565="N/A",X565="NA"),0,OR(X565="R64",X565="R68"),1,X565="R32",2,X565="S16",3,X565="E8",4,X565="F4",5,X565="2ND",6,X565="Champions",7)</f>
        <v>0</v>
      </c>
      <c r="X565" t="s">
        <v>90</v>
      </c>
      <c r="Y565" t="s">
        <v>90</v>
      </c>
      <c r="Z565">
        <v>2017</v>
      </c>
    </row>
    <row r="566" spans="1:26" x14ac:dyDescent="0.3">
      <c r="A566" t="s">
        <v>215</v>
      </c>
      <c r="B566" t="s">
        <v>40</v>
      </c>
      <c r="C566">
        <v>33</v>
      </c>
      <c r="D566">
        <v>23</v>
      </c>
      <c r="E566" s="1">
        <f t="shared" si="8"/>
        <v>0.69696969696969702</v>
      </c>
      <c r="F566">
        <v>106.3</v>
      </c>
      <c r="G566">
        <v>107.4</v>
      </c>
      <c r="H566">
        <v>0.47010000000000002</v>
      </c>
      <c r="I566">
        <v>53.9</v>
      </c>
      <c r="J566">
        <v>50</v>
      </c>
      <c r="K566">
        <v>19.399999999999999</v>
      </c>
      <c r="L566">
        <v>17.399999999999999</v>
      </c>
      <c r="M566">
        <v>28.6</v>
      </c>
      <c r="N566">
        <v>26.2</v>
      </c>
      <c r="O566">
        <v>41.5</v>
      </c>
      <c r="P566">
        <v>35.700000000000003</v>
      </c>
      <c r="Q566">
        <v>50.9</v>
      </c>
      <c r="R566">
        <v>49.7</v>
      </c>
      <c r="S566">
        <v>38.9</v>
      </c>
      <c r="T566">
        <v>33.9</v>
      </c>
      <c r="U566">
        <v>73.900000000000006</v>
      </c>
      <c r="V566">
        <v>-6.2</v>
      </c>
      <c r="W566" cm="1">
        <f t="array" ref="W566">_xlfn.IFS(OR(X566="N/A",X566="NA"),0,OR(X566="R64",X566="R68"),1,X566="R32",2,X566="S16",3,X566="E8",4,X566="F4",5,X566="2ND",6,X566="Champions",7)</f>
        <v>0</v>
      </c>
      <c r="X566" t="s">
        <v>90</v>
      </c>
      <c r="Y566" t="s">
        <v>90</v>
      </c>
      <c r="Z566">
        <v>2017</v>
      </c>
    </row>
    <row r="567" spans="1:26" x14ac:dyDescent="0.3">
      <c r="A567" t="s">
        <v>216</v>
      </c>
      <c r="B567" t="s">
        <v>40</v>
      </c>
      <c r="C567">
        <v>29</v>
      </c>
      <c r="D567">
        <v>9</v>
      </c>
      <c r="E567" s="1">
        <f t="shared" si="8"/>
        <v>0.31034482758620691</v>
      </c>
      <c r="F567">
        <v>92.4</v>
      </c>
      <c r="G567">
        <v>109.2</v>
      </c>
      <c r="H567">
        <v>0.1278</v>
      </c>
      <c r="I567">
        <v>45</v>
      </c>
      <c r="J567">
        <v>52.2</v>
      </c>
      <c r="K567">
        <v>18.100000000000001</v>
      </c>
      <c r="L567">
        <v>16.600000000000001</v>
      </c>
      <c r="M567">
        <v>22.3</v>
      </c>
      <c r="N567">
        <v>25.8</v>
      </c>
      <c r="O567">
        <v>29.3</v>
      </c>
      <c r="P567">
        <v>33.9</v>
      </c>
      <c r="Q567">
        <v>45.4</v>
      </c>
      <c r="R567">
        <v>49.4</v>
      </c>
      <c r="S567">
        <v>29.6</v>
      </c>
      <c r="T567">
        <v>37.4</v>
      </c>
      <c r="U567">
        <v>66.900000000000006</v>
      </c>
      <c r="V567">
        <v>-16.7</v>
      </c>
      <c r="W567" cm="1">
        <f t="array" ref="W567">_xlfn.IFS(OR(X567="N/A",X567="NA"),0,OR(X567="R64",X567="R68"),1,X567="R32",2,X567="S16",3,X567="E8",4,X567="F4",5,X567="2ND",6,X567="Champions",7)</f>
        <v>0</v>
      </c>
      <c r="X567" t="s">
        <v>90</v>
      </c>
      <c r="Y567" t="s">
        <v>90</v>
      </c>
      <c r="Z567">
        <v>2017</v>
      </c>
    </row>
    <row r="568" spans="1:26" x14ac:dyDescent="0.3">
      <c r="A568" t="s">
        <v>220</v>
      </c>
      <c r="B568" t="s">
        <v>40</v>
      </c>
      <c r="C568">
        <v>32</v>
      </c>
      <c r="D568">
        <v>17</v>
      </c>
      <c r="E568" s="1">
        <f t="shared" si="8"/>
        <v>0.53125</v>
      </c>
      <c r="F568">
        <v>103.1</v>
      </c>
      <c r="G568">
        <v>105.1</v>
      </c>
      <c r="H568">
        <v>0.44490000000000002</v>
      </c>
      <c r="I568">
        <v>51.3</v>
      </c>
      <c r="J568">
        <v>49.8</v>
      </c>
      <c r="K568">
        <v>20</v>
      </c>
      <c r="L568">
        <v>17.3</v>
      </c>
      <c r="M568">
        <v>30</v>
      </c>
      <c r="N568">
        <v>28.1</v>
      </c>
      <c r="O568">
        <v>37.700000000000003</v>
      </c>
      <c r="P568">
        <v>29.4</v>
      </c>
      <c r="Q568">
        <v>51.3</v>
      </c>
      <c r="R568">
        <v>48.8</v>
      </c>
      <c r="S568">
        <v>34.1</v>
      </c>
      <c r="T568">
        <v>34.200000000000003</v>
      </c>
      <c r="U568">
        <v>67.8</v>
      </c>
      <c r="V568">
        <v>-9.4</v>
      </c>
      <c r="W568" cm="1">
        <f t="array" ref="W568">_xlfn.IFS(OR(X568="N/A",X568="NA"),0,OR(X568="R64",X568="R68"),1,X568="R32",2,X568="S16",3,X568="E8",4,X568="F4",5,X568="2ND",6,X568="Champions",7)</f>
        <v>0</v>
      </c>
      <c r="X568" t="s">
        <v>90</v>
      </c>
      <c r="Y568" t="s">
        <v>90</v>
      </c>
      <c r="Z568">
        <v>2017</v>
      </c>
    </row>
    <row r="569" spans="1:26" x14ac:dyDescent="0.3">
      <c r="A569" t="s">
        <v>217</v>
      </c>
      <c r="B569" t="s">
        <v>40</v>
      </c>
      <c r="C569">
        <v>31</v>
      </c>
      <c r="D569">
        <v>15</v>
      </c>
      <c r="E569" s="1">
        <f t="shared" si="8"/>
        <v>0.4838709677419355</v>
      </c>
      <c r="F569">
        <v>100.1</v>
      </c>
      <c r="G569">
        <v>102.2</v>
      </c>
      <c r="H569">
        <v>0.44190000000000002</v>
      </c>
      <c r="I569">
        <v>51.8</v>
      </c>
      <c r="J569">
        <v>49.5</v>
      </c>
      <c r="K569">
        <v>19</v>
      </c>
      <c r="L569">
        <v>17.5</v>
      </c>
      <c r="M569">
        <v>22.2</v>
      </c>
      <c r="N569">
        <v>25</v>
      </c>
      <c r="O569">
        <v>36.299999999999997</v>
      </c>
      <c r="P569">
        <v>39.1</v>
      </c>
      <c r="Q569">
        <v>51.9</v>
      </c>
      <c r="R569">
        <v>48.5</v>
      </c>
      <c r="S569">
        <v>34.299999999999997</v>
      </c>
      <c r="T569">
        <v>34</v>
      </c>
      <c r="U569">
        <v>67.5</v>
      </c>
      <c r="V569">
        <v>-11.6</v>
      </c>
      <c r="W569" cm="1">
        <f t="array" ref="W569">_xlfn.IFS(OR(X569="N/A",X569="NA"),0,OR(X569="R64",X569="R68"),1,X569="R32",2,X569="S16",3,X569="E8",4,X569="F4",5,X569="2ND",6,X569="Champions",7)</f>
        <v>0</v>
      </c>
      <c r="X569" t="s">
        <v>90</v>
      </c>
      <c r="Y569" t="s">
        <v>90</v>
      </c>
      <c r="Z569">
        <v>2017</v>
      </c>
    </row>
    <row r="570" spans="1:26" x14ac:dyDescent="0.3">
      <c r="A570" t="s">
        <v>218</v>
      </c>
      <c r="B570" t="s">
        <v>40</v>
      </c>
      <c r="C570">
        <v>31</v>
      </c>
      <c r="D570">
        <v>14</v>
      </c>
      <c r="E570" s="1">
        <f t="shared" si="8"/>
        <v>0.45161290322580644</v>
      </c>
      <c r="F570">
        <v>94.7</v>
      </c>
      <c r="G570">
        <v>102.3</v>
      </c>
      <c r="H570">
        <v>0.29249999999999998</v>
      </c>
      <c r="I570">
        <v>42.6</v>
      </c>
      <c r="J570">
        <v>49.7</v>
      </c>
      <c r="K570">
        <v>18.100000000000001</v>
      </c>
      <c r="L570">
        <v>17.600000000000001</v>
      </c>
      <c r="M570">
        <v>32.4</v>
      </c>
      <c r="N570">
        <v>24.2</v>
      </c>
      <c r="O570">
        <v>36.200000000000003</v>
      </c>
      <c r="P570">
        <v>37.9</v>
      </c>
      <c r="Q570">
        <v>43.7</v>
      </c>
      <c r="R570">
        <v>48.4</v>
      </c>
      <c r="S570">
        <v>26.7</v>
      </c>
      <c r="T570">
        <v>34.799999999999997</v>
      </c>
      <c r="U570">
        <v>69.5</v>
      </c>
      <c r="V570">
        <v>-13.3</v>
      </c>
      <c r="W570" cm="1">
        <f t="array" ref="W570">_xlfn.IFS(OR(X570="N/A",X570="NA"),0,OR(X570="R64",X570="R68"),1,X570="R32",2,X570="S16",3,X570="E8",4,X570="F4",5,X570="2ND",6,X570="Champions",7)</f>
        <v>0</v>
      </c>
      <c r="X570" t="s">
        <v>90</v>
      </c>
      <c r="Y570" t="s">
        <v>90</v>
      </c>
      <c r="Z570">
        <v>2017</v>
      </c>
    </row>
    <row r="571" spans="1:26" x14ac:dyDescent="0.3">
      <c r="A571" t="s">
        <v>219</v>
      </c>
      <c r="B571" t="s">
        <v>40</v>
      </c>
      <c r="C571">
        <v>32</v>
      </c>
      <c r="D571">
        <v>15</v>
      </c>
      <c r="E571" s="1">
        <f t="shared" si="8"/>
        <v>0.46875</v>
      </c>
      <c r="F571">
        <v>102.5</v>
      </c>
      <c r="G571">
        <v>107.8</v>
      </c>
      <c r="H571">
        <v>0.35720000000000002</v>
      </c>
      <c r="I571">
        <v>50.1</v>
      </c>
      <c r="J571">
        <v>52.3</v>
      </c>
      <c r="K571">
        <v>18</v>
      </c>
      <c r="L571">
        <v>15.8</v>
      </c>
      <c r="M571">
        <v>27.3</v>
      </c>
      <c r="N571">
        <v>26.7</v>
      </c>
      <c r="O571">
        <v>37.200000000000003</v>
      </c>
      <c r="P571">
        <v>24.7</v>
      </c>
      <c r="Q571">
        <v>48.5</v>
      </c>
      <c r="R571">
        <v>50.4</v>
      </c>
      <c r="S571">
        <v>35.4</v>
      </c>
      <c r="T571">
        <v>36.799999999999997</v>
      </c>
      <c r="U571">
        <v>67.5</v>
      </c>
      <c r="V571">
        <v>-11</v>
      </c>
      <c r="W571" cm="1">
        <f t="array" ref="W571">_xlfn.IFS(OR(X571="N/A",X571="NA"),0,OR(X571="R64",X571="R68"),1,X571="R32",2,X571="S16",3,X571="E8",4,X571="F4",5,X571="2ND",6,X571="Champions",7)</f>
        <v>0</v>
      </c>
      <c r="X571" t="s">
        <v>90</v>
      </c>
      <c r="Y571" t="s">
        <v>90</v>
      </c>
      <c r="Z571">
        <v>2017</v>
      </c>
    </row>
    <row r="572" spans="1:26" x14ac:dyDescent="0.3">
      <c r="A572" t="s">
        <v>207</v>
      </c>
      <c r="B572" t="s">
        <v>40</v>
      </c>
      <c r="C572">
        <v>28</v>
      </c>
      <c r="D572">
        <v>6</v>
      </c>
      <c r="E572" s="1">
        <f t="shared" si="8"/>
        <v>0.21428571428571427</v>
      </c>
      <c r="F572">
        <v>98.7</v>
      </c>
      <c r="G572">
        <v>113</v>
      </c>
      <c r="H572">
        <v>0.17269999999999999</v>
      </c>
      <c r="I572">
        <v>48.3</v>
      </c>
      <c r="J572">
        <v>54.7</v>
      </c>
      <c r="K572">
        <v>20.6</v>
      </c>
      <c r="L572">
        <v>17.600000000000001</v>
      </c>
      <c r="M572">
        <v>26.2</v>
      </c>
      <c r="N572">
        <v>28.8</v>
      </c>
      <c r="O572">
        <v>38.9</v>
      </c>
      <c r="P572">
        <v>31.7</v>
      </c>
      <c r="Q572">
        <v>46.5</v>
      </c>
      <c r="R572">
        <v>54.2</v>
      </c>
      <c r="S572">
        <v>34.6</v>
      </c>
      <c r="T572">
        <v>37.1</v>
      </c>
      <c r="U572">
        <v>72.400000000000006</v>
      </c>
      <c r="V572">
        <v>-16.899999999999999</v>
      </c>
      <c r="W572" cm="1">
        <f t="array" ref="W572">_xlfn.IFS(OR(X572="N/A",X572="NA"),0,OR(X572="R64",X572="R68"),1,X572="R32",2,X572="S16",3,X572="E8",4,X572="F4",5,X572="2ND",6,X572="Champions",7)</f>
        <v>0</v>
      </c>
      <c r="X572" t="s">
        <v>90</v>
      </c>
      <c r="Y572" t="s">
        <v>90</v>
      </c>
      <c r="Z572">
        <v>2018</v>
      </c>
    </row>
    <row r="573" spans="1:26" x14ac:dyDescent="0.3">
      <c r="A573" t="s">
        <v>208</v>
      </c>
      <c r="B573" t="s">
        <v>40</v>
      </c>
      <c r="C573">
        <v>29</v>
      </c>
      <c r="D573">
        <v>14</v>
      </c>
      <c r="E573" s="1">
        <f t="shared" si="8"/>
        <v>0.48275862068965519</v>
      </c>
      <c r="F573">
        <v>98.6</v>
      </c>
      <c r="G573">
        <v>102.4</v>
      </c>
      <c r="H573">
        <v>0.39269999999999999</v>
      </c>
      <c r="I573">
        <v>47.1</v>
      </c>
      <c r="J573">
        <v>50.6</v>
      </c>
      <c r="K573">
        <v>15.6</v>
      </c>
      <c r="L573">
        <v>19.8</v>
      </c>
      <c r="M573">
        <v>25.9</v>
      </c>
      <c r="N573">
        <v>27.4</v>
      </c>
      <c r="O573">
        <v>36.5</v>
      </c>
      <c r="P573">
        <v>34.799999999999997</v>
      </c>
      <c r="Q573">
        <v>47.2</v>
      </c>
      <c r="R573">
        <v>50.6</v>
      </c>
      <c r="S573">
        <v>31.3</v>
      </c>
      <c r="T573">
        <v>33.700000000000003</v>
      </c>
      <c r="U573">
        <v>69.900000000000006</v>
      </c>
      <c r="V573">
        <v>-13</v>
      </c>
      <c r="W573" cm="1">
        <f t="array" ref="W573">_xlfn.IFS(OR(X573="N/A",X573="NA"),0,OR(X573="R64",X573="R68"),1,X573="R32",2,X573="S16",3,X573="E8",4,X573="F4",5,X573="2ND",6,X573="Champions",7)</f>
        <v>0</v>
      </c>
      <c r="X573" t="s">
        <v>90</v>
      </c>
      <c r="Y573" t="s">
        <v>90</v>
      </c>
      <c r="Z573">
        <v>2018</v>
      </c>
    </row>
    <row r="574" spans="1:26" x14ac:dyDescent="0.3">
      <c r="A574" t="s">
        <v>209</v>
      </c>
      <c r="B574" t="s">
        <v>40</v>
      </c>
      <c r="C574">
        <v>28</v>
      </c>
      <c r="D574">
        <v>12</v>
      </c>
      <c r="E574" s="1">
        <f t="shared" si="8"/>
        <v>0.42857142857142855</v>
      </c>
      <c r="F574">
        <v>95.5</v>
      </c>
      <c r="G574">
        <v>102</v>
      </c>
      <c r="H574">
        <v>0.31869999999999998</v>
      </c>
      <c r="I574">
        <v>43.9</v>
      </c>
      <c r="J574">
        <v>49.2</v>
      </c>
      <c r="K574">
        <v>18.2</v>
      </c>
      <c r="L574">
        <v>16.600000000000001</v>
      </c>
      <c r="M574">
        <v>28.5</v>
      </c>
      <c r="N574">
        <v>27.5</v>
      </c>
      <c r="O574">
        <v>29</v>
      </c>
      <c r="P574">
        <v>32.6</v>
      </c>
      <c r="Q574">
        <v>42.3</v>
      </c>
      <c r="R574">
        <v>49.1</v>
      </c>
      <c r="S574">
        <v>31.9</v>
      </c>
      <c r="T574">
        <v>32.9</v>
      </c>
      <c r="U574">
        <v>70.2</v>
      </c>
      <c r="V574">
        <v>-12.7</v>
      </c>
      <c r="W574" cm="1">
        <f t="array" ref="W574">_xlfn.IFS(OR(X574="N/A",X574="NA"),0,OR(X574="R64",X574="R68"),1,X574="R32",2,X574="S16",3,X574="E8",4,X574="F4",5,X574="2ND",6,X574="Champions",7)</f>
        <v>0</v>
      </c>
      <c r="X574" t="s">
        <v>90</v>
      </c>
      <c r="Y574" t="s">
        <v>90</v>
      </c>
      <c r="Z574">
        <v>2018</v>
      </c>
    </row>
    <row r="575" spans="1:26" x14ac:dyDescent="0.3">
      <c r="A575" t="s">
        <v>210</v>
      </c>
      <c r="B575" t="s">
        <v>40</v>
      </c>
      <c r="C575">
        <v>31</v>
      </c>
      <c r="D575">
        <v>17</v>
      </c>
      <c r="E575" s="1">
        <f t="shared" si="8"/>
        <v>0.54838709677419351</v>
      </c>
      <c r="F575">
        <v>106.2</v>
      </c>
      <c r="G575">
        <v>104.3</v>
      </c>
      <c r="H575">
        <v>0.55159999999999998</v>
      </c>
      <c r="I575">
        <v>50.9</v>
      </c>
      <c r="J575">
        <v>50.6</v>
      </c>
      <c r="K575">
        <v>17.899999999999999</v>
      </c>
      <c r="L575">
        <v>18.2</v>
      </c>
      <c r="M575">
        <v>27.4</v>
      </c>
      <c r="N575">
        <v>29</v>
      </c>
      <c r="O575">
        <v>36.5</v>
      </c>
      <c r="P575">
        <v>32.1</v>
      </c>
      <c r="Q575">
        <v>48.2</v>
      </c>
      <c r="R575">
        <v>48.6</v>
      </c>
      <c r="S575">
        <v>36.700000000000003</v>
      </c>
      <c r="T575">
        <v>36.4</v>
      </c>
      <c r="U575">
        <v>68.5</v>
      </c>
      <c r="V575">
        <v>-9</v>
      </c>
      <c r="W575" cm="1">
        <f t="array" ref="W575">_xlfn.IFS(OR(X575="N/A",X575="NA"),0,OR(X575="R64",X575="R68"),1,X575="R32",2,X575="S16",3,X575="E8",4,X575="F4",5,X575="2ND",6,X575="Champions",7)</f>
        <v>0</v>
      </c>
      <c r="X575" t="s">
        <v>90</v>
      </c>
      <c r="Y575" t="s">
        <v>90</v>
      </c>
      <c r="Z575">
        <v>2018</v>
      </c>
    </row>
    <row r="576" spans="1:26" x14ac:dyDescent="0.3">
      <c r="A576" t="s">
        <v>212</v>
      </c>
      <c r="B576" t="s">
        <v>40</v>
      </c>
      <c r="C576">
        <v>32</v>
      </c>
      <c r="D576">
        <v>25</v>
      </c>
      <c r="E576" s="1">
        <f t="shared" si="8"/>
        <v>0.78125</v>
      </c>
      <c r="F576">
        <v>110.3</v>
      </c>
      <c r="G576">
        <v>96.8</v>
      </c>
      <c r="H576">
        <v>0.81859999999999999</v>
      </c>
      <c r="I576">
        <v>53.1</v>
      </c>
      <c r="J576">
        <v>49.2</v>
      </c>
      <c r="K576">
        <v>18.600000000000001</v>
      </c>
      <c r="L576">
        <v>19.100000000000001</v>
      </c>
      <c r="M576">
        <v>30.7</v>
      </c>
      <c r="N576">
        <v>22.3</v>
      </c>
      <c r="O576">
        <v>30.1</v>
      </c>
      <c r="P576">
        <v>40.799999999999997</v>
      </c>
      <c r="Q576">
        <v>51.9</v>
      </c>
      <c r="R576">
        <v>50.4</v>
      </c>
      <c r="S576">
        <v>37.1</v>
      </c>
      <c r="T576">
        <v>31.5</v>
      </c>
      <c r="U576">
        <v>67.7</v>
      </c>
      <c r="V576">
        <v>0.8</v>
      </c>
      <c r="W576" cm="1">
        <f t="array" ref="W576">_xlfn.IFS(OR(X576="N/A",X576="NA"),0,OR(X576="R64",X576="R68"),1,X576="R32",2,X576="S16",3,X576="E8",4,X576="F4",5,X576="2ND",6,X576="Champions",7)</f>
        <v>0</v>
      </c>
      <c r="X576" t="s">
        <v>90</v>
      </c>
      <c r="Y576" t="s">
        <v>90</v>
      </c>
      <c r="Z576">
        <v>2018</v>
      </c>
    </row>
    <row r="577" spans="1:26" x14ac:dyDescent="0.3">
      <c r="A577" t="s">
        <v>213</v>
      </c>
      <c r="B577" t="s">
        <v>40</v>
      </c>
      <c r="C577">
        <v>36</v>
      </c>
      <c r="D577">
        <v>20</v>
      </c>
      <c r="E577" s="1">
        <f t="shared" si="8"/>
        <v>0.55555555555555558</v>
      </c>
      <c r="F577">
        <v>105.5</v>
      </c>
      <c r="G577">
        <v>102.8</v>
      </c>
      <c r="H577">
        <v>0.57410000000000005</v>
      </c>
      <c r="I577">
        <v>51.2</v>
      </c>
      <c r="J577">
        <v>48.6</v>
      </c>
      <c r="K577">
        <v>18.7</v>
      </c>
      <c r="L577">
        <v>17.3</v>
      </c>
      <c r="M577">
        <v>30.2</v>
      </c>
      <c r="N577">
        <v>25.7</v>
      </c>
      <c r="O577">
        <v>33.6</v>
      </c>
      <c r="P577">
        <v>38.799999999999997</v>
      </c>
      <c r="Q577">
        <v>50</v>
      </c>
      <c r="R577">
        <v>49.1</v>
      </c>
      <c r="S577">
        <v>35.4</v>
      </c>
      <c r="T577">
        <v>31.9</v>
      </c>
      <c r="U577">
        <v>68.5</v>
      </c>
      <c r="V577">
        <v>-10.199999999999999</v>
      </c>
      <c r="W577" cm="1">
        <f t="array" ref="W577">_xlfn.IFS(OR(X577="N/A",X577="NA"),0,OR(X577="R64",X577="R68"),1,X577="R32",2,X577="S16",3,X577="E8",4,X577="F4",5,X577="2ND",6,X577="Champions",7)</f>
        <v>0</v>
      </c>
      <c r="X577" t="s">
        <v>90</v>
      </c>
      <c r="Y577" t="s">
        <v>90</v>
      </c>
      <c r="Z577">
        <v>2018</v>
      </c>
    </row>
    <row r="578" spans="1:26" x14ac:dyDescent="0.3">
      <c r="A578" t="s">
        <v>214</v>
      </c>
      <c r="B578" t="s">
        <v>40</v>
      </c>
      <c r="C578">
        <v>32</v>
      </c>
      <c r="D578">
        <v>25</v>
      </c>
      <c r="E578" s="1">
        <f t="shared" si="8"/>
        <v>0.78125</v>
      </c>
      <c r="F578">
        <v>107.5</v>
      </c>
      <c r="G578">
        <v>95.7</v>
      </c>
      <c r="H578">
        <v>0.79100000000000004</v>
      </c>
      <c r="I578">
        <v>50.7</v>
      </c>
      <c r="J578">
        <v>47.7</v>
      </c>
      <c r="K578">
        <v>15.5</v>
      </c>
      <c r="L578">
        <v>21.6</v>
      </c>
      <c r="M578">
        <v>32.299999999999997</v>
      </c>
      <c r="N578">
        <v>26.2</v>
      </c>
      <c r="O578">
        <v>33</v>
      </c>
      <c r="P578">
        <v>30.3</v>
      </c>
      <c r="Q578">
        <v>49.3</v>
      </c>
      <c r="R578">
        <v>45.6</v>
      </c>
      <c r="S578">
        <v>35.700000000000003</v>
      </c>
      <c r="T578">
        <v>33.799999999999997</v>
      </c>
      <c r="U578">
        <v>66</v>
      </c>
      <c r="V578">
        <v>-0.9</v>
      </c>
      <c r="W578" cm="1">
        <f t="array" ref="W578">_xlfn.IFS(OR(X578="N/A",X578="NA"),0,OR(X578="R64",X578="R68"),1,X578="R32",2,X578="S16",3,X578="E8",4,X578="F4",5,X578="2ND",6,X578="Champions",7)</f>
        <v>0</v>
      </c>
      <c r="X578" t="s">
        <v>90</v>
      </c>
      <c r="Y578" t="s">
        <v>90</v>
      </c>
      <c r="Z578">
        <v>2018</v>
      </c>
    </row>
    <row r="579" spans="1:26" x14ac:dyDescent="0.3">
      <c r="A579" t="s">
        <v>215</v>
      </c>
      <c r="B579" t="s">
        <v>40</v>
      </c>
      <c r="C579">
        <v>29</v>
      </c>
      <c r="D579">
        <v>7</v>
      </c>
      <c r="E579" s="1">
        <f t="shared" ref="E579:E642" si="9">D579/C579</f>
        <v>0.2413793103448276</v>
      </c>
      <c r="F579">
        <v>98.9</v>
      </c>
      <c r="G579">
        <v>108.4</v>
      </c>
      <c r="H579">
        <v>0.25850000000000001</v>
      </c>
      <c r="I579">
        <v>48</v>
      </c>
      <c r="J579">
        <v>52.6</v>
      </c>
      <c r="K579">
        <v>20.7</v>
      </c>
      <c r="L579">
        <v>16.5</v>
      </c>
      <c r="M579">
        <v>27.6</v>
      </c>
      <c r="N579">
        <v>28.4</v>
      </c>
      <c r="O579">
        <v>35.200000000000003</v>
      </c>
      <c r="P579">
        <v>28.5</v>
      </c>
      <c r="Q579">
        <v>48</v>
      </c>
      <c r="R579">
        <v>51.7</v>
      </c>
      <c r="S579">
        <v>32.1</v>
      </c>
      <c r="T579">
        <v>36</v>
      </c>
      <c r="U579">
        <v>68.900000000000006</v>
      </c>
      <c r="V579">
        <v>-17.399999999999999</v>
      </c>
      <c r="W579" cm="1">
        <f t="array" ref="W579">_xlfn.IFS(OR(X579="N/A",X579="NA"),0,OR(X579="R64",X579="R68"),1,X579="R32",2,X579="S16",3,X579="E8",4,X579="F4",5,X579="2ND",6,X579="Champions",7)</f>
        <v>0</v>
      </c>
      <c r="X579" t="s">
        <v>90</v>
      </c>
      <c r="Y579" t="s">
        <v>90</v>
      </c>
      <c r="Z579">
        <v>2018</v>
      </c>
    </row>
    <row r="580" spans="1:26" x14ac:dyDescent="0.3">
      <c r="A580" t="s">
        <v>216</v>
      </c>
      <c r="B580" t="s">
        <v>40</v>
      </c>
      <c r="C580">
        <v>30</v>
      </c>
      <c r="D580">
        <v>16</v>
      </c>
      <c r="E580" s="1">
        <f t="shared" si="9"/>
        <v>0.53333333333333333</v>
      </c>
      <c r="F580">
        <v>104.7</v>
      </c>
      <c r="G580">
        <v>107.9</v>
      </c>
      <c r="H580">
        <v>0.41389999999999999</v>
      </c>
      <c r="I580">
        <v>50.3</v>
      </c>
      <c r="J580">
        <v>56</v>
      </c>
      <c r="K580">
        <v>14.6</v>
      </c>
      <c r="L580">
        <v>19.8</v>
      </c>
      <c r="M580">
        <v>20.5</v>
      </c>
      <c r="N580">
        <v>29</v>
      </c>
      <c r="O580">
        <v>28.3</v>
      </c>
      <c r="P580">
        <v>32.9</v>
      </c>
      <c r="Q580">
        <v>49.8</v>
      </c>
      <c r="R580">
        <v>55.1</v>
      </c>
      <c r="S580">
        <v>34.1</v>
      </c>
      <c r="T580">
        <v>38.1</v>
      </c>
      <c r="U580">
        <v>66.3</v>
      </c>
      <c r="V580">
        <v>-9.9</v>
      </c>
      <c r="W580" cm="1">
        <f t="array" ref="W580">_xlfn.IFS(OR(X580="N/A",X580="NA"),0,OR(X580="R64",X580="R68"),1,X580="R32",2,X580="S16",3,X580="E8",4,X580="F4",5,X580="2ND",6,X580="Champions",7)</f>
        <v>0</v>
      </c>
      <c r="X580" t="s">
        <v>90</v>
      </c>
      <c r="Y580" t="s">
        <v>90</v>
      </c>
      <c r="Z580">
        <v>2018</v>
      </c>
    </row>
    <row r="581" spans="1:26" x14ac:dyDescent="0.3">
      <c r="A581" t="s">
        <v>220</v>
      </c>
      <c r="B581" t="s">
        <v>40</v>
      </c>
      <c r="C581">
        <v>31</v>
      </c>
      <c r="D581">
        <v>20</v>
      </c>
      <c r="E581" s="1">
        <f t="shared" si="9"/>
        <v>0.64516129032258063</v>
      </c>
      <c r="F581">
        <v>108</v>
      </c>
      <c r="G581">
        <v>102.5</v>
      </c>
      <c r="H581">
        <v>0.64480000000000004</v>
      </c>
      <c r="I581">
        <v>54.7</v>
      </c>
      <c r="J581">
        <v>50.6</v>
      </c>
      <c r="K581">
        <v>19</v>
      </c>
      <c r="L581">
        <v>17.600000000000001</v>
      </c>
      <c r="M581">
        <v>30.9</v>
      </c>
      <c r="N581">
        <v>25</v>
      </c>
      <c r="O581">
        <v>28.3</v>
      </c>
      <c r="P581">
        <v>26.8</v>
      </c>
      <c r="Q581">
        <v>55.9</v>
      </c>
      <c r="R581">
        <v>49.1</v>
      </c>
      <c r="S581">
        <v>34.799999999999997</v>
      </c>
      <c r="T581">
        <v>35</v>
      </c>
      <c r="U581">
        <v>68.8</v>
      </c>
      <c r="V581">
        <v>-6.1</v>
      </c>
      <c r="W581" cm="1">
        <f t="array" ref="W581">_xlfn.IFS(OR(X581="N/A",X581="NA"),0,OR(X581="R64",X581="R68"),1,X581="R32",2,X581="S16",3,X581="E8",4,X581="F4",5,X581="2ND",6,X581="Champions",7)</f>
        <v>0</v>
      </c>
      <c r="X581" t="s">
        <v>90</v>
      </c>
      <c r="Y581" t="s">
        <v>90</v>
      </c>
      <c r="Z581">
        <v>2018</v>
      </c>
    </row>
    <row r="582" spans="1:26" x14ac:dyDescent="0.3">
      <c r="A582" t="s">
        <v>217</v>
      </c>
      <c r="B582" t="s">
        <v>40</v>
      </c>
      <c r="C582">
        <v>30</v>
      </c>
      <c r="D582">
        <v>11</v>
      </c>
      <c r="E582" s="1">
        <f t="shared" si="9"/>
        <v>0.36666666666666664</v>
      </c>
      <c r="F582">
        <v>96.8</v>
      </c>
      <c r="G582">
        <v>103</v>
      </c>
      <c r="H582">
        <v>0.3286</v>
      </c>
      <c r="I582">
        <v>49.3</v>
      </c>
      <c r="J582">
        <v>50.6</v>
      </c>
      <c r="K582">
        <v>17.8</v>
      </c>
      <c r="L582">
        <v>17.399999999999999</v>
      </c>
      <c r="M582">
        <v>19</v>
      </c>
      <c r="N582">
        <v>27</v>
      </c>
      <c r="O582">
        <v>30.9</v>
      </c>
      <c r="P582">
        <v>36.4</v>
      </c>
      <c r="Q582">
        <v>49</v>
      </c>
      <c r="R582">
        <v>48.8</v>
      </c>
      <c r="S582">
        <v>33.1</v>
      </c>
      <c r="T582">
        <v>35.299999999999997</v>
      </c>
      <c r="U582">
        <v>68.900000000000006</v>
      </c>
      <c r="V582">
        <v>-13.7</v>
      </c>
      <c r="W582" cm="1">
        <f t="array" ref="W582">_xlfn.IFS(OR(X582="N/A",X582="NA"),0,OR(X582="R64",X582="R68"),1,X582="R32",2,X582="S16",3,X582="E8",4,X582="F4",5,X582="2ND",6,X582="Champions",7)</f>
        <v>0</v>
      </c>
      <c r="X582" t="s">
        <v>90</v>
      </c>
      <c r="Y582" t="s">
        <v>90</v>
      </c>
      <c r="Z582">
        <v>2018</v>
      </c>
    </row>
    <row r="583" spans="1:26" x14ac:dyDescent="0.3">
      <c r="A583" t="s">
        <v>218</v>
      </c>
      <c r="B583" t="s">
        <v>40</v>
      </c>
      <c r="C583">
        <v>32</v>
      </c>
      <c r="D583">
        <v>20</v>
      </c>
      <c r="E583" s="1">
        <f t="shared" si="9"/>
        <v>0.625</v>
      </c>
      <c r="F583">
        <v>104</v>
      </c>
      <c r="G583">
        <v>103.2</v>
      </c>
      <c r="H583">
        <v>0.52300000000000002</v>
      </c>
      <c r="I583">
        <v>51.1</v>
      </c>
      <c r="J583">
        <v>49.4</v>
      </c>
      <c r="K583">
        <v>17.100000000000001</v>
      </c>
      <c r="L583">
        <v>16.3</v>
      </c>
      <c r="M583">
        <v>26.5</v>
      </c>
      <c r="N583">
        <v>27.3</v>
      </c>
      <c r="O583">
        <v>29.6</v>
      </c>
      <c r="P583">
        <v>41.6</v>
      </c>
      <c r="Q583">
        <v>49.3</v>
      </c>
      <c r="R583">
        <v>47.8</v>
      </c>
      <c r="S583">
        <v>35.5</v>
      </c>
      <c r="T583">
        <v>34.700000000000003</v>
      </c>
      <c r="U583">
        <v>73</v>
      </c>
      <c r="V583">
        <v>-7.1</v>
      </c>
      <c r="W583" cm="1">
        <f t="array" ref="W583">_xlfn.IFS(OR(X583="N/A",X583="NA"),0,OR(X583="R64",X583="R68"),1,X583="R32",2,X583="S16",3,X583="E8",4,X583="F4",5,X583="2ND",6,X583="Champions",7)</f>
        <v>0</v>
      </c>
      <c r="X583" t="s">
        <v>90</v>
      </c>
      <c r="Y583" t="s">
        <v>90</v>
      </c>
      <c r="Z583">
        <v>2018</v>
      </c>
    </row>
    <row r="584" spans="1:26" x14ac:dyDescent="0.3">
      <c r="A584" t="s">
        <v>219</v>
      </c>
      <c r="B584" t="s">
        <v>40</v>
      </c>
      <c r="C584">
        <v>37</v>
      </c>
      <c r="D584">
        <v>27</v>
      </c>
      <c r="E584" s="1">
        <f t="shared" si="9"/>
        <v>0.72972972972972971</v>
      </c>
      <c r="F584">
        <v>113.8</v>
      </c>
      <c r="G584">
        <v>100.7</v>
      </c>
      <c r="H584">
        <v>0.80389999999999995</v>
      </c>
      <c r="I584">
        <v>54.2</v>
      </c>
      <c r="J584">
        <v>49.4</v>
      </c>
      <c r="K584">
        <v>16.600000000000001</v>
      </c>
      <c r="L584">
        <v>17.899999999999999</v>
      </c>
      <c r="M584">
        <v>29</v>
      </c>
      <c r="N584">
        <v>29.3</v>
      </c>
      <c r="O584">
        <v>40</v>
      </c>
      <c r="P584">
        <v>23.9</v>
      </c>
      <c r="Q584">
        <v>54.6</v>
      </c>
      <c r="R584">
        <v>46.7</v>
      </c>
      <c r="S584">
        <v>35.4</v>
      </c>
      <c r="T584">
        <v>36</v>
      </c>
      <c r="U584">
        <v>69.5</v>
      </c>
      <c r="V584">
        <v>-1.2</v>
      </c>
      <c r="W584" cm="1">
        <f t="array" ref="W584">_xlfn.IFS(OR(X584="N/A",X584="NA"),0,OR(X584="R64",X584="R68"),1,X584="R32",2,X584="S16",3,X584="E8",4,X584="F4",5,X584="2ND",6,X584="Champions",7)</f>
        <v>0</v>
      </c>
      <c r="X584" t="s">
        <v>90</v>
      </c>
      <c r="Y584" t="s">
        <v>90</v>
      </c>
      <c r="Z584">
        <v>2018</v>
      </c>
    </row>
    <row r="585" spans="1:26" x14ac:dyDescent="0.3">
      <c r="A585" t="s">
        <v>207</v>
      </c>
      <c r="B585" t="s">
        <v>40</v>
      </c>
      <c r="C585">
        <v>29</v>
      </c>
      <c r="D585">
        <v>8</v>
      </c>
      <c r="E585" s="1">
        <f t="shared" si="9"/>
        <v>0.27586206896551724</v>
      </c>
      <c r="F585">
        <v>95</v>
      </c>
      <c r="G585">
        <v>107.7</v>
      </c>
      <c r="H585">
        <v>0.19159999999999999</v>
      </c>
      <c r="I585">
        <v>48.1</v>
      </c>
      <c r="J585">
        <v>51.3</v>
      </c>
      <c r="K585">
        <v>22</v>
      </c>
      <c r="L585">
        <v>17.899999999999999</v>
      </c>
      <c r="M585">
        <v>22.3</v>
      </c>
      <c r="N585">
        <v>26.4</v>
      </c>
      <c r="O585">
        <v>36.299999999999997</v>
      </c>
      <c r="P585">
        <v>32.6</v>
      </c>
      <c r="Q585">
        <v>49.2</v>
      </c>
      <c r="R585">
        <v>49.9</v>
      </c>
      <c r="S585">
        <v>31.1</v>
      </c>
      <c r="T585">
        <v>35.5</v>
      </c>
      <c r="U585">
        <v>65.900000000000006</v>
      </c>
      <c r="V585">
        <v>-15.4</v>
      </c>
      <c r="W585" cm="1">
        <f t="array" ref="W585">_xlfn.IFS(OR(X585="N/A",X585="NA"),0,OR(X585="R64",X585="R68"),1,X585="R32",2,X585="S16",3,X585="E8",4,X585="F4",5,X585="2ND",6,X585="Champions",7)</f>
        <v>0</v>
      </c>
      <c r="X585" t="s">
        <v>90</v>
      </c>
      <c r="Y585" t="s">
        <v>90</v>
      </c>
      <c r="Z585">
        <v>2019</v>
      </c>
    </row>
    <row r="586" spans="1:26" x14ac:dyDescent="0.3">
      <c r="A586" t="s">
        <v>208</v>
      </c>
      <c r="B586" t="s">
        <v>40</v>
      </c>
      <c r="C586">
        <v>30</v>
      </c>
      <c r="D586">
        <v>20</v>
      </c>
      <c r="E586" s="1">
        <f t="shared" si="9"/>
        <v>0.66666666666666663</v>
      </c>
      <c r="F586">
        <v>101.4</v>
      </c>
      <c r="G586">
        <v>105.1</v>
      </c>
      <c r="H586">
        <v>0.39939999999999998</v>
      </c>
      <c r="I586">
        <v>48.9</v>
      </c>
      <c r="J586">
        <v>53.1</v>
      </c>
      <c r="K586">
        <v>17.7</v>
      </c>
      <c r="L586">
        <v>23.4</v>
      </c>
      <c r="M586">
        <v>25.7</v>
      </c>
      <c r="N586">
        <v>34.4</v>
      </c>
      <c r="O586">
        <v>37.9</v>
      </c>
      <c r="P586">
        <v>35.4</v>
      </c>
      <c r="Q586">
        <v>52.2</v>
      </c>
      <c r="R586">
        <v>53.6</v>
      </c>
      <c r="S586">
        <v>29.3</v>
      </c>
      <c r="T586">
        <v>34.799999999999997</v>
      </c>
      <c r="U586">
        <v>79.099999999999994</v>
      </c>
      <c r="V586">
        <v>-7.9</v>
      </c>
      <c r="W586" cm="1">
        <f t="array" ref="W586">_xlfn.IFS(OR(X586="N/A",X586="NA"),0,OR(X586="R64",X586="R68"),1,X586="R32",2,X586="S16",3,X586="E8",4,X586="F4",5,X586="2ND",6,X586="Champions",7)</f>
        <v>0</v>
      </c>
      <c r="X586" t="s">
        <v>90</v>
      </c>
      <c r="Y586" t="s">
        <v>90</v>
      </c>
      <c r="Z586">
        <v>2019</v>
      </c>
    </row>
    <row r="587" spans="1:26" x14ac:dyDescent="0.3">
      <c r="A587" t="s">
        <v>209</v>
      </c>
      <c r="B587" t="s">
        <v>40</v>
      </c>
      <c r="C587">
        <v>30</v>
      </c>
      <c r="D587">
        <v>17</v>
      </c>
      <c r="E587" s="1">
        <f t="shared" si="9"/>
        <v>0.56666666666666665</v>
      </c>
      <c r="F587">
        <v>98.4</v>
      </c>
      <c r="G587">
        <v>98.3</v>
      </c>
      <c r="H587">
        <v>0.50419999999999998</v>
      </c>
      <c r="I587">
        <v>47.9</v>
      </c>
      <c r="J587">
        <v>48.2</v>
      </c>
      <c r="K587">
        <v>20.7</v>
      </c>
      <c r="L587">
        <v>18.100000000000001</v>
      </c>
      <c r="M587">
        <v>29</v>
      </c>
      <c r="N587">
        <v>25.4</v>
      </c>
      <c r="O587">
        <v>28.6</v>
      </c>
      <c r="P587">
        <v>31.4</v>
      </c>
      <c r="Q587">
        <v>47</v>
      </c>
      <c r="R587">
        <v>48.7</v>
      </c>
      <c r="S587">
        <v>32.6</v>
      </c>
      <c r="T587">
        <v>31.6</v>
      </c>
      <c r="U587">
        <v>68.7</v>
      </c>
      <c r="V587">
        <v>-9</v>
      </c>
      <c r="W587" cm="1">
        <f t="array" ref="W587">_xlfn.IFS(OR(X587="N/A",X587="NA"),0,OR(X587="R64",X587="R68"),1,X587="R32",2,X587="S16",3,X587="E8",4,X587="F4",5,X587="2ND",6,X587="Champions",7)</f>
        <v>0</v>
      </c>
      <c r="X587" t="s">
        <v>90</v>
      </c>
      <c r="Y587" t="s">
        <v>90</v>
      </c>
      <c r="Z587">
        <v>2019</v>
      </c>
    </row>
    <row r="588" spans="1:26" x14ac:dyDescent="0.3">
      <c r="A588" t="s">
        <v>210</v>
      </c>
      <c r="B588" t="s">
        <v>40</v>
      </c>
      <c r="C588">
        <v>31</v>
      </c>
      <c r="D588">
        <v>20</v>
      </c>
      <c r="E588" s="1">
        <f t="shared" si="9"/>
        <v>0.64516129032258063</v>
      </c>
      <c r="F588">
        <v>103.3</v>
      </c>
      <c r="G588">
        <v>102.1</v>
      </c>
      <c r="H588">
        <v>0.53259999999999996</v>
      </c>
      <c r="I588">
        <v>49.8</v>
      </c>
      <c r="J588">
        <v>49.3</v>
      </c>
      <c r="K588">
        <v>17</v>
      </c>
      <c r="L588">
        <v>19.2</v>
      </c>
      <c r="M588">
        <v>29.4</v>
      </c>
      <c r="N588">
        <v>28.8</v>
      </c>
      <c r="O588">
        <v>35.9</v>
      </c>
      <c r="P588">
        <v>30.2</v>
      </c>
      <c r="Q588">
        <v>49.3</v>
      </c>
      <c r="R588">
        <v>49.1</v>
      </c>
      <c r="S588">
        <v>33.700000000000003</v>
      </c>
      <c r="T588">
        <v>33</v>
      </c>
      <c r="U588">
        <v>67</v>
      </c>
      <c r="V588">
        <v>-7</v>
      </c>
      <c r="W588" cm="1">
        <f t="array" ref="W588">_xlfn.IFS(OR(X588="N/A",X588="NA"),0,OR(X588="R64",X588="R68"),1,X588="R32",2,X588="S16",3,X588="E8",4,X588="F4",5,X588="2ND",6,X588="Champions",7)</f>
        <v>0</v>
      </c>
      <c r="X588" t="s">
        <v>90</v>
      </c>
      <c r="Y588" t="s">
        <v>90</v>
      </c>
      <c r="Z588">
        <v>2019</v>
      </c>
    </row>
    <row r="589" spans="1:26" x14ac:dyDescent="0.3">
      <c r="A589" t="s">
        <v>211</v>
      </c>
      <c r="B589" t="s">
        <v>40</v>
      </c>
      <c r="C589">
        <v>37</v>
      </c>
      <c r="D589">
        <v>23</v>
      </c>
      <c r="E589" s="1">
        <f t="shared" si="9"/>
        <v>0.6216216216216216</v>
      </c>
      <c r="F589">
        <v>105.5</v>
      </c>
      <c r="G589">
        <v>106</v>
      </c>
      <c r="H589">
        <v>0.48599999999999999</v>
      </c>
      <c r="I589">
        <v>51.9</v>
      </c>
      <c r="J589">
        <v>52</v>
      </c>
      <c r="K589">
        <v>15.9</v>
      </c>
      <c r="L589">
        <v>20.8</v>
      </c>
      <c r="M589">
        <v>22.9</v>
      </c>
      <c r="N589">
        <v>32.299999999999997</v>
      </c>
      <c r="O589">
        <v>30.5</v>
      </c>
      <c r="P589">
        <v>32.4</v>
      </c>
      <c r="Q589">
        <v>52.3</v>
      </c>
      <c r="R589">
        <v>51.4</v>
      </c>
      <c r="S589">
        <v>34.200000000000003</v>
      </c>
      <c r="T589">
        <v>35.5</v>
      </c>
      <c r="U589">
        <v>75.7</v>
      </c>
      <c r="V589">
        <v>-6.4</v>
      </c>
      <c r="W589" cm="1">
        <f t="array" ref="W589">_xlfn.IFS(OR(X589="N/A",X589="NA"),0,OR(X589="R64",X589="R68"),1,X589="R32",2,X589="S16",3,X589="E8",4,X589="F4",5,X589="2ND",6,X589="Champions",7)</f>
        <v>0</v>
      </c>
      <c r="X589" t="s">
        <v>90</v>
      </c>
      <c r="Y589" t="s">
        <v>90</v>
      </c>
      <c r="Z589">
        <v>2019</v>
      </c>
    </row>
    <row r="590" spans="1:26" x14ac:dyDescent="0.3">
      <c r="A590" t="s">
        <v>212</v>
      </c>
      <c r="B590" t="s">
        <v>40</v>
      </c>
      <c r="C590">
        <v>30</v>
      </c>
      <c r="D590">
        <v>11</v>
      </c>
      <c r="E590" s="1">
        <f t="shared" si="9"/>
        <v>0.36666666666666664</v>
      </c>
      <c r="F590">
        <v>96.8</v>
      </c>
      <c r="G590">
        <v>103.8</v>
      </c>
      <c r="H590">
        <v>0.30909999999999999</v>
      </c>
      <c r="I590">
        <v>46.7</v>
      </c>
      <c r="J590">
        <v>50.8</v>
      </c>
      <c r="K590">
        <v>22.8</v>
      </c>
      <c r="L590">
        <v>17.5</v>
      </c>
      <c r="M590">
        <v>32.299999999999997</v>
      </c>
      <c r="N590">
        <v>28.1</v>
      </c>
      <c r="O590">
        <v>29.6</v>
      </c>
      <c r="P590">
        <v>34.200000000000003</v>
      </c>
      <c r="Q590">
        <v>45.7</v>
      </c>
      <c r="R590">
        <v>50.5</v>
      </c>
      <c r="S590">
        <v>32.299999999999997</v>
      </c>
      <c r="T590">
        <v>34.1</v>
      </c>
      <c r="U590">
        <v>69.099999999999994</v>
      </c>
      <c r="V590">
        <v>-13.3</v>
      </c>
      <c r="W590" cm="1">
        <f t="array" ref="W590">_xlfn.IFS(OR(X590="N/A",X590="NA"),0,OR(X590="R64",X590="R68"),1,X590="R32",2,X590="S16",3,X590="E8",4,X590="F4",5,X590="2ND",6,X590="Champions",7)</f>
        <v>0</v>
      </c>
      <c r="X590" t="s">
        <v>90</v>
      </c>
      <c r="Y590" t="s">
        <v>90</v>
      </c>
      <c r="Z590">
        <v>2019</v>
      </c>
    </row>
    <row r="591" spans="1:26" x14ac:dyDescent="0.3">
      <c r="A591" t="s">
        <v>213</v>
      </c>
      <c r="B591" t="s">
        <v>40</v>
      </c>
      <c r="C591">
        <v>30</v>
      </c>
      <c r="D591">
        <v>21</v>
      </c>
      <c r="E591" s="1">
        <f t="shared" si="9"/>
        <v>0.7</v>
      </c>
      <c r="F591">
        <v>97.4</v>
      </c>
      <c r="G591">
        <v>97.6</v>
      </c>
      <c r="H591">
        <v>0.49440000000000001</v>
      </c>
      <c r="I591">
        <v>49.2</v>
      </c>
      <c r="J591">
        <v>47.4</v>
      </c>
      <c r="K591">
        <v>20.100000000000001</v>
      </c>
      <c r="L591">
        <v>19.8</v>
      </c>
      <c r="M591">
        <v>30.7</v>
      </c>
      <c r="N591">
        <v>24.4</v>
      </c>
      <c r="O591">
        <v>27.7</v>
      </c>
      <c r="P591">
        <v>37.700000000000003</v>
      </c>
      <c r="Q591">
        <v>50.5</v>
      </c>
      <c r="R591">
        <v>46.4</v>
      </c>
      <c r="S591">
        <v>31.7</v>
      </c>
      <c r="T591">
        <v>32.799999999999997</v>
      </c>
      <c r="U591">
        <v>66.900000000000006</v>
      </c>
      <c r="V591">
        <v>-7.1</v>
      </c>
      <c r="W591" cm="1">
        <f t="array" ref="W591">_xlfn.IFS(OR(X591="N/A",X591="NA"),0,OR(X591="R64",X591="R68"),1,X591="R32",2,X591="S16",3,X591="E8",4,X591="F4",5,X591="2ND",6,X591="Champions",7)</f>
        <v>0</v>
      </c>
      <c r="X591" t="s">
        <v>90</v>
      </c>
      <c r="Y591" t="s">
        <v>90</v>
      </c>
      <c r="Z591">
        <v>2019</v>
      </c>
    </row>
    <row r="592" spans="1:26" x14ac:dyDescent="0.3">
      <c r="A592" t="s">
        <v>215</v>
      </c>
      <c r="B592" t="s">
        <v>40</v>
      </c>
      <c r="C592">
        <v>30</v>
      </c>
      <c r="D592">
        <v>13</v>
      </c>
      <c r="E592" s="1">
        <f t="shared" si="9"/>
        <v>0.43333333333333335</v>
      </c>
      <c r="F592">
        <v>101.3</v>
      </c>
      <c r="G592">
        <v>109.1</v>
      </c>
      <c r="H592">
        <v>0.2984</v>
      </c>
      <c r="I592">
        <v>50.1</v>
      </c>
      <c r="J592">
        <v>51.6</v>
      </c>
      <c r="K592">
        <v>18.899999999999999</v>
      </c>
      <c r="L592">
        <v>14.9</v>
      </c>
      <c r="M592">
        <v>26.6</v>
      </c>
      <c r="N592">
        <v>24.4</v>
      </c>
      <c r="O592">
        <v>38.5</v>
      </c>
      <c r="P592">
        <v>30.6</v>
      </c>
      <c r="Q592">
        <v>48.1</v>
      </c>
      <c r="R592">
        <v>51.5</v>
      </c>
      <c r="S592">
        <v>35.299999999999997</v>
      </c>
      <c r="T592">
        <v>34.5</v>
      </c>
      <c r="U592">
        <v>71.7</v>
      </c>
      <c r="V592">
        <v>-13</v>
      </c>
      <c r="W592" cm="1">
        <f t="array" ref="W592">_xlfn.IFS(OR(X592="N/A",X592="NA"),0,OR(X592="R64",X592="R68"),1,X592="R32",2,X592="S16",3,X592="E8",4,X592="F4",5,X592="2ND",6,X592="Champions",7)</f>
        <v>0</v>
      </c>
      <c r="X592" t="s">
        <v>90</v>
      </c>
      <c r="Y592" t="s">
        <v>90</v>
      </c>
      <c r="Z592">
        <v>2019</v>
      </c>
    </row>
    <row r="593" spans="1:26" x14ac:dyDescent="0.3">
      <c r="A593" t="s">
        <v>216</v>
      </c>
      <c r="B593" t="s">
        <v>40</v>
      </c>
      <c r="C593">
        <v>29</v>
      </c>
      <c r="D593">
        <v>20</v>
      </c>
      <c r="E593" s="1">
        <f t="shared" si="9"/>
        <v>0.68965517241379315</v>
      </c>
      <c r="F593">
        <v>106.8</v>
      </c>
      <c r="G593">
        <v>101.2</v>
      </c>
      <c r="H593">
        <v>0.64900000000000002</v>
      </c>
      <c r="I593">
        <v>53.1</v>
      </c>
      <c r="J593">
        <v>49.1</v>
      </c>
      <c r="K593">
        <v>15.7</v>
      </c>
      <c r="L593">
        <v>19.399999999999999</v>
      </c>
      <c r="M593">
        <v>22.9</v>
      </c>
      <c r="N593">
        <v>28.1</v>
      </c>
      <c r="O593">
        <v>24.1</v>
      </c>
      <c r="P593">
        <v>29.8</v>
      </c>
      <c r="Q593">
        <v>49.9</v>
      </c>
      <c r="R593">
        <v>47.1</v>
      </c>
      <c r="S593">
        <v>39.1</v>
      </c>
      <c r="T593">
        <v>34.200000000000003</v>
      </c>
      <c r="U593">
        <v>66</v>
      </c>
      <c r="V593">
        <v>-5.7</v>
      </c>
      <c r="W593" cm="1">
        <f t="array" ref="W593">_xlfn.IFS(OR(X593="N/A",X593="NA"),0,OR(X593="R64",X593="R68"),1,X593="R32",2,X593="S16",3,X593="E8",4,X593="F4",5,X593="2ND",6,X593="Champions",7)</f>
        <v>0</v>
      </c>
      <c r="X593" t="s">
        <v>90</v>
      </c>
      <c r="Y593" t="s">
        <v>90</v>
      </c>
      <c r="Z593">
        <v>2019</v>
      </c>
    </row>
    <row r="594" spans="1:26" x14ac:dyDescent="0.3">
      <c r="A594" t="s">
        <v>220</v>
      </c>
      <c r="B594" t="s">
        <v>40</v>
      </c>
      <c r="C594">
        <v>33</v>
      </c>
      <c r="D594">
        <v>20</v>
      </c>
      <c r="E594" s="1">
        <f t="shared" si="9"/>
        <v>0.60606060606060608</v>
      </c>
      <c r="F594">
        <v>106.2</v>
      </c>
      <c r="G594">
        <v>105.1</v>
      </c>
      <c r="H594">
        <v>0.53069999999999995</v>
      </c>
      <c r="I594">
        <v>50.4</v>
      </c>
      <c r="J594">
        <v>49.4</v>
      </c>
      <c r="K594">
        <v>16.8</v>
      </c>
      <c r="L594">
        <v>17.899999999999999</v>
      </c>
      <c r="M594">
        <v>30.6</v>
      </c>
      <c r="N594">
        <v>26.2</v>
      </c>
      <c r="O594">
        <v>31.8</v>
      </c>
      <c r="P594">
        <v>31.6</v>
      </c>
      <c r="Q594">
        <v>51.3</v>
      </c>
      <c r="R594">
        <v>48.1</v>
      </c>
      <c r="S594">
        <v>32.6</v>
      </c>
      <c r="T594">
        <v>33.9</v>
      </c>
      <c r="U594">
        <v>66.400000000000006</v>
      </c>
      <c r="V594">
        <v>-7.4</v>
      </c>
      <c r="W594" cm="1">
        <f t="array" ref="W594">_xlfn.IFS(OR(X594="N/A",X594="NA"),0,OR(X594="R64",X594="R68"),1,X594="R32",2,X594="S16",3,X594="E8",4,X594="F4",5,X594="2ND",6,X594="Champions",7)</f>
        <v>0</v>
      </c>
      <c r="X594" t="s">
        <v>90</v>
      </c>
      <c r="Y594" t="s">
        <v>90</v>
      </c>
      <c r="Z594">
        <v>2019</v>
      </c>
    </row>
    <row r="595" spans="1:26" x14ac:dyDescent="0.3">
      <c r="A595" t="s">
        <v>217</v>
      </c>
      <c r="B595" t="s">
        <v>40</v>
      </c>
      <c r="C595">
        <v>27</v>
      </c>
      <c r="D595">
        <v>8</v>
      </c>
      <c r="E595" s="1">
        <f t="shared" si="9"/>
        <v>0.29629629629629628</v>
      </c>
      <c r="F595">
        <v>89</v>
      </c>
      <c r="G595">
        <v>100.1</v>
      </c>
      <c r="H595">
        <v>0.20499999999999999</v>
      </c>
      <c r="I595">
        <v>45.7</v>
      </c>
      <c r="J595">
        <v>49.4</v>
      </c>
      <c r="K595">
        <v>22.8</v>
      </c>
      <c r="L595">
        <v>19</v>
      </c>
      <c r="M595">
        <v>26.7</v>
      </c>
      <c r="N595">
        <v>26.7</v>
      </c>
      <c r="O595">
        <v>34.700000000000003</v>
      </c>
      <c r="P595">
        <v>32.9</v>
      </c>
      <c r="Q595">
        <v>44.3</v>
      </c>
      <c r="R595">
        <v>46.6</v>
      </c>
      <c r="S595">
        <v>32</v>
      </c>
      <c r="T595">
        <v>36.200000000000003</v>
      </c>
      <c r="U595">
        <v>69.3</v>
      </c>
      <c r="V595">
        <v>-15.5</v>
      </c>
      <c r="W595" cm="1">
        <f t="array" ref="W595">_xlfn.IFS(OR(X595="N/A",X595="NA"),0,OR(X595="R64",X595="R68"),1,X595="R32",2,X595="S16",3,X595="E8",4,X595="F4",5,X595="2ND",6,X595="Champions",7)</f>
        <v>0</v>
      </c>
      <c r="X595" t="s">
        <v>90</v>
      </c>
      <c r="Y595" t="s">
        <v>90</v>
      </c>
      <c r="Z595">
        <v>2019</v>
      </c>
    </row>
    <row r="596" spans="1:26" x14ac:dyDescent="0.3">
      <c r="A596" t="s">
        <v>218</v>
      </c>
      <c r="B596" t="s">
        <v>40</v>
      </c>
      <c r="C596">
        <v>28</v>
      </c>
      <c r="D596">
        <v>17</v>
      </c>
      <c r="E596" s="1">
        <f t="shared" si="9"/>
        <v>0.6071428571428571</v>
      </c>
      <c r="F596">
        <v>104.7</v>
      </c>
      <c r="G596">
        <v>101.6</v>
      </c>
      <c r="H596">
        <v>0.58509999999999995</v>
      </c>
      <c r="I596">
        <v>49.5</v>
      </c>
      <c r="J596">
        <v>49.5</v>
      </c>
      <c r="K596">
        <v>16.399999999999999</v>
      </c>
      <c r="L596">
        <v>18.100000000000001</v>
      </c>
      <c r="M596">
        <v>26.1</v>
      </c>
      <c r="N596">
        <v>28.4</v>
      </c>
      <c r="O596">
        <v>26.2</v>
      </c>
      <c r="P596">
        <v>35.6</v>
      </c>
      <c r="Q596">
        <v>48</v>
      </c>
      <c r="R596">
        <v>50</v>
      </c>
      <c r="S596">
        <v>34.299999999999997</v>
      </c>
      <c r="T596">
        <v>32.5</v>
      </c>
      <c r="U596">
        <v>73.3</v>
      </c>
      <c r="V596">
        <v>-8.8000000000000007</v>
      </c>
      <c r="W596" cm="1">
        <f t="array" ref="W596">_xlfn.IFS(OR(X596="N/A",X596="NA"),0,OR(X596="R64",X596="R68"),1,X596="R32",2,X596="S16",3,X596="E8",4,X596="F4",5,X596="2ND",6,X596="Champions",7)</f>
        <v>0</v>
      </c>
      <c r="X596" t="s">
        <v>90</v>
      </c>
      <c r="Y596" t="s">
        <v>90</v>
      </c>
      <c r="Z596">
        <v>2019</v>
      </c>
    </row>
    <row r="597" spans="1:26" x14ac:dyDescent="0.3">
      <c r="A597" t="s">
        <v>219</v>
      </c>
      <c r="B597" t="s">
        <v>40</v>
      </c>
      <c r="C597">
        <v>34</v>
      </c>
      <c r="D597">
        <v>20</v>
      </c>
      <c r="E597" s="1">
        <f t="shared" si="9"/>
        <v>0.58823529411764708</v>
      </c>
      <c r="F597">
        <v>103.9</v>
      </c>
      <c r="G597">
        <v>99.5</v>
      </c>
      <c r="H597">
        <v>0.62229999999999996</v>
      </c>
      <c r="I597">
        <v>49.9</v>
      </c>
      <c r="J597">
        <v>48.9</v>
      </c>
      <c r="K597">
        <v>19.600000000000001</v>
      </c>
      <c r="L597">
        <v>18.5</v>
      </c>
      <c r="M597">
        <v>29.6</v>
      </c>
      <c r="N597">
        <v>28.1</v>
      </c>
      <c r="O597">
        <v>37.9</v>
      </c>
      <c r="P597">
        <v>25.6</v>
      </c>
      <c r="Q597">
        <v>50.2</v>
      </c>
      <c r="R597">
        <v>47</v>
      </c>
      <c r="S597">
        <v>32.700000000000003</v>
      </c>
      <c r="T597">
        <v>34.5</v>
      </c>
      <c r="U597">
        <v>69.2</v>
      </c>
      <c r="V597">
        <v>-5.5</v>
      </c>
      <c r="W597" cm="1">
        <f t="array" ref="W597">_xlfn.IFS(OR(X597="N/A",X597="NA"),0,OR(X597="R64",X597="R68"),1,X597="R32",2,X597="S16",3,X597="E8",4,X597="F4",5,X597="2ND",6,X597="Champions",7)</f>
        <v>0</v>
      </c>
      <c r="X597" t="s">
        <v>90</v>
      </c>
      <c r="Y597" t="s">
        <v>90</v>
      </c>
      <c r="Z597">
        <v>2019</v>
      </c>
    </row>
    <row r="598" spans="1:26" x14ac:dyDescent="0.3">
      <c r="A598" t="s">
        <v>221</v>
      </c>
      <c r="B598" t="s">
        <v>43</v>
      </c>
      <c r="C598">
        <v>32</v>
      </c>
      <c r="D598">
        <v>17</v>
      </c>
      <c r="E598" s="1">
        <f t="shared" si="9"/>
        <v>0.53125</v>
      </c>
      <c r="F598">
        <v>105.5</v>
      </c>
      <c r="G598">
        <v>100.5</v>
      </c>
      <c r="H598">
        <v>0.63819999999999999</v>
      </c>
      <c r="I598">
        <v>51.7</v>
      </c>
      <c r="J598">
        <v>48.8</v>
      </c>
      <c r="K598">
        <v>19</v>
      </c>
      <c r="L598">
        <v>21</v>
      </c>
      <c r="M598">
        <v>31.9</v>
      </c>
      <c r="N598">
        <v>30.6</v>
      </c>
      <c r="O598">
        <v>31.1</v>
      </c>
      <c r="P598">
        <v>43.7</v>
      </c>
      <c r="Q598">
        <v>48.9</v>
      </c>
      <c r="R598">
        <v>45.6</v>
      </c>
      <c r="S598">
        <v>37.9</v>
      </c>
      <c r="T598">
        <v>36.200000000000003</v>
      </c>
      <c r="U598">
        <v>61.4</v>
      </c>
      <c r="V598">
        <v>-6.8</v>
      </c>
      <c r="W598" cm="1">
        <f t="array" ref="W598">_xlfn.IFS(OR(X598="N/A",X598="NA"),0,OR(X598="R64",X598="R68"),1,X598="R32",2,X598="S16",3,X598="E8",4,X598="F4",5,X598="2ND",6,X598="Champions",7)</f>
        <v>0</v>
      </c>
      <c r="X598" t="s">
        <v>90</v>
      </c>
      <c r="Y598" t="s">
        <v>90</v>
      </c>
      <c r="Z598">
        <v>2015</v>
      </c>
    </row>
    <row r="599" spans="1:26" x14ac:dyDescent="0.3">
      <c r="A599" t="s">
        <v>222</v>
      </c>
      <c r="B599" t="s">
        <v>43</v>
      </c>
      <c r="C599">
        <v>31</v>
      </c>
      <c r="D599">
        <v>13</v>
      </c>
      <c r="E599" s="1">
        <f t="shared" si="9"/>
        <v>0.41935483870967744</v>
      </c>
      <c r="F599">
        <v>101.1</v>
      </c>
      <c r="G599">
        <v>103.6</v>
      </c>
      <c r="H599">
        <v>0.4304</v>
      </c>
      <c r="I599">
        <v>49.7</v>
      </c>
      <c r="J599">
        <v>52</v>
      </c>
      <c r="K599">
        <v>19.3</v>
      </c>
      <c r="L599">
        <v>21.2</v>
      </c>
      <c r="M599">
        <v>29.4</v>
      </c>
      <c r="N599">
        <v>29.8</v>
      </c>
      <c r="O599">
        <v>32.4</v>
      </c>
      <c r="P599">
        <v>48.3</v>
      </c>
      <c r="Q599">
        <v>46.3</v>
      </c>
      <c r="R599">
        <v>53</v>
      </c>
      <c r="S599">
        <v>37.9</v>
      </c>
      <c r="T599">
        <v>33.700000000000003</v>
      </c>
      <c r="U599">
        <v>68</v>
      </c>
      <c r="V599">
        <v>-10.3</v>
      </c>
      <c r="W599" cm="1">
        <f t="array" ref="W599">_xlfn.IFS(OR(X599="N/A",X599="NA"),0,OR(X599="R64",X599="R68"),1,X599="R32",2,X599="S16",3,X599="E8",4,X599="F4",5,X599="2ND",6,X599="Champions",7)</f>
        <v>0</v>
      </c>
      <c r="X599" t="s">
        <v>90</v>
      </c>
      <c r="Y599" t="s">
        <v>90</v>
      </c>
      <c r="Z599">
        <v>2015</v>
      </c>
    </row>
    <row r="600" spans="1:26" x14ac:dyDescent="0.3">
      <c r="A600" t="s">
        <v>223</v>
      </c>
      <c r="B600" t="s">
        <v>43</v>
      </c>
      <c r="C600">
        <v>31</v>
      </c>
      <c r="D600">
        <v>22</v>
      </c>
      <c r="E600" s="1">
        <f t="shared" si="9"/>
        <v>0.70967741935483875</v>
      </c>
      <c r="F600">
        <v>102.6</v>
      </c>
      <c r="G600">
        <v>93.3</v>
      </c>
      <c r="H600">
        <v>0.74750000000000005</v>
      </c>
      <c r="I600">
        <v>49.3</v>
      </c>
      <c r="J600">
        <v>46</v>
      </c>
      <c r="K600">
        <v>18.5</v>
      </c>
      <c r="L600">
        <v>20.8</v>
      </c>
      <c r="M600">
        <v>33.299999999999997</v>
      </c>
      <c r="N600">
        <v>29.4</v>
      </c>
      <c r="O600">
        <v>39.299999999999997</v>
      </c>
      <c r="P600">
        <v>39.799999999999997</v>
      </c>
      <c r="Q600">
        <v>51.8</v>
      </c>
      <c r="R600">
        <v>44</v>
      </c>
      <c r="S600">
        <v>28.3</v>
      </c>
      <c r="T600">
        <v>33.700000000000003</v>
      </c>
      <c r="U600">
        <v>65.400000000000006</v>
      </c>
      <c r="V600">
        <v>-1.1000000000000001</v>
      </c>
      <c r="W600" cm="1">
        <f t="array" ref="W600">_xlfn.IFS(OR(X600="N/A",X600="NA"),0,OR(X600="R64",X600="R68"),1,X600="R32",2,X600="S16",3,X600="E8",4,X600="F4",5,X600="2ND",6,X600="Champions",7)</f>
        <v>0</v>
      </c>
      <c r="X600" t="s">
        <v>90</v>
      </c>
      <c r="Y600" t="s">
        <v>90</v>
      </c>
      <c r="Z600">
        <v>2015</v>
      </c>
    </row>
    <row r="601" spans="1:26" x14ac:dyDescent="0.3">
      <c r="A601" t="s">
        <v>224</v>
      </c>
      <c r="B601" t="s">
        <v>43</v>
      </c>
      <c r="C601">
        <v>32</v>
      </c>
      <c r="D601">
        <v>8</v>
      </c>
      <c r="E601" s="1">
        <f t="shared" si="9"/>
        <v>0.25</v>
      </c>
      <c r="F601">
        <v>99.2</v>
      </c>
      <c r="G601">
        <v>109.4</v>
      </c>
      <c r="H601">
        <v>0.24490000000000001</v>
      </c>
      <c r="I601">
        <v>43.6</v>
      </c>
      <c r="J601">
        <v>54.4</v>
      </c>
      <c r="K601">
        <v>17.399999999999999</v>
      </c>
      <c r="L601">
        <v>18</v>
      </c>
      <c r="M601">
        <v>30.8</v>
      </c>
      <c r="N601">
        <v>28.5</v>
      </c>
      <c r="O601">
        <v>40</v>
      </c>
      <c r="P601">
        <v>39</v>
      </c>
      <c r="Q601">
        <v>41.5</v>
      </c>
      <c r="R601">
        <v>51.9</v>
      </c>
      <c r="S601">
        <v>31.8</v>
      </c>
      <c r="T601">
        <v>40.299999999999997</v>
      </c>
      <c r="U601">
        <v>65.400000000000006</v>
      </c>
      <c r="V601">
        <v>-16.8</v>
      </c>
      <c r="W601" cm="1">
        <f t="array" ref="W601">_xlfn.IFS(OR(X601="N/A",X601="NA"),0,OR(X601="R64",X601="R68"),1,X601="R32",2,X601="S16",3,X601="E8",4,X601="F4",5,X601="2ND",6,X601="Champions",7)</f>
        <v>0</v>
      </c>
      <c r="X601" t="s">
        <v>90</v>
      </c>
      <c r="Y601" t="s">
        <v>90</v>
      </c>
      <c r="Z601">
        <v>2015</v>
      </c>
    </row>
    <row r="602" spans="1:26" x14ac:dyDescent="0.3">
      <c r="A602" t="s">
        <v>225</v>
      </c>
      <c r="B602" t="s">
        <v>43</v>
      </c>
      <c r="C602">
        <v>28</v>
      </c>
      <c r="D602">
        <v>12</v>
      </c>
      <c r="E602" s="1">
        <f t="shared" si="9"/>
        <v>0.42857142857142855</v>
      </c>
      <c r="F602">
        <v>100.8</v>
      </c>
      <c r="G602">
        <v>103.6</v>
      </c>
      <c r="H602">
        <v>0.42259999999999998</v>
      </c>
      <c r="I602">
        <v>49</v>
      </c>
      <c r="J602">
        <v>51.2</v>
      </c>
      <c r="K602">
        <v>20</v>
      </c>
      <c r="L602">
        <v>16.5</v>
      </c>
      <c r="M602">
        <v>26.9</v>
      </c>
      <c r="N602">
        <v>29.5</v>
      </c>
      <c r="O602">
        <v>36.200000000000003</v>
      </c>
      <c r="P602">
        <v>31.6</v>
      </c>
      <c r="Q602">
        <v>48.6</v>
      </c>
      <c r="R602">
        <v>48.6</v>
      </c>
      <c r="S602">
        <v>33.200000000000003</v>
      </c>
      <c r="T602">
        <v>38.6</v>
      </c>
      <c r="U602">
        <v>65</v>
      </c>
      <c r="V602">
        <v>-9</v>
      </c>
      <c r="W602" cm="1">
        <f t="array" ref="W602">_xlfn.IFS(OR(X602="N/A",X602="NA"),0,OR(X602="R64",X602="R68"),1,X602="R32",2,X602="S16",3,X602="E8",4,X602="F4",5,X602="2ND",6,X602="Champions",7)</f>
        <v>0</v>
      </c>
      <c r="X602" t="s">
        <v>90</v>
      </c>
      <c r="Y602" t="s">
        <v>90</v>
      </c>
      <c r="Z602">
        <v>2015</v>
      </c>
    </row>
    <row r="603" spans="1:26" x14ac:dyDescent="0.3">
      <c r="A603" t="s">
        <v>226</v>
      </c>
      <c r="B603" t="s">
        <v>43</v>
      </c>
      <c r="C603">
        <v>31</v>
      </c>
      <c r="D603">
        <v>14</v>
      </c>
      <c r="E603" s="1">
        <f t="shared" si="9"/>
        <v>0.45161290322580644</v>
      </c>
      <c r="F603">
        <v>109</v>
      </c>
      <c r="G603">
        <v>109.2</v>
      </c>
      <c r="H603">
        <v>0.495</v>
      </c>
      <c r="I603">
        <v>52.3</v>
      </c>
      <c r="J603">
        <v>53.5</v>
      </c>
      <c r="K603">
        <v>18.399999999999999</v>
      </c>
      <c r="L603">
        <v>16.100000000000001</v>
      </c>
      <c r="M603">
        <v>30.1</v>
      </c>
      <c r="N603">
        <v>30.5</v>
      </c>
      <c r="O603">
        <v>38.1</v>
      </c>
      <c r="P603">
        <v>34.6</v>
      </c>
      <c r="Q603">
        <v>51.7</v>
      </c>
      <c r="R603">
        <v>52.8</v>
      </c>
      <c r="S603">
        <v>35.5</v>
      </c>
      <c r="T603">
        <v>36.5</v>
      </c>
      <c r="U603">
        <v>67</v>
      </c>
      <c r="V603">
        <v>-7.2</v>
      </c>
      <c r="W603" cm="1">
        <f t="array" ref="W603">_xlfn.IFS(OR(X603="N/A",X603="NA"),0,OR(X603="R64",X603="R68"),1,X603="R32",2,X603="S16",3,X603="E8",4,X603="F4",5,X603="2ND",6,X603="Champions",7)</f>
        <v>0</v>
      </c>
      <c r="X603" t="s">
        <v>90</v>
      </c>
      <c r="Y603" t="s">
        <v>90</v>
      </c>
      <c r="Z603">
        <v>2015</v>
      </c>
    </row>
    <row r="604" spans="1:26" x14ac:dyDescent="0.3">
      <c r="A604" t="s">
        <v>227</v>
      </c>
      <c r="B604" t="s">
        <v>43</v>
      </c>
      <c r="C604">
        <v>29</v>
      </c>
      <c r="D604">
        <v>9</v>
      </c>
      <c r="E604" s="1">
        <f t="shared" si="9"/>
        <v>0.31034482758620691</v>
      </c>
      <c r="F604">
        <v>96.5</v>
      </c>
      <c r="G604">
        <v>103.6</v>
      </c>
      <c r="H604">
        <v>0.30530000000000002</v>
      </c>
      <c r="I604">
        <v>49.8</v>
      </c>
      <c r="J604">
        <v>51.2</v>
      </c>
      <c r="K604">
        <v>19</v>
      </c>
      <c r="L604">
        <v>19.8</v>
      </c>
      <c r="M604">
        <v>23.2</v>
      </c>
      <c r="N604">
        <v>30.8</v>
      </c>
      <c r="O604">
        <v>31.5</v>
      </c>
      <c r="P604">
        <v>41.2</v>
      </c>
      <c r="Q604">
        <v>49</v>
      </c>
      <c r="R604">
        <v>50.4</v>
      </c>
      <c r="S604">
        <v>34.1</v>
      </c>
      <c r="T604">
        <v>35.299999999999997</v>
      </c>
      <c r="U604">
        <v>63.7</v>
      </c>
      <c r="V604">
        <v>-13.7</v>
      </c>
      <c r="W604" cm="1">
        <f t="array" ref="W604">_xlfn.IFS(OR(X604="N/A",X604="NA"),0,OR(X604="R64",X604="R68"),1,X604="R32",2,X604="S16",3,X604="E8",4,X604="F4",5,X604="2ND",6,X604="Champions",7)</f>
        <v>0</v>
      </c>
      <c r="X604" t="s">
        <v>90</v>
      </c>
      <c r="Y604" t="s">
        <v>90</v>
      </c>
      <c r="Z604">
        <v>2015</v>
      </c>
    </row>
    <row r="605" spans="1:26" x14ac:dyDescent="0.3">
      <c r="A605" t="s">
        <v>228</v>
      </c>
      <c r="B605" t="s">
        <v>43</v>
      </c>
      <c r="C605">
        <v>29</v>
      </c>
      <c r="D605">
        <v>8</v>
      </c>
      <c r="E605" s="1">
        <f t="shared" si="9"/>
        <v>0.27586206896551724</v>
      </c>
      <c r="F605">
        <v>103.4</v>
      </c>
      <c r="G605">
        <v>112</v>
      </c>
      <c r="H605">
        <v>0.28499999999999998</v>
      </c>
      <c r="I605">
        <v>50.1</v>
      </c>
      <c r="J605">
        <v>53.6</v>
      </c>
      <c r="K605">
        <v>17.2</v>
      </c>
      <c r="L605">
        <v>17.8</v>
      </c>
      <c r="M605">
        <v>27.6</v>
      </c>
      <c r="N605">
        <v>34.200000000000003</v>
      </c>
      <c r="O605">
        <v>35.9</v>
      </c>
      <c r="P605">
        <v>36.799999999999997</v>
      </c>
      <c r="Q605">
        <v>48.5</v>
      </c>
      <c r="R605">
        <v>51.7</v>
      </c>
      <c r="S605">
        <v>35.6</v>
      </c>
      <c r="T605">
        <v>37.9</v>
      </c>
      <c r="U605">
        <v>67.599999999999994</v>
      </c>
      <c r="V605">
        <v>-14.7</v>
      </c>
      <c r="W605" cm="1">
        <f t="array" ref="W605">_xlfn.IFS(OR(X605="N/A",X605="NA"),0,OR(X605="R64",X605="R68"),1,X605="R32",2,X605="S16",3,X605="E8",4,X605="F4",5,X605="2ND",6,X605="Champions",7)</f>
        <v>0</v>
      </c>
      <c r="X605" t="s">
        <v>90</v>
      </c>
      <c r="Y605" t="s">
        <v>90</v>
      </c>
      <c r="Z605">
        <v>2015</v>
      </c>
    </row>
    <row r="606" spans="1:26" x14ac:dyDescent="0.3">
      <c r="A606" t="s">
        <v>221</v>
      </c>
      <c r="B606" t="s">
        <v>43</v>
      </c>
      <c r="C606">
        <v>30</v>
      </c>
      <c r="D606">
        <v>7</v>
      </c>
      <c r="E606" s="1">
        <f t="shared" si="9"/>
        <v>0.23333333333333334</v>
      </c>
      <c r="F606">
        <v>90.3</v>
      </c>
      <c r="G606">
        <v>101.4</v>
      </c>
      <c r="H606">
        <v>0.2077</v>
      </c>
      <c r="I606">
        <v>44.8</v>
      </c>
      <c r="J606">
        <v>51.6</v>
      </c>
      <c r="K606">
        <v>21.8</v>
      </c>
      <c r="L606">
        <v>19.899999999999999</v>
      </c>
      <c r="M606">
        <v>29.4</v>
      </c>
      <c r="N606">
        <v>31.7</v>
      </c>
      <c r="O606">
        <v>30.9</v>
      </c>
      <c r="P606">
        <v>46.6</v>
      </c>
      <c r="Q606">
        <v>43.4</v>
      </c>
      <c r="R606">
        <v>50.7</v>
      </c>
      <c r="S606">
        <v>32</v>
      </c>
      <c r="T606">
        <v>35.5</v>
      </c>
      <c r="U606">
        <v>64.900000000000006</v>
      </c>
      <c r="V606">
        <v>-15.9</v>
      </c>
      <c r="W606" cm="1">
        <f t="array" ref="W606">_xlfn.IFS(OR(X606="N/A",X606="NA"),0,OR(X606="R64",X606="R68"),1,X606="R32",2,X606="S16",3,X606="E8",4,X606="F4",5,X606="2ND",6,X606="Champions",7)</f>
        <v>0</v>
      </c>
      <c r="X606" t="s">
        <v>90</v>
      </c>
      <c r="Y606" t="s">
        <v>90</v>
      </c>
      <c r="Z606">
        <v>2016</v>
      </c>
    </row>
    <row r="607" spans="1:26" x14ac:dyDescent="0.3">
      <c r="A607" t="s">
        <v>222</v>
      </c>
      <c r="B607" t="s">
        <v>43</v>
      </c>
      <c r="C607">
        <v>29</v>
      </c>
      <c r="D607">
        <v>14</v>
      </c>
      <c r="E607" s="1">
        <f t="shared" si="9"/>
        <v>0.48275862068965519</v>
      </c>
      <c r="F607">
        <v>109.8</v>
      </c>
      <c r="G607">
        <v>110.8</v>
      </c>
      <c r="H607">
        <v>0.47399999999999998</v>
      </c>
      <c r="I607">
        <v>52</v>
      </c>
      <c r="J607">
        <v>53.6</v>
      </c>
      <c r="K607">
        <v>17.8</v>
      </c>
      <c r="L607">
        <v>17.2</v>
      </c>
      <c r="M607">
        <v>32.5</v>
      </c>
      <c r="N607">
        <v>29.4</v>
      </c>
      <c r="O607">
        <v>40.5</v>
      </c>
      <c r="P607">
        <v>46.5</v>
      </c>
      <c r="Q607">
        <v>50.6</v>
      </c>
      <c r="R607">
        <v>53.7</v>
      </c>
      <c r="S607">
        <v>36.5</v>
      </c>
      <c r="T607">
        <v>35.6</v>
      </c>
      <c r="U607">
        <v>74.5</v>
      </c>
      <c r="V607">
        <v>-8.4</v>
      </c>
      <c r="W607" cm="1">
        <f t="array" ref="W607">_xlfn.IFS(OR(X607="N/A",X607="NA"),0,OR(X607="R64",X607="R68"),1,X607="R32",2,X607="S16",3,X607="E8",4,X607="F4",5,X607="2ND",6,X607="Champions",7)</f>
        <v>0</v>
      </c>
      <c r="X607" t="s">
        <v>90</v>
      </c>
      <c r="Y607" t="s">
        <v>90</v>
      </c>
      <c r="Z607">
        <v>2016</v>
      </c>
    </row>
    <row r="608" spans="1:26" x14ac:dyDescent="0.3">
      <c r="A608" t="s">
        <v>224</v>
      </c>
      <c r="B608" t="s">
        <v>43</v>
      </c>
      <c r="C608">
        <v>28</v>
      </c>
      <c r="D608">
        <v>3</v>
      </c>
      <c r="E608" s="1">
        <f t="shared" si="9"/>
        <v>0.10714285714285714</v>
      </c>
      <c r="F608">
        <v>89.7</v>
      </c>
      <c r="G608">
        <v>105.7</v>
      </c>
      <c r="H608">
        <v>0.1308</v>
      </c>
      <c r="I608">
        <v>41.5</v>
      </c>
      <c r="J608">
        <v>49.3</v>
      </c>
      <c r="K608">
        <v>21.1</v>
      </c>
      <c r="L608">
        <v>15.7</v>
      </c>
      <c r="M608">
        <v>31.9</v>
      </c>
      <c r="N608">
        <v>30.7</v>
      </c>
      <c r="O608">
        <v>43.2</v>
      </c>
      <c r="P608">
        <v>39.6</v>
      </c>
      <c r="Q608">
        <v>40.299999999999997</v>
      </c>
      <c r="R608">
        <v>46.6</v>
      </c>
      <c r="S608">
        <v>30.4</v>
      </c>
      <c r="T608">
        <v>36.4</v>
      </c>
      <c r="U608">
        <v>72.2</v>
      </c>
      <c r="V608">
        <v>-19.600000000000001</v>
      </c>
      <c r="W608" cm="1">
        <f t="array" ref="W608">_xlfn.IFS(OR(X608="N/A",X608="NA"),0,OR(X608="R64",X608="R68"),1,X608="R32",2,X608="S16",3,X608="E8",4,X608="F4",5,X608="2ND",6,X608="Champions",7)</f>
        <v>0</v>
      </c>
      <c r="X608" t="s">
        <v>90</v>
      </c>
      <c r="Y608" t="s">
        <v>90</v>
      </c>
      <c r="Z608">
        <v>2016</v>
      </c>
    </row>
    <row r="609" spans="1:26" x14ac:dyDescent="0.3">
      <c r="A609" t="s">
        <v>225</v>
      </c>
      <c r="B609" t="s">
        <v>43</v>
      </c>
      <c r="C609">
        <v>31</v>
      </c>
      <c r="D609">
        <v>18</v>
      </c>
      <c r="E609" s="1">
        <f t="shared" si="9"/>
        <v>0.58064516129032262</v>
      </c>
      <c r="F609">
        <v>111.1</v>
      </c>
      <c r="G609">
        <v>106.4</v>
      </c>
      <c r="H609">
        <v>0.62219999999999998</v>
      </c>
      <c r="I609">
        <v>52.8</v>
      </c>
      <c r="J609">
        <v>51.4</v>
      </c>
      <c r="K609">
        <v>15.8</v>
      </c>
      <c r="L609">
        <v>15.6</v>
      </c>
      <c r="M609">
        <v>27.1</v>
      </c>
      <c r="N609">
        <v>25.6</v>
      </c>
      <c r="O609">
        <v>38.299999999999997</v>
      </c>
      <c r="P609">
        <v>29.6</v>
      </c>
      <c r="Q609">
        <v>51.9</v>
      </c>
      <c r="R609">
        <v>48.7</v>
      </c>
      <c r="S609">
        <v>35.9</v>
      </c>
      <c r="T609">
        <v>38.299999999999997</v>
      </c>
      <c r="U609">
        <v>67.099999999999994</v>
      </c>
      <c r="V609">
        <v>-6.7</v>
      </c>
      <c r="W609" cm="1">
        <f t="array" ref="W609">_xlfn.IFS(OR(X609="N/A",X609="NA"),0,OR(X609="R64",X609="R68"),1,X609="R32",2,X609="S16",3,X609="E8",4,X609="F4",5,X609="2ND",6,X609="Champions",7)</f>
        <v>0</v>
      </c>
      <c r="X609" t="s">
        <v>90</v>
      </c>
      <c r="Y609" t="s">
        <v>90</v>
      </c>
      <c r="Z609">
        <v>2016</v>
      </c>
    </row>
    <row r="610" spans="1:26" x14ac:dyDescent="0.3">
      <c r="A610" t="s">
        <v>135</v>
      </c>
      <c r="B610" t="s">
        <v>43</v>
      </c>
      <c r="C610">
        <v>28</v>
      </c>
      <c r="D610">
        <v>7</v>
      </c>
      <c r="E610" s="1">
        <f t="shared" si="9"/>
        <v>0.25</v>
      </c>
      <c r="F610">
        <v>99.4</v>
      </c>
      <c r="G610">
        <v>107.8</v>
      </c>
      <c r="H610">
        <v>0.2828</v>
      </c>
      <c r="I610">
        <v>50.3</v>
      </c>
      <c r="J610">
        <v>50.2</v>
      </c>
      <c r="K610">
        <v>19.7</v>
      </c>
      <c r="L610">
        <v>16.100000000000001</v>
      </c>
      <c r="M610">
        <v>26.5</v>
      </c>
      <c r="N610">
        <v>29.4</v>
      </c>
      <c r="O610">
        <v>31.2</v>
      </c>
      <c r="P610">
        <v>42.6</v>
      </c>
      <c r="Q610">
        <v>48.6</v>
      </c>
      <c r="R610">
        <v>47.9</v>
      </c>
      <c r="S610">
        <v>35.299999999999997</v>
      </c>
      <c r="T610">
        <v>36.799999999999997</v>
      </c>
      <c r="U610">
        <v>68.2</v>
      </c>
      <c r="V610">
        <v>-14</v>
      </c>
      <c r="W610" cm="1">
        <f t="array" ref="W610">_xlfn.IFS(OR(X610="N/A",X610="NA"),0,OR(X610="R64",X610="R68"),1,X610="R32",2,X610="S16",3,X610="E8",4,X610="F4",5,X610="2ND",6,X610="Champions",7)</f>
        <v>0</v>
      </c>
      <c r="X610" t="s">
        <v>90</v>
      </c>
      <c r="Y610" t="s">
        <v>90</v>
      </c>
      <c r="Z610">
        <v>2016</v>
      </c>
    </row>
    <row r="611" spans="1:26" x14ac:dyDescent="0.3">
      <c r="A611" t="s">
        <v>226</v>
      </c>
      <c r="B611" t="s">
        <v>43</v>
      </c>
      <c r="C611">
        <v>35</v>
      </c>
      <c r="D611">
        <v>23</v>
      </c>
      <c r="E611" s="1">
        <f t="shared" si="9"/>
        <v>0.65714285714285714</v>
      </c>
      <c r="F611">
        <v>114.6</v>
      </c>
      <c r="G611">
        <v>106.2</v>
      </c>
      <c r="H611">
        <v>0.70530000000000004</v>
      </c>
      <c r="I611">
        <v>53.1</v>
      </c>
      <c r="J611">
        <v>49.6</v>
      </c>
      <c r="K611">
        <v>15.2</v>
      </c>
      <c r="L611">
        <v>16.5</v>
      </c>
      <c r="M611">
        <v>31.2</v>
      </c>
      <c r="N611">
        <v>29.5</v>
      </c>
      <c r="O611">
        <v>41.8</v>
      </c>
      <c r="P611">
        <v>32.1</v>
      </c>
      <c r="Q611">
        <v>49.3</v>
      </c>
      <c r="R611">
        <v>48.1</v>
      </c>
      <c r="S611">
        <v>39.799999999999997</v>
      </c>
      <c r="T611">
        <v>34.9</v>
      </c>
      <c r="U611">
        <v>74.5</v>
      </c>
      <c r="V611">
        <v>-3.4</v>
      </c>
      <c r="W611" cm="1">
        <f t="array" ref="W611">_xlfn.IFS(OR(X611="N/A",X611="NA"),0,OR(X611="R64",X611="R68"),1,X611="R32",2,X611="S16",3,X611="E8",4,X611="F4",5,X611="2ND",6,X611="Champions",7)</f>
        <v>0</v>
      </c>
      <c r="X611" t="s">
        <v>90</v>
      </c>
      <c r="Y611" t="s">
        <v>90</v>
      </c>
      <c r="Z611">
        <v>2016</v>
      </c>
    </row>
    <row r="612" spans="1:26" x14ac:dyDescent="0.3">
      <c r="A612" t="s">
        <v>229</v>
      </c>
      <c r="B612" t="s">
        <v>43</v>
      </c>
      <c r="C612">
        <v>35</v>
      </c>
      <c r="D612">
        <v>28</v>
      </c>
      <c r="E612" s="1">
        <f t="shared" si="9"/>
        <v>0.8</v>
      </c>
      <c r="F612">
        <v>106.6</v>
      </c>
      <c r="G612">
        <v>91.8</v>
      </c>
      <c r="H612">
        <v>0.84760000000000002</v>
      </c>
      <c r="I612">
        <v>50.7</v>
      </c>
      <c r="J612">
        <v>44.5</v>
      </c>
      <c r="K612">
        <v>19</v>
      </c>
      <c r="L612">
        <v>18.5</v>
      </c>
      <c r="M612">
        <v>35.200000000000003</v>
      </c>
      <c r="N612">
        <v>24.8</v>
      </c>
      <c r="O612">
        <v>35.1</v>
      </c>
      <c r="P612">
        <v>38.700000000000003</v>
      </c>
      <c r="Q612">
        <v>48.3</v>
      </c>
      <c r="R612">
        <v>41.5</v>
      </c>
      <c r="S612">
        <v>36.5</v>
      </c>
      <c r="T612">
        <v>33.9</v>
      </c>
      <c r="U612">
        <v>67.5</v>
      </c>
      <c r="V612">
        <v>0.4</v>
      </c>
      <c r="W612" cm="1">
        <f t="array" ref="W612">_xlfn.IFS(OR(X612="N/A",X612="NA"),0,OR(X612="R64",X612="R68"),1,X612="R32",2,X612="S16",3,X612="E8",4,X612="F4",5,X612="2ND",6,X612="Champions",7)</f>
        <v>0</v>
      </c>
      <c r="X612" t="s">
        <v>90</v>
      </c>
      <c r="Y612" t="s">
        <v>90</v>
      </c>
      <c r="Z612">
        <v>2016</v>
      </c>
    </row>
    <row r="613" spans="1:26" x14ac:dyDescent="0.3">
      <c r="A613" t="s">
        <v>227</v>
      </c>
      <c r="B613" t="s">
        <v>43</v>
      </c>
      <c r="C613">
        <v>33</v>
      </c>
      <c r="D613">
        <v>20</v>
      </c>
      <c r="E613" s="1">
        <f t="shared" si="9"/>
        <v>0.60606060606060608</v>
      </c>
      <c r="F613">
        <v>100.4</v>
      </c>
      <c r="G613">
        <v>97.3</v>
      </c>
      <c r="H613">
        <v>0.58789999999999998</v>
      </c>
      <c r="I613">
        <v>51.4</v>
      </c>
      <c r="J613">
        <v>48.6</v>
      </c>
      <c r="K613">
        <v>16.5</v>
      </c>
      <c r="L613">
        <v>20.6</v>
      </c>
      <c r="M613">
        <v>19.100000000000001</v>
      </c>
      <c r="N613">
        <v>25.5</v>
      </c>
      <c r="O613">
        <v>33</v>
      </c>
      <c r="P613">
        <v>48.3</v>
      </c>
      <c r="Q613">
        <v>48.3</v>
      </c>
      <c r="R613">
        <v>48.1</v>
      </c>
      <c r="S613">
        <v>37.799999999999997</v>
      </c>
      <c r="T613">
        <v>33</v>
      </c>
      <c r="U613">
        <v>66.3</v>
      </c>
      <c r="V613">
        <v>-6.1</v>
      </c>
      <c r="W613" cm="1">
        <f t="array" ref="W613">_xlfn.IFS(OR(X613="N/A",X613="NA"),0,OR(X613="R64",X613="R68"),1,X613="R32",2,X613="S16",3,X613="E8",4,X613="F4",5,X613="2ND",6,X613="Champions",7)</f>
        <v>0</v>
      </c>
      <c r="X613" t="s">
        <v>90</v>
      </c>
      <c r="Y613" t="s">
        <v>90</v>
      </c>
      <c r="Z613">
        <v>2016</v>
      </c>
    </row>
    <row r="614" spans="1:26" x14ac:dyDescent="0.3">
      <c r="A614" t="s">
        <v>228</v>
      </c>
      <c r="B614" t="s">
        <v>43</v>
      </c>
      <c r="C614">
        <v>30</v>
      </c>
      <c r="D614">
        <v>9</v>
      </c>
      <c r="E614" s="1">
        <f t="shared" si="9"/>
        <v>0.3</v>
      </c>
      <c r="F614">
        <v>101.6</v>
      </c>
      <c r="G614">
        <v>113.3</v>
      </c>
      <c r="H614">
        <v>0.2215</v>
      </c>
      <c r="I614">
        <v>49</v>
      </c>
      <c r="J614">
        <v>53.6</v>
      </c>
      <c r="K614">
        <v>15.6</v>
      </c>
      <c r="L614">
        <v>15.7</v>
      </c>
      <c r="M614">
        <v>22.7</v>
      </c>
      <c r="N614">
        <v>33.799999999999997</v>
      </c>
      <c r="O614">
        <v>29.8</v>
      </c>
      <c r="P614">
        <v>32.5</v>
      </c>
      <c r="Q614">
        <v>45.5</v>
      </c>
      <c r="R614">
        <v>54.5</v>
      </c>
      <c r="S614">
        <v>37</v>
      </c>
      <c r="T614">
        <v>34.6</v>
      </c>
      <c r="U614">
        <v>73.2</v>
      </c>
      <c r="V614">
        <v>-14</v>
      </c>
      <c r="W614" cm="1">
        <f t="array" ref="W614">_xlfn.IFS(OR(X614="N/A",X614="NA"),0,OR(X614="R64",X614="R68"),1,X614="R32",2,X614="S16",3,X614="E8",4,X614="F4",5,X614="2ND",6,X614="Champions",7)</f>
        <v>0</v>
      </c>
      <c r="X614" t="s">
        <v>90</v>
      </c>
      <c r="Y614" t="s">
        <v>90</v>
      </c>
      <c r="Z614">
        <v>2016</v>
      </c>
    </row>
    <row r="615" spans="1:26" x14ac:dyDescent="0.3">
      <c r="A615" t="s">
        <v>221</v>
      </c>
      <c r="B615" t="s">
        <v>43</v>
      </c>
      <c r="C615">
        <v>30</v>
      </c>
      <c r="D615">
        <v>9</v>
      </c>
      <c r="E615" s="1">
        <f t="shared" si="9"/>
        <v>0.3</v>
      </c>
      <c r="F615">
        <v>94.9</v>
      </c>
      <c r="G615">
        <v>102.4</v>
      </c>
      <c r="H615">
        <v>0.29409999999999997</v>
      </c>
      <c r="I615">
        <v>46.3</v>
      </c>
      <c r="J615">
        <v>52.1</v>
      </c>
      <c r="K615">
        <v>18.8</v>
      </c>
      <c r="L615">
        <v>22.3</v>
      </c>
      <c r="M615">
        <v>28.9</v>
      </c>
      <c r="N615">
        <v>32.700000000000003</v>
      </c>
      <c r="O615">
        <v>29.6</v>
      </c>
      <c r="P615">
        <v>41.8</v>
      </c>
      <c r="Q615">
        <v>46.5</v>
      </c>
      <c r="R615">
        <v>51.7</v>
      </c>
      <c r="S615">
        <v>30.7</v>
      </c>
      <c r="T615">
        <v>35.299999999999997</v>
      </c>
      <c r="U615">
        <v>67.2</v>
      </c>
      <c r="V615">
        <v>-15.7</v>
      </c>
      <c r="W615" cm="1">
        <f t="array" ref="W615">_xlfn.IFS(OR(X615="N/A",X615="NA"),0,OR(X615="R64",X615="R68"),1,X615="R32",2,X615="S16",3,X615="E8",4,X615="F4",5,X615="2ND",6,X615="Champions",7)</f>
        <v>0</v>
      </c>
      <c r="X615" t="s">
        <v>90</v>
      </c>
      <c r="Y615" t="s">
        <v>90</v>
      </c>
      <c r="Z615">
        <v>2017</v>
      </c>
    </row>
    <row r="616" spans="1:26" x14ac:dyDescent="0.3">
      <c r="A616" t="s">
        <v>222</v>
      </c>
      <c r="B616" t="s">
        <v>43</v>
      </c>
      <c r="C616">
        <v>30</v>
      </c>
      <c r="D616">
        <v>8</v>
      </c>
      <c r="E616" s="1">
        <f t="shared" si="9"/>
        <v>0.26666666666666666</v>
      </c>
      <c r="F616">
        <v>102.1</v>
      </c>
      <c r="G616">
        <v>113.6</v>
      </c>
      <c r="H616">
        <v>0.22720000000000001</v>
      </c>
      <c r="I616">
        <v>50.9</v>
      </c>
      <c r="J616">
        <v>56.9</v>
      </c>
      <c r="K616">
        <v>19.5</v>
      </c>
      <c r="L616">
        <v>19.399999999999999</v>
      </c>
      <c r="M616">
        <v>26.9</v>
      </c>
      <c r="N616">
        <v>31.4</v>
      </c>
      <c r="O616">
        <v>38.1</v>
      </c>
      <c r="P616">
        <v>48.4</v>
      </c>
      <c r="Q616">
        <v>48.4</v>
      </c>
      <c r="R616">
        <v>57.3</v>
      </c>
      <c r="S616">
        <v>37</v>
      </c>
      <c r="T616">
        <v>37.6</v>
      </c>
      <c r="U616">
        <v>73.8</v>
      </c>
      <c r="V616">
        <v>-17.100000000000001</v>
      </c>
      <c r="W616" cm="1">
        <f t="array" ref="W616">_xlfn.IFS(OR(X616="N/A",X616="NA"),0,OR(X616="R64",X616="R68"),1,X616="R32",2,X616="S16",3,X616="E8",4,X616="F4",5,X616="2ND",6,X616="Champions",7)</f>
        <v>0</v>
      </c>
      <c r="X616" t="s">
        <v>90</v>
      </c>
      <c r="Y616" t="s">
        <v>90</v>
      </c>
      <c r="Z616">
        <v>2017</v>
      </c>
    </row>
    <row r="617" spans="1:26" x14ac:dyDescent="0.3">
      <c r="A617" t="s">
        <v>223</v>
      </c>
      <c r="B617" t="s">
        <v>43</v>
      </c>
      <c r="C617">
        <v>30</v>
      </c>
      <c r="D617">
        <v>18</v>
      </c>
      <c r="E617" s="1">
        <f t="shared" si="9"/>
        <v>0.6</v>
      </c>
      <c r="F617">
        <v>100.8</v>
      </c>
      <c r="G617">
        <v>102.8</v>
      </c>
      <c r="H617">
        <v>0.443</v>
      </c>
      <c r="I617">
        <v>48.3</v>
      </c>
      <c r="J617">
        <v>50.8</v>
      </c>
      <c r="K617">
        <v>18</v>
      </c>
      <c r="L617">
        <v>18.600000000000001</v>
      </c>
      <c r="M617">
        <v>30.4</v>
      </c>
      <c r="N617">
        <v>28.6</v>
      </c>
      <c r="O617">
        <v>37.700000000000003</v>
      </c>
      <c r="P617">
        <v>33.1</v>
      </c>
      <c r="Q617">
        <v>48.7</v>
      </c>
      <c r="R617">
        <v>48.7</v>
      </c>
      <c r="S617">
        <v>31.6</v>
      </c>
      <c r="T617">
        <v>36.299999999999997</v>
      </c>
      <c r="U617">
        <v>75.5</v>
      </c>
      <c r="V617">
        <v>-7.7</v>
      </c>
      <c r="W617" cm="1">
        <f t="array" ref="W617">_xlfn.IFS(OR(X617="N/A",X617="NA"),0,OR(X617="R64",X617="R68"),1,X617="R32",2,X617="S16",3,X617="E8",4,X617="F4",5,X617="2ND",6,X617="Champions",7)</f>
        <v>0</v>
      </c>
      <c r="X617" t="s">
        <v>90</v>
      </c>
      <c r="Y617" t="s">
        <v>90</v>
      </c>
      <c r="Z617">
        <v>2017</v>
      </c>
    </row>
    <row r="618" spans="1:26" x14ac:dyDescent="0.3">
      <c r="A618" t="s">
        <v>224</v>
      </c>
      <c r="B618" t="s">
        <v>43</v>
      </c>
      <c r="C618">
        <v>34</v>
      </c>
      <c r="D618">
        <v>17</v>
      </c>
      <c r="E618" s="1">
        <f t="shared" si="9"/>
        <v>0.5</v>
      </c>
      <c r="F618">
        <v>100.4</v>
      </c>
      <c r="G618">
        <v>106.7</v>
      </c>
      <c r="H618">
        <v>0.33239999999999997</v>
      </c>
      <c r="I618">
        <v>50.5</v>
      </c>
      <c r="J618">
        <v>48.1</v>
      </c>
      <c r="K618">
        <v>22.3</v>
      </c>
      <c r="L618">
        <v>16.600000000000001</v>
      </c>
      <c r="M618">
        <v>32.5</v>
      </c>
      <c r="N618">
        <v>31.4</v>
      </c>
      <c r="O618">
        <v>38.4</v>
      </c>
      <c r="P618">
        <v>32.200000000000003</v>
      </c>
      <c r="Q618">
        <v>47.6</v>
      </c>
      <c r="R618">
        <v>45.7</v>
      </c>
      <c r="S618">
        <v>37</v>
      </c>
      <c r="T618">
        <v>36</v>
      </c>
      <c r="U618">
        <v>73.2</v>
      </c>
      <c r="V618">
        <v>-13.3</v>
      </c>
      <c r="W618" cm="1">
        <f t="array" ref="W618">_xlfn.IFS(OR(X618="N/A",X618="NA"),0,OR(X618="R64",X618="R68"),1,X618="R32",2,X618="S16",3,X618="E8",4,X618="F4",5,X618="2ND",6,X618="Champions",7)</f>
        <v>0</v>
      </c>
      <c r="X618" t="s">
        <v>90</v>
      </c>
      <c r="Y618" t="s">
        <v>90</v>
      </c>
      <c r="Z618">
        <v>2017</v>
      </c>
    </row>
    <row r="619" spans="1:26" x14ac:dyDescent="0.3">
      <c r="A619" t="s">
        <v>225</v>
      </c>
      <c r="B619" t="s">
        <v>43</v>
      </c>
      <c r="C619">
        <v>34</v>
      </c>
      <c r="D619">
        <v>11</v>
      </c>
      <c r="E619" s="1">
        <f t="shared" si="9"/>
        <v>0.3235294117647059</v>
      </c>
      <c r="F619">
        <v>98.9</v>
      </c>
      <c r="G619">
        <v>107.8</v>
      </c>
      <c r="H619">
        <v>0.26960000000000001</v>
      </c>
      <c r="I619">
        <v>50.8</v>
      </c>
      <c r="J619">
        <v>53.9</v>
      </c>
      <c r="K619">
        <v>18.100000000000001</v>
      </c>
      <c r="L619">
        <v>17.5</v>
      </c>
      <c r="M619">
        <v>24.5</v>
      </c>
      <c r="N619">
        <v>26.8</v>
      </c>
      <c r="O619">
        <v>27.4</v>
      </c>
      <c r="P619">
        <v>32.299999999999997</v>
      </c>
      <c r="Q619">
        <v>49.8</v>
      </c>
      <c r="R619">
        <v>54.2</v>
      </c>
      <c r="S619">
        <v>34.9</v>
      </c>
      <c r="T619">
        <v>35.700000000000003</v>
      </c>
      <c r="U619">
        <v>63.8</v>
      </c>
      <c r="V619">
        <v>-17.8</v>
      </c>
      <c r="W619" cm="1">
        <f t="array" ref="W619">_xlfn.IFS(OR(X619="N/A",X619="NA"),0,OR(X619="R64",X619="R68"),1,X619="R32",2,X619="S16",3,X619="E8",4,X619="F4",5,X619="2ND",6,X619="Champions",7)</f>
        <v>0</v>
      </c>
      <c r="X619" t="s">
        <v>90</v>
      </c>
      <c r="Y619" t="s">
        <v>90</v>
      </c>
      <c r="Z619">
        <v>2017</v>
      </c>
    </row>
    <row r="620" spans="1:26" x14ac:dyDescent="0.3">
      <c r="A620" t="s">
        <v>226</v>
      </c>
      <c r="B620" t="s">
        <v>43</v>
      </c>
      <c r="C620">
        <v>32</v>
      </c>
      <c r="D620">
        <v>25</v>
      </c>
      <c r="E620" s="1">
        <f t="shared" si="9"/>
        <v>0.78125</v>
      </c>
      <c r="F620">
        <v>103.8</v>
      </c>
      <c r="G620">
        <v>99.2</v>
      </c>
      <c r="H620">
        <v>0.62890000000000001</v>
      </c>
      <c r="I620">
        <v>51.2</v>
      </c>
      <c r="J620">
        <v>46.3</v>
      </c>
      <c r="K620">
        <v>18.399999999999999</v>
      </c>
      <c r="L620">
        <v>18.899999999999999</v>
      </c>
      <c r="M620">
        <v>29.3</v>
      </c>
      <c r="N620">
        <v>29.1</v>
      </c>
      <c r="O620">
        <v>37.700000000000003</v>
      </c>
      <c r="P620">
        <v>28.5</v>
      </c>
      <c r="Q620">
        <v>51.9</v>
      </c>
      <c r="R620">
        <v>45.3</v>
      </c>
      <c r="S620">
        <v>33.299999999999997</v>
      </c>
      <c r="T620">
        <v>32.200000000000003</v>
      </c>
      <c r="U620">
        <v>73.400000000000006</v>
      </c>
      <c r="V620">
        <v>-3.6</v>
      </c>
      <c r="W620" cm="1">
        <f t="array" ref="W620">_xlfn.IFS(OR(X620="N/A",X620="NA"),0,OR(X620="R64",X620="R68"),1,X620="R32",2,X620="S16",3,X620="E8",4,X620="F4",5,X620="2ND",6,X620="Champions",7)</f>
        <v>0</v>
      </c>
      <c r="X620" t="s">
        <v>90</v>
      </c>
      <c r="Y620" t="s">
        <v>90</v>
      </c>
      <c r="Z620">
        <v>2017</v>
      </c>
    </row>
    <row r="621" spans="1:26" x14ac:dyDescent="0.3">
      <c r="A621" t="s">
        <v>229</v>
      </c>
      <c r="B621" t="s">
        <v>43</v>
      </c>
      <c r="C621">
        <v>32</v>
      </c>
      <c r="D621">
        <v>24</v>
      </c>
      <c r="E621" s="1">
        <f t="shared" si="9"/>
        <v>0.75</v>
      </c>
      <c r="F621">
        <v>104.5</v>
      </c>
      <c r="G621">
        <v>99.9</v>
      </c>
      <c r="H621">
        <v>0.62719999999999998</v>
      </c>
      <c r="I621">
        <v>50.1</v>
      </c>
      <c r="J621">
        <v>47.4</v>
      </c>
      <c r="K621">
        <v>18.2</v>
      </c>
      <c r="L621">
        <v>17.899999999999999</v>
      </c>
      <c r="M621">
        <v>30.4</v>
      </c>
      <c r="N621">
        <v>26.8</v>
      </c>
      <c r="O621">
        <v>36.9</v>
      </c>
      <c r="P621">
        <v>32.4</v>
      </c>
      <c r="Q621">
        <v>50.5</v>
      </c>
      <c r="R621">
        <v>46.4</v>
      </c>
      <c r="S621">
        <v>33</v>
      </c>
      <c r="T621">
        <v>32.799999999999997</v>
      </c>
      <c r="U621">
        <v>68.7</v>
      </c>
      <c r="V621">
        <v>-2</v>
      </c>
      <c r="W621" cm="1">
        <f t="array" ref="W621">_xlfn.IFS(OR(X621="N/A",X621="NA"),0,OR(X621="R64",X621="R68"),1,X621="R32",2,X621="S16",3,X621="E8",4,X621="F4",5,X621="2ND",6,X621="Champions",7)</f>
        <v>0</v>
      </c>
      <c r="X621" t="s">
        <v>90</v>
      </c>
      <c r="Y621" t="s">
        <v>90</v>
      </c>
      <c r="Z621">
        <v>2017</v>
      </c>
    </row>
    <row r="622" spans="1:26" x14ac:dyDescent="0.3">
      <c r="A622" t="s">
        <v>227</v>
      </c>
      <c r="B622" t="s">
        <v>43</v>
      </c>
      <c r="C622">
        <v>30</v>
      </c>
      <c r="D622">
        <v>20</v>
      </c>
      <c r="E622" s="1">
        <f t="shared" si="9"/>
        <v>0.66666666666666663</v>
      </c>
      <c r="F622">
        <v>105.3</v>
      </c>
      <c r="G622">
        <v>105.4</v>
      </c>
      <c r="H622">
        <v>0.49630000000000002</v>
      </c>
      <c r="I622">
        <v>52</v>
      </c>
      <c r="J622">
        <v>52</v>
      </c>
      <c r="K622">
        <v>20.399999999999999</v>
      </c>
      <c r="L622">
        <v>19.5</v>
      </c>
      <c r="M622">
        <v>29.4</v>
      </c>
      <c r="N622">
        <v>26.5</v>
      </c>
      <c r="O622">
        <v>38</v>
      </c>
      <c r="P622">
        <v>37.1</v>
      </c>
      <c r="Q622">
        <v>49.4</v>
      </c>
      <c r="R622">
        <v>52</v>
      </c>
      <c r="S622">
        <v>37.200000000000003</v>
      </c>
      <c r="T622">
        <v>34.799999999999997</v>
      </c>
      <c r="U622">
        <v>70.5</v>
      </c>
      <c r="V622">
        <v>-6.8</v>
      </c>
      <c r="W622" cm="1">
        <f t="array" ref="W622">_xlfn.IFS(OR(X622="N/A",X622="NA"),0,OR(X622="R64",X622="R68"),1,X622="R32",2,X622="S16",3,X622="E8",4,X622="F4",5,X622="2ND",6,X622="Champions",7)</f>
        <v>0</v>
      </c>
      <c r="X622" t="s">
        <v>90</v>
      </c>
      <c r="Y622" t="s">
        <v>90</v>
      </c>
      <c r="Z622">
        <v>2017</v>
      </c>
    </row>
    <row r="623" spans="1:26" x14ac:dyDescent="0.3">
      <c r="A623" t="s">
        <v>228</v>
      </c>
      <c r="B623" t="s">
        <v>43</v>
      </c>
      <c r="C623">
        <v>32</v>
      </c>
      <c r="D623">
        <v>13</v>
      </c>
      <c r="E623" s="1">
        <f t="shared" si="9"/>
        <v>0.40625</v>
      </c>
      <c r="F623">
        <v>101</v>
      </c>
      <c r="G623">
        <v>112.8</v>
      </c>
      <c r="H623">
        <v>0.22040000000000001</v>
      </c>
      <c r="I623">
        <v>49.1</v>
      </c>
      <c r="J623">
        <v>53</v>
      </c>
      <c r="K623">
        <v>16</v>
      </c>
      <c r="L623">
        <v>16.399999999999999</v>
      </c>
      <c r="M623">
        <v>26.3</v>
      </c>
      <c r="N623">
        <v>31.4</v>
      </c>
      <c r="O623">
        <v>25.9</v>
      </c>
      <c r="P623">
        <v>29.1</v>
      </c>
      <c r="Q623">
        <v>49</v>
      </c>
      <c r="R623">
        <v>53.5</v>
      </c>
      <c r="S623">
        <v>32.799999999999997</v>
      </c>
      <c r="T623">
        <v>34.6</v>
      </c>
      <c r="U623">
        <v>73.099999999999994</v>
      </c>
      <c r="V623">
        <v>-15.4</v>
      </c>
      <c r="W623" cm="1">
        <f t="array" ref="W623">_xlfn.IFS(OR(X623="N/A",X623="NA"),0,OR(X623="R64",X623="R68"),1,X623="R32",2,X623="S16",3,X623="E8",4,X623="F4",5,X623="2ND",6,X623="Champions",7)</f>
        <v>0</v>
      </c>
      <c r="X623" t="s">
        <v>90</v>
      </c>
      <c r="Y623" t="s">
        <v>90</v>
      </c>
      <c r="Z623">
        <v>2017</v>
      </c>
    </row>
    <row r="624" spans="1:26" x14ac:dyDescent="0.3">
      <c r="A624" t="s">
        <v>221</v>
      </c>
      <c r="B624" t="s">
        <v>43</v>
      </c>
      <c r="C624">
        <v>34</v>
      </c>
      <c r="D624">
        <v>12</v>
      </c>
      <c r="E624" s="1">
        <f t="shared" si="9"/>
        <v>0.35294117647058826</v>
      </c>
      <c r="F624">
        <v>97.9</v>
      </c>
      <c r="G624">
        <v>109.2</v>
      </c>
      <c r="H624">
        <v>0.22339999999999999</v>
      </c>
      <c r="I624">
        <v>50.6</v>
      </c>
      <c r="J624">
        <v>53</v>
      </c>
      <c r="K624">
        <v>18.899999999999999</v>
      </c>
      <c r="L624">
        <v>19.5</v>
      </c>
      <c r="M624">
        <v>22.1</v>
      </c>
      <c r="N624">
        <v>32.9</v>
      </c>
      <c r="O624">
        <v>29.4</v>
      </c>
      <c r="P624">
        <v>31.1</v>
      </c>
      <c r="Q624">
        <v>50.4</v>
      </c>
      <c r="R624">
        <v>52.5</v>
      </c>
      <c r="S624">
        <v>34</v>
      </c>
      <c r="T624">
        <v>35.9</v>
      </c>
      <c r="U624">
        <v>68.2</v>
      </c>
      <c r="V624">
        <v>-16.7</v>
      </c>
      <c r="W624" cm="1">
        <f t="array" ref="W624">_xlfn.IFS(OR(X624="N/A",X624="NA"),0,OR(X624="R64",X624="R68"),1,X624="R32",2,X624="S16",3,X624="E8",4,X624="F4",5,X624="2ND",6,X624="Champions",7)</f>
        <v>0</v>
      </c>
      <c r="X624" t="s">
        <v>90</v>
      </c>
      <c r="Y624" t="s">
        <v>90</v>
      </c>
      <c r="Z624">
        <v>2018</v>
      </c>
    </row>
    <row r="625" spans="1:26" x14ac:dyDescent="0.3">
      <c r="A625" t="s">
        <v>222</v>
      </c>
      <c r="B625" t="s">
        <v>43</v>
      </c>
      <c r="C625">
        <v>30</v>
      </c>
      <c r="D625">
        <v>8</v>
      </c>
      <c r="E625" s="1">
        <f t="shared" si="9"/>
        <v>0.26666666666666666</v>
      </c>
      <c r="F625">
        <v>101.6</v>
      </c>
      <c r="G625">
        <v>116.7</v>
      </c>
      <c r="H625">
        <v>0.1696</v>
      </c>
      <c r="I625">
        <v>49.1</v>
      </c>
      <c r="J625">
        <v>56.7</v>
      </c>
      <c r="K625">
        <v>18.2</v>
      </c>
      <c r="L625">
        <v>17.2</v>
      </c>
      <c r="M625">
        <v>27</v>
      </c>
      <c r="N625">
        <v>31.4</v>
      </c>
      <c r="O625">
        <v>31.1</v>
      </c>
      <c r="P625">
        <v>37.5</v>
      </c>
      <c r="Q625">
        <v>48.5</v>
      </c>
      <c r="R625">
        <v>54.1</v>
      </c>
      <c r="S625">
        <v>33.299999999999997</v>
      </c>
      <c r="T625">
        <v>40.6</v>
      </c>
      <c r="U625">
        <v>73.8</v>
      </c>
      <c r="V625">
        <v>-18</v>
      </c>
      <c r="W625" cm="1">
        <f t="array" ref="W625">_xlfn.IFS(OR(X625="N/A",X625="NA"),0,OR(X625="R64",X625="R68"),1,X625="R32",2,X625="S16",3,X625="E8",4,X625="F4",5,X625="2ND",6,X625="Champions",7)</f>
        <v>0</v>
      </c>
      <c r="X625" t="s">
        <v>90</v>
      </c>
      <c r="Y625" t="s">
        <v>90</v>
      </c>
      <c r="Z625">
        <v>2018</v>
      </c>
    </row>
    <row r="626" spans="1:26" x14ac:dyDescent="0.3">
      <c r="A626" t="s">
        <v>223</v>
      </c>
      <c r="B626" t="s">
        <v>43</v>
      </c>
      <c r="C626">
        <v>30</v>
      </c>
      <c r="D626">
        <v>13</v>
      </c>
      <c r="E626" s="1">
        <f t="shared" si="9"/>
        <v>0.43333333333333335</v>
      </c>
      <c r="F626">
        <v>99.8</v>
      </c>
      <c r="G626">
        <v>108</v>
      </c>
      <c r="H626">
        <v>0.2863</v>
      </c>
      <c r="I626">
        <v>48.6</v>
      </c>
      <c r="J626">
        <v>50.9</v>
      </c>
      <c r="K626">
        <v>18.600000000000001</v>
      </c>
      <c r="L626">
        <v>17.8</v>
      </c>
      <c r="M626">
        <v>25.6</v>
      </c>
      <c r="N626">
        <v>30.9</v>
      </c>
      <c r="O626">
        <v>32.299999999999997</v>
      </c>
      <c r="P626">
        <v>31.4</v>
      </c>
      <c r="Q626">
        <v>44.7</v>
      </c>
      <c r="R626">
        <v>51.7</v>
      </c>
      <c r="S626">
        <v>36.200000000000003</v>
      </c>
      <c r="T626">
        <v>33.1</v>
      </c>
      <c r="U626">
        <v>73.2</v>
      </c>
      <c r="V626">
        <v>-14.4</v>
      </c>
      <c r="W626" cm="1">
        <f t="array" ref="W626">_xlfn.IFS(OR(X626="N/A",X626="NA"),0,OR(X626="R64",X626="R68"),1,X626="R32",2,X626="S16",3,X626="E8",4,X626="F4",5,X626="2ND",6,X626="Champions",7)</f>
        <v>0</v>
      </c>
      <c r="X626" t="s">
        <v>90</v>
      </c>
      <c r="Y626" t="s">
        <v>90</v>
      </c>
      <c r="Z626">
        <v>2018</v>
      </c>
    </row>
    <row r="627" spans="1:26" x14ac:dyDescent="0.3">
      <c r="A627" t="s">
        <v>224</v>
      </c>
      <c r="B627" t="s">
        <v>43</v>
      </c>
      <c r="C627">
        <v>34</v>
      </c>
      <c r="D627">
        <v>20</v>
      </c>
      <c r="E627" s="1">
        <f t="shared" si="9"/>
        <v>0.58823529411764708</v>
      </c>
      <c r="F627">
        <v>100.2</v>
      </c>
      <c r="G627">
        <v>102</v>
      </c>
      <c r="H627">
        <v>0.45</v>
      </c>
      <c r="I627">
        <v>50.6</v>
      </c>
      <c r="J627">
        <v>46.7</v>
      </c>
      <c r="K627">
        <v>20.8</v>
      </c>
      <c r="L627">
        <v>17.2</v>
      </c>
      <c r="M627">
        <v>28.8</v>
      </c>
      <c r="N627">
        <v>30.4</v>
      </c>
      <c r="O627">
        <v>35.299999999999997</v>
      </c>
      <c r="P627">
        <v>34.200000000000003</v>
      </c>
      <c r="Q627">
        <v>49.8</v>
      </c>
      <c r="R627">
        <v>45.8</v>
      </c>
      <c r="S627">
        <v>34.9</v>
      </c>
      <c r="T627">
        <v>32.299999999999997</v>
      </c>
      <c r="U627">
        <v>73.3</v>
      </c>
      <c r="V627">
        <v>-10</v>
      </c>
      <c r="W627" cm="1">
        <f t="array" ref="W627">_xlfn.IFS(OR(X627="N/A",X627="NA"),0,OR(X627="R64",X627="R68"),1,X627="R32",2,X627="S16",3,X627="E8",4,X627="F4",5,X627="2ND",6,X627="Champions",7)</f>
        <v>0</v>
      </c>
      <c r="X627" t="s">
        <v>90</v>
      </c>
      <c r="Y627" t="s">
        <v>90</v>
      </c>
      <c r="Z627">
        <v>2018</v>
      </c>
    </row>
    <row r="628" spans="1:26" x14ac:dyDescent="0.3">
      <c r="A628" t="s">
        <v>230</v>
      </c>
      <c r="B628" t="s">
        <v>43</v>
      </c>
      <c r="C628">
        <v>28</v>
      </c>
      <c r="D628">
        <v>11</v>
      </c>
      <c r="E628" s="1">
        <f t="shared" si="9"/>
        <v>0.39285714285714285</v>
      </c>
      <c r="F628">
        <v>97.6</v>
      </c>
      <c r="G628">
        <v>108</v>
      </c>
      <c r="H628">
        <v>0.23749999999999999</v>
      </c>
      <c r="I628">
        <v>48</v>
      </c>
      <c r="J628">
        <v>54.6</v>
      </c>
      <c r="K628">
        <v>20.5</v>
      </c>
      <c r="L628">
        <v>21.2</v>
      </c>
      <c r="M628">
        <v>31.9</v>
      </c>
      <c r="N628">
        <v>29.3</v>
      </c>
      <c r="O628">
        <v>32.9</v>
      </c>
      <c r="P628">
        <v>37.799999999999997</v>
      </c>
      <c r="Q628">
        <v>45.2</v>
      </c>
      <c r="R628">
        <v>55.6</v>
      </c>
      <c r="S628">
        <v>35.5</v>
      </c>
      <c r="T628">
        <v>35.299999999999997</v>
      </c>
      <c r="U628">
        <v>67.3</v>
      </c>
      <c r="V628">
        <v>-13.5</v>
      </c>
      <c r="W628" cm="1">
        <f t="array" ref="W628">_xlfn.IFS(OR(X628="N/A",X628="NA"),0,OR(X628="R64",X628="R68"),1,X628="R32",2,X628="S16",3,X628="E8",4,X628="F4",5,X628="2ND",6,X628="Champions",7)</f>
        <v>0</v>
      </c>
      <c r="X628" t="s">
        <v>90</v>
      </c>
      <c r="Y628" t="s">
        <v>90</v>
      </c>
      <c r="Z628">
        <v>2018</v>
      </c>
    </row>
    <row r="629" spans="1:26" x14ac:dyDescent="0.3">
      <c r="A629" t="s">
        <v>225</v>
      </c>
      <c r="B629" t="s">
        <v>43</v>
      </c>
      <c r="C629">
        <v>31</v>
      </c>
      <c r="D629">
        <v>16</v>
      </c>
      <c r="E629" s="1">
        <f t="shared" si="9"/>
        <v>0.5161290322580645</v>
      </c>
      <c r="F629">
        <v>99.2</v>
      </c>
      <c r="G629">
        <v>102.5</v>
      </c>
      <c r="H629">
        <v>0.40860000000000002</v>
      </c>
      <c r="I629">
        <v>50.9</v>
      </c>
      <c r="J629">
        <v>50.1</v>
      </c>
      <c r="K629">
        <v>18.100000000000001</v>
      </c>
      <c r="L629">
        <v>18</v>
      </c>
      <c r="M629">
        <v>25.1</v>
      </c>
      <c r="N629">
        <v>23.8</v>
      </c>
      <c r="O629">
        <v>27.7</v>
      </c>
      <c r="P629">
        <v>27.4</v>
      </c>
      <c r="Q629">
        <v>50.9</v>
      </c>
      <c r="R629">
        <v>46.5</v>
      </c>
      <c r="S629">
        <v>33.9</v>
      </c>
      <c r="T629">
        <v>37.4</v>
      </c>
      <c r="U629">
        <v>66.8</v>
      </c>
      <c r="V629">
        <v>-10.9</v>
      </c>
      <c r="W629" cm="1">
        <f t="array" ref="W629">_xlfn.IFS(OR(X629="N/A",X629="NA"),0,OR(X629="R64",X629="R68"),1,X629="R32",2,X629="S16",3,X629="E8",4,X629="F4",5,X629="2ND",6,X629="Champions",7)</f>
        <v>0</v>
      </c>
      <c r="X629" t="s">
        <v>90</v>
      </c>
      <c r="Y629" t="s">
        <v>90</v>
      </c>
      <c r="Z629">
        <v>2018</v>
      </c>
    </row>
    <row r="630" spans="1:26" x14ac:dyDescent="0.3">
      <c r="A630" t="s">
        <v>135</v>
      </c>
      <c r="B630" t="s">
        <v>43</v>
      </c>
      <c r="C630">
        <v>30</v>
      </c>
      <c r="D630">
        <v>22</v>
      </c>
      <c r="E630" s="1">
        <f t="shared" si="9"/>
        <v>0.73333333333333328</v>
      </c>
      <c r="F630">
        <v>106.2</v>
      </c>
      <c r="G630">
        <v>98.3</v>
      </c>
      <c r="H630">
        <v>0.7087</v>
      </c>
      <c r="I630">
        <v>53.8</v>
      </c>
      <c r="J630">
        <v>47.1</v>
      </c>
      <c r="K630">
        <v>17.600000000000001</v>
      </c>
      <c r="L630">
        <v>19.2</v>
      </c>
      <c r="M630">
        <v>28</v>
      </c>
      <c r="N630">
        <v>26.8</v>
      </c>
      <c r="O630">
        <v>31</v>
      </c>
      <c r="P630">
        <v>31.7</v>
      </c>
      <c r="Q630">
        <v>55.7</v>
      </c>
      <c r="R630">
        <v>46.7</v>
      </c>
      <c r="S630">
        <v>34</v>
      </c>
      <c r="T630">
        <v>31.8</v>
      </c>
      <c r="U630">
        <v>69.599999999999994</v>
      </c>
      <c r="V630">
        <v>-4.5</v>
      </c>
      <c r="W630" cm="1">
        <f t="array" ref="W630">_xlfn.IFS(OR(X630="N/A",X630="NA"),0,OR(X630="R64",X630="R68"),1,X630="R32",2,X630="S16",3,X630="E8",4,X630="F4",5,X630="2ND",6,X630="Champions",7)</f>
        <v>0</v>
      </c>
      <c r="X630" t="s">
        <v>90</v>
      </c>
      <c r="Y630" t="s">
        <v>90</v>
      </c>
      <c r="Z630">
        <v>2018</v>
      </c>
    </row>
    <row r="631" spans="1:26" x14ac:dyDescent="0.3">
      <c r="A631" t="s">
        <v>226</v>
      </c>
      <c r="B631" t="s">
        <v>43</v>
      </c>
      <c r="C631">
        <v>33</v>
      </c>
      <c r="D631">
        <v>19</v>
      </c>
      <c r="E631" s="1">
        <f t="shared" si="9"/>
        <v>0.5757575757575758</v>
      </c>
      <c r="F631">
        <v>105.7</v>
      </c>
      <c r="G631">
        <v>106.2</v>
      </c>
      <c r="H631">
        <v>0.48659999999999998</v>
      </c>
      <c r="I631">
        <v>52</v>
      </c>
      <c r="J631">
        <v>50.8</v>
      </c>
      <c r="K631">
        <v>18.100000000000001</v>
      </c>
      <c r="L631">
        <v>16.899999999999999</v>
      </c>
      <c r="M631">
        <v>28</v>
      </c>
      <c r="N631">
        <v>28.6</v>
      </c>
      <c r="O631">
        <v>35.5</v>
      </c>
      <c r="P631">
        <v>27.8</v>
      </c>
      <c r="Q631">
        <v>51.4</v>
      </c>
      <c r="R631">
        <v>48.5</v>
      </c>
      <c r="S631">
        <v>35.200000000000003</v>
      </c>
      <c r="T631">
        <v>37.299999999999997</v>
      </c>
      <c r="U631">
        <v>72</v>
      </c>
      <c r="V631">
        <v>-8</v>
      </c>
      <c r="W631" cm="1">
        <f t="array" ref="W631">_xlfn.IFS(OR(X631="N/A",X631="NA"),0,OR(X631="R64",X631="R68"),1,X631="R32",2,X631="S16",3,X631="E8",4,X631="F4",5,X631="2ND",6,X631="Champions",7)</f>
        <v>0</v>
      </c>
      <c r="X631" t="s">
        <v>90</v>
      </c>
      <c r="Y631" t="s">
        <v>90</v>
      </c>
      <c r="Z631">
        <v>2018</v>
      </c>
    </row>
    <row r="632" spans="1:26" x14ac:dyDescent="0.3">
      <c r="A632" t="s">
        <v>228</v>
      </c>
      <c r="B632" t="s">
        <v>43</v>
      </c>
      <c r="C632">
        <v>30</v>
      </c>
      <c r="D632">
        <v>8</v>
      </c>
      <c r="E632" s="1">
        <f t="shared" si="9"/>
        <v>0.26666666666666666</v>
      </c>
      <c r="F632">
        <v>101.1</v>
      </c>
      <c r="G632">
        <v>114.5</v>
      </c>
      <c r="H632">
        <v>0.19309999999999999</v>
      </c>
      <c r="I632">
        <v>47.6</v>
      </c>
      <c r="J632">
        <v>58.7</v>
      </c>
      <c r="K632">
        <v>19.399999999999999</v>
      </c>
      <c r="L632">
        <v>19.399999999999999</v>
      </c>
      <c r="M632">
        <v>34.700000000000003</v>
      </c>
      <c r="N632">
        <v>29.9</v>
      </c>
      <c r="O632">
        <v>28.4</v>
      </c>
      <c r="P632">
        <v>39.799999999999997</v>
      </c>
      <c r="Q632">
        <v>46.5</v>
      </c>
      <c r="R632">
        <v>57.4</v>
      </c>
      <c r="S632">
        <v>33.200000000000003</v>
      </c>
      <c r="T632">
        <v>40.799999999999997</v>
      </c>
      <c r="U632">
        <v>72.400000000000006</v>
      </c>
      <c r="V632">
        <v>-17.899999999999999</v>
      </c>
      <c r="W632" cm="1">
        <f t="array" ref="W632">_xlfn.IFS(OR(X632="N/A",X632="NA"),0,OR(X632="R64",X632="R68"),1,X632="R32",2,X632="S16",3,X632="E8",4,X632="F4",5,X632="2ND",6,X632="Champions",7)</f>
        <v>0</v>
      </c>
      <c r="X632" t="s">
        <v>90</v>
      </c>
      <c r="Y632" t="s">
        <v>90</v>
      </c>
      <c r="Z632">
        <v>2018</v>
      </c>
    </row>
    <row r="633" spans="1:26" x14ac:dyDescent="0.3">
      <c r="A633" t="s">
        <v>221</v>
      </c>
      <c r="B633" t="s">
        <v>43</v>
      </c>
      <c r="C633">
        <v>29</v>
      </c>
      <c r="D633">
        <v>10</v>
      </c>
      <c r="E633" s="1">
        <f t="shared" si="9"/>
        <v>0.34482758620689657</v>
      </c>
      <c r="F633">
        <v>101.4</v>
      </c>
      <c r="G633">
        <v>110.5</v>
      </c>
      <c r="H633">
        <v>0.27079999999999999</v>
      </c>
      <c r="I633">
        <v>51.5</v>
      </c>
      <c r="J633">
        <v>51.6</v>
      </c>
      <c r="K633">
        <v>18.5</v>
      </c>
      <c r="L633">
        <v>16.8</v>
      </c>
      <c r="M633">
        <v>26.3</v>
      </c>
      <c r="N633">
        <v>33</v>
      </c>
      <c r="O633">
        <v>31.7</v>
      </c>
      <c r="P633">
        <v>34</v>
      </c>
      <c r="Q633">
        <v>48.9</v>
      </c>
      <c r="R633">
        <v>53.2</v>
      </c>
      <c r="S633">
        <v>36.5</v>
      </c>
      <c r="T633">
        <v>32.9</v>
      </c>
      <c r="U633">
        <v>70.7</v>
      </c>
      <c r="V633">
        <v>-15.2</v>
      </c>
      <c r="W633" cm="1">
        <f t="array" ref="W633">_xlfn.IFS(OR(X633="N/A",X633="NA"),0,OR(X633="R64",X633="R68"),1,X633="R32",2,X633="S16",3,X633="E8",4,X633="F4",5,X633="2ND",6,X633="Champions",7)</f>
        <v>0</v>
      </c>
      <c r="X633" t="s">
        <v>90</v>
      </c>
      <c r="Y633" t="s">
        <v>90</v>
      </c>
      <c r="Z633">
        <v>2019</v>
      </c>
    </row>
    <row r="634" spans="1:26" x14ac:dyDescent="0.3">
      <c r="A634" t="s">
        <v>222</v>
      </c>
      <c r="B634" t="s">
        <v>43</v>
      </c>
      <c r="C634">
        <v>31</v>
      </c>
      <c r="D634">
        <v>11</v>
      </c>
      <c r="E634" s="1">
        <f t="shared" si="9"/>
        <v>0.35483870967741937</v>
      </c>
      <c r="F634">
        <v>105.7</v>
      </c>
      <c r="G634">
        <v>112</v>
      </c>
      <c r="H634">
        <v>0.3402</v>
      </c>
      <c r="I634">
        <v>49.7</v>
      </c>
      <c r="J634">
        <v>54.4</v>
      </c>
      <c r="K634">
        <v>16.3</v>
      </c>
      <c r="L634">
        <v>19.8</v>
      </c>
      <c r="M634">
        <v>29.3</v>
      </c>
      <c r="N634">
        <v>36.4</v>
      </c>
      <c r="O634">
        <v>31</v>
      </c>
      <c r="P634">
        <v>32.700000000000003</v>
      </c>
      <c r="Q634">
        <v>46.7</v>
      </c>
      <c r="R634">
        <v>56.2</v>
      </c>
      <c r="S634">
        <v>35.6</v>
      </c>
      <c r="T634">
        <v>34.5</v>
      </c>
      <c r="U634">
        <v>70.099999999999994</v>
      </c>
      <c r="V634">
        <v>-12.3</v>
      </c>
      <c r="W634" cm="1">
        <f t="array" ref="W634">_xlfn.IFS(OR(X634="N/A",X634="NA"),0,OR(X634="R64",X634="R68"),1,X634="R32",2,X634="S16",3,X634="E8",4,X634="F4",5,X634="2ND",6,X634="Champions",7)</f>
        <v>0</v>
      </c>
      <c r="X634" t="s">
        <v>90</v>
      </c>
      <c r="Y634" t="s">
        <v>90</v>
      </c>
      <c r="Z634">
        <v>2019</v>
      </c>
    </row>
    <row r="635" spans="1:26" x14ac:dyDescent="0.3">
      <c r="A635" t="s">
        <v>223</v>
      </c>
      <c r="B635" t="s">
        <v>43</v>
      </c>
      <c r="C635">
        <v>36</v>
      </c>
      <c r="D635">
        <v>21</v>
      </c>
      <c r="E635" s="1">
        <f t="shared" si="9"/>
        <v>0.58333333333333337</v>
      </c>
      <c r="F635">
        <v>103.6</v>
      </c>
      <c r="G635">
        <v>104.9</v>
      </c>
      <c r="H635">
        <v>0.46479999999999999</v>
      </c>
      <c r="I635">
        <v>51.5</v>
      </c>
      <c r="J635">
        <v>52.1</v>
      </c>
      <c r="K635">
        <v>17.2</v>
      </c>
      <c r="L635">
        <v>18.8</v>
      </c>
      <c r="M635">
        <v>26.4</v>
      </c>
      <c r="N635">
        <v>31.4</v>
      </c>
      <c r="O635">
        <v>33.9</v>
      </c>
      <c r="P635">
        <v>32.299999999999997</v>
      </c>
      <c r="Q635">
        <v>51.4</v>
      </c>
      <c r="R635">
        <v>52.5</v>
      </c>
      <c r="S635">
        <v>34.5</v>
      </c>
      <c r="T635">
        <v>34.4</v>
      </c>
      <c r="U635">
        <v>74.7</v>
      </c>
      <c r="V635">
        <v>-8.4</v>
      </c>
      <c r="W635" cm="1">
        <f t="array" ref="W635">_xlfn.IFS(OR(X635="N/A",X635="NA"),0,OR(X635="R64",X635="R68"),1,X635="R32",2,X635="S16",3,X635="E8",4,X635="F4",5,X635="2ND",6,X635="Champions",7)</f>
        <v>0</v>
      </c>
      <c r="X635" t="s">
        <v>90</v>
      </c>
      <c r="Y635" t="s">
        <v>90</v>
      </c>
      <c r="Z635">
        <v>2019</v>
      </c>
    </row>
    <row r="636" spans="1:26" x14ac:dyDescent="0.3">
      <c r="A636" t="s">
        <v>224</v>
      </c>
      <c r="B636" t="s">
        <v>43</v>
      </c>
      <c r="C636">
        <v>30</v>
      </c>
      <c r="D636">
        <v>16</v>
      </c>
      <c r="E636" s="1">
        <f t="shared" si="9"/>
        <v>0.53333333333333333</v>
      </c>
      <c r="F636">
        <v>100.5</v>
      </c>
      <c r="G636">
        <v>101.3</v>
      </c>
      <c r="H636">
        <v>0.47620000000000001</v>
      </c>
      <c r="I636">
        <v>53.3</v>
      </c>
      <c r="J636">
        <v>48.3</v>
      </c>
      <c r="K636">
        <v>20</v>
      </c>
      <c r="L636">
        <v>17.600000000000001</v>
      </c>
      <c r="M636">
        <v>24.9</v>
      </c>
      <c r="N636">
        <v>30.4</v>
      </c>
      <c r="O636">
        <v>27.8</v>
      </c>
      <c r="P636">
        <v>42</v>
      </c>
      <c r="Q636">
        <v>54.1</v>
      </c>
      <c r="R636">
        <v>46.8</v>
      </c>
      <c r="S636">
        <v>34.9</v>
      </c>
      <c r="T636">
        <v>33.799999999999997</v>
      </c>
      <c r="U636">
        <v>71.599999999999994</v>
      </c>
      <c r="V636">
        <v>-10.1</v>
      </c>
      <c r="W636" cm="1">
        <f t="array" ref="W636">_xlfn.IFS(OR(X636="N/A",X636="NA"),0,OR(X636="R64",X636="R68"),1,X636="R32",2,X636="S16",3,X636="E8",4,X636="F4",5,X636="2ND",6,X636="Champions",7)</f>
        <v>0</v>
      </c>
      <c r="X636" t="s">
        <v>90</v>
      </c>
      <c r="Y636" t="s">
        <v>90</v>
      </c>
      <c r="Z636">
        <v>2019</v>
      </c>
    </row>
    <row r="637" spans="1:26" x14ac:dyDescent="0.3">
      <c r="A637" t="s">
        <v>230</v>
      </c>
      <c r="B637" t="s">
        <v>43</v>
      </c>
      <c r="C637">
        <v>31</v>
      </c>
      <c r="D637">
        <v>16</v>
      </c>
      <c r="E637" s="1">
        <f t="shared" si="9"/>
        <v>0.5161290322580645</v>
      </c>
      <c r="F637">
        <v>102.4</v>
      </c>
      <c r="G637">
        <v>105.5</v>
      </c>
      <c r="H637">
        <v>0.41320000000000001</v>
      </c>
      <c r="I637">
        <v>50.2</v>
      </c>
      <c r="J637">
        <v>52.6</v>
      </c>
      <c r="K637">
        <v>19.600000000000001</v>
      </c>
      <c r="L637">
        <v>19.600000000000001</v>
      </c>
      <c r="M637">
        <v>34.299999999999997</v>
      </c>
      <c r="N637">
        <v>27.8</v>
      </c>
      <c r="O637">
        <v>35.200000000000003</v>
      </c>
      <c r="P637">
        <v>33.200000000000003</v>
      </c>
      <c r="Q637">
        <v>50.5</v>
      </c>
      <c r="R637">
        <v>50.7</v>
      </c>
      <c r="S637">
        <v>33</v>
      </c>
      <c r="T637">
        <v>37</v>
      </c>
      <c r="U637">
        <v>70.400000000000006</v>
      </c>
      <c r="V637">
        <v>-10.4</v>
      </c>
      <c r="W637" cm="1">
        <f t="array" ref="W637">_xlfn.IFS(OR(X637="N/A",X637="NA"),0,OR(X637="R64",X637="R68"),1,X637="R32",2,X637="S16",3,X637="E8",4,X637="F4",5,X637="2ND",6,X637="Champions",7)</f>
        <v>0</v>
      </c>
      <c r="X637" t="s">
        <v>90</v>
      </c>
      <c r="Y637" t="s">
        <v>90</v>
      </c>
      <c r="Z637">
        <v>2019</v>
      </c>
    </row>
    <row r="638" spans="1:26" x14ac:dyDescent="0.3">
      <c r="A638" t="s">
        <v>225</v>
      </c>
      <c r="B638" t="s">
        <v>43</v>
      </c>
      <c r="C638">
        <v>30</v>
      </c>
      <c r="D638">
        <v>9</v>
      </c>
      <c r="E638" s="1">
        <f t="shared" si="9"/>
        <v>0.3</v>
      </c>
      <c r="F638">
        <v>98.6</v>
      </c>
      <c r="G638">
        <v>107.4</v>
      </c>
      <c r="H638">
        <v>0.27179999999999999</v>
      </c>
      <c r="I638">
        <v>48.1</v>
      </c>
      <c r="J638">
        <v>51.7</v>
      </c>
      <c r="K638">
        <v>18</v>
      </c>
      <c r="L638">
        <v>15.3</v>
      </c>
      <c r="M638">
        <v>26.7</v>
      </c>
      <c r="N638">
        <v>28.3</v>
      </c>
      <c r="O638">
        <v>28.2</v>
      </c>
      <c r="P638">
        <v>36.299999999999997</v>
      </c>
      <c r="Q638">
        <v>46.5</v>
      </c>
      <c r="R638">
        <v>53</v>
      </c>
      <c r="S638">
        <v>33.799999999999997</v>
      </c>
      <c r="T638">
        <v>33.299999999999997</v>
      </c>
      <c r="U638">
        <v>67.599999999999994</v>
      </c>
      <c r="V638">
        <v>-16.100000000000001</v>
      </c>
      <c r="W638" cm="1">
        <f t="array" ref="W638">_xlfn.IFS(OR(X638="N/A",X638="NA"),0,OR(X638="R64",X638="R68"),1,X638="R32",2,X638="S16",3,X638="E8",4,X638="F4",5,X638="2ND",6,X638="Champions",7)</f>
        <v>0</v>
      </c>
      <c r="X638" t="s">
        <v>90</v>
      </c>
      <c r="Y638" t="s">
        <v>90</v>
      </c>
      <c r="Z638">
        <v>2019</v>
      </c>
    </row>
    <row r="639" spans="1:26" x14ac:dyDescent="0.3">
      <c r="A639" t="s">
        <v>226</v>
      </c>
      <c r="B639" t="s">
        <v>43</v>
      </c>
      <c r="C639">
        <v>32</v>
      </c>
      <c r="D639">
        <v>16</v>
      </c>
      <c r="E639" s="1">
        <f t="shared" si="9"/>
        <v>0.5</v>
      </c>
      <c r="F639">
        <v>106.8</v>
      </c>
      <c r="G639">
        <v>107</v>
      </c>
      <c r="H639">
        <v>0.49419999999999997</v>
      </c>
      <c r="I639">
        <v>54.3</v>
      </c>
      <c r="J639">
        <v>53</v>
      </c>
      <c r="K639">
        <v>18.399999999999999</v>
      </c>
      <c r="L639">
        <v>17.2</v>
      </c>
      <c r="M639">
        <v>25.7</v>
      </c>
      <c r="N639">
        <v>32.5</v>
      </c>
      <c r="O639">
        <v>35.700000000000003</v>
      </c>
      <c r="P639">
        <v>28</v>
      </c>
      <c r="Q639">
        <v>52.3</v>
      </c>
      <c r="R639">
        <v>53.2</v>
      </c>
      <c r="S639">
        <v>37.9</v>
      </c>
      <c r="T639">
        <v>35.200000000000003</v>
      </c>
      <c r="U639">
        <v>69.8</v>
      </c>
      <c r="V639">
        <v>-10.3</v>
      </c>
      <c r="W639" cm="1">
        <f t="array" ref="W639">_xlfn.IFS(OR(X639="N/A",X639="NA"),0,OR(X639="R64",X639="R68"),1,X639="R32",2,X639="S16",3,X639="E8",4,X639="F4",5,X639="2ND",6,X639="Champions",7)</f>
        <v>0</v>
      </c>
      <c r="X639" t="s">
        <v>90</v>
      </c>
      <c r="Y639" t="s">
        <v>90</v>
      </c>
      <c r="Z639">
        <v>2019</v>
      </c>
    </row>
    <row r="640" spans="1:26" x14ac:dyDescent="0.3">
      <c r="A640" t="s">
        <v>227</v>
      </c>
      <c r="B640" t="s">
        <v>43</v>
      </c>
      <c r="C640">
        <v>33</v>
      </c>
      <c r="D640">
        <v>21</v>
      </c>
      <c r="E640" s="1">
        <f t="shared" si="9"/>
        <v>0.63636363636363635</v>
      </c>
      <c r="F640">
        <v>106.3</v>
      </c>
      <c r="G640">
        <v>100</v>
      </c>
      <c r="H640">
        <v>0.67049999999999998</v>
      </c>
      <c r="I640">
        <v>51</v>
      </c>
      <c r="J640">
        <v>53.1</v>
      </c>
      <c r="K640">
        <v>17.3</v>
      </c>
      <c r="L640">
        <v>20.100000000000001</v>
      </c>
      <c r="M640">
        <v>30.8</v>
      </c>
      <c r="N640">
        <v>25.9</v>
      </c>
      <c r="O640">
        <v>35.1</v>
      </c>
      <c r="P640">
        <v>28.6</v>
      </c>
      <c r="Q640">
        <v>50.4</v>
      </c>
      <c r="R640">
        <v>52.1</v>
      </c>
      <c r="S640">
        <v>34.6</v>
      </c>
      <c r="T640">
        <v>36.5</v>
      </c>
      <c r="U640">
        <v>66.599999999999994</v>
      </c>
      <c r="V640">
        <v>-6.6</v>
      </c>
      <c r="W640" cm="1">
        <f t="array" ref="W640">_xlfn.IFS(OR(X640="N/A",X640="NA"),0,OR(X640="R64",X640="R68"),1,X640="R32",2,X640="S16",3,X640="E8",4,X640="F4",5,X640="2ND",6,X640="Champions",7)</f>
        <v>0</v>
      </c>
      <c r="X640" t="s">
        <v>90</v>
      </c>
      <c r="Y640" t="s">
        <v>90</v>
      </c>
      <c r="Z640">
        <v>2019</v>
      </c>
    </row>
    <row r="641" spans="1:26" x14ac:dyDescent="0.3">
      <c r="A641" t="s">
        <v>228</v>
      </c>
      <c r="B641" t="s">
        <v>43</v>
      </c>
      <c r="C641">
        <v>30</v>
      </c>
      <c r="D641">
        <v>12</v>
      </c>
      <c r="E641" s="1">
        <f t="shared" si="9"/>
        <v>0.4</v>
      </c>
      <c r="F641">
        <v>103.8</v>
      </c>
      <c r="G641">
        <v>111</v>
      </c>
      <c r="H641">
        <v>0.31669999999999998</v>
      </c>
      <c r="I641">
        <v>49.6</v>
      </c>
      <c r="J641">
        <v>53.6</v>
      </c>
      <c r="K641">
        <v>18.5</v>
      </c>
      <c r="L641">
        <v>16.2</v>
      </c>
      <c r="M641">
        <v>33.5</v>
      </c>
      <c r="N641">
        <v>28.9</v>
      </c>
      <c r="O641">
        <v>23.1</v>
      </c>
      <c r="P641">
        <v>38.5</v>
      </c>
      <c r="Q641">
        <v>48.5</v>
      </c>
      <c r="R641">
        <v>55</v>
      </c>
      <c r="S641">
        <v>34.1</v>
      </c>
      <c r="T641">
        <v>34.200000000000003</v>
      </c>
      <c r="U641">
        <v>68.7</v>
      </c>
      <c r="V641">
        <v>-14</v>
      </c>
      <c r="W641" cm="1">
        <f t="array" ref="W641">_xlfn.IFS(OR(X641="N/A",X641="NA"),0,OR(X641="R64",X641="R68"),1,X641="R32",2,X641="S16",3,X641="E8",4,X641="F4",5,X641="2ND",6,X641="Champions",7)</f>
        <v>0</v>
      </c>
      <c r="X641" t="s">
        <v>90</v>
      </c>
      <c r="Y641" t="s">
        <v>90</v>
      </c>
      <c r="Z641">
        <v>2019</v>
      </c>
    </row>
    <row r="642" spans="1:26" x14ac:dyDescent="0.3">
      <c r="A642" t="s">
        <v>138</v>
      </c>
      <c r="B642" t="s">
        <v>231</v>
      </c>
      <c r="C642">
        <v>29</v>
      </c>
      <c r="D642">
        <v>17</v>
      </c>
      <c r="E642" s="1">
        <f t="shared" si="9"/>
        <v>0.58620689655172409</v>
      </c>
      <c r="F642">
        <v>103.3</v>
      </c>
      <c r="G642">
        <v>104.5</v>
      </c>
      <c r="H642">
        <v>0.46439999999999998</v>
      </c>
      <c r="I642">
        <v>52.3</v>
      </c>
      <c r="J642">
        <v>46.4</v>
      </c>
      <c r="K642">
        <v>20.5</v>
      </c>
      <c r="L642">
        <v>19</v>
      </c>
      <c r="M642">
        <v>28.8</v>
      </c>
      <c r="N642">
        <v>33.799999999999997</v>
      </c>
      <c r="O642">
        <v>39</v>
      </c>
      <c r="P642">
        <v>44.1</v>
      </c>
      <c r="Q642">
        <v>49.8</v>
      </c>
      <c r="R642">
        <v>44.6</v>
      </c>
      <c r="S642">
        <v>37.1</v>
      </c>
      <c r="T642">
        <v>33.1</v>
      </c>
      <c r="U642">
        <v>67.099999999999994</v>
      </c>
      <c r="V642">
        <v>-6.2</v>
      </c>
      <c r="W642" cm="1">
        <f t="array" ref="W642">_xlfn.IFS(OR(X642="N/A",X642="NA"),0,OR(X642="R64",X642="R68"),1,X642="R32",2,X642="S16",3,X642="E8",4,X642="F4",5,X642="2ND",6,X642="Champions",7)</f>
        <v>0</v>
      </c>
      <c r="X642" t="s">
        <v>90</v>
      </c>
      <c r="Y642" t="s">
        <v>90</v>
      </c>
      <c r="Z642">
        <v>2015</v>
      </c>
    </row>
    <row r="643" spans="1:26" x14ac:dyDescent="0.3">
      <c r="A643" t="s">
        <v>232</v>
      </c>
      <c r="B643" t="s">
        <v>59</v>
      </c>
      <c r="C643">
        <v>29</v>
      </c>
      <c r="D643">
        <v>11</v>
      </c>
      <c r="E643" s="1">
        <f t="shared" ref="E643:E706" si="10">D643/C643</f>
        <v>0.37931034482758619</v>
      </c>
      <c r="F643">
        <v>98.3</v>
      </c>
      <c r="G643">
        <v>105</v>
      </c>
      <c r="H643">
        <v>0.31780000000000003</v>
      </c>
      <c r="I643">
        <v>47</v>
      </c>
      <c r="J643">
        <v>48.5</v>
      </c>
      <c r="K643">
        <v>21.6</v>
      </c>
      <c r="L643">
        <v>16.399999999999999</v>
      </c>
      <c r="M643">
        <v>29.8</v>
      </c>
      <c r="N643">
        <v>30.5</v>
      </c>
      <c r="O643">
        <v>45</v>
      </c>
      <c r="P643">
        <v>36.4</v>
      </c>
      <c r="Q643">
        <v>47.2</v>
      </c>
      <c r="R643">
        <v>47</v>
      </c>
      <c r="S643">
        <v>31.1</v>
      </c>
      <c r="T643">
        <v>34.700000000000003</v>
      </c>
      <c r="U643">
        <v>68.2</v>
      </c>
      <c r="V643">
        <v>-12.2</v>
      </c>
      <c r="W643" cm="1">
        <f t="array" ref="W643">_xlfn.IFS(OR(X643="N/A",X643="NA"),0,OR(X643="R64",X643="R68"),1,X643="R32",2,X643="S16",3,X643="E8",4,X643="F4",5,X643="2ND",6,X643="Champions",7)</f>
        <v>0</v>
      </c>
      <c r="X643" t="s">
        <v>90</v>
      </c>
      <c r="Y643" t="s">
        <v>90</v>
      </c>
      <c r="Z643">
        <v>2015</v>
      </c>
    </row>
    <row r="644" spans="1:26" x14ac:dyDescent="0.3">
      <c r="A644" t="s">
        <v>233</v>
      </c>
      <c r="B644" t="s">
        <v>59</v>
      </c>
      <c r="C644">
        <v>27</v>
      </c>
      <c r="D644">
        <v>12</v>
      </c>
      <c r="E644" s="1">
        <f t="shared" si="10"/>
        <v>0.44444444444444442</v>
      </c>
      <c r="F644">
        <v>106.4</v>
      </c>
      <c r="G644">
        <v>105.7</v>
      </c>
      <c r="H644">
        <v>0.51790000000000003</v>
      </c>
      <c r="I644">
        <v>51.6</v>
      </c>
      <c r="J644">
        <v>47.9</v>
      </c>
      <c r="K644">
        <v>19.399999999999999</v>
      </c>
      <c r="L644">
        <v>16.2</v>
      </c>
      <c r="M644">
        <v>32</v>
      </c>
      <c r="N644">
        <v>29.2</v>
      </c>
      <c r="O644">
        <v>28.2</v>
      </c>
      <c r="P644">
        <v>38.200000000000003</v>
      </c>
      <c r="Q644">
        <v>49.7</v>
      </c>
      <c r="R644">
        <v>47.2</v>
      </c>
      <c r="S644">
        <v>35.9</v>
      </c>
      <c r="T644">
        <v>33.1</v>
      </c>
      <c r="U644">
        <v>60.5</v>
      </c>
      <c r="V644">
        <v>-9.8000000000000007</v>
      </c>
      <c r="W644" cm="1">
        <f t="array" ref="W644">_xlfn.IFS(OR(X644="N/A",X644="NA"),0,OR(X644="R64",X644="R68"),1,X644="R32",2,X644="S16",3,X644="E8",4,X644="F4",5,X644="2ND",6,X644="Champions",7)</f>
        <v>0</v>
      </c>
      <c r="X644" t="s">
        <v>90</v>
      </c>
      <c r="Y644" t="s">
        <v>90</v>
      </c>
      <c r="Z644">
        <v>2015</v>
      </c>
    </row>
    <row r="645" spans="1:26" x14ac:dyDescent="0.3">
      <c r="A645" t="s">
        <v>234</v>
      </c>
      <c r="B645" t="s">
        <v>59</v>
      </c>
      <c r="C645">
        <v>29</v>
      </c>
      <c r="D645">
        <v>12</v>
      </c>
      <c r="E645" s="1">
        <f t="shared" si="10"/>
        <v>0.41379310344827586</v>
      </c>
      <c r="F645">
        <v>93.9</v>
      </c>
      <c r="G645">
        <v>98.1</v>
      </c>
      <c r="H645">
        <v>0.37459999999999999</v>
      </c>
      <c r="I645">
        <v>44.6</v>
      </c>
      <c r="J645">
        <v>45.7</v>
      </c>
      <c r="K645">
        <v>19</v>
      </c>
      <c r="L645">
        <v>19.3</v>
      </c>
      <c r="M645">
        <v>23.1</v>
      </c>
      <c r="N645">
        <v>30</v>
      </c>
      <c r="O645">
        <v>39.299999999999997</v>
      </c>
      <c r="P645">
        <v>41.5</v>
      </c>
      <c r="Q645">
        <v>44.1</v>
      </c>
      <c r="R645">
        <v>43.2</v>
      </c>
      <c r="S645">
        <v>30.3</v>
      </c>
      <c r="T645">
        <v>33.299999999999997</v>
      </c>
      <c r="U645">
        <v>65.2</v>
      </c>
      <c r="V645">
        <v>-11.2</v>
      </c>
      <c r="W645" cm="1">
        <f t="array" ref="W645">_xlfn.IFS(OR(X645="N/A",X645="NA"),0,OR(X645="R64",X645="R68"),1,X645="R32",2,X645="S16",3,X645="E8",4,X645="F4",5,X645="2ND",6,X645="Champions",7)</f>
        <v>0</v>
      </c>
      <c r="X645" t="s">
        <v>90</v>
      </c>
      <c r="Y645" t="s">
        <v>90</v>
      </c>
      <c r="Z645">
        <v>2015</v>
      </c>
    </row>
    <row r="646" spans="1:26" x14ac:dyDescent="0.3">
      <c r="A646" t="s">
        <v>235</v>
      </c>
      <c r="B646" t="s">
        <v>59</v>
      </c>
      <c r="C646">
        <v>29</v>
      </c>
      <c r="D646">
        <v>14</v>
      </c>
      <c r="E646" s="1">
        <f t="shared" si="10"/>
        <v>0.48275862068965519</v>
      </c>
      <c r="F646">
        <v>98.8</v>
      </c>
      <c r="G646">
        <v>102.1</v>
      </c>
      <c r="H646">
        <v>0.40610000000000002</v>
      </c>
      <c r="I646">
        <v>49.2</v>
      </c>
      <c r="J646">
        <v>49.9</v>
      </c>
      <c r="K646">
        <v>20.3</v>
      </c>
      <c r="L646">
        <v>21.2</v>
      </c>
      <c r="M646">
        <v>30.9</v>
      </c>
      <c r="N646">
        <v>28.5</v>
      </c>
      <c r="O646">
        <v>35.700000000000003</v>
      </c>
      <c r="P646">
        <v>42.7</v>
      </c>
      <c r="Q646">
        <v>47.9</v>
      </c>
      <c r="R646">
        <v>47.8</v>
      </c>
      <c r="S646">
        <v>34.6</v>
      </c>
      <c r="T646">
        <v>35.4</v>
      </c>
      <c r="U646">
        <v>63.6</v>
      </c>
      <c r="V646">
        <v>-9.1</v>
      </c>
      <c r="W646" cm="1">
        <f t="array" ref="W646">_xlfn.IFS(OR(X646="N/A",X646="NA"),0,OR(X646="R64",X646="R68"),1,X646="R32",2,X646="S16",3,X646="E8",4,X646="F4",5,X646="2ND",6,X646="Champions",7)</f>
        <v>0</v>
      </c>
      <c r="X646" t="s">
        <v>90</v>
      </c>
      <c r="Y646" t="s">
        <v>90</v>
      </c>
      <c r="Z646">
        <v>2015</v>
      </c>
    </row>
    <row r="647" spans="1:26" x14ac:dyDescent="0.3">
      <c r="A647" t="s">
        <v>236</v>
      </c>
      <c r="B647" t="s">
        <v>59</v>
      </c>
      <c r="C647">
        <v>28</v>
      </c>
      <c r="D647">
        <v>9</v>
      </c>
      <c r="E647" s="1">
        <f t="shared" si="10"/>
        <v>0.32142857142857145</v>
      </c>
      <c r="F647">
        <v>96.4</v>
      </c>
      <c r="G647">
        <v>106.4</v>
      </c>
      <c r="H647">
        <v>0.2427</v>
      </c>
      <c r="I647">
        <v>49.1</v>
      </c>
      <c r="J647">
        <v>51.2</v>
      </c>
      <c r="K647">
        <v>23.6</v>
      </c>
      <c r="L647">
        <v>18.100000000000001</v>
      </c>
      <c r="M647">
        <v>29.5</v>
      </c>
      <c r="N647">
        <v>29.1</v>
      </c>
      <c r="O647">
        <v>35.799999999999997</v>
      </c>
      <c r="P647">
        <v>39.799999999999997</v>
      </c>
      <c r="Q647">
        <v>47.7</v>
      </c>
      <c r="R647">
        <v>48.1</v>
      </c>
      <c r="S647">
        <v>34.6</v>
      </c>
      <c r="T647">
        <v>37.6</v>
      </c>
      <c r="U647">
        <v>63.7</v>
      </c>
      <c r="V647">
        <v>-13</v>
      </c>
      <c r="W647" cm="1">
        <f t="array" ref="W647">_xlfn.IFS(OR(X647="N/A",X647="NA"),0,OR(X647="R64",X647="R68"),1,X647="R32",2,X647="S16",3,X647="E8",4,X647="F4",5,X647="2ND",6,X647="Champions",7)</f>
        <v>0</v>
      </c>
      <c r="X647" t="s">
        <v>90</v>
      </c>
      <c r="Y647" t="s">
        <v>90</v>
      </c>
      <c r="Z647">
        <v>2015</v>
      </c>
    </row>
    <row r="648" spans="1:26" x14ac:dyDescent="0.3">
      <c r="A648" t="s">
        <v>237</v>
      </c>
      <c r="B648" t="s">
        <v>59</v>
      </c>
      <c r="C648">
        <v>29</v>
      </c>
      <c r="D648">
        <v>15</v>
      </c>
      <c r="E648" s="1">
        <f t="shared" si="10"/>
        <v>0.51724137931034486</v>
      </c>
      <c r="F648">
        <v>105.4</v>
      </c>
      <c r="G648">
        <v>104.5</v>
      </c>
      <c r="H648">
        <v>0.52580000000000005</v>
      </c>
      <c r="I648">
        <v>54.3</v>
      </c>
      <c r="J648">
        <v>49.6</v>
      </c>
      <c r="K648">
        <v>18.8</v>
      </c>
      <c r="L648">
        <v>18.5</v>
      </c>
      <c r="M648">
        <v>20.7</v>
      </c>
      <c r="N648">
        <v>26.4</v>
      </c>
      <c r="O648">
        <v>46.1</v>
      </c>
      <c r="P648">
        <v>41.8</v>
      </c>
      <c r="Q648">
        <v>53</v>
      </c>
      <c r="R648">
        <v>47.2</v>
      </c>
      <c r="S648">
        <v>37.299999999999997</v>
      </c>
      <c r="T648">
        <v>36.9</v>
      </c>
      <c r="U648">
        <v>65.2</v>
      </c>
      <c r="V648">
        <v>-9</v>
      </c>
      <c r="W648" cm="1">
        <f t="array" ref="W648">_xlfn.IFS(OR(X648="N/A",X648="NA"),0,OR(X648="R64",X648="R68"),1,X648="R32",2,X648="S16",3,X648="E8",4,X648="F4",5,X648="2ND",6,X648="Champions",7)</f>
        <v>0</v>
      </c>
      <c r="X648" t="s">
        <v>90</v>
      </c>
      <c r="Y648" t="s">
        <v>90</v>
      </c>
      <c r="Z648">
        <v>2015</v>
      </c>
    </row>
    <row r="649" spans="1:26" x14ac:dyDescent="0.3">
      <c r="A649" t="s">
        <v>238</v>
      </c>
      <c r="B649" t="s">
        <v>59</v>
      </c>
      <c r="C649">
        <v>30</v>
      </c>
      <c r="D649">
        <v>20</v>
      </c>
      <c r="E649" s="1">
        <f t="shared" si="10"/>
        <v>0.66666666666666663</v>
      </c>
      <c r="F649">
        <v>104.2</v>
      </c>
      <c r="G649">
        <v>97.2</v>
      </c>
      <c r="H649">
        <v>0.68920000000000003</v>
      </c>
      <c r="I649">
        <v>49.9</v>
      </c>
      <c r="J649">
        <v>47.6</v>
      </c>
      <c r="K649">
        <v>20.399999999999999</v>
      </c>
      <c r="L649">
        <v>19</v>
      </c>
      <c r="M649">
        <v>34.200000000000003</v>
      </c>
      <c r="N649">
        <v>27.8</v>
      </c>
      <c r="O649">
        <v>40.9</v>
      </c>
      <c r="P649">
        <v>33.1</v>
      </c>
      <c r="Q649">
        <v>47.3</v>
      </c>
      <c r="R649">
        <v>48.1</v>
      </c>
      <c r="S649">
        <v>36.5</v>
      </c>
      <c r="T649">
        <v>31</v>
      </c>
      <c r="U649">
        <v>62.5</v>
      </c>
      <c r="V649">
        <v>-3</v>
      </c>
      <c r="W649" cm="1">
        <f t="array" ref="W649">_xlfn.IFS(OR(X649="N/A",X649="NA"),0,OR(X649="R64",X649="R68"),1,X649="R32",2,X649="S16",3,X649="E8",4,X649="F4",5,X649="2ND",6,X649="Champions",7)</f>
        <v>0</v>
      </c>
      <c r="X649" t="s">
        <v>90</v>
      </c>
      <c r="Y649" t="s">
        <v>90</v>
      </c>
      <c r="Z649">
        <v>2015</v>
      </c>
    </row>
    <row r="650" spans="1:26" x14ac:dyDescent="0.3">
      <c r="A650" t="s">
        <v>232</v>
      </c>
      <c r="B650" t="s">
        <v>59</v>
      </c>
      <c r="C650">
        <v>27</v>
      </c>
      <c r="D650">
        <v>7</v>
      </c>
      <c r="E650" s="1">
        <f t="shared" si="10"/>
        <v>0.25925925925925924</v>
      </c>
      <c r="F650">
        <v>101</v>
      </c>
      <c r="G650">
        <v>110.8</v>
      </c>
      <c r="H650">
        <v>0.25779999999999997</v>
      </c>
      <c r="I650">
        <v>50.2</v>
      </c>
      <c r="J650">
        <v>50.8</v>
      </c>
      <c r="K650">
        <v>18.8</v>
      </c>
      <c r="L650">
        <v>16</v>
      </c>
      <c r="M650">
        <v>25.6</v>
      </c>
      <c r="N650">
        <v>31.3</v>
      </c>
      <c r="O650">
        <v>36.9</v>
      </c>
      <c r="P650">
        <v>36.4</v>
      </c>
      <c r="Q650">
        <v>47.8</v>
      </c>
      <c r="R650">
        <v>48.5</v>
      </c>
      <c r="S650">
        <v>35.9</v>
      </c>
      <c r="T650">
        <v>36.6</v>
      </c>
      <c r="U650">
        <v>71.599999999999994</v>
      </c>
      <c r="V650">
        <v>-14</v>
      </c>
      <c r="W650" cm="1">
        <f t="array" ref="W650">_xlfn.IFS(OR(X650="N/A",X650="NA"),0,OR(X650="R64",X650="R68"),1,X650="R32",2,X650="S16",3,X650="E8",4,X650="F4",5,X650="2ND",6,X650="Champions",7)</f>
        <v>0</v>
      </c>
      <c r="X650" t="s">
        <v>90</v>
      </c>
      <c r="Y650" t="s">
        <v>90</v>
      </c>
      <c r="Z650">
        <v>2016</v>
      </c>
    </row>
    <row r="651" spans="1:26" x14ac:dyDescent="0.3">
      <c r="A651" t="s">
        <v>233</v>
      </c>
      <c r="B651" t="s">
        <v>59</v>
      </c>
      <c r="C651">
        <v>33</v>
      </c>
      <c r="D651">
        <v>23</v>
      </c>
      <c r="E651" s="1">
        <f t="shared" si="10"/>
        <v>0.69696969696969702</v>
      </c>
      <c r="F651">
        <v>111.8</v>
      </c>
      <c r="G651">
        <v>105.9</v>
      </c>
      <c r="H651">
        <v>0.6512</v>
      </c>
      <c r="I651">
        <v>53.5</v>
      </c>
      <c r="J651">
        <v>51.5</v>
      </c>
      <c r="K651">
        <v>15.9</v>
      </c>
      <c r="L651">
        <v>19</v>
      </c>
      <c r="M651">
        <v>28.5</v>
      </c>
      <c r="N651">
        <v>26.9</v>
      </c>
      <c r="O651">
        <v>37.9</v>
      </c>
      <c r="P651">
        <v>34.6</v>
      </c>
      <c r="Q651">
        <v>50.5</v>
      </c>
      <c r="R651">
        <v>50.2</v>
      </c>
      <c r="S651">
        <v>38.1</v>
      </c>
      <c r="T651">
        <v>35.700000000000003</v>
      </c>
      <c r="U651">
        <v>65.900000000000006</v>
      </c>
      <c r="V651">
        <v>-4.3</v>
      </c>
      <c r="W651" cm="1">
        <f t="array" ref="W651">_xlfn.IFS(OR(X651="N/A",X651="NA"),0,OR(X651="R64",X651="R68"),1,X651="R32",2,X651="S16",3,X651="E8",4,X651="F4",5,X651="2ND",6,X651="Champions",7)</f>
        <v>0</v>
      </c>
      <c r="X651" t="s">
        <v>90</v>
      </c>
      <c r="Y651" t="s">
        <v>90</v>
      </c>
      <c r="Z651">
        <v>2016</v>
      </c>
    </row>
    <row r="652" spans="1:26" x14ac:dyDescent="0.3">
      <c r="A652" t="s">
        <v>234</v>
      </c>
      <c r="B652" t="s">
        <v>59</v>
      </c>
      <c r="C652">
        <v>27</v>
      </c>
      <c r="D652">
        <v>9</v>
      </c>
      <c r="E652" s="1">
        <f t="shared" si="10"/>
        <v>0.33333333333333331</v>
      </c>
      <c r="F652">
        <v>96.7</v>
      </c>
      <c r="G652">
        <v>107.6</v>
      </c>
      <c r="H652">
        <v>0.2276</v>
      </c>
      <c r="I652">
        <v>48.7</v>
      </c>
      <c r="J652">
        <v>51.5</v>
      </c>
      <c r="K652">
        <v>17.899999999999999</v>
      </c>
      <c r="L652">
        <v>19.8</v>
      </c>
      <c r="M652">
        <v>22.4</v>
      </c>
      <c r="N652">
        <v>36.1</v>
      </c>
      <c r="O652">
        <v>32.299999999999997</v>
      </c>
      <c r="P652">
        <v>35.799999999999997</v>
      </c>
      <c r="Q652">
        <v>47</v>
      </c>
      <c r="R652">
        <v>49.7</v>
      </c>
      <c r="S652">
        <v>34.1</v>
      </c>
      <c r="T652">
        <v>36.4</v>
      </c>
      <c r="U652">
        <v>73.3</v>
      </c>
      <c r="V652">
        <v>-11.6</v>
      </c>
      <c r="W652" cm="1">
        <f t="array" ref="W652">_xlfn.IFS(OR(X652="N/A",X652="NA"),0,OR(X652="R64",X652="R68"),1,X652="R32",2,X652="S16",3,X652="E8",4,X652="F4",5,X652="2ND",6,X652="Champions",7)</f>
        <v>0</v>
      </c>
      <c r="X652" t="s">
        <v>90</v>
      </c>
      <c r="Y652" t="s">
        <v>90</v>
      </c>
      <c r="Z652">
        <v>2016</v>
      </c>
    </row>
    <row r="653" spans="1:26" x14ac:dyDescent="0.3">
      <c r="A653" t="s">
        <v>235</v>
      </c>
      <c r="B653" t="s">
        <v>59</v>
      </c>
      <c r="C653">
        <v>27</v>
      </c>
      <c r="D653">
        <v>9</v>
      </c>
      <c r="E653" s="1">
        <f t="shared" si="10"/>
        <v>0.33333333333333331</v>
      </c>
      <c r="F653">
        <v>98.9</v>
      </c>
      <c r="G653">
        <v>103.5</v>
      </c>
      <c r="H653">
        <v>0.37169999999999997</v>
      </c>
      <c r="I653">
        <v>47.5</v>
      </c>
      <c r="J653">
        <v>52.7</v>
      </c>
      <c r="K653">
        <v>20.8</v>
      </c>
      <c r="L653">
        <v>20.9</v>
      </c>
      <c r="M653">
        <v>32.799999999999997</v>
      </c>
      <c r="N653">
        <v>29.7</v>
      </c>
      <c r="O653">
        <v>38.200000000000003</v>
      </c>
      <c r="P653">
        <v>42.3</v>
      </c>
      <c r="Q653">
        <v>45.9</v>
      </c>
      <c r="R653">
        <v>52.7</v>
      </c>
      <c r="S653">
        <v>34.299999999999997</v>
      </c>
      <c r="T653">
        <v>35.1</v>
      </c>
      <c r="U653">
        <v>68.2</v>
      </c>
      <c r="V653">
        <v>-12.4</v>
      </c>
      <c r="W653" cm="1">
        <f t="array" ref="W653">_xlfn.IFS(OR(X653="N/A",X653="NA"),0,OR(X653="R64",X653="R68"),1,X653="R32",2,X653="S16",3,X653="E8",4,X653="F4",5,X653="2ND",6,X653="Champions",7)</f>
        <v>0</v>
      </c>
      <c r="X653" t="s">
        <v>90</v>
      </c>
      <c r="Y653" t="s">
        <v>90</v>
      </c>
      <c r="Z653">
        <v>2016</v>
      </c>
    </row>
    <row r="654" spans="1:26" x14ac:dyDescent="0.3">
      <c r="A654" t="s">
        <v>239</v>
      </c>
      <c r="B654" t="s">
        <v>59</v>
      </c>
      <c r="C654">
        <v>28</v>
      </c>
      <c r="D654">
        <v>12</v>
      </c>
      <c r="E654" s="1">
        <f t="shared" si="10"/>
        <v>0.42857142857142855</v>
      </c>
      <c r="F654">
        <v>99.3</v>
      </c>
      <c r="G654">
        <v>99.1</v>
      </c>
      <c r="H654">
        <v>0.50349999999999995</v>
      </c>
      <c r="I654">
        <v>51.8</v>
      </c>
      <c r="J654">
        <v>46.6</v>
      </c>
      <c r="K654">
        <v>21.5</v>
      </c>
      <c r="L654">
        <v>16.8</v>
      </c>
      <c r="M654">
        <v>29.6</v>
      </c>
      <c r="N654">
        <v>28.4</v>
      </c>
      <c r="O654">
        <v>31.5</v>
      </c>
      <c r="P654">
        <v>33.5</v>
      </c>
      <c r="Q654">
        <v>48.1</v>
      </c>
      <c r="R654">
        <v>46.4</v>
      </c>
      <c r="S654">
        <v>39.200000000000003</v>
      </c>
      <c r="T654">
        <v>31.3</v>
      </c>
      <c r="U654">
        <v>66.900000000000006</v>
      </c>
      <c r="V654">
        <v>-8.9</v>
      </c>
      <c r="W654" cm="1">
        <f t="array" ref="W654">_xlfn.IFS(OR(X654="N/A",X654="NA"),0,OR(X654="R64",X654="R68"),1,X654="R32",2,X654="S16",3,X654="E8",4,X654="F4",5,X654="2ND",6,X654="Champions",7)</f>
        <v>0</v>
      </c>
      <c r="X654" t="s">
        <v>90</v>
      </c>
      <c r="Y654" t="s">
        <v>90</v>
      </c>
      <c r="Z654">
        <v>2016</v>
      </c>
    </row>
    <row r="655" spans="1:26" x14ac:dyDescent="0.3">
      <c r="A655" t="s">
        <v>236</v>
      </c>
      <c r="B655" t="s">
        <v>59</v>
      </c>
      <c r="C655">
        <v>27</v>
      </c>
      <c r="D655">
        <v>10</v>
      </c>
      <c r="E655" s="1">
        <f t="shared" si="10"/>
        <v>0.37037037037037035</v>
      </c>
      <c r="F655">
        <v>98.4</v>
      </c>
      <c r="G655">
        <v>107.1</v>
      </c>
      <c r="H655">
        <v>0.27300000000000002</v>
      </c>
      <c r="I655">
        <v>49</v>
      </c>
      <c r="J655">
        <v>49.8</v>
      </c>
      <c r="K655">
        <v>19.399999999999999</v>
      </c>
      <c r="L655">
        <v>16.7</v>
      </c>
      <c r="M655">
        <v>27.9</v>
      </c>
      <c r="N655">
        <v>30.5</v>
      </c>
      <c r="O655">
        <v>31.9</v>
      </c>
      <c r="P655">
        <v>33.5</v>
      </c>
      <c r="Q655">
        <v>51.3</v>
      </c>
      <c r="R655">
        <v>48.7</v>
      </c>
      <c r="S655">
        <v>30.4</v>
      </c>
      <c r="T655">
        <v>34.799999999999997</v>
      </c>
      <c r="U655">
        <v>68.599999999999994</v>
      </c>
      <c r="V655">
        <v>-10.9</v>
      </c>
      <c r="W655" cm="1">
        <f t="array" ref="W655">_xlfn.IFS(OR(X655="N/A",X655="NA"),0,OR(X655="R64",X655="R68"),1,X655="R32",2,X655="S16",3,X655="E8",4,X655="F4",5,X655="2ND",6,X655="Champions",7)</f>
        <v>0</v>
      </c>
      <c r="X655" t="s">
        <v>90</v>
      </c>
      <c r="Y655" t="s">
        <v>90</v>
      </c>
      <c r="Z655">
        <v>2016</v>
      </c>
    </row>
    <row r="656" spans="1:26" x14ac:dyDescent="0.3">
      <c r="A656" t="s">
        <v>237</v>
      </c>
      <c r="B656" t="s">
        <v>59</v>
      </c>
      <c r="C656">
        <v>28</v>
      </c>
      <c r="D656">
        <v>21</v>
      </c>
      <c r="E656" s="1">
        <f t="shared" si="10"/>
        <v>0.75</v>
      </c>
      <c r="F656">
        <v>112.2</v>
      </c>
      <c r="G656">
        <v>99.9</v>
      </c>
      <c r="H656">
        <v>0.79100000000000004</v>
      </c>
      <c r="I656">
        <v>54.2</v>
      </c>
      <c r="J656">
        <v>49.2</v>
      </c>
      <c r="K656">
        <v>16.2</v>
      </c>
      <c r="L656">
        <v>18.2</v>
      </c>
      <c r="M656">
        <v>28</v>
      </c>
      <c r="N656">
        <v>26.3</v>
      </c>
      <c r="O656">
        <v>33.9</v>
      </c>
      <c r="P656">
        <v>31.1</v>
      </c>
      <c r="Q656">
        <v>52</v>
      </c>
      <c r="R656">
        <v>47.6</v>
      </c>
      <c r="S656">
        <v>38.1</v>
      </c>
      <c r="T656">
        <v>35.4</v>
      </c>
      <c r="U656">
        <v>69.5</v>
      </c>
      <c r="V656">
        <v>-0.1</v>
      </c>
      <c r="W656" cm="1">
        <f t="array" ref="W656">_xlfn.IFS(OR(X656="N/A",X656="NA"),0,OR(X656="R64",X656="R68"),1,X656="R32",2,X656="S16",3,X656="E8",4,X656="F4",5,X656="2ND",6,X656="Champions",7)</f>
        <v>0</v>
      </c>
      <c r="X656" t="s">
        <v>90</v>
      </c>
      <c r="Y656" t="s">
        <v>90</v>
      </c>
      <c r="Z656">
        <v>2016</v>
      </c>
    </row>
    <row r="657" spans="1:26" x14ac:dyDescent="0.3">
      <c r="A657" t="s">
        <v>232</v>
      </c>
      <c r="B657" t="s">
        <v>59</v>
      </c>
      <c r="C657">
        <v>28</v>
      </c>
      <c r="D657">
        <v>13</v>
      </c>
      <c r="E657" s="1">
        <f t="shared" si="10"/>
        <v>0.4642857142857143</v>
      </c>
      <c r="F657">
        <v>102.5</v>
      </c>
      <c r="G657">
        <v>113.1</v>
      </c>
      <c r="H657">
        <v>0.24340000000000001</v>
      </c>
      <c r="I657">
        <v>50.7</v>
      </c>
      <c r="J657">
        <v>57.7</v>
      </c>
      <c r="K657">
        <v>19.600000000000001</v>
      </c>
      <c r="L657">
        <v>21.2</v>
      </c>
      <c r="M657">
        <v>27.1</v>
      </c>
      <c r="N657">
        <v>29.7</v>
      </c>
      <c r="O657">
        <v>44.5</v>
      </c>
      <c r="P657">
        <v>39.1</v>
      </c>
      <c r="Q657">
        <v>49</v>
      </c>
      <c r="R657">
        <v>58.6</v>
      </c>
      <c r="S657">
        <v>35.6</v>
      </c>
      <c r="T657">
        <v>37.4</v>
      </c>
      <c r="U657">
        <v>72.7</v>
      </c>
      <c r="V657">
        <v>-11.6</v>
      </c>
      <c r="W657" cm="1">
        <f t="array" ref="W657">_xlfn.IFS(OR(X657="N/A",X657="NA"),0,OR(X657="R64",X657="R68"),1,X657="R32",2,X657="S16",3,X657="E8",4,X657="F4",5,X657="2ND",6,X657="Champions",7)</f>
        <v>0</v>
      </c>
      <c r="X657" t="s">
        <v>90</v>
      </c>
      <c r="Y657" t="s">
        <v>90</v>
      </c>
      <c r="Z657">
        <v>2017</v>
      </c>
    </row>
    <row r="658" spans="1:26" x14ac:dyDescent="0.3">
      <c r="A658" t="s">
        <v>233</v>
      </c>
      <c r="B658" t="s">
        <v>59</v>
      </c>
      <c r="C658">
        <v>26</v>
      </c>
      <c r="D658">
        <v>11</v>
      </c>
      <c r="E658" s="1">
        <f t="shared" si="10"/>
        <v>0.42307692307692307</v>
      </c>
      <c r="F658">
        <v>100</v>
      </c>
      <c r="G658">
        <v>105.8</v>
      </c>
      <c r="H658">
        <v>0.34329999999999999</v>
      </c>
      <c r="I658">
        <v>49.7</v>
      </c>
      <c r="J658">
        <v>52</v>
      </c>
      <c r="K658">
        <v>18.399999999999999</v>
      </c>
      <c r="L658">
        <v>20.2</v>
      </c>
      <c r="M658">
        <v>27.9</v>
      </c>
      <c r="N658">
        <v>31.8</v>
      </c>
      <c r="O658">
        <v>29.1</v>
      </c>
      <c r="P658">
        <v>34.799999999999997</v>
      </c>
      <c r="Q658">
        <v>47.1</v>
      </c>
      <c r="R658">
        <v>50.4</v>
      </c>
      <c r="S658">
        <v>36.1</v>
      </c>
      <c r="T658">
        <v>36.1</v>
      </c>
      <c r="U658">
        <v>70.3</v>
      </c>
      <c r="V658">
        <v>-11.1</v>
      </c>
      <c r="W658" cm="1">
        <f t="array" ref="W658">_xlfn.IFS(OR(X658="N/A",X658="NA"),0,OR(X658="R64",X658="R68"),1,X658="R32",2,X658="S16",3,X658="E8",4,X658="F4",5,X658="2ND",6,X658="Champions",7)</f>
        <v>0</v>
      </c>
      <c r="X658" t="s">
        <v>90</v>
      </c>
      <c r="Y658" t="s">
        <v>90</v>
      </c>
      <c r="Z658">
        <v>2017</v>
      </c>
    </row>
    <row r="659" spans="1:26" x14ac:dyDescent="0.3">
      <c r="A659" t="s">
        <v>234</v>
      </c>
      <c r="B659" t="s">
        <v>59</v>
      </c>
      <c r="C659">
        <v>28</v>
      </c>
      <c r="D659">
        <v>8</v>
      </c>
      <c r="E659" s="1">
        <f t="shared" si="10"/>
        <v>0.2857142857142857</v>
      </c>
      <c r="F659">
        <v>98.9</v>
      </c>
      <c r="G659">
        <v>107.4</v>
      </c>
      <c r="H659">
        <v>0.27910000000000001</v>
      </c>
      <c r="I659">
        <v>52.1</v>
      </c>
      <c r="J659">
        <v>51.9</v>
      </c>
      <c r="K659">
        <v>20.100000000000001</v>
      </c>
      <c r="L659">
        <v>15.5</v>
      </c>
      <c r="M659">
        <v>22</v>
      </c>
      <c r="N659">
        <v>27.2</v>
      </c>
      <c r="O659">
        <v>29.5</v>
      </c>
      <c r="P659">
        <v>31.8</v>
      </c>
      <c r="Q659">
        <v>53.6</v>
      </c>
      <c r="R659">
        <v>51.1</v>
      </c>
      <c r="S659">
        <v>33.299999999999997</v>
      </c>
      <c r="T659">
        <v>35.6</v>
      </c>
      <c r="U659">
        <v>71.400000000000006</v>
      </c>
      <c r="V659">
        <v>-14.6</v>
      </c>
      <c r="W659" cm="1">
        <f t="array" ref="W659">_xlfn.IFS(OR(X659="N/A",X659="NA"),0,OR(X659="R64",X659="R68"),1,X659="R32",2,X659="S16",3,X659="E8",4,X659="F4",5,X659="2ND",6,X659="Champions",7)</f>
        <v>0</v>
      </c>
      <c r="X659" t="s">
        <v>90</v>
      </c>
      <c r="Y659" t="s">
        <v>90</v>
      </c>
      <c r="Z659">
        <v>2017</v>
      </c>
    </row>
    <row r="660" spans="1:26" x14ac:dyDescent="0.3">
      <c r="A660" t="s">
        <v>235</v>
      </c>
      <c r="B660" t="s">
        <v>59</v>
      </c>
      <c r="C660">
        <v>27</v>
      </c>
      <c r="D660">
        <v>7</v>
      </c>
      <c r="E660" s="1">
        <f t="shared" si="10"/>
        <v>0.25925925925925924</v>
      </c>
      <c r="F660">
        <v>98.8</v>
      </c>
      <c r="G660">
        <v>111.4</v>
      </c>
      <c r="H660">
        <v>0.20150000000000001</v>
      </c>
      <c r="I660">
        <v>49.9</v>
      </c>
      <c r="J660">
        <v>53.3</v>
      </c>
      <c r="K660">
        <v>21.7</v>
      </c>
      <c r="L660">
        <v>15.8</v>
      </c>
      <c r="M660">
        <v>27.7</v>
      </c>
      <c r="N660">
        <v>27</v>
      </c>
      <c r="O660">
        <v>33.799999999999997</v>
      </c>
      <c r="P660">
        <v>30.7</v>
      </c>
      <c r="Q660">
        <v>48.1</v>
      </c>
      <c r="R660">
        <v>53.7</v>
      </c>
      <c r="S660">
        <v>35.200000000000003</v>
      </c>
      <c r="T660">
        <v>35.1</v>
      </c>
      <c r="U660">
        <v>68.7</v>
      </c>
      <c r="V660">
        <v>-14.7</v>
      </c>
      <c r="W660" cm="1">
        <f t="array" ref="W660">_xlfn.IFS(OR(X660="N/A",X660="NA"),0,OR(X660="R64",X660="R68"),1,X660="R32",2,X660="S16",3,X660="E8",4,X660="F4",5,X660="2ND",6,X660="Champions",7)</f>
        <v>0</v>
      </c>
      <c r="X660" t="s">
        <v>90</v>
      </c>
      <c r="Y660" t="s">
        <v>90</v>
      </c>
      <c r="Z660">
        <v>2017</v>
      </c>
    </row>
    <row r="661" spans="1:26" x14ac:dyDescent="0.3">
      <c r="A661" t="s">
        <v>239</v>
      </c>
      <c r="B661" t="s">
        <v>59</v>
      </c>
      <c r="C661">
        <v>26</v>
      </c>
      <c r="D661">
        <v>18</v>
      </c>
      <c r="E661" s="1">
        <f t="shared" si="10"/>
        <v>0.69230769230769229</v>
      </c>
      <c r="F661">
        <v>105.7</v>
      </c>
      <c r="G661">
        <v>101.4</v>
      </c>
      <c r="H661">
        <v>0.61650000000000005</v>
      </c>
      <c r="I661">
        <v>52.3</v>
      </c>
      <c r="J661">
        <v>47.4</v>
      </c>
      <c r="K661">
        <v>19.8</v>
      </c>
      <c r="L661">
        <v>18.399999999999999</v>
      </c>
      <c r="M661">
        <v>29.6</v>
      </c>
      <c r="N661">
        <v>29.6</v>
      </c>
      <c r="O661">
        <v>32.299999999999997</v>
      </c>
      <c r="P661">
        <v>39.5</v>
      </c>
      <c r="Q661">
        <v>51.2</v>
      </c>
      <c r="R661">
        <v>47.8</v>
      </c>
      <c r="S661">
        <v>35.9</v>
      </c>
      <c r="T661">
        <v>31.2</v>
      </c>
      <c r="U661">
        <v>68.099999999999994</v>
      </c>
      <c r="V661">
        <v>-5.0999999999999996</v>
      </c>
      <c r="W661" cm="1">
        <f t="array" ref="W661">_xlfn.IFS(OR(X661="N/A",X661="NA"),0,OR(X661="R64",X661="R68"),1,X661="R32",2,X661="S16",3,X661="E8",4,X661="F4",5,X661="2ND",6,X661="Champions",7)</f>
        <v>0</v>
      </c>
      <c r="X661" t="s">
        <v>90</v>
      </c>
      <c r="Y661" t="s">
        <v>90</v>
      </c>
      <c r="Z661">
        <v>2017</v>
      </c>
    </row>
    <row r="662" spans="1:26" x14ac:dyDescent="0.3">
      <c r="A662" t="s">
        <v>236</v>
      </c>
      <c r="B662" t="s">
        <v>59</v>
      </c>
      <c r="C662">
        <v>28</v>
      </c>
      <c r="D662">
        <v>13</v>
      </c>
      <c r="E662" s="1">
        <f t="shared" si="10"/>
        <v>0.4642857142857143</v>
      </c>
      <c r="F662">
        <v>102</v>
      </c>
      <c r="G662">
        <v>101.6</v>
      </c>
      <c r="H662">
        <v>0.51060000000000005</v>
      </c>
      <c r="I662">
        <v>51.6</v>
      </c>
      <c r="J662">
        <v>48.8</v>
      </c>
      <c r="K662">
        <v>18.899999999999999</v>
      </c>
      <c r="L662">
        <v>20.100000000000001</v>
      </c>
      <c r="M662">
        <v>27.6</v>
      </c>
      <c r="N662">
        <v>29.4</v>
      </c>
      <c r="O662">
        <v>26</v>
      </c>
      <c r="P662">
        <v>33.6</v>
      </c>
      <c r="Q662">
        <v>52.2</v>
      </c>
      <c r="R662">
        <v>45.3</v>
      </c>
      <c r="S662">
        <v>33.9</v>
      </c>
      <c r="T662">
        <v>36</v>
      </c>
      <c r="U662">
        <v>68.099999999999994</v>
      </c>
      <c r="V662">
        <v>-8.9</v>
      </c>
      <c r="W662" cm="1">
        <f t="array" ref="W662">_xlfn.IFS(OR(X662="N/A",X662="NA"),0,OR(X662="R64",X662="R68"),1,X662="R32",2,X662="S16",3,X662="E8",4,X662="F4",5,X662="2ND",6,X662="Champions",7)</f>
        <v>0</v>
      </c>
      <c r="X662" t="s">
        <v>90</v>
      </c>
      <c r="Y662" t="s">
        <v>90</v>
      </c>
      <c r="Z662">
        <v>2017</v>
      </c>
    </row>
    <row r="663" spans="1:26" x14ac:dyDescent="0.3">
      <c r="A663" t="s">
        <v>238</v>
      </c>
      <c r="B663" t="s">
        <v>59</v>
      </c>
      <c r="C663">
        <v>28</v>
      </c>
      <c r="D663">
        <v>18</v>
      </c>
      <c r="E663" s="1">
        <f t="shared" si="10"/>
        <v>0.6428571428571429</v>
      </c>
      <c r="F663">
        <v>105.4</v>
      </c>
      <c r="G663">
        <v>105</v>
      </c>
      <c r="H663">
        <v>0.50939999999999996</v>
      </c>
      <c r="I663">
        <v>52.3</v>
      </c>
      <c r="J663">
        <v>49.7</v>
      </c>
      <c r="K663">
        <v>19.3</v>
      </c>
      <c r="L663">
        <v>17</v>
      </c>
      <c r="M663">
        <v>31.2</v>
      </c>
      <c r="N663">
        <v>28.5</v>
      </c>
      <c r="O663">
        <v>33.9</v>
      </c>
      <c r="P663">
        <v>26.3</v>
      </c>
      <c r="Q663">
        <v>51.8</v>
      </c>
      <c r="R663">
        <v>49.6</v>
      </c>
      <c r="S663">
        <v>35.5</v>
      </c>
      <c r="T663">
        <v>33.200000000000003</v>
      </c>
      <c r="U663">
        <v>69.2</v>
      </c>
      <c r="V663">
        <v>-4.8</v>
      </c>
      <c r="W663" cm="1">
        <f t="array" ref="W663">_xlfn.IFS(OR(X663="N/A",X663="NA"),0,OR(X663="R64",X663="R68"),1,X663="R32",2,X663="S16",3,X663="E8",4,X663="F4",5,X663="2ND",6,X663="Champions",7)</f>
        <v>0</v>
      </c>
      <c r="X663" t="s">
        <v>90</v>
      </c>
      <c r="Y663" t="s">
        <v>90</v>
      </c>
      <c r="Z663">
        <v>2017</v>
      </c>
    </row>
    <row r="664" spans="1:26" x14ac:dyDescent="0.3">
      <c r="A664" t="s">
        <v>232</v>
      </c>
      <c r="B664" t="s">
        <v>59</v>
      </c>
      <c r="C664">
        <v>26</v>
      </c>
      <c r="D664">
        <v>11</v>
      </c>
      <c r="E664" s="1">
        <f t="shared" si="10"/>
        <v>0.42307692307692307</v>
      </c>
      <c r="F664">
        <v>101</v>
      </c>
      <c r="G664">
        <v>109.2</v>
      </c>
      <c r="H664">
        <v>0.28989999999999999</v>
      </c>
      <c r="I664">
        <v>48.5</v>
      </c>
      <c r="J664">
        <v>54.4</v>
      </c>
      <c r="K664">
        <v>18.399999999999999</v>
      </c>
      <c r="L664">
        <v>19.3</v>
      </c>
      <c r="M664">
        <v>29.4</v>
      </c>
      <c r="N664">
        <v>26.7</v>
      </c>
      <c r="O664">
        <v>40.4</v>
      </c>
      <c r="P664">
        <v>40</v>
      </c>
      <c r="Q664">
        <v>48.6</v>
      </c>
      <c r="R664">
        <v>53.9</v>
      </c>
      <c r="S664">
        <v>32.1</v>
      </c>
      <c r="T664">
        <v>37</v>
      </c>
      <c r="U664">
        <v>72.7</v>
      </c>
      <c r="V664">
        <v>-11.6</v>
      </c>
      <c r="W664" cm="1">
        <f t="array" ref="W664">_xlfn.IFS(OR(X664="N/A",X664="NA"),0,OR(X664="R64",X664="R68"),1,X664="R32",2,X664="S16",3,X664="E8",4,X664="F4",5,X664="2ND",6,X664="Champions",7)</f>
        <v>0</v>
      </c>
      <c r="X664" t="s">
        <v>90</v>
      </c>
      <c r="Y664" t="s">
        <v>90</v>
      </c>
      <c r="Z664">
        <v>2018</v>
      </c>
    </row>
    <row r="665" spans="1:26" x14ac:dyDescent="0.3">
      <c r="A665" t="s">
        <v>233</v>
      </c>
      <c r="B665" t="s">
        <v>59</v>
      </c>
      <c r="C665">
        <v>26</v>
      </c>
      <c r="D665">
        <v>8</v>
      </c>
      <c r="E665" s="1">
        <f t="shared" si="10"/>
        <v>0.30769230769230771</v>
      </c>
      <c r="F665">
        <v>107.9</v>
      </c>
      <c r="G665">
        <v>113</v>
      </c>
      <c r="H665">
        <v>0.36980000000000002</v>
      </c>
      <c r="I665">
        <v>52.4</v>
      </c>
      <c r="J665">
        <v>54.2</v>
      </c>
      <c r="K665">
        <v>17.8</v>
      </c>
      <c r="L665">
        <v>18.2</v>
      </c>
      <c r="M665">
        <v>27</v>
      </c>
      <c r="N665">
        <v>29.4</v>
      </c>
      <c r="O665">
        <v>24.5</v>
      </c>
      <c r="P665">
        <v>32</v>
      </c>
      <c r="Q665">
        <v>49.9</v>
      </c>
      <c r="R665">
        <v>51.6</v>
      </c>
      <c r="S665">
        <v>37.200000000000003</v>
      </c>
      <c r="T665">
        <v>38.4</v>
      </c>
      <c r="U665">
        <v>71.099999999999994</v>
      </c>
      <c r="V665">
        <v>-13.6</v>
      </c>
      <c r="W665" cm="1">
        <f t="array" ref="W665">_xlfn.IFS(OR(X665="N/A",X665="NA"),0,OR(X665="R64",X665="R68"),1,X665="R32",2,X665="S16",3,X665="E8",4,X665="F4",5,X665="2ND",6,X665="Champions",7)</f>
        <v>0</v>
      </c>
      <c r="X665" t="s">
        <v>90</v>
      </c>
      <c r="Y665" t="s">
        <v>90</v>
      </c>
      <c r="Z665">
        <v>2018</v>
      </c>
    </row>
    <row r="666" spans="1:26" x14ac:dyDescent="0.3">
      <c r="A666" t="s">
        <v>234</v>
      </c>
      <c r="B666" t="s">
        <v>59</v>
      </c>
      <c r="C666">
        <v>27</v>
      </c>
      <c r="D666">
        <v>12</v>
      </c>
      <c r="E666" s="1">
        <f t="shared" si="10"/>
        <v>0.44444444444444442</v>
      </c>
      <c r="F666">
        <v>104.8</v>
      </c>
      <c r="G666">
        <v>112.2</v>
      </c>
      <c r="H666">
        <v>0.31309999999999999</v>
      </c>
      <c r="I666">
        <v>52.5</v>
      </c>
      <c r="J666">
        <v>53.3</v>
      </c>
      <c r="K666">
        <v>18.5</v>
      </c>
      <c r="L666">
        <v>15.7</v>
      </c>
      <c r="M666">
        <v>24.4</v>
      </c>
      <c r="N666">
        <v>30.2</v>
      </c>
      <c r="O666">
        <v>35.1</v>
      </c>
      <c r="P666">
        <v>28.8</v>
      </c>
      <c r="Q666">
        <v>54</v>
      </c>
      <c r="R666">
        <v>49.9</v>
      </c>
      <c r="S666">
        <v>33.4</v>
      </c>
      <c r="T666">
        <v>39.299999999999997</v>
      </c>
      <c r="U666">
        <v>70.599999999999994</v>
      </c>
      <c r="V666">
        <v>-10.9</v>
      </c>
      <c r="W666" cm="1">
        <f t="array" ref="W666">_xlfn.IFS(OR(X666="N/A",X666="NA"),0,OR(X666="R64",X666="R68"),1,X666="R32",2,X666="S16",3,X666="E8",4,X666="F4",5,X666="2ND",6,X666="Champions",7)</f>
        <v>0</v>
      </c>
      <c r="X666" t="s">
        <v>90</v>
      </c>
      <c r="Y666" t="s">
        <v>90</v>
      </c>
      <c r="Z666">
        <v>2018</v>
      </c>
    </row>
    <row r="667" spans="1:26" x14ac:dyDescent="0.3">
      <c r="A667" t="s">
        <v>235</v>
      </c>
      <c r="B667" t="s">
        <v>59</v>
      </c>
      <c r="C667">
        <v>26</v>
      </c>
      <c r="D667">
        <v>7</v>
      </c>
      <c r="E667" s="1">
        <f t="shared" si="10"/>
        <v>0.26923076923076922</v>
      </c>
      <c r="F667">
        <v>96.9</v>
      </c>
      <c r="G667">
        <v>109.5</v>
      </c>
      <c r="H667">
        <v>0.1968</v>
      </c>
      <c r="I667">
        <v>51.4</v>
      </c>
      <c r="J667">
        <v>54.4</v>
      </c>
      <c r="K667">
        <v>20</v>
      </c>
      <c r="L667">
        <v>18.100000000000001</v>
      </c>
      <c r="M667">
        <v>23.9</v>
      </c>
      <c r="N667">
        <v>27.2</v>
      </c>
      <c r="O667">
        <v>32.799999999999997</v>
      </c>
      <c r="P667">
        <v>25.6</v>
      </c>
      <c r="Q667">
        <v>49.7</v>
      </c>
      <c r="R667">
        <v>55.5</v>
      </c>
      <c r="S667">
        <v>36</v>
      </c>
      <c r="T667">
        <v>35.1</v>
      </c>
      <c r="U667">
        <v>67.900000000000006</v>
      </c>
      <c r="V667">
        <v>-15.4</v>
      </c>
      <c r="W667" cm="1">
        <f t="array" ref="W667">_xlfn.IFS(OR(X667="N/A",X667="NA"),0,OR(X667="R64",X667="R68"),1,X667="R32",2,X667="S16",3,X667="E8",4,X667="F4",5,X667="2ND",6,X667="Champions",7)</f>
        <v>0</v>
      </c>
      <c r="X667" t="s">
        <v>90</v>
      </c>
      <c r="Y667" t="s">
        <v>90</v>
      </c>
      <c r="Z667">
        <v>2018</v>
      </c>
    </row>
    <row r="668" spans="1:26" x14ac:dyDescent="0.3">
      <c r="A668" t="s">
        <v>239</v>
      </c>
      <c r="B668" t="s">
        <v>59</v>
      </c>
      <c r="C668">
        <v>31</v>
      </c>
      <c r="D668">
        <v>18</v>
      </c>
      <c r="E668" s="1">
        <f t="shared" si="10"/>
        <v>0.58064516129032262</v>
      </c>
      <c r="F668">
        <v>100.8</v>
      </c>
      <c r="G668">
        <v>97.8</v>
      </c>
      <c r="H668">
        <v>0.58540000000000003</v>
      </c>
      <c r="I668">
        <v>50.4</v>
      </c>
      <c r="J668">
        <v>49</v>
      </c>
      <c r="K668">
        <v>20.5</v>
      </c>
      <c r="L668">
        <v>18.399999999999999</v>
      </c>
      <c r="M668">
        <v>26.5</v>
      </c>
      <c r="N668">
        <v>23.1</v>
      </c>
      <c r="O668">
        <v>27.6</v>
      </c>
      <c r="P668">
        <v>35.200000000000003</v>
      </c>
      <c r="Q668">
        <v>48.5</v>
      </c>
      <c r="R668">
        <v>47.7</v>
      </c>
      <c r="S668">
        <v>35.4</v>
      </c>
      <c r="T668">
        <v>34.1</v>
      </c>
      <c r="U668">
        <v>66.8</v>
      </c>
      <c r="V668">
        <v>-6.8</v>
      </c>
      <c r="W668" cm="1">
        <f t="array" ref="W668">_xlfn.IFS(OR(X668="N/A",X668="NA"),0,OR(X668="R64",X668="R68"),1,X668="R32",2,X668="S16",3,X668="E8",4,X668="F4",5,X668="2ND",6,X668="Champions",7)</f>
        <v>0</v>
      </c>
      <c r="X668" t="s">
        <v>90</v>
      </c>
      <c r="Y668" t="s">
        <v>90</v>
      </c>
      <c r="Z668">
        <v>2018</v>
      </c>
    </row>
    <row r="669" spans="1:26" x14ac:dyDescent="0.3">
      <c r="A669" t="s">
        <v>237</v>
      </c>
      <c r="B669" t="s">
        <v>59</v>
      </c>
      <c r="C669">
        <v>28</v>
      </c>
      <c r="D669">
        <v>13</v>
      </c>
      <c r="E669" s="1">
        <f t="shared" si="10"/>
        <v>0.4642857142857143</v>
      </c>
      <c r="F669">
        <v>104.9</v>
      </c>
      <c r="G669">
        <v>106.1</v>
      </c>
      <c r="H669">
        <v>0.46889999999999998</v>
      </c>
      <c r="I669">
        <v>53.9</v>
      </c>
      <c r="J669">
        <v>52.2</v>
      </c>
      <c r="K669">
        <v>16.399999999999999</v>
      </c>
      <c r="L669">
        <v>16.600000000000001</v>
      </c>
      <c r="M669">
        <v>22</v>
      </c>
      <c r="N669">
        <v>24.8</v>
      </c>
      <c r="O669">
        <v>26.2</v>
      </c>
      <c r="P669">
        <v>32.5</v>
      </c>
      <c r="Q669">
        <v>52.1</v>
      </c>
      <c r="R669">
        <v>51.2</v>
      </c>
      <c r="S669">
        <v>37.299999999999997</v>
      </c>
      <c r="T669">
        <v>35.9</v>
      </c>
      <c r="U669">
        <v>65.599999999999994</v>
      </c>
      <c r="V669">
        <v>-10.1</v>
      </c>
      <c r="W669" cm="1">
        <f t="array" ref="W669">_xlfn.IFS(OR(X669="N/A",X669="NA"),0,OR(X669="R64",X669="R68"),1,X669="R32",2,X669="S16",3,X669="E8",4,X669="F4",5,X669="2ND",6,X669="Champions",7)</f>
        <v>0</v>
      </c>
      <c r="X669" t="s">
        <v>90</v>
      </c>
      <c r="Y669" t="s">
        <v>90</v>
      </c>
      <c r="Z669">
        <v>2018</v>
      </c>
    </row>
    <row r="670" spans="1:26" x14ac:dyDescent="0.3">
      <c r="A670" t="s">
        <v>238</v>
      </c>
      <c r="B670" t="s">
        <v>59</v>
      </c>
      <c r="C670">
        <v>30</v>
      </c>
      <c r="D670">
        <v>16</v>
      </c>
      <c r="E670" s="1">
        <f t="shared" si="10"/>
        <v>0.53333333333333333</v>
      </c>
      <c r="F670">
        <v>102.5</v>
      </c>
      <c r="G670">
        <v>105.2</v>
      </c>
      <c r="H670">
        <v>0.4244</v>
      </c>
      <c r="I670">
        <v>52.7</v>
      </c>
      <c r="J670">
        <v>52.4</v>
      </c>
      <c r="K670">
        <v>18.8</v>
      </c>
      <c r="L670">
        <v>17.7</v>
      </c>
      <c r="M670">
        <v>25.4</v>
      </c>
      <c r="N670">
        <v>26.7</v>
      </c>
      <c r="O670">
        <v>31</v>
      </c>
      <c r="P670">
        <v>33.799999999999997</v>
      </c>
      <c r="Q670">
        <v>55.3</v>
      </c>
      <c r="R670">
        <v>53.4</v>
      </c>
      <c r="S670">
        <v>32.799999999999997</v>
      </c>
      <c r="T670">
        <v>33.700000000000003</v>
      </c>
      <c r="U670">
        <v>70.2</v>
      </c>
      <c r="V670">
        <v>-8.3000000000000007</v>
      </c>
      <c r="W670" cm="1">
        <f t="array" ref="W670">_xlfn.IFS(OR(X670="N/A",X670="NA"),0,OR(X670="R64",X670="R68"),1,X670="R32",2,X670="S16",3,X670="E8",4,X670="F4",5,X670="2ND",6,X670="Champions",7)</f>
        <v>0</v>
      </c>
      <c r="X670" t="s">
        <v>90</v>
      </c>
      <c r="Y670" t="s">
        <v>90</v>
      </c>
      <c r="Z670">
        <v>2018</v>
      </c>
    </row>
    <row r="671" spans="1:26" x14ac:dyDescent="0.3">
      <c r="A671" t="s">
        <v>232</v>
      </c>
      <c r="B671" t="s">
        <v>59</v>
      </c>
      <c r="C671">
        <v>30</v>
      </c>
      <c r="D671">
        <v>20</v>
      </c>
      <c r="E671" s="1">
        <f t="shared" si="10"/>
        <v>0.66666666666666663</v>
      </c>
      <c r="F671">
        <v>98.5</v>
      </c>
      <c r="G671">
        <v>97.2</v>
      </c>
      <c r="H671">
        <v>0.5373</v>
      </c>
      <c r="I671">
        <v>50.4</v>
      </c>
      <c r="J671">
        <v>48</v>
      </c>
      <c r="K671">
        <v>20.3</v>
      </c>
      <c r="L671">
        <v>20.9</v>
      </c>
      <c r="M671">
        <v>24.5</v>
      </c>
      <c r="N671">
        <v>27.5</v>
      </c>
      <c r="O671">
        <v>36.700000000000003</v>
      </c>
      <c r="P671">
        <v>31.3</v>
      </c>
      <c r="Q671">
        <v>50.2</v>
      </c>
      <c r="R671">
        <v>50.1</v>
      </c>
      <c r="S671">
        <v>33.799999999999997</v>
      </c>
      <c r="T671">
        <v>30</v>
      </c>
      <c r="U671">
        <v>72.400000000000006</v>
      </c>
      <c r="V671">
        <v>-5.7</v>
      </c>
      <c r="W671" cm="1">
        <f t="array" ref="W671">_xlfn.IFS(OR(X671="N/A",X671="NA"),0,OR(X671="R64",X671="R68"),1,X671="R32",2,X671="S16",3,X671="E8",4,X671="F4",5,X671="2ND",6,X671="Champions",7)</f>
        <v>0</v>
      </c>
      <c r="X671" t="s">
        <v>90</v>
      </c>
      <c r="Y671" t="s">
        <v>90</v>
      </c>
      <c r="Z671">
        <v>2019</v>
      </c>
    </row>
    <row r="672" spans="1:26" x14ac:dyDescent="0.3">
      <c r="A672" t="s">
        <v>233</v>
      </c>
      <c r="B672" t="s">
        <v>59</v>
      </c>
      <c r="C672">
        <v>26</v>
      </c>
      <c r="D672">
        <v>10</v>
      </c>
      <c r="E672" s="1">
        <f t="shared" si="10"/>
        <v>0.38461538461538464</v>
      </c>
      <c r="F672">
        <v>102</v>
      </c>
      <c r="G672">
        <v>105.6</v>
      </c>
      <c r="H672">
        <v>0.40329999999999999</v>
      </c>
      <c r="I672">
        <v>51.5</v>
      </c>
      <c r="J672">
        <v>52.1</v>
      </c>
      <c r="K672">
        <v>18</v>
      </c>
      <c r="L672">
        <v>18.899999999999999</v>
      </c>
      <c r="M672">
        <v>24.3</v>
      </c>
      <c r="N672">
        <v>27.2</v>
      </c>
      <c r="O672">
        <v>22.4</v>
      </c>
      <c r="P672">
        <v>38.1</v>
      </c>
      <c r="Q672">
        <v>50.6</v>
      </c>
      <c r="R672">
        <v>51</v>
      </c>
      <c r="S672">
        <v>35.4</v>
      </c>
      <c r="T672">
        <v>35.799999999999997</v>
      </c>
      <c r="U672">
        <v>68.900000000000006</v>
      </c>
      <c r="V672">
        <v>-12.5</v>
      </c>
      <c r="W672" cm="1">
        <f t="array" ref="W672">_xlfn.IFS(OR(X672="N/A",X672="NA"),0,OR(X672="R64",X672="R68"),1,X672="R32",2,X672="S16",3,X672="E8",4,X672="F4",5,X672="2ND",6,X672="Champions",7)</f>
        <v>0</v>
      </c>
      <c r="X672" t="s">
        <v>90</v>
      </c>
      <c r="Y672" t="s">
        <v>90</v>
      </c>
      <c r="Z672">
        <v>2019</v>
      </c>
    </row>
    <row r="673" spans="1:26" x14ac:dyDescent="0.3">
      <c r="A673" t="s">
        <v>234</v>
      </c>
      <c r="B673" t="s">
        <v>59</v>
      </c>
      <c r="C673">
        <v>29</v>
      </c>
      <c r="D673">
        <v>15</v>
      </c>
      <c r="E673" s="1">
        <f t="shared" si="10"/>
        <v>0.51724137931034486</v>
      </c>
      <c r="F673">
        <v>99</v>
      </c>
      <c r="G673">
        <v>104</v>
      </c>
      <c r="H673">
        <v>0.36109999999999998</v>
      </c>
      <c r="I673">
        <v>51.1</v>
      </c>
      <c r="J673">
        <v>50.5</v>
      </c>
      <c r="K673">
        <v>18.899999999999999</v>
      </c>
      <c r="L673">
        <v>17.399999999999999</v>
      </c>
      <c r="M673">
        <v>18.8</v>
      </c>
      <c r="N673">
        <v>28.8</v>
      </c>
      <c r="O673">
        <v>33.9</v>
      </c>
      <c r="P673">
        <v>26.8</v>
      </c>
      <c r="Q673">
        <v>52.3</v>
      </c>
      <c r="R673">
        <v>50.6</v>
      </c>
      <c r="S673">
        <v>32.9</v>
      </c>
      <c r="T673">
        <v>33.700000000000003</v>
      </c>
      <c r="U673">
        <v>69.3</v>
      </c>
      <c r="V673">
        <v>-8.5</v>
      </c>
      <c r="W673" cm="1">
        <f t="array" ref="W673">_xlfn.IFS(OR(X673="N/A",X673="NA"),0,OR(X673="R64",X673="R68"),1,X673="R32",2,X673="S16",3,X673="E8",4,X673="F4",5,X673="2ND",6,X673="Champions",7)</f>
        <v>0</v>
      </c>
      <c r="X673" t="s">
        <v>90</v>
      </c>
      <c r="Y673" t="s">
        <v>90</v>
      </c>
      <c r="Z673">
        <v>2019</v>
      </c>
    </row>
    <row r="674" spans="1:26" x14ac:dyDescent="0.3">
      <c r="A674" t="s">
        <v>235</v>
      </c>
      <c r="B674" t="s">
        <v>59</v>
      </c>
      <c r="C674">
        <v>28</v>
      </c>
      <c r="D674">
        <v>11</v>
      </c>
      <c r="E674" s="1">
        <f t="shared" si="10"/>
        <v>0.39285714285714285</v>
      </c>
      <c r="F674">
        <v>102.7</v>
      </c>
      <c r="G674">
        <v>106.5</v>
      </c>
      <c r="H674">
        <v>0.39750000000000002</v>
      </c>
      <c r="I674">
        <v>51.8</v>
      </c>
      <c r="J674">
        <v>53</v>
      </c>
      <c r="K674">
        <v>17.600000000000001</v>
      </c>
      <c r="L674">
        <v>16</v>
      </c>
      <c r="M674">
        <v>23.9</v>
      </c>
      <c r="N674">
        <v>24.8</v>
      </c>
      <c r="O674">
        <v>24.8</v>
      </c>
      <c r="P674">
        <v>27.9</v>
      </c>
      <c r="Q674">
        <v>50.6</v>
      </c>
      <c r="R674">
        <v>54.6</v>
      </c>
      <c r="S674">
        <v>35.799999999999997</v>
      </c>
      <c r="T674">
        <v>33.1</v>
      </c>
      <c r="U674">
        <v>67.400000000000006</v>
      </c>
      <c r="V674">
        <v>-12.9</v>
      </c>
      <c r="W674" cm="1">
        <f t="array" ref="W674">_xlfn.IFS(OR(X674="N/A",X674="NA"),0,OR(X674="R64",X674="R68"),1,X674="R32",2,X674="S16",3,X674="E8",4,X674="F4",5,X674="2ND",6,X674="Champions",7)</f>
        <v>0</v>
      </c>
      <c r="X674" t="s">
        <v>90</v>
      </c>
      <c r="Y674" t="s">
        <v>90</v>
      </c>
      <c r="Z674">
        <v>2019</v>
      </c>
    </row>
    <row r="675" spans="1:26" x14ac:dyDescent="0.3">
      <c r="A675" t="s">
        <v>239</v>
      </c>
      <c r="B675" t="s">
        <v>59</v>
      </c>
      <c r="C675">
        <v>30</v>
      </c>
      <c r="D675">
        <v>19</v>
      </c>
      <c r="E675" s="1">
        <f t="shared" si="10"/>
        <v>0.6333333333333333</v>
      </c>
      <c r="F675">
        <v>105</v>
      </c>
      <c r="G675">
        <v>99.4</v>
      </c>
      <c r="H675">
        <v>0.65280000000000005</v>
      </c>
      <c r="I675">
        <v>53.3</v>
      </c>
      <c r="J675">
        <v>50.2</v>
      </c>
      <c r="K675">
        <v>22.6</v>
      </c>
      <c r="L675">
        <v>17.5</v>
      </c>
      <c r="M675">
        <v>28.7</v>
      </c>
      <c r="N675">
        <v>23.1</v>
      </c>
      <c r="O675">
        <v>31.6</v>
      </c>
      <c r="P675">
        <v>33.799999999999997</v>
      </c>
      <c r="Q675">
        <v>52.7</v>
      </c>
      <c r="R675">
        <v>49.6</v>
      </c>
      <c r="S675">
        <v>36.1</v>
      </c>
      <c r="T675">
        <v>34.200000000000003</v>
      </c>
      <c r="U675">
        <v>68.400000000000006</v>
      </c>
      <c r="V675">
        <v>-3.6</v>
      </c>
      <c r="W675" cm="1">
        <f t="array" ref="W675">_xlfn.IFS(OR(X675="N/A",X675="NA"),0,OR(X675="R64",X675="R68"),1,X675="R32",2,X675="S16",3,X675="E8",4,X675="F4",5,X675="2ND",6,X675="Champions",7)</f>
        <v>0</v>
      </c>
      <c r="X675" t="s">
        <v>90</v>
      </c>
      <c r="Y675" t="s">
        <v>90</v>
      </c>
      <c r="Z675">
        <v>2019</v>
      </c>
    </row>
    <row r="676" spans="1:26" x14ac:dyDescent="0.3">
      <c r="A676" t="s">
        <v>236</v>
      </c>
      <c r="B676" t="s">
        <v>59</v>
      </c>
      <c r="C676">
        <v>30</v>
      </c>
      <c r="D676">
        <v>19</v>
      </c>
      <c r="E676" s="1">
        <f t="shared" si="10"/>
        <v>0.6333333333333333</v>
      </c>
      <c r="F676">
        <v>103.6</v>
      </c>
      <c r="G676">
        <v>97.1</v>
      </c>
      <c r="H676">
        <v>0.67659999999999998</v>
      </c>
      <c r="I676">
        <v>52.6</v>
      </c>
      <c r="J676">
        <v>49.1</v>
      </c>
      <c r="K676">
        <v>18.399999999999999</v>
      </c>
      <c r="L676">
        <v>19</v>
      </c>
      <c r="M676">
        <v>24.8</v>
      </c>
      <c r="N676">
        <v>26.3</v>
      </c>
      <c r="O676">
        <v>28.1</v>
      </c>
      <c r="P676">
        <v>25.5</v>
      </c>
      <c r="Q676">
        <v>52.9</v>
      </c>
      <c r="R676">
        <v>48.7</v>
      </c>
      <c r="S676">
        <v>34.700000000000003</v>
      </c>
      <c r="T676">
        <v>33.299999999999997</v>
      </c>
      <c r="U676">
        <v>68.599999999999994</v>
      </c>
      <c r="V676">
        <v>-5.0999999999999996</v>
      </c>
      <c r="W676" cm="1">
        <f t="array" ref="W676">_xlfn.IFS(OR(X676="N/A",X676="NA"),0,OR(X676="R64",X676="R68"),1,X676="R32",2,X676="S16",3,X676="E8",4,X676="F4",5,X676="2ND",6,X676="Champions",7)</f>
        <v>0</v>
      </c>
      <c r="X676" t="s">
        <v>90</v>
      </c>
      <c r="Y676" t="s">
        <v>90</v>
      </c>
      <c r="Z676">
        <v>2019</v>
      </c>
    </row>
    <row r="677" spans="1:26" x14ac:dyDescent="0.3">
      <c r="A677" t="s">
        <v>237</v>
      </c>
      <c r="B677" t="s">
        <v>59</v>
      </c>
      <c r="C677">
        <v>26</v>
      </c>
      <c r="D677">
        <v>16</v>
      </c>
      <c r="E677" s="1">
        <f t="shared" si="10"/>
        <v>0.61538461538461542</v>
      </c>
      <c r="F677">
        <v>97.9</v>
      </c>
      <c r="G677">
        <v>98.5</v>
      </c>
      <c r="H677">
        <v>0.4819</v>
      </c>
      <c r="I677">
        <v>47</v>
      </c>
      <c r="J677">
        <v>49.7</v>
      </c>
      <c r="K677">
        <v>17.8</v>
      </c>
      <c r="L677">
        <v>17.2</v>
      </c>
      <c r="M677">
        <v>24.3</v>
      </c>
      <c r="N677">
        <v>24.7</v>
      </c>
      <c r="O677">
        <v>29.8</v>
      </c>
      <c r="P677">
        <v>28.7</v>
      </c>
      <c r="Q677">
        <v>48.1</v>
      </c>
      <c r="R677">
        <v>50.3</v>
      </c>
      <c r="S677">
        <v>30.3</v>
      </c>
      <c r="T677">
        <v>32.5</v>
      </c>
      <c r="U677">
        <v>68.8</v>
      </c>
      <c r="V677">
        <v>-5.6</v>
      </c>
      <c r="W677" cm="1">
        <f t="array" ref="W677">_xlfn.IFS(OR(X677="N/A",X677="NA"),0,OR(X677="R64",X677="R68"),1,X677="R32",2,X677="S16",3,X677="E8",4,X677="F4",5,X677="2ND",6,X677="Champions",7)</f>
        <v>0</v>
      </c>
      <c r="X677" t="s">
        <v>90</v>
      </c>
      <c r="Y677" t="s">
        <v>90</v>
      </c>
      <c r="Z677">
        <v>2019</v>
      </c>
    </row>
    <row r="678" spans="1:26" x14ac:dyDescent="0.3">
      <c r="A678" t="s">
        <v>240</v>
      </c>
      <c r="B678" t="s">
        <v>69</v>
      </c>
      <c r="C678">
        <v>33</v>
      </c>
      <c r="D678">
        <v>18</v>
      </c>
      <c r="E678" s="1">
        <f t="shared" si="10"/>
        <v>0.54545454545454541</v>
      </c>
      <c r="F678">
        <v>101.2</v>
      </c>
      <c r="G678">
        <v>100.7</v>
      </c>
      <c r="H678">
        <v>0.51529999999999998</v>
      </c>
      <c r="I678">
        <v>46.6</v>
      </c>
      <c r="J678">
        <v>46.9</v>
      </c>
      <c r="K678">
        <v>18.399999999999999</v>
      </c>
      <c r="L678">
        <v>21.5</v>
      </c>
      <c r="M678">
        <v>34</v>
      </c>
      <c r="N678">
        <v>32.299999999999997</v>
      </c>
      <c r="O678">
        <v>32</v>
      </c>
      <c r="P678">
        <v>40.700000000000003</v>
      </c>
      <c r="Q678">
        <v>46.1</v>
      </c>
      <c r="R678">
        <v>46.1</v>
      </c>
      <c r="S678">
        <v>31.8</v>
      </c>
      <c r="T678">
        <v>32.200000000000003</v>
      </c>
      <c r="U678">
        <v>63.9</v>
      </c>
      <c r="V678">
        <v>-9.3000000000000007</v>
      </c>
      <c r="W678" cm="1">
        <f t="array" ref="W678">_xlfn.IFS(OR(X678="N/A",X678="NA"),0,OR(X678="R64",X678="R68"),1,X678="R32",2,X678="S16",3,X678="E8",4,X678="F4",5,X678="2ND",6,X678="Champions",7)</f>
        <v>0</v>
      </c>
      <c r="X678" t="s">
        <v>90</v>
      </c>
      <c r="Y678" t="s">
        <v>90</v>
      </c>
      <c r="Z678">
        <v>2015</v>
      </c>
    </row>
    <row r="679" spans="1:26" x14ac:dyDescent="0.3">
      <c r="A679" t="s">
        <v>241</v>
      </c>
      <c r="B679" t="s">
        <v>69</v>
      </c>
      <c r="C679">
        <v>31</v>
      </c>
      <c r="D679">
        <v>7</v>
      </c>
      <c r="E679" s="1">
        <f t="shared" si="10"/>
        <v>0.22580645161290322</v>
      </c>
      <c r="F679">
        <v>93.7</v>
      </c>
      <c r="G679">
        <v>104.5</v>
      </c>
      <c r="H679">
        <v>0.2203</v>
      </c>
      <c r="I679">
        <v>45.2</v>
      </c>
      <c r="J679">
        <v>48.3</v>
      </c>
      <c r="K679">
        <v>20.2</v>
      </c>
      <c r="L679">
        <v>18.3</v>
      </c>
      <c r="M679">
        <v>27.3</v>
      </c>
      <c r="N679">
        <v>33.9</v>
      </c>
      <c r="O679">
        <v>37.1</v>
      </c>
      <c r="P679">
        <v>42.7</v>
      </c>
      <c r="Q679">
        <v>43.2</v>
      </c>
      <c r="R679">
        <v>47.2</v>
      </c>
      <c r="S679">
        <v>32.200000000000003</v>
      </c>
      <c r="T679">
        <v>34.299999999999997</v>
      </c>
      <c r="U679">
        <v>62.1</v>
      </c>
      <c r="V679">
        <v>-18.5</v>
      </c>
      <c r="W679" cm="1">
        <f t="array" ref="W679">_xlfn.IFS(OR(X679="N/A",X679="NA"),0,OR(X679="R64",X679="R68"),1,X679="R32",2,X679="S16",3,X679="E8",4,X679="F4",5,X679="2ND",6,X679="Champions",7)</f>
        <v>0</v>
      </c>
      <c r="X679" t="s">
        <v>90</v>
      </c>
      <c r="Y679" t="s">
        <v>90</v>
      </c>
      <c r="Z679">
        <v>2015</v>
      </c>
    </row>
    <row r="680" spans="1:26" x14ac:dyDescent="0.3">
      <c r="A680" t="s">
        <v>242</v>
      </c>
      <c r="B680" t="s">
        <v>69</v>
      </c>
      <c r="C680">
        <v>35</v>
      </c>
      <c r="D680">
        <v>26</v>
      </c>
      <c r="E680" s="1">
        <f t="shared" si="10"/>
        <v>0.74285714285714288</v>
      </c>
      <c r="F680">
        <v>110.9</v>
      </c>
      <c r="G680">
        <v>105.7</v>
      </c>
      <c r="H680">
        <v>0.63429999999999997</v>
      </c>
      <c r="I680">
        <v>54.7</v>
      </c>
      <c r="J680">
        <v>48.1</v>
      </c>
      <c r="K680">
        <v>17.2</v>
      </c>
      <c r="L680">
        <v>16.7</v>
      </c>
      <c r="M680">
        <v>28.7</v>
      </c>
      <c r="N680">
        <v>33.200000000000003</v>
      </c>
      <c r="O680">
        <v>37.4</v>
      </c>
      <c r="P680">
        <v>28.5</v>
      </c>
      <c r="Q680">
        <v>51.3</v>
      </c>
      <c r="R680">
        <v>45.7</v>
      </c>
      <c r="S680">
        <v>39.6</v>
      </c>
      <c r="T680">
        <v>35.5</v>
      </c>
      <c r="U680">
        <v>70.400000000000006</v>
      </c>
      <c r="V680">
        <v>-2.1</v>
      </c>
      <c r="W680" cm="1">
        <f t="array" ref="W680">_xlfn.IFS(OR(X680="N/A",X680="NA"),0,OR(X680="R64",X680="R68"),1,X680="R32",2,X680="S16",3,X680="E8",4,X680="F4",5,X680="2ND",6,X680="Champions",7)</f>
        <v>0</v>
      </c>
      <c r="X680" t="s">
        <v>90</v>
      </c>
      <c r="Y680" t="s">
        <v>90</v>
      </c>
      <c r="Z680">
        <v>2015</v>
      </c>
    </row>
    <row r="681" spans="1:26" x14ac:dyDescent="0.3">
      <c r="A681" t="s">
        <v>243</v>
      </c>
      <c r="B681" t="s">
        <v>69</v>
      </c>
      <c r="C681">
        <v>32</v>
      </c>
      <c r="D681">
        <v>7</v>
      </c>
      <c r="E681" s="1">
        <f t="shared" si="10"/>
        <v>0.21875</v>
      </c>
      <c r="F681">
        <v>91.9</v>
      </c>
      <c r="G681">
        <v>104.1</v>
      </c>
      <c r="H681">
        <v>0.19259999999999999</v>
      </c>
      <c r="I681">
        <v>46.8</v>
      </c>
      <c r="J681">
        <v>49.6</v>
      </c>
      <c r="K681">
        <v>20.5</v>
      </c>
      <c r="L681">
        <v>20.8</v>
      </c>
      <c r="M681">
        <v>21.2</v>
      </c>
      <c r="N681">
        <v>35.6</v>
      </c>
      <c r="O681">
        <v>38</v>
      </c>
      <c r="P681">
        <v>36.700000000000003</v>
      </c>
      <c r="Q681">
        <v>46.4</v>
      </c>
      <c r="R681">
        <v>49.6</v>
      </c>
      <c r="S681">
        <v>31.5</v>
      </c>
      <c r="T681">
        <v>33.1</v>
      </c>
      <c r="U681">
        <v>65.3</v>
      </c>
      <c r="V681">
        <v>-19.899999999999999</v>
      </c>
      <c r="W681" cm="1">
        <f t="array" ref="W681">_xlfn.IFS(OR(X681="N/A",X681="NA"),0,OR(X681="R64",X681="R68"),1,X681="R32",2,X681="S16",3,X681="E8",4,X681="F4",5,X681="2ND",6,X681="Champions",7)</f>
        <v>0</v>
      </c>
      <c r="X681" t="s">
        <v>90</v>
      </c>
      <c r="Y681" t="s">
        <v>90</v>
      </c>
      <c r="Z681">
        <v>2015</v>
      </c>
    </row>
    <row r="682" spans="1:26" x14ac:dyDescent="0.3">
      <c r="A682" t="s">
        <v>244</v>
      </c>
      <c r="B682" t="s">
        <v>69</v>
      </c>
      <c r="C682">
        <v>33</v>
      </c>
      <c r="D682">
        <v>18</v>
      </c>
      <c r="E682" s="1">
        <f t="shared" si="10"/>
        <v>0.54545454545454541</v>
      </c>
      <c r="F682">
        <v>98</v>
      </c>
      <c r="G682">
        <v>100.4</v>
      </c>
      <c r="H682">
        <v>0.43120000000000003</v>
      </c>
      <c r="I682">
        <v>47.9</v>
      </c>
      <c r="J682">
        <v>47.2</v>
      </c>
      <c r="K682">
        <v>19.899999999999999</v>
      </c>
      <c r="L682">
        <v>21.4</v>
      </c>
      <c r="M682">
        <v>30</v>
      </c>
      <c r="N682">
        <v>33.6</v>
      </c>
      <c r="O682">
        <v>41</v>
      </c>
      <c r="P682">
        <v>37.200000000000003</v>
      </c>
      <c r="Q682">
        <v>46.7</v>
      </c>
      <c r="R682">
        <v>44.3</v>
      </c>
      <c r="S682">
        <v>33.799999999999997</v>
      </c>
      <c r="T682">
        <v>34.200000000000003</v>
      </c>
      <c r="U682">
        <v>63.9</v>
      </c>
      <c r="V682">
        <v>-9</v>
      </c>
      <c r="W682" cm="1">
        <f t="array" ref="W682">_xlfn.IFS(OR(X682="N/A",X682="NA"),0,OR(X682="R64",X682="R68"),1,X682="R32",2,X682="S16",3,X682="E8",4,X682="F4",5,X682="2ND",6,X682="Champions",7)</f>
        <v>0</v>
      </c>
      <c r="X682" t="s">
        <v>90</v>
      </c>
      <c r="Y682" t="s">
        <v>90</v>
      </c>
      <c r="Z682">
        <v>2015</v>
      </c>
    </row>
    <row r="683" spans="1:26" x14ac:dyDescent="0.3">
      <c r="A683" t="s">
        <v>245</v>
      </c>
      <c r="B683" t="s">
        <v>69</v>
      </c>
      <c r="C683">
        <v>30</v>
      </c>
      <c r="D683">
        <v>8</v>
      </c>
      <c r="E683" s="1">
        <f t="shared" si="10"/>
        <v>0.26666666666666666</v>
      </c>
      <c r="F683">
        <v>98.5</v>
      </c>
      <c r="G683">
        <v>109.7</v>
      </c>
      <c r="H683">
        <v>0.22539999999999999</v>
      </c>
      <c r="I683">
        <v>45.6</v>
      </c>
      <c r="J683">
        <v>53.7</v>
      </c>
      <c r="K683">
        <v>20.6</v>
      </c>
      <c r="L683">
        <v>18.100000000000001</v>
      </c>
      <c r="M683">
        <v>32</v>
      </c>
      <c r="N683">
        <v>29.5</v>
      </c>
      <c r="O683">
        <v>41.2</v>
      </c>
      <c r="P683">
        <v>36.299999999999997</v>
      </c>
      <c r="Q683">
        <v>42.3</v>
      </c>
      <c r="R683">
        <v>52.1</v>
      </c>
      <c r="S683">
        <v>35.1</v>
      </c>
      <c r="T683">
        <v>37.9</v>
      </c>
      <c r="U683">
        <v>65.2</v>
      </c>
      <c r="V683">
        <v>-15.9</v>
      </c>
      <c r="W683" cm="1">
        <f t="array" ref="W683">_xlfn.IFS(OR(X683="N/A",X683="NA"),0,OR(X683="R64",X683="R68"),1,X683="R32",2,X683="S16",3,X683="E8",4,X683="F4",5,X683="2ND",6,X683="Champions",7)</f>
        <v>0</v>
      </c>
      <c r="X683" t="s">
        <v>90</v>
      </c>
      <c r="Y683" t="s">
        <v>90</v>
      </c>
      <c r="Z683">
        <v>2015</v>
      </c>
    </row>
    <row r="684" spans="1:26" x14ac:dyDescent="0.3">
      <c r="A684" t="s">
        <v>246</v>
      </c>
      <c r="B684" t="s">
        <v>69</v>
      </c>
      <c r="C684">
        <v>30</v>
      </c>
      <c r="D684">
        <v>15</v>
      </c>
      <c r="E684" s="1">
        <f t="shared" si="10"/>
        <v>0.5</v>
      </c>
      <c r="F684">
        <v>101.4</v>
      </c>
      <c r="G684">
        <v>101.3</v>
      </c>
      <c r="H684">
        <v>0.50290000000000001</v>
      </c>
      <c r="I684">
        <v>44</v>
      </c>
      <c r="J684">
        <v>45.2</v>
      </c>
      <c r="K684">
        <v>20.399999999999999</v>
      </c>
      <c r="L684">
        <v>14</v>
      </c>
      <c r="M684">
        <v>42.1</v>
      </c>
      <c r="N684">
        <v>26.5</v>
      </c>
      <c r="O684">
        <v>35.5</v>
      </c>
      <c r="P684">
        <v>33.4</v>
      </c>
      <c r="Q684">
        <v>43.1</v>
      </c>
      <c r="R684">
        <v>41.9</v>
      </c>
      <c r="S684">
        <v>30.7</v>
      </c>
      <c r="T684">
        <v>35.1</v>
      </c>
      <c r="U684">
        <v>66.7</v>
      </c>
      <c r="V684">
        <v>-10.9</v>
      </c>
      <c r="W684" cm="1">
        <f t="array" ref="W684">_xlfn.IFS(OR(X684="N/A",X684="NA"),0,OR(X684="R64",X684="R68"),1,X684="R32",2,X684="S16",3,X684="E8",4,X684="F4",5,X684="2ND",6,X684="Champions",7)</f>
        <v>0</v>
      </c>
      <c r="X684" t="s">
        <v>90</v>
      </c>
      <c r="Y684" t="s">
        <v>90</v>
      </c>
      <c r="Z684">
        <v>2015</v>
      </c>
    </row>
    <row r="685" spans="1:26" x14ac:dyDescent="0.3">
      <c r="A685" t="s">
        <v>247</v>
      </c>
      <c r="B685" t="s">
        <v>69</v>
      </c>
      <c r="C685">
        <v>33</v>
      </c>
      <c r="D685">
        <v>21</v>
      </c>
      <c r="E685" s="1">
        <f t="shared" si="10"/>
        <v>0.63636363636363635</v>
      </c>
      <c r="F685">
        <v>98.9</v>
      </c>
      <c r="G685">
        <v>99</v>
      </c>
      <c r="H685">
        <v>0.49590000000000001</v>
      </c>
      <c r="I685">
        <v>49.4</v>
      </c>
      <c r="J685">
        <v>47.5</v>
      </c>
      <c r="K685">
        <v>19.2</v>
      </c>
      <c r="L685">
        <v>21.6</v>
      </c>
      <c r="M685">
        <v>31.1</v>
      </c>
      <c r="N685">
        <v>29.6</v>
      </c>
      <c r="O685">
        <v>35.6</v>
      </c>
      <c r="P685">
        <v>37.700000000000003</v>
      </c>
      <c r="Q685">
        <v>49</v>
      </c>
      <c r="R685">
        <v>46.6</v>
      </c>
      <c r="S685">
        <v>33.4</v>
      </c>
      <c r="T685">
        <v>32.700000000000003</v>
      </c>
      <c r="U685">
        <v>64.599999999999994</v>
      </c>
      <c r="V685">
        <v>-5.4</v>
      </c>
      <c r="W685" cm="1">
        <f t="array" ref="W685">_xlfn.IFS(OR(X685="N/A",X685="NA"),0,OR(X685="R64",X685="R68"),1,X685="R32",2,X685="S16",3,X685="E8",4,X685="F4",5,X685="2ND",6,X685="Champions",7)</f>
        <v>0</v>
      </c>
      <c r="X685" t="s">
        <v>90</v>
      </c>
      <c r="Y685" t="s">
        <v>90</v>
      </c>
      <c r="Z685">
        <v>2015</v>
      </c>
    </row>
    <row r="686" spans="1:26" x14ac:dyDescent="0.3">
      <c r="A686" t="s">
        <v>248</v>
      </c>
      <c r="B686" t="s">
        <v>69</v>
      </c>
      <c r="C686">
        <v>34</v>
      </c>
      <c r="D686">
        <v>16</v>
      </c>
      <c r="E686" s="1">
        <f t="shared" si="10"/>
        <v>0.47058823529411764</v>
      </c>
      <c r="F686">
        <v>97.3</v>
      </c>
      <c r="G686">
        <v>99.9</v>
      </c>
      <c r="H686">
        <v>0.42670000000000002</v>
      </c>
      <c r="I686">
        <v>46.9</v>
      </c>
      <c r="J686">
        <v>45.2</v>
      </c>
      <c r="K686">
        <v>19.5</v>
      </c>
      <c r="L686">
        <v>20.9</v>
      </c>
      <c r="M686">
        <v>31.4</v>
      </c>
      <c r="N686">
        <v>30.5</v>
      </c>
      <c r="O686">
        <v>44</v>
      </c>
      <c r="P686">
        <v>45.8</v>
      </c>
      <c r="Q686">
        <v>44.6</v>
      </c>
      <c r="R686">
        <v>44.3</v>
      </c>
      <c r="S686">
        <v>34.299999999999997</v>
      </c>
      <c r="T686">
        <v>31.2</v>
      </c>
      <c r="U686">
        <v>60.7</v>
      </c>
      <c r="V686">
        <v>-12.8</v>
      </c>
      <c r="W686" cm="1">
        <f t="array" ref="W686">_xlfn.IFS(OR(X686="N/A",X686="NA"),0,OR(X686="R64",X686="R68"),1,X686="R32",2,X686="S16",3,X686="E8",4,X686="F4",5,X686="2ND",6,X686="Champions",7)</f>
        <v>0</v>
      </c>
      <c r="X686" t="s">
        <v>90</v>
      </c>
      <c r="Y686" t="s">
        <v>90</v>
      </c>
      <c r="Z686">
        <v>2015</v>
      </c>
    </row>
    <row r="687" spans="1:26" x14ac:dyDescent="0.3">
      <c r="A687" t="s">
        <v>249</v>
      </c>
      <c r="B687" t="s">
        <v>69</v>
      </c>
      <c r="C687">
        <v>31</v>
      </c>
      <c r="D687">
        <v>11</v>
      </c>
      <c r="E687" s="1">
        <f t="shared" si="10"/>
        <v>0.35483870967741937</v>
      </c>
      <c r="F687">
        <v>103.9</v>
      </c>
      <c r="G687">
        <v>111.2</v>
      </c>
      <c r="H687">
        <v>0.31290000000000001</v>
      </c>
      <c r="I687">
        <v>47.5</v>
      </c>
      <c r="J687">
        <v>51.4</v>
      </c>
      <c r="K687">
        <v>18.7</v>
      </c>
      <c r="L687">
        <v>21.2</v>
      </c>
      <c r="M687">
        <v>36.299999999999997</v>
      </c>
      <c r="N687">
        <v>37.1</v>
      </c>
      <c r="O687">
        <v>41.9</v>
      </c>
      <c r="P687">
        <v>51</v>
      </c>
      <c r="Q687">
        <v>46.6</v>
      </c>
      <c r="R687">
        <v>49.9</v>
      </c>
      <c r="S687">
        <v>33.200000000000003</v>
      </c>
      <c r="T687">
        <v>36.200000000000003</v>
      </c>
      <c r="U687">
        <v>66.7</v>
      </c>
      <c r="V687">
        <v>-15.2</v>
      </c>
      <c r="W687" cm="1">
        <f t="array" ref="W687">_xlfn.IFS(OR(X687="N/A",X687="NA"),0,OR(X687="R64",X687="R68"),1,X687="R32",2,X687="S16",3,X687="E8",4,X687="F4",5,X687="2ND",6,X687="Champions",7)</f>
        <v>0</v>
      </c>
      <c r="X687" t="s">
        <v>90</v>
      </c>
      <c r="Y687" t="s">
        <v>90</v>
      </c>
      <c r="Z687">
        <v>2015</v>
      </c>
    </row>
    <row r="688" spans="1:26" x14ac:dyDescent="0.3">
      <c r="A688" t="s">
        <v>240</v>
      </c>
      <c r="B688" t="s">
        <v>69</v>
      </c>
      <c r="C688">
        <v>33</v>
      </c>
      <c r="D688">
        <v>14</v>
      </c>
      <c r="E688" s="1">
        <f t="shared" si="10"/>
        <v>0.42424242424242425</v>
      </c>
      <c r="F688">
        <v>106.6</v>
      </c>
      <c r="G688">
        <v>113.3</v>
      </c>
      <c r="H688">
        <v>0.33379999999999999</v>
      </c>
      <c r="I688">
        <v>49</v>
      </c>
      <c r="J688">
        <v>54.9</v>
      </c>
      <c r="K688">
        <v>15.9</v>
      </c>
      <c r="L688">
        <v>19.600000000000001</v>
      </c>
      <c r="M688">
        <v>31</v>
      </c>
      <c r="N688">
        <v>32.799999999999997</v>
      </c>
      <c r="O688">
        <v>36.9</v>
      </c>
      <c r="P688">
        <v>39</v>
      </c>
      <c r="Q688">
        <v>47.5</v>
      </c>
      <c r="R688">
        <v>53.6</v>
      </c>
      <c r="S688">
        <v>34.1</v>
      </c>
      <c r="T688">
        <v>38</v>
      </c>
      <c r="U688">
        <v>68.5</v>
      </c>
      <c r="V688">
        <v>-13.7</v>
      </c>
      <c r="W688" cm="1">
        <f t="array" ref="W688">_xlfn.IFS(OR(X688="N/A",X688="NA"),0,OR(X688="R64",X688="R68"),1,X688="R32",2,X688="S16",3,X688="E8",4,X688="F4",5,X688="2ND",6,X688="Champions",7)</f>
        <v>0</v>
      </c>
      <c r="X688" t="s">
        <v>90</v>
      </c>
      <c r="Y688" t="s">
        <v>90</v>
      </c>
      <c r="Z688">
        <v>2016</v>
      </c>
    </row>
    <row r="689" spans="1:26" x14ac:dyDescent="0.3">
      <c r="A689" t="s">
        <v>241</v>
      </c>
      <c r="B689" t="s">
        <v>69</v>
      </c>
      <c r="C689">
        <v>33</v>
      </c>
      <c r="D689">
        <v>19</v>
      </c>
      <c r="E689" s="1">
        <f t="shared" si="10"/>
        <v>0.5757575757575758</v>
      </c>
      <c r="F689">
        <v>102.8</v>
      </c>
      <c r="G689">
        <v>106.2</v>
      </c>
      <c r="H689">
        <v>0.40570000000000001</v>
      </c>
      <c r="I689">
        <v>51.3</v>
      </c>
      <c r="J689">
        <v>49.6</v>
      </c>
      <c r="K689">
        <v>17.600000000000001</v>
      </c>
      <c r="L689">
        <v>18.899999999999999</v>
      </c>
      <c r="M689">
        <v>24.8</v>
      </c>
      <c r="N689">
        <v>34.1</v>
      </c>
      <c r="O689">
        <v>32.6</v>
      </c>
      <c r="P689">
        <v>34.1</v>
      </c>
      <c r="Q689">
        <v>50</v>
      </c>
      <c r="R689">
        <v>49.1</v>
      </c>
      <c r="S689">
        <v>35.4</v>
      </c>
      <c r="T689">
        <v>33.700000000000003</v>
      </c>
      <c r="U689">
        <v>72.400000000000006</v>
      </c>
      <c r="V689">
        <v>-7.1</v>
      </c>
      <c r="W689" cm="1">
        <f t="array" ref="W689">_xlfn.IFS(OR(X689="N/A",X689="NA"),0,OR(X689="R64",X689="R68"),1,X689="R32",2,X689="S16",3,X689="E8",4,X689="F4",5,X689="2ND",6,X689="Champions",7)</f>
        <v>0</v>
      </c>
      <c r="X689" t="s">
        <v>90</v>
      </c>
      <c r="Y689" t="s">
        <v>90</v>
      </c>
      <c r="Z689">
        <v>2016</v>
      </c>
    </row>
    <row r="690" spans="1:26" x14ac:dyDescent="0.3">
      <c r="A690" t="s">
        <v>250</v>
      </c>
      <c r="B690" t="s">
        <v>69</v>
      </c>
      <c r="C690">
        <v>31</v>
      </c>
      <c r="D690">
        <v>13</v>
      </c>
      <c r="E690" s="1">
        <f t="shared" si="10"/>
        <v>0.41935483870967744</v>
      </c>
      <c r="F690">
        <v>98.4</v>
      </c>
      <c r="G690">
        <v>105.5</v>
      </c>
      <c r="H690">
        <v>0.31080000000000002</v>
      </c>
      <c r="I690">
        <v>50.1</v>
      </c>
      <c r="J690">
        <v>52.2</v>
      </c>
      <c r="K690">
        <v>20.5</v>
      </c>
      <c r="L690">
        <v>22.6</v>
      </c>
      <c r="M690">
        <v>23.5</v>
      </c>
      <c r="N690">
        <v>32.5</v>
      </c>
      <c r="O690">
        <v>39.799999999999997</v>
      </c>
      <c r="P690">
        <v>46.8</v>
      </c>
      <c r="Q690">
        <v>47.6</v>
      </c>
      <c r="R690">
        <v>52.9</v>
      </c>
      <c r="S690">
        <v>36.1</v>
      </c>
      <c r="T690">
        <v>33.700000000000003</v>
      </c>
      <c r="U690">
        <v>68.8</v>
      </c>
      <c r="V690">
        <v>-12.6</v>
      </c>
      <c r="W690" cm="1">
        <f t="array" ref="W690">_xlfn.IFS(OR(X690="N/A",X690="NA"),0,OR(X690="R64",X690="R68"),1,X690="R32",2,X690="S16",3,X690="E8",4,X690="F4",5,X690="2ND",6,X690="Champions",7)</f>
        <v>0</v>
      </c>
      <c r="X690" t="s">
        <v>90</v>
      </c>
      <c r="Y690" t="s">
        <v>90</v>
      </c>
      <c r="Z690">
        <v>2016</v>
      </c>
    </row>
    <row r="691" spans="1:26" x14ac:dyDescent="0.3">
      <c r="A691" t="s">
        <v>243</v>
      </c>
      <c r="B691" t="s">
        <v>69</v>
      </c>
      <c r="C691">
        <v>30</v>
      </c>
      <c r="D691">
        <v>7</v>
      </c>
      <c r="E691" s="1">
        <f t="shared" si="10"/>
        <v>0.23333333333333334</v>
      </c>
      <c r="F691">
        <v>100.7</v>
      </c>
      <c r="G691">
        <v>116</v>
      </c>
      <c r="H691">
        <v>0.1641</v>
      </c>
      <c r="I691">
        <v>49.4</v>
      </c>
      <c r="J691">
        <v>53.6</v>
      </c>
      <c r="K691">
        <v>17.3</v>
      </c>
      <c r="L691">
        <v>16.899999999999999</v>
      </c>
      <c r="M691">
        <v>24.3</v>
      </c>
      <c r="N691">
        <v>32</v>
      </c>
      <c r="O691">
        <v>35.9</v>
      </c>
      <c r="P691">
        <v>36.6</v>
      </c>
      <c r="Q691">
        <v>48.1</v>
      </c>
      <c r="R691">
        <v>51.6</v>
      </c>
      <c r="S691">
        <v>34.200000000000003</v>
      </c>
      <c r="T691">
        <v>38.200000000000003</v>
      </c>
      <c r="U691">
        <v>68.900000000000006</v>
      </c>
      <c r="V691">
        <v>-18.8</v>
      </c>
      <c r="W691" cm="1">
        <f t="array" ref="W691">_xlfn.IFS(OR(X691="N/A",X691="NA"),0,OR(X691="R64",X691="R68"),1,X691="R32",2,X691="S16",3,X691="E8",4,X691="F4",5,X691="2ND",6,X691="Champions",7)</f>
        <v>0</v>
      </c>
      <c r="X691" t="s">
        <v>90</v>
      </c>
      <c r="Y691" t="s">
        <v>90</v>
      </c>
      <c r="Z691">
        <v>2016</v>
      </c>
    </row>
    <row r="692" spans="1:26" x14ac:dyDescent="0.3">
      <c r="A692" t="s">
        <v>244</v>
      </c>
      <c r="B692" t="s">
        <v>69</v>
      </c>
      <c r="C692">
        <v>36</v>
      </c>
      <c r="D692">
        <v>28</v>
      </c>
      <c r="E692" s="1">
        <f t="shared" si="10"/>
        <v>0.77777777777777779</v>
      </c>
      <c r="F692">
        <v>105.7</v>
      </c>
      <c r="G692">
        <v>98.1</v>
      </c>
      <c r="H692">
        <v>0.7016</v>
      </c>
      <c r="I692">
        <v>49.9</v>
      </c>
      <c r="J692">
        <v>46.1</v>
      </c>
      <c r="K692">
        <v>16.5</v>
      </c>
      <c r="L692">
        <v>20.100000000000001</v>
      </c>
      <c r="M692">
        <v>28.6</v>
      </c>
      <c r="N692">
        <v>30.7</v>
      </c>
      <c r="O692">
        <v>38.4</v>
      </c>
      <c r="P692">
        <v>37.200000000000003</v>
      </c>
      <c r="Q692">
        <v>47.2</v>
      </c>
      <c r="R692">
        <v>45.3</v>
      </c>
      <c r="S692">
        <v>36.6</v>
      </c>
      <c r="T692">
        <v>31.4</v>
      </c>
      <c r="U692">
        <v>73.599999999999994</v>
      </c>
      <c r="V692">
        <v>-0.2</v>
      </c>
      <c r="W692" cm="1">
        <f t="array" ref="W692">_xlfn.IFS(OR(X692="N/A",X692="NA"),0,OR(X692="R64",X692="R68"),1,X692="R32",2,X692="S16",3,X692="E8",4,X692="F4",5,X692="2ND",6,X692="Champions",7)</f>
        <v>0</v>
      </c>
      <c r="X692" t="s">
        <v>90</v>
      </c>
      <c r="Y692" t="s">
        <v>90</v>
      </c>
      <c r="Z692">
        <v>2016</v>
      </c>
    </row>
    <row r="693" spans="1:26" x14ac:dyDescent="0.3">
      <c r="A693" t="s">
        <v>245</v>
      </c>
      <c r="B693" t="s">
        <v>69</v>
      </c>
      <c r="C693">
        <v>32</v>
      </c>
      <c r="D693">
        <v>7</v>
      </c>
      <c r="E693" s="1">
        <f t="shared" si="10"/>
        <v>0.21875</v>
      </c>
      <c r="F693">
        <v>92.8</v>
      </c>
      <c r="G693">
        <v>107.3</v>
      </c>
      <c r="H693">
        <v>0.1578</v>
      </c>
      <c r="I693">
        <v>44.9</v>
      </c>
      <c r="J693">
        <v>49</v>
      </c>
      <c r="K693">
        <v>21.1</v>
      </c>
      <c r="L693">
        <v>16.899999999999999</v>
      </c>
      <c r="M693">
        <v>32.799999999999997</v>
      </c>
      <c r="N693">
        <v>31.3</v>
      </c>
      <c r="O693">
        <v>34</v>
      </c>
      <c r="P693">
        <v>35.5</v>
      </c>
      <c r="Q693">
        <v>46.2</v>
      </c>
      <c r="R693">
        <v>46.4</v>
      </c>
      <c r="S693">
        <v>28.2</v>
      </c>
      <c r="T693">
        <v>35.700000000000003</v>
      </c>
      <c r="U693">
        <v>66.8</v>
      </c>
      <c r="V693">
        <v>-19.399999999999999</v>
      </c>
      <c r="W693" cm="1">
        <f t="array" ref="W693">_xlfn.IFS(OR(X693="N/A",X693="NA"),0,OR(X693="R64",X693="R68"),1,X693="R32",2,X693="S16",3,X693="E8",4,X693="F4",5,X693="2ND",6,X693="Champions",7)</f>
        <v>0</v>
      </c>
      <c r="X693" t="s">
        <v>90</v>
      </c>
      <c r="Y693" t="s">
        <v>90</v>
      </c>
      <c r="Z693">
        <v>2016</v>
      </c>
    </row>
    <row r="694" spans="1:26" x14ac:dyDescent="0.3">
      <c r="A694" t="s">
        <v>246</v>
      </c>
      <c r="B694" t="s">
        <v>69</v>
      </c>
      <c r="C694">
        <v>30</v>
      </c>
      <c r="D694">
        <v>9</v>
      </c>
      <c r="E694" s="1">
        <f t="shared" si="10"/>
        <v>0.3</v>
      </c>
      <c r="F694">
        <v>91.5</v>
      </c>
      <c r="G694">
        <v>102.3</v>
      </c>
      <c r="H694">
        <v>0.2167</v>
      </c>
      <c r="I694">
        <v>42.8</v>
      </c>
      <c r="J694">
        <v>46.5</v>
      </c>
      <c r="K694">
        <v>21.7</v>
      </c>
      <c r="L694">
        <v>17.399999999999999</v>
      </c>
      <c r="M694">
        <v>38.4</v>
      </c>
      <c r="N694">
        <v>29.3</v>
      </c>
      <c r="O694">
        <v>28</v>
      </c>
      <c r="P694">
        <v>40.1</v>
      </c>
      <c r="Q694">
        <v>38.299999999999997</v>
      </c>
      <c r="R694">
        <v>46.5</v>
      </c>
      <c r="S694">
        <v>34.1</v>
      </c>
      <c r="T694">
        <v>31</v>
      </c>
      <c r="U694">
        <v>69.599999999999994</v>
      </c>
      <c r="V694">
        <v>-16.7</v>
      </c>
      <c r="W694" cm="1">
        <f t="array" ref="W694">_xlfn.IFS(OR(X694="N/A",X694="NA"),0,OR(X694="R64",X694="R68"),1,X694="R32",2,X694="S16",3,X694="E8",4,X694="F4",5,X694="2ND",6,X694="Champions",7)</f>
        <v>0</v>
      </c>
      <c r="X694" t="s">
        <v>90</v>
      </c>
      <c r="Y694" t="s">
        <v>90</v>
      </c>
      <c r="Z694">
        <v>2016</v>
      </c>
    </row>
    <row r="695" spans="1:26" x14ac:dyDescent="0.3">
      <c r="A695" t="s">
        <v>247</v>
      </c>
      <c r="B695" t="s">
        <v>69</v>
      </c>
      <c r="C695">
        <v>33</v>
      </c>
      <c r="D695">
        <v>13</v>
      </c>
      <c r="E695" s="1">
        <f t="shared" si="10"/>
        <v>0.39393939393939392</v>
      </c>
      <c r="F695">
        <v>98.1</v>
      </c>
      <c r="G695">
        <v>103.6</v>
      </c>
      <c r="H695">
        <v>0.34699999999999998</v>
      </c>
      <c r="I695">
        <v>48.3</v>
      </c>
      <c r="J695">
        <v>47.8</v>
      </c>
      <c r="K695">
        <v>19.2</v>
      </c>
      <c r="L695">
        <v>18.2</v>
      </c>
      <c r="M695">
        <v>28.6</v>
      </c>
      <c r="N695">
        <v>29.4</v>
      </c>
      <c r="O695">
        <v>35.4</v>
      </c>
      <c r="P695">
        <v>32.4</v>
      </c>
      <c r="Q695">
        <v>48.9</v>
      </c>
      <c r="R695">
        <v>45.7</v>
      </c>
      <c r="S695">
        <v>31.5</v>
      </c>
      <c r="T695">
        <v>34</v>
      </c>
      <c r="U695">
        <v>65.3</v>
      </c>
      <c r="V695">
        <v>-14.1</v>
      </c>
      <c r="W695" cm="1">
        <f t="array" ref="W695">_xlfn.IFS(OR(X695="N/A",X695="NA"),0,OR(X695="R64",X695="R68"),1,X695="R32",2,X695="S16",3,X695="E8",4,X695="F4",5,X695="2ND",6,X695="Champions",7)</f>
        <v>0</v>
      </c>
      <c r="X695" t="s">
        <v>90</v>
      </c>
      <c r="Y695" t="s">
        <v>90</v>
      </c>
      <c r="Z695">
        <v>2016</v>
      </c>
    </row>
    <row r="696" spans="1:26" x14ac:dyDescent="0.3">
      <c r="A696" t="s">
        <v>248</v>
      </c>
      <c r="B696" t="s">
        <v>69</v>
      </c>
      <c r="C696">
        <v>30</v>
      </c>
      <c r="D696">
        <v>14</v>
      </c>
      <c r="E696" s="1">
        <f t="shared" si="10"/>
        <v>0.46666666666666667</v>
      </c>
      <c r="F696">
        <v>95.1</v>
      </c>
      <c r="G696">
        <v>101.3</v>
      </c>
      <c r="H696">
        <v>0.3266</v>
      </c>
      <c r="I696">
        <v>47.7</v>
      </c>
      <c r="J696">
        <v>47.8</v>
      </c>
      <c r="K696">
        <v>19.5</v>
      </c>
      <c r="L696">
        <v>17.7</v>
      </c>
      <c r="M696">
        <v>30.4</v>
      </c>
      <c r="N696">
        <v>26.3</v>
      </c>
      <c r="O696">
        <v>35.1</v>
      </c>
      <c r="P696">
        <v>31.7</v>
      </c>
      <c r="Q696">
        <v>47</v>
      </c>
      <c r="R696">
        <v>45.7</v>
      </c>
      <c r="S696">
        <v>32.700000000000003</v>
      </c>
      <c r="T696">
        <v>34.1</v>
      </c>
      <c r="U696">
        <v>65.7</v>
      </c>
      <c r="V696">
        <v>-10.7</v>
      </c>
      <c r="W696" cm="1">
        <f t="array" ref="W696">_xlfn.IFS(OR(X696="N/A",X696="NA"),0,OR(X696="R64",X696="R68"),1,X696="R32",2,X696="S16",3,X696="E8",4,X696="F4",5,X696="2ND",6,X696="Champions",7)</f>
        <v>0</v>
      </c>
      <c r="X696" t="s">
        <v>90</v>
      </c>
      <c r="Y696" t="s">
        <v>90</v>
      </c>
      <c r="Z696">
        <v>2016</v>
      </c>
    </row>
    <row r="697" spans="1:26" x14ac:dyDescent="0.3">
      <c r="A697" t="s">
        <v>249</v>
      </c>
      <c r="B697" t="s">
        <v>69</v>
      </c>
      <c r="C697">
        <v>34</v>
      </c>
      <c r="D697">
        <v>21</v>
      </c>
      <c r="E697" s="1">
        <f t="shared" si="10"/>
        <v>0.61764705882352944</v>
      </c>
      <c r="F697">
        <v>106.8</v>
      </c>
      <c r="G697">
        <v>104</v>
      </c>
      <c r="H697">
        <v>0.57469999999999999</v>
      </c>
      <c r="I697">
        <v>52</v>
      </c>
      <c r="J697">
        <v>47.2</v>
      </c>
      <c r="K697">
        <v>22.2</v>
      </c>
      <c r="L697">
        <v>17.3</v>
      </c>
      <c r="M697">
        <v>39.1</v>
      </c>
      <c r="N697">
        <v>30</v>
      </c>
      <c r="O697">
        <v>40.799999999999997</v>
      </c>
      <c r="P697">
        <v>38.4</v>
      </c>
      <c r="Q697">
        <v>50.7</v>
      </c>
      <c r="R697">
        <v>46.7</v>
      </c>
      <c r="S697">
        <v>36.799999999999997</v>
      </c>
      <c r="T697">
        <v>32.1</v>
      </c>
      <c r="U697">
        <v>71.099999999999994</v>
      </c>
      <c r="V697">
        <v>-6.4</v>
      </c>
      <c r="W697" cm="1">
        <f t="array" ref="W697">_xlfn.IFS(OR(X697="N/A",X697="NA"),0,OR(X697="R64",X697="R68"),1,X697="R32",2,X697="S16",3,X697="E8",4,X697="F4",5,X697="2ND",6,X697="Champions",7)</f>
        <v>0</v>
      </c>
      <c r="X697" t="s">
        <v>90</v>
      </c>
      <c r="Y697" t="s">
        <v>90</v>
      </c>
      <c r="Z697">
        <v>2016</v>
      </c>
    </row>
    <row r="698" spans="1:26" x14ac:dyDescent="0.3">
      <c r="A698" t="s">
        <v>240</v>
      </c>
      <c r="B698" t="s">
        <v>69</v>
      </c>
      <c r="C698">
        <v>34</v>
      </c>
      <c r="D698">
        <v>18</v>
      </c>
      <c r="E698" s="1">
        <f t="shared" si="10"/>
        <v>0.52941176470588236</v>
      </c>
      <c r="F698">
        <v>106.9</v>
      </c>
      <c r="G698">
        <v>109.5</v>
      </c>
      <c r="H698">
        <v>0.43090000000000001</v>
      </c>
      <c r="I698">
        <v>53.1</v>
      </c>
      <c r="J698">
        <v>54.5</v>
      </c>
      <c r="K698">
        <v>18.2</v>
      </c>
      <c r="L698">
        <v>20.8</v>
      </c>
      <c r="M698">
        <v>30.2</v>
      </c>
      <c r="N698">
        <v>32.200000000000003</v>
      </c>
      <c r="O698">
        <v>30.9</v>
      </c>
      <c r="P698">
        <v>33.799999999999997</v>
      </c>
      <c r="Q698">
        <v>51.4</v>
      </c>
      <c r="R698">
        <v>56</v>
      </c>
      <c r="S698">
        <v>37.1</v>
      </c>
      <c r="T698">
        <v>34.299999999999997</v>
      </c>
      <c r="U698">
        <v>70.8</v>
      </c>
      <c r="V698">
        <v>-9</v>
      </c>
      <c r="W698" cm="1">
        <f t="array" ref="W698">_xlfn.IFS(OR(X698="N/A",X698="NA"),0,OR(X698="R64",X698="R68"),1,X698="R32",2,X698="S16",3,X698="E8",4,X698="F4",5,X698="2ND",6,X698="Champions",7)</f>
        <v>0</v>
      </c>
      <c r="X698" t="s">
        <v>90</v>
      </c>
      <c r="Y698" t="s">
        <v>90</v>
      </c>
      <c r="Z698">
        <v>2017</v>
      </c>
    </row>
    <row r="699" spans="1:26" x14ac:dyDescent="0.3">
      <c r="A699" t="s">
        <v>241</v>
      </c>
      <c r="B699" t="s">
        <v>69</v>
      </c>
      <c r="C699">
        <v>31</v>
      </c>
      <c r="D699">
        <v>16</v>
      </c>
      <c r="E699" s="1">
        <f t="shared" si="10"/>
        <v>0.5161290322580645</v>
      </c>
      <c r="F699">
        <v>98</v>
      </c>
      <c r="G699">
        <v>102.2</v>
      </c>
      <c r="H699">
        <v>0.38179999999999997</v>
      </c>
      <c r="I699">
        <v>51.3</v>
      </c>
      <c r="J699">
        <v>49.5</v>
      </c>
      <c r="K699">
        <v>18.600000000000001</v>
      </c>
      <c r="L699">
        <v>17.5</v>
      </c>
      <c r="M699">
        <v>24.3</v>
      </c>
      <c r="N699">
        <v>28.2</v>
      </c>
      <c r="O699">
        <v>27.2</v>
      </c>
      <c r="P699">
        <v>32</v>
      </c>
      <c r="Q699">
        <v>52</v>
      </c>
      <c r="R699">
        <v>49.4</v>
      </c>
      <c r="S699">
        <v>33.5</v>
      </c>
      <c r="T699">
        <v>33.1</v>
      </c>
      <c r="U699">
        <v>70.7</v>
      </c>
      <c r="V699">
        <v>-9.1</v>
      </c>
      <c r="W699" cm="1">
        <f t="array" ref="W699">_xlfn.IFS(OR(X699="N/A",X699="NA"),0,OR(X699="R64",X699="R68"),1,X699="R32",2,X699="S16",3,X699="E8",4,X699="F4",5,X699="2ND",6,X699="Champions",7)</f>
        <v>0</v>
      </c>
      <c r="X699" t="s">
        <v>90</v>
      </c>
      <c r="Y699" t="s">
        <v>90</v>
      </c>
      <c r="Z699">
        <v>2017</v>
      </c>
    </row>
    <row r="700" spans="1:26" x14ac:dyDescent="0.3">
      <c r="A700" t="s">
        <v>250</v>
      </c>
      <c r="B700" t="s">
        <v>69</v>
      </c>
      <c r="C700">
        <v>32</v>
      </c>
      <c r="D700">
        <v>10</v>
      </c>
      <c r="E700" s="1">
        <f t="shared" si="10"/>
        <v>0.3125</v>
      </c>
      <c r="F700">
        <v>95.7</v>
      </c>
      <c r="G700">
        <v>107.1</v>
      </c>
      <c r="H700">
        <v>0.21590000000000001</v>
      </c>
      <c r="I700">
        <v>47.4</v>
      </c>
      <c r="J700">
        <v>51.6</v>
      </c>
      <c r="K700">
        <v>22.6</v>
      </c>
      <c r="L700">
        <v>20</v>
      </c>
      <c r="M700">
        <v>30.8</v>
      </c>
      <c r="N700">
        <v>30.1</v>
      </c>
      <c r="O700">
        <v>41</v>
      </c>
      <c r="P700">
        <v>53.4</v>
      </c>
      <c r="Q700">
        <v>46.3</v>
      </c>
      <c r="R700">
        <v>48.1</v>
      </c>
      <c r="S700">
        <v>32.9</v>
      </c>
      <c r="T700">
        <v>39.200000000000003</v>
      </c>
      <c r="U700">
        <v>70.7</v>
      </c>
      <c r="V700">
        <v>-15.7</v>
      </c>
      <c r="W700" cm="1">
        <f t="array" ref="W700">_xlfn.IFS(OR(X700="N/A",X700="NA"),0,OR(X700="R64",X700="R68"),1,X700="R32",2,X700="S16",3,X700="E8",4,X700="F4",5,X700="2ND",6,X700="Champions",7)</f>
        <v>0</v>
      </c>
      <c r="X700" t="s">
        <v>90</v>
      </c>
      <c r="Y700" t="s">
        <v>90</v>
      </c>
      <c r="Z700">
        <v>2017</v>
      </c>
    </row>
    <row r="701" spans="1:26" x14ac:dyDescent="0.3">
      <c r="A701" t="s">
        <v>243</v>
      </c>
      <c r="B701" t="s">
        <v>69</v>
      </c>
      <c r="C701">
        <v>32</v>
      </c>
      <c r="D701">
        <v>8</v>
      </c>
      <c r="E701" s="1">
        <f t="shared" si="10"/>
        <v>0.25</v>
      </c>
      <c r="F701">
        <v>100.8</v>
      </c>
      <c r="G701">
        <v>112.6</v>
      </c>
      <c r="H701">
        <v>0.21829999999999999</v>
      </c>
      <c r="I701">
        <v>49.9</v>
      </c>
      <c r="J701">
        <v>52.6</v>
      </c>
      <c r="K701">
        <v>18.399999999999999</v>
      </c>
      <c r="L701">
        <v>15.7</v>
      </c>
      <c r="M701">
        <v>21.6</v>
      </c>
      <c r="N701">
        <v>32.9</v>
      </c>
      <c r="O701">
        <v>37.9</v>
      </c>
      <c r="P701">
        <v>37</v>
      </c>
      <c r="Q701">
        <v>49.9</v>
      </c>
      <c r="R701">
        <v>50.5</v>
      </c>
      <c r="S701">
        <v>33.299999999999997</v>
      </c>
      <c r="T701">
        <v>37.700000000000003</v>
      </c>
      <c r="U701">
        <v>68.599999999999994</v>
      </c>
      <c r="V701">
        <v>-17.8</v>
      </c>
      <c r="W701" cm="1">
        <f t="array" ref="W701">_xlfn.IFS(OR(X701="N/A",X701="NA"),0,OR(X701="R64",X701="R68"),1,X701="R32",2,X701="S16",3,X701="E8",4,X701="F4",5,X701="2ND",6,X701="Champions",7)</f>
        <v>0</v>
      </c>
      <c r="X701" t="s">
        <v>90</v>
      </c>
      <c r="Y701" t="s">
        <v>90</v>
      </c>
      <c r="Z701">
        <v>2017</v>
      </c>
    </row>
    <row r="702" spans="1:26" x14ac:dyDescent="0.3">
      <c r="A702" t="s">
        <v>244</v>
      </c>
      <c r="B702" t="s">
        <v>69</v>
      </c>
      <c r="C702">
        <v>34</v>
      </c>
      <c r="D702">
        <v>27</v>
      </c>
      <c r="E702" s="1">
        <f t="shared" si="10"/>
        <v>0.79411764705882348</v>
      </c>
      <c r="F702">
        <v>106.7</v>
      </c>
      <c r="G702">
        <v>99.5</v>
      </c>
      <c r="H702">
        <v>0.6915</v>
      </c>
      <c r="I702">
        <v>50.8</v>
      </c>
      <c r="J702">
        <v>47</v>
      </c>
      <c r="K702">
        <v>16.7</v>
      </c>
      <c r="L702">
        <v>19.5</v>
      </c>
      <c r="M702">
        <v>29.7</v>
      </c>
      <c r="N702">
        <v>30</v>
      </c>
      <c r="O702">
        <v>37.299999999999997</v>
      </c>
      <c r="P702">
        <v>35.700000000000003</v>
      </c>
      <c r="Q702">
        <v>47.6</v>
      </c>
      <c r="R702">
        <v>45.1</v>
      </c>
      <c r="S702">
        <v>37.299999999999997</v>
      </c>
      <c r="T702">
        <v>33.4</v>
      </c>
      <c r="U702">
        <v>73.8</v>
      </c>
      <c r="V702">
        <v>0.5</v>
      </c>
      <c r="W702" cm="1">
        <f t="array" ref="W702">_xlfn.IFS(OR(X702="N/A",X702="NA"),0,OR(X702="R64",X702="R68"),1,X702="R32",2,X702="S16",3,X702="E8",4,X702="F4",5,X702="2ND",6,X702="Champions",7)</f>
        <v>0</v>
      </c>
      <c r="X702" t="s">
        <v>90</v>
      </c>
      <c r="Y702" t="s">
        <v>90</v>
      </c>
      <c r="Z702">
        <v>2017</v>
      </c>
    </row>
    <row r="703" spans="1:26" x14ac:dyDescent="0.3">
      <c r="A703" t="s">
        <v>245</v>
      </c>
      <c r="B703" t="s">
        <v>69</v>
      </c>
      <c r="C703">
        <v>33</v>
      </c>
      <c r="D703">
        <v>10</v>
      </c>
      <c r="E703" s="1">
        <f t="shared" si="10"/>
        <v>0.30303030303030304</v>
      </c>
      <c r="F703">
        <v>99.4</v>
      </c>
      <c r="G703">
        <v>109.1</v>
      </c>
      <c r="H703">
        <v>0.25659999999999999</v>
      </c>
      <c r="I703">
        <v>47.6</v>
      </c>
      <c r="J703">
        <v>50.5</v>
      </c>
      <c r="K703">
        <v>17.899999999999999</v>
      </c>
      <c r="L703">
        <v>16</v>
      </c>
      <c r="M703">
        <v>30.5</v>
      </c>
      <c r="N703">
        <v>30.7</v>
      </c>
      <c r="O703">
        <v>33.6</v>
      </c>
      <c r="P703">
        <v>30.8</v>
      </c>
      <c r="Q703">
        <v>44</v>
      </c>
      <c r="R703">
        <v>48.1</v>
      </c>
      <c r="S703">
        <v>36.6</v>
      </c>
      <c r="T703">
        <v>36.6</v>
      </c>
      <c r="U703">
        <v>70.3</v>
      </c>
      <c r="V703">
        <v>-17.899999999999999</v>
      </c>
      <c r="W703" cm="1">
        <f t="array" ref="W703">_xlfn.IFS(OR(X703="N/A",X703="NA"),0,OR(X703="R64",X703="R68"),1,X703="R32",2,X703="S16",3,X703="E8",4,X703="F4",5,X703="2ND",6,X703="Champions",7)</f>
        <v>0</v>
      </c>
      <c r="X703" t="s">
        <v>90</v>
      </c>
      <c r="Y703" t="s">
        <v>90</v>
      </c>
      <c r="Z703">
        <v>2017</v>
      </c>
    </row>
    <row r="704" spans="1:26" x14ac:dyDescent="0.3">
      <c r="A704" t="s">
        <v>246</v>
      </c>
      <c r="B704" t="s">
        <v>69</v>
      </c>
      <c r="C704">
        <v>31</v>
      </c>
      <c r="D704">
        <v>10</v>
      </c>
      <c r="E704" s="1">
        <f t="shared" si="10"/>
        <v>0.32258064516129031</v>
      </c>
      <c r="F704">
        <v>100.7</v>
      </c>
      <c r="G704">
        <v>112.7</v>
      </c>
      <c r="H704">
        <v>0.2152</v>
      </c>
      <c r="I704">
        <v>47.9</v>
      </c>
      <c r="J704">
        <v>52.6</v>
      </c>
      <c r="K704">
        <v>19.2</v>
      </c>
      <c r="L704">
        <v>16.8</v>
      </c>
      <c r="M704">
        <v>34.1</v>
      </c>
      <c r="N704">
        <v>30.2</v>
      </c>
      <c r="O704">
        <v>33</v>
      </c>
      <c r="P704">
        <v>38.200000000000003</v>
      </c>
      <c r="Q704">
        <v>47.4</v>
      </c>
      <c r="R704">
        <v>50.5</v>
      </c>
      <c r="S704">
        <v>32.6</v>
      </c>
      <c r="T704">
        <v>38</v>
      </c>
      <c r="U704">
        <v>74.3</v>
      </c>
      <c r="V704">
        <v>-15.5</v>
      </c>
      <c r="W704" cm="1">
        <f t="array" ref="W704">_xlfn.IFS(OR(X704="N/A",X704="NA"),0,OR(X704="R64",X704="R68"),1,X704="R32",2,X704="S16",3,X704="E8",4,X704="F4",5,X704="2ND",6,X704="Champions",7)</f>
        <v>0</v>
      </c>
      <c r="X704" t="s">
        <v>90</v>
      </c>
      <c r="Y704" t="s">
        <v>90</v>
      </c>
      <c r="Z704">
        <v>2017</v>
      </c>
    </row>
    <row r="705" spans="1:26" x14ac:dyDescent="0.3">
      <c r="A705" t="s">
        <v>247</v>
      </c>
      <c r="B705" t="s">
        <v>69</v>
      </c>
      <c r="C705">
        <v>33</v>
      </c>
      <c r="D705">
        <v>18</v>
      </c>
      <c r="E705" s="1">
        <f t="shared" si="10"/>
        <v>0.54545454545454541</v>
      </c>
      <c r="F705">
        <v>99.9</v>
      </c>
      <c r="G705">
        <v>104.5</v>
      </c>
      <c r="H705">
        <v>0.37490000000000001</v>
      </c>
      <c r="I705">
        <v>49</v>
      </c>
      <c r="J705">
        <v>49</v>
      </c>
      <c r="K705">
        <v>19.600000000000001</v>
      </c>
      <c r="L705">
        <v>18.100000000000001</v>
      </c>
      <c r="M705">
        <v>33</v>
      </c>
      <c r="N705">
        <v>27.1</v>
      </c>
      <c r="O705">
        <v>37</v>
      </c>
      <c r="P705">
        <v>35.9</v>
      </c>
      <c r="Q705">
        <v>48.7</v>
      </c>
      <c r="R705">
        <v>48</v>
      </c>
      <c r="S705">
        <v>33.200000000000003</v>
      </c>
      <c r="T705">
        <v>33.700000000000003</v>
      </c>
      <c r="U705">
        <v>73.5</v>
      </c>
      <c r="V705">
        <v>-10.1</v>
      </c>
      <c r="W705" cm="1">
        <f t="array" ref="W705">_xlfn.IFS(OR(X705="N/A",X705="NA"),0,OR(X705="R64",X705="R68"),1,X705="R32",2,X705="S16",3,X705="E8",4,X705="F4",5,X705="2ND",6,X705="Champions",7)</f>
        <v>0</v>
      </c>
      <c r="X705" t="s">
        <v>90</v>
      </c>
      <c r="Y705" t="s">
        <v>90</v>
      </c>
      <c r="Z705">
        <v>2017</v>
      </c>
    </row>
    <row r="706" spans="1:26" x14ac:dyDescent="0.3">
      <c r="A706" t="s">
        <v>248</v>
      </c>
      <c r="B706" t="s">
        <v>69</v>
      </c>
      <c r="C706">
        <v>36</v>
      </c>
      <c r="D706">
        <v>23</v>
      </c>
      <c r="E706" s="1">
        <f t="shared" si="10"/>
        <v>0.63888888888888884</v>
      </c>
      <c r="F706">
        <v>102.2</v>
      </c>
      <c r="G706">
        <v>95.5</v>
      </c>
      <c r="H706">
        <v>0.68700000000000006</v>
      </c>
      <c r="I706">
        <v>51.2</v>
      </c>
      <c r="J706">
        <v>48.1</v>
      </c>
      <c r="K706">
        <v>17.3</v>
      </c>
      <c r="L706">
        <v>20.9</v>
      </c>
      <c r="M706">
        <v>25.5</v>
      </c>
      <c r="N706">
        <v>25.9</v>
      </c>
      <c r="O706">
        <v>33.1</v>
      </c>
      <c r="P706">
        <v>29.2</v>
      </c>
      <c r="Q706">
        <v>47.3</v>
      </c>
      <c r="R706">
        <v>48.4</v>
      </c>
      <c r="S706">
        <v>38.1</v>
      </c>
      <c r="T706">
        <v>31.9</v>
      </c>
      <c r="U706">
        <v>62.6</v>
      </c>
      <c r="V706">
        <v>-7.6</v>
      </c>
      <c r="W706" cm="1">
        <f t="array" ref="W706">_xlfn.IFS(OR(X706="N/A",X706="NA"),0,OR(X706="R64",X706="R68"),1,X706="R32",2,X706="S16",3,X706="E8",4,X706="F4",5,X706="2ND",6,X706="Champions",7)</f>
        <v>0</v>
      </c>
      <c r="X706" t="s">
        <v>90</v>
      </c>
      <c r="Y706" t="s">
        <v>90</v>
      </c>
      <c r="Z706">
        <v>2017</v>
      </c>
    </row>
    <row r="707" spans="1:26" x14ac:dyDescent="0.3">
      <c r="A707" t="s">
        <v>249</v>
      </c>
      <c r="B707" t="s">
        <v>69</v>
      </c>
      <c r="C707">
        <v>34</v>
      </c>
      <c r="D707">
        <v>17</v>
      </c>
      <c r="E707" s="1">
        <f t="shared" ref="E707:E770" si="11">D707/C707</f>
        <v>0.5</v>
      </c>
      <c r="F707">
        <v>105.2</v>
      </c>
      <c r="G707">
        <v>106.1</v>
      </c>
      <c r="H707">
        <v>0.47639999999999999</v>
      </c>
      <c r="I707">
        <v>49.9</v>
      </c>
      <c r="J707">
        <v>50.3</v>
      </c>
      <c r="K707">
        <v>19.7</v>
      </c>
      <c r="L707">
        <v>17.2</v>
      </c>
      <c r="M707">
        <v>35.5</v>
      </c>
      <c r="N707">
        <v>29.3</v>
      </c>
      <c r="O707">
        <v>40</v>
      </c>
      <c r="P707">
        <v>35.5</v>
      </c>
      <c r="Q707">
        <v>50.2</v>
      </c>
      <c r="R707">
        <v>50</v>
      </c>
      <c r="S707">
        <v>32.700000000000003</v>
      </c>
      <c r="T707">
        <v>33.9</v>
      </c>
      <c r="U707">
        <v>70</v>
      </c>
      <c r="V707">
        <v>-10.199999999999999</v>
      </c>
      <c r="W707" cm="1">
        <f t="array" ref="W707">_xlfn.IFS(OR(X707="N/A",X707="NA"),0,OR(X707="R64",X707="R68"),1,X707="R32",2,X707="S16",3,X707="E8",4,X707="F4",5,X707="2ND",6,X707="Champions",7)</f>
        <v>0</v>
      </c>
      <c r="X707" t="s">
        <v>90</v>
      </c>
      <c r="Y707" t="s">
        <v>90</v>
      </c>
      <c r="Z707">
        <v>2017</v>
      </c>
    </row>
    <row r="708" spans="1:26" x14ac:dyDescent="0.3">
      <c r="A708" t="s">
        <v>240</v>
      </c>
      <c r="B708" t="s">
        <v>69</v>
      </c>
      <c r="C708">
        <v>33</v>
      </c>
      <c r="D708">
        <v>21</v>
      </c>
      <c r="E708" s="1">
        <f t="shared" si="11"/>
        <v>0.63636363636363635</v>
      </c>
      <c r="F708">
        <v>105.9</v>
      </c>
      <c r="G708">
        <v>104.4</v>
      </c>
      <c r="H708">
        <v>0.54110000000000003</v>
      </c>
      <c r="I708">
        <v>54.2</v>
      </c>
      <c r="J708">
        <v>50.5</v>
      </c>
      <c r="K708">
        <v>18.7</v>
      </c>
      <c r="L708">
        <v>21.6</v>
      </c>
      <c r="M708">
        <v>29.9</v>
      </c>
      <c r="N708">
        <v>30.4</v>
      </c>
      <c r="O708">
        <v>29.9</v>
      </c>
      <c r="P708">
        <v>37.200000000000003</v>
      </c>
      <c r="Q708">
        <v>55.9</v>
      </c>
      <c r="R708">
        <v>51.7</v>
      </c>
      <c r="S708">
        <v>34.799999999999997</v>
      </c>
      <c r="T708">
        <v>32.1</v>
      </c>
      <c r="U708">
        <v>70</v>
      </c>
      <c r="V708">
        <v>-6.5</v>
      </c>
      <c r="W708" cm="1">
        <f t="array" ref="W708">_xlfn.IFS(OR(X708="N/A",X708="NA"),0,OR(X708="R64",X708="R68"),1,X708="R32",2,X708="S16",3,X708="E8",4,X708="F4",5,X708="2ND",6,X708="Champions",7)</f>
        <v>0</v>
      </c>
      <c r="X708" t="s">
        <v>90</v>
      </c>
      <c r="Y708" t="s">
        <v>90</v>
      </c>
      <c r="Z708">
        <v>2018</v>
      </c>
    </row>
    <row r="709" spans="1:26" x14ac:dyDescent="0.3">
      <c r="A709" t="s">
        <v>241</v>
      </c>
      <c r="B709" t="s">
        <v>69</v>
      </c>
      <c r="C709">
        <v>33</v>
      </c>
      <c r="D709">
        <v>17</v>
      </c>
      <c r="E709" s="1">
        <f t="shared" si="11"/>
        <v>0.51515151515151514</v>
      </c>
      <c r="F709">
        <v>101</v>
      </c>
      <c r="G709">
        <v>105.6</v>
      </c>
      <c r="H709">
        <v>0.37430000000000002</v>
      </c>
      <c r="I709">
        <v>51.4</v>
      </c>
      <c r="J709">
        <v>52.5</v>
      </c>
      <c r="K709">
        <v>17.399999999999999</v>
      </c>
      <c r="L709">
        <v>18.8</v>
      </c>
      <c r="M709">
        <v>24.4</v>
      </c>
      <c r="N709">
        <v>27.1</v>
      </c>
      <c r="O709">
        <v>30.9</v>
      </c>
      <c r="P709">
        <v>36.799999999999997</v>
      </c>
      <c r="Q709">
        <v>51.8</v>
      </c>
      <c r="R709">
        <v>49</v>
      </c>
      <c r="S709">
        <v>33.9</v>
      </c>
      <c r="T709">
        <v>39.299999999999997</v>
      </c>
      <c r="U709">
        <v>71.599999999999994</v>
      </c>
      <c r="V709">
        <v>-10.5</v>
      </c>
      <c r="W709" cm="1">
        <f t="array" ref="W709">_xlfn.IFS(OR(X709="N/A",X709="NA"),0,OR(X709="R64",X709="R68"),1,X709="R32",2,X709="S16",3,X709="E8",4,X709="F4",5,X709="2ND",6,X709="Champions",7)</f>
        <v>0</v>
      </c>
      <c r="X709" t="s">
        <v>90</v>
      </c>
      <c r="Y709" t="s">
        <v>90</v>
      </c>
      <c r="Z709">
        <v>2018</v>
      </c>
    </row>
    <row r="710" spans="1:26" x14ac:dyDescent="0.3">
      <c r="A710" t="s">
        <v>250</v>
      </c>
      <c r="B710" t="s">
        <v>69</v>
      </c>
      <c r="C710">
        <v>31</v>
      </c>
      <c r="D710">
        <v>14</v>
      </c>
      <c r="E710" s="1">
        <f t="shared" si="11"/>
        <v>0.45161290322580644</v>
      </c>
      <c r="F710">
        <v>98.5</v>
      </c>
      <c r="G710">
        <v>104</v>
      </c>
      <c r="H710">
        <v>0.35010000000000002</v>
      </c>
      <c r="I710">
        <v>51.6</v>
      </c>
      <c r="J710">
        <v>50.1</v>
      </c>
      <c r="K710">
        <v>22.7</v>
      </c>
      <c r="L710">
        <v>21.5</v>
      </c>
      <c r="M710">
        <v>31</v>
      </c>
      <c r="N710">
        <v>32.1</v>
      </c>
      <c r="O710">
        <v>37.6</v>
      </c>
      <c r="P710">
        <v>41</v>
      </c>
      <c r="Q710">
        <v>46.8</v>
      </c>
      <c r="R710">
        <v>49.1</v>
      </c>
      <c r="S710">
        <v>40</v>
      </c>
      <c r="T710">
        <v>34.5</v>
      </c>
      <c r="U710">
        <v>67.099999999999994</v>
      </c>
      <c r="V710">
        <v>-12.3</v>
      </c>
      <c r="W710" cm="1">
        <f t="array" ref="W710">_xlfn.IFS(OR(X710="N/A",X710="NA"),0,OR(X710="R64",X710="R68"),1,X710="R32",2,X710="S16",3,X710="E8",4,X710="F4",5,X710="2ND",6,X710="Champions",7)</f>
        <v>0</v>
      </c>
      <c r="X710" t="s">
        <v>90</v>
      </c>
      <c r="Y710" t="s">
        <v>90</v>
      </c>
      <c r="Z710">
        <v>2018</v>
      </c>
    </row>
    <row r="711" spans="1:26" x14ac:dyDescent="0.3">
      <c r="A711" t="s">
        <v>243</v>
      </c>
      <c r="B711" t="s">
        <v>69</v>
      </c>
      <c r="C711">
        <v>31</v>
      </c>
      <c r="D711">
        <v>6</v>
      </c>
      <c r="E711" s="1">
        <f t="shared" si="11"/>
        <v>0.19354838709677419</v>
      </c>
      <c r="F711">
        <v>98.5</v>
      </c>
      <c r="G711">
        <v>111.8</v>
      </c>
      <c r="H711">
        <v>0.18909999999999999</v>
      </c>
      <c r="I711">
        <v>52.7</v>
      </c>
      <c r="J711">
        <v>52.6</v>
      </c>
      <c r="K711">
        <v>21.7</v>
      </c>
      <c r="L711">
        <v>14.8</v>
      </c>
      <c r="M711">
        <v>22.6</v>
      </c>
      <c r="N711">
        <v>29.8</v>
      </c>
      <c r="O711">
        <v>35.799999999999997</v>
      </c>
      <c r="P711">
        <v>29.8</v>
      </c>
      <c r="Q711">
        <v>53</v>
      </c>
      <c r="R711">
        <v>50.8</v>
      </c>
      <c r="S711">
        <v>34.9</v>
      </c>
      <c r="T711">
        <v>36.9</v>
      </c>
      <c r="U711">
        <v>70.5</v>
      </c>
      <c r="V711">
        <v>-20.2</v>
      </c>
      <c r="W711" cm="1">
        <f t="array" ref="W711">_xlfn.IFS(OR(X711="N/A",X711="NA"),0,OR(X711="R64",X711="R68"),1,X711="R32",2,X711="S16",3,X711="E8",4,X711="F4",5,X711="2ND",6,X711="Champions",7)</f>
        <v>0</v>
      </c>
      <c r="X711" t="s">
        <v>90</v>
      </c>
      <c r="Y711" t="s">
        <v>90</v>
      </c>
      <c r="Z711">
        <v>2018</v>
      </c>
    </row>
    <row r="712" spans="1:26" x14ac:dyDescent="0.3">
      <c r="A712" t="s">
        <v>244</v>
      </c>
      <c r="B712" t="s">
        <v>69</v>
      </c>
      <c r="C712">
        <v>31</v>
      </c>
      <c r="D712">
        <v>11</v>
      </c>
      <c r="E712" s="1">
        <f t="shared" si="11"/>
        <v>0.35483870967741937</v>
      </c>
      <c r="F712">
        <v>102.7</v>
      </c>
      <c r="G712">
        <v>104.3</v>
      </c>
      <c r="H712">
        <v>0.45369999999999999</v>
      </c>
      <c r="I712">
        <v>52.3</v>
      </c>
      <c r="J712">
        <v>51.4</v>
      </c>
      <c r="K712">
        <v>20.9</v>
      </c>
      <c r="L712">
        <v>18.3</v>
      </c>
      <c r="M712">
        <v>26.6</v>
      </c>
      <c r="N712">
        <v>26.9</v>
      </c>
      <c r="O712">
        <v>44.1</v>
      </c>
      <c r="P712">
        <v>41.6</v>
      </c>
      <c r="Q712">
        <v>49.3</v>
      </c>
      <c r="R712">
        <v>49.9</v>
      </c>
      <c r="S712">
        <v>38.9</v>
      </c>
      <c r="T712">
        <v>35.4</v>
      </c>
      <c r="U712">
        <v>71.2</v>
      </c>
      <c r="V712">
        <v>-13.7</v>
      </c>
      <c r="W712" cm="1">
        <f t="array" ref="W712">_xlfn.IFS(OR(X712="N/A",X712="NA"),0,OR(X712="R64",X712="R68"),1,X712="R32",2,X712="S16",3,X712="E8",4,X712="F4",5,X712="2ND",6,X712="Champions",7)</f>
        <v>0</v>
      </c>
      <c r="X712" t="s">
        <v>90</v>
      </c>
      <c r="Y712" t="s">
        <v>90</v>
      </c>
      <c r="Z712">
        <v>2018</v>
      </c>
    </row>
    <row r="713" spans="1:26" x14ac:dyDescent="0.3">
      <c r="A713" t="s">
        <v>245</v>
      </c>
      <c r="B713" t="s">
        <v>69</v>
      </c>
      <c r="C713">
        <v>33</v>
      </c>
      <c r="D713">
        <v>19</v>
      </c>
      <c r="E713" s="1">
        <f t="shared" si="11"/>
        <v>0.5757575757575758</v>
      </c>
      <c r="F713">
        <v>107.8</v>
      </c>
      <c r="G713">
        <v>113.9</v>
      </c>
      <c r="H713">
        <v>0.34860000000000002</v>
      </c>
      <c r="I713">
        <v>50.8</v>
      </c>
      <c r="J713">
        <v>52.6</v>
      </c>
      <c r="K713">
        <v>15</v>
      </c>
      <c r="L713">
        <v>15.5</v>
      </c>
      <c r="M713">
        <v>30.9</v>
      </c>
      <c r="N713">
        <v>31</v>
      </c>
      <c r="O713">
        <v>38</v>
      </c>
      <c r="P713">
        <v>29.5</v>
      </c>
      <c r="Q713">
        <v>49.2</v>
      </c>
      <c r="R713">
        <v>50.2</v>
      </c>
      <c r="S713">
        <v>35.799999999999997</v>
      </c>
      <c r="T713">
        <v>38</v>
      </c>
      <c r="U713">
        <v>74.7</v>
      </c>
      <c r="V713">
        <v>-8.1999999999999993</v>
      </c>
      <c r="W713" cm="1">
        <f t="array" ref="W713">_xlfn.IFS(OR(X713="N/A",X713="NA"),0,OR(X713="R64",X713="R68"),1,X713="R32",2,X713="S16",3,X713="E8",4,X713="F4",5,X713="2ND",6,X713="Champions",7)</f>
        <v>0</v>
      </c>
      <c r="X713" t="s">
        <v>90</v>
      </c>
      <c r="Y713" t="s">
        <v>90</v>
      </c>
      <c r="Z713">
        <v>2018</v>
      </c>
    </row>
    <row r="714" spans="1:26" x14ac:dyDescent="0.3">
      <c r="A714" t="s">
        <v>246</v>
      </c>
      <c r="B714" t="s">
        <v>69</v>
      </c>
      <c r="C714">
        <v>33</v>
      </c>
      <c r="D714">
        <v>12</v>
      </c>
      <c r="E714" s="1">
        <f t="shared" si="11"/>
        <v>0.36363636363636365</v>
      </c>
      <c r="F714">
        <v>100.8</v>
      </c>
      <c r="G714">
        <v>111</v>
      </c>
      <c r="H714">
        <v>0.2485</v>
      </c>
      <c r="I714">
        <v>50.3</v>
      </c>
      <c r="J714">
        <v>53.6</v>
      </c>
      <c r="K714">
        <v>19.399999999999999</v>
      </c>
      <c r="L714">
        <v>16.3</v>
      </c>
      <c r="M714">
        <v>27.8</v>
      </c>
      <c r="N714">
        <v>28.5</v>
      </c>
      <c r="O714">
        <v>37</v>
      </c>
      <c r="P714">
        <v>30.1</v>
      </c>
      <c r="Q714">
        <v>49.8</v>
      </c>
      <c r="R714">
        <v>50.2</v>
      </c>
      <c r="S714">
        <v>33.9</v>
      </c>
      <c r="T714">
        <v>39.6</v>
      </c>
      <c r="U714">
        <v>67.7</v>
      </c>
      <c r="V714">
        <v>-16.3</v>
      </c>
      <c r="W714" cm="1">
        <f t="array" ref="W714">_xlfn.IFS(OR(X714="N/A",X714="NA"),0,OR(X714="R64",X714="R68"),1,X714="R32",2,X714="S16",3,X714="E8",4,X714="F4",5,X714="2ND",6,X714="Champions",7)</f>
        <v>0</v>
      </c>
      <c r="X714" t="s">
        <v>90</v>
      </c>
      <c r="Y714" t="s">
        <v>90</v>
      </c>
      <c r="Z714">
        <v>2018</v>
      </c>
    </row>
    <row r="715" spans="1:26" x14ac:dyDescent="0.3">
      <c r="A715" t="s">
        <v>247</v>
      </c>
      <c r="B715" t="s">
        <v>69</v>
      </c>
      <c r="C715">
        <v>32</v>
      </c>
      <c r="D715">
        <v>22</v>
      </c>
      <c r="E715" s="1">
        <f t="shared" si="11"/>
        <v>0.6875</v>
      </c>
      <c r="F715">
        <v>107.8</v>
      </c>
      <c r="G715">
        <v>106.8</v>
      </c>
      <c r="H715">
        <v>0.52700000000000002</v>
      </c>
      <c r="I715">
        <v>52.6</v>
      </c>
      <c r="J715">
        <v>52.8</v>
      </c>
      <c r="K715">
        <v>17.600000000000001</v>
      </c>
      <c r="L715">
        <v>20.5</v>
      </c>
      <c r="M715">
        <v>33.5</v>
      </c>
      <c r="N715">
        <v>28.6</v>
      </c>
      <c r="O715">
        <v>42.1</v>
      </c>
      <c r="P715">
        <v>36.799999999999997</v>
      </c>
      <c r="Q715">
        <v>52</v>
      </c>
      <c r="R715">
        <v>50.5</v>
      </c>
      <c r="S715">
        <v>35.799999999999997</v>
      </c>
      <c r="T715">
        <v>37.1</v>
      </c>
      <c r="U715">
        <v>74.900000000000006</v>
      </c>
      <c r="V715">
        <v>-3.4</v>
      </c>
      <c r="W715" cm="1">
        <f t="array" ref="W715">_xlfn.IFS(OR(X715="N/A",X715="NA"),0,OR(X715="R64",X715="R68"),1,X715="R32",2,X715="S16",3,X715="E8",4,X715="F4",5,X715="2ND",6,X715="Champions",7)</f>
        <v>0</v>
      </c>
      <c r="X715" t="s">
        <v>90</v>
      </c>
      <c r="Y715" t="s">
        <v>90</v>
      </c>
      <c r="Z715">
        <v>2018</v>
      </c>
    </row>
    <row r="716" spans="1:26" x14ac:dyDescent="0.3">
      <c r="A716" t="s">
        <v>248</v>
      </c>
      <c r="B716" t="s">
        <v>69</v>
      </c>
      <c r="C716">
        <v>32</v>
      </c>
      <c r="D716">
        <v>14</v>
      </c>
      <c r="E716" s="1">
        <f t="shared" si="11"/>
        <v>0.4375</v>
      </c>
      <c r="F716">
        <v>94.5</v>
      </c>
      <c r="G716">
        <v>99.3</v>
      </c>
      <c r="H716">
        <v>0.36249999999999999</v>
      </c>
      <c r="I716">
        <v>49.2</v>
      </c>
      <c r="J716">
        <v>48.4</v>
      </c>
      <c r="K716">
        <v>19.600000000000001</v>
      </c>
      <c r="L716">
        <v>21.3</v>
      </c>
      <c r="M716">
        <v>27.1</v>
      </c>
      <c r="N716">
        <v>28.9</v>
      </c>
      <c r="O716">
        <v>27.3</v>
      </c>
      <c r="P716">
        <v>42.3</v>
      </c>
      <c r="Q716">
        <v>48.1</v>
      </c>
      <c r="R716">
        <v>47.8</v>
      </c>
      <c r="S716">
        <v>33.700000000000003</v>
      </c>
      <c r="T716">
        <v>32.9</v>
      </c>
      <c r="U716">
        <v>63.9</v>
      </c>
      <c r="V716">
        <v>-13</v>
      </c>
      <c r="W716" cm="1">
        <f t="array" ref="W716">_xlfn.IFS(OR(X716="N/A",X716="NA"),0,OR(X716="R64",X716="R68"),1,X716="R32",2,X716="S16",3,X716="E8",4,X716="F4",5,X716="2ND",6,X716="Champions",7)</f>
        <v>0</v>
      </c>
      <c r="X716" t="s">
        <v>90</v>
      </c>
      <c r="Y716" t="s">
        <v>90</v>
      </c>
      <c r="Z716">
        <v>2018</v>
      </c>
    </row>
    <row r="717" spans="1:26" x14ac:dyDescent="0.3">
      <c r="A717" t="s">
        <v>249</v>
      </c>
      <c r="B717" t="s">
        <v>69</v>
      </c>
      <c r="C717">
        <v>32</v>
      </c>
      <c r="D717">
        <v>8</v>
      </c>
      <c r="E717" s="1">
        <f t="shared" si="11"/>
        <v>0.25</v>
      </c>
      <c r="F717">
        <v>96.1</v>
      </c>
      <c r="G717">
        <v>107.8</v>
      </c>
      <c r="H717">
        <v>0.20899999999999999</v>
      </c>
      <c r="I717">
        <v>48.2</v>
      </c>
      <c r="J717">
        <v>50.9</v>
      </c>
      <c r="K717">
        <v>21.7</v>
      </c>
      <c r="L717">
        <v>15.6</v>
      </c>
      <c r="M717">
        <v>31.4</v>
      </c>
      <c r="N717">
        <v>29</v>
      </c>
      <c r="O717">
        <v>36.4</v>
      </c>
      <c r="P717">
        <v>42.1</v>
      </c>
      <c r="Q717">
        <v>44.7</v>
      </c>
      <c r="R717">
        <v>50.1</v>
      </c>
      <c r="S717">
        <v>36.700000000000003</v>
      </c>
      <c r="T717">
        <v>34.9</v>
      </c>
      <c r="U717">
        <v>67.3</v>
      </c>
      <c r="V717">
        <v>-18.600000000000001</v>
      </c>
      <c r="W717" cm="1">
        <f t="array" ref="W717">_xlfn.IFS(OR(X717="N/A",X717="NA"),0,OR(X717="R64",X717="R68"),1,X717="R32",2,X717="S16",3,X717="E8",4,X717="F4",5,X717="2ND",6,X717="Champions",7)</f>
        <v>0</v>
      </c>
      <c r="X717" t="s">
        <v>90</v>
      </c>
      <c r="Y717" t="s">
        <v>90</v>
      </c>
      <c r="Z717">
        <v>2018</v>
      </c>
    </row>
    <row r="718" spans="1:26" x14ac:dyDescent="0.3">
      <c r="A718" t="s">
        <v>240</v>
      </c>
      <c r="B718" t="s">
        <v>69</v>
      </c>
      <c r="C718">
        <v>32</v>
      </c>
      <c r="D718">
        <v>15</v>
      </c>
      <c r="E718" s="1">
        <f t="shared" si="11"/>
        <v>0.46875</v>
      </c>
      <c r="F718">
        <v>101.1</v>
      </c>
      <c r="G718">
        <v>111</v>
      </c>
      <c r="H718">
        <v>0.25390000000000001</v>
      </c>
      <c r="I718">
        <v>50.5</v>
      </c>
      <c r="J718">
        <v>53.6</v>
      </c>
      <c r="K718">
        <v>18.600000000000001</v>
      </c>
      <c r="L718">
        <v>20.5</v>
      </c>
      <c r="M718">
        <v>27</v>
      </c>
      <c r="N718">
        <v>31.9</v>
      </c>
      <c r="O718">
        <v>31.4</v>
      </c>
      <c r="P718">
        <v>36.9</v>
      </c>
      <c r="Q718">
        <v>52</v>
      </c>
      <c r="R718">
        <v>53.3</v>
      </c>
      <c r="S718">
        <v>32.4</v>
      </c>
      <c r="T718">
        <v>36</v>
      </c>
      <c r="U718">
        <v>69.2</v>
      </c>
      <c r="V718">
        <v>-11.7</v>
      </c>
      <c r="W718" cm="1">
        <f t="array" ref="W718">_xlfn.IFS(OR(X718="N/A",X718="NA"),0,OR(X718="R64",X718="R68"),1,X718="R32",2,X718="S16",3,X718="E8",4,X718="F4",5,X718="2ND",6,X718="Champions",7)</f>
        <v>0</v>
      </c>
      <c r="X718" t="s">
        <v>90</v>
      </c>
      <c r="Y718" t="s">
        <v>90</v>
      </c>
      <c r="Z718">
        <v>2019</v>
      </c>
    </row>
    <row r="719" spans="1:26" x14ac:dyDescent="0.3">
      <c r="A719" t="s">
        <v>241</v>
      </c>
      <c r="B719" t="s">
        <v>69</v>
      </c>
      <c r="C719">
        <v>31</v>
      </c>
      <c r="D719">
        <v>9</v>
      </c>
      <c r="E719" s="1">
        <f t="shared" si="11"/>
        <v>0.29032258064516131</v>
      </c>
      <c r="F719">
        <v>95.9</v>
      </c>
      <c r="G719">
        <v>105.1</v>
      </c>
      <c r="H719">
        <v>0.2571</v>
      </c>
      <c r="I719">
        <v>50.7</v>
      </c>
      <c r="J719">
        <v>52.6</v>
      </c>
      <c r="K719">
        <v>20.7</v>
      </c>
      <c r="L719">
        <v>21.4</v>
      </c>
      <c r="M719">
        <v>26.1</v>
      </c>
      <c r="N719">
        <v>28.9</v>
      </c>
      <c r="O719">
        <v>23.9</v>
      </c>
      <c r="P719">
        <v>40.1</v>
      </c>
      <c r="Q719">
        <v>49.5</v>
      </c>
      <c r="R719">
        <v>51.2</v>
      </c>
      <c r="S719">
        <v>35</v>
      </c>
      <c r="T719">
        <v>36.6</v>
      </c>
      <c r="U719">
        <v>69.3</v>
      </c>
      <c r="V719">
        <v>-17.8</v>
      </c>
      <c r="W719" cm="1">
        <f t="array" ref="W719">_xlfn.IFS(OR(X719="N/A",X719="NA"),0,OR(X719="R64",X719="R68"),1,X719="R32",2,X719="S16",3,X719="E8",4,X719="F4",5,X719="2ND",6,X719="Champions",7)</f>
        <v>0</v>
      </c>
      <c r="X719" t="s">
        <v>90</v>
      </c>
      <c r="Y719" t="s">
        <v>90</v>
      </c>
      <c r="Z719">
        <v>2019</v>
      </c>
    </row>
    <row r="720" spans="1:26" x14ac:dyDescent="0.3">
      <c r="A720" t="s">
        <v>250</v>
      </c>
      <c r="B720" t="s">
        <v>69</v>
      </c>
      <c r="C720">
        <v>32</v>
      </c>
      <c r="D720">
        <v>11</v>
      </c>
      <c r="E720" s="1">
        <f t="shared" si="11"/>
        <v>0.34375</v>
      </c>
      <c r="F720">
        <v>89.2</v>
      </c>
      <c r="G720">
        <v>103.8</v>
      </c>
      <c r="H720">
        <v>0.14960000000000001</v>
      </c>
      <c r="I720">
        <v>47.4</v>
      </c>
      <c r="J720">
        <v>51</v>
      </c>
      <c r="K720">
        <v>24.1</v>
      </c>
      <c r="L720">
        <v>23.5</v>
      </c>
      <c r="M720">
        <v>30.6</v>
      </c>
      <c r="N720">
        <v>30.3</v>
      </c>
      <c r="O720">
        <v>33.299999999999997</v>
      </c>
      <c r="P720">
        <v>45.6</v>
      </c>
      <c r="Q720">
        <v>45.6</v>
      </c>
      <c r="R720">
        <v>48.6</v>
      </c>
      <c r="S720">
        <v>33.200000000000003</v>
      </c>
      <c r="T720">
        <v>36.1</v>
      </c>
      <c r="U720">
        <v>63.3</v>
      </c>
      <c r="V720">
        <v>-17.399999999999999</v>
      </c>
      <c r="W720" cm="1">
        <f t="array" ref="W720">_xlfn.IFS(OR(X720="N/A",X720="NA"),0,OR(X720="R64",X720="R68"),1,X720="R32",2,X720="S16",3,X720="E8",4,X720="F4",5,X720="2ND",6,X720="Champions",7)</f>
        <v>0</v>
      </c>
      <c r="X720" t="s">
        <v>90</v>
      </c>
      <c r="Y720" t="s">
        <v>90</v>
      </c>
      <c r="Z720">
        <v>2019</v>
      </c>
    </row>
    <row r="721" spans="1:26" x14ac:dyDescent="0.3">
      <c r="A721" t="s">
        <v>243</v>
      </c>
      <c r="B721" t="s">
        <v>69</v>
      </c>
      <c r="C721">
        <v>31</v>
      </c>
      <c r="D721">
        <v>12</v>
      </c>
      <c r="E721" s="1">
        <f t="shared" si="11"/>
        <v>0.38709677419354838</v>
      </c>
      <c r="F721">
        <v>100.4</v>
      </c>
      <c r="G721">
        <v>107.1</v>
      </c>
      <c r="H721">
        <v>0.32179999999999997</v>
      </c>
      <c r="I721">
        <v>52.3</v>
      </c>
      <c r="J721">
        <v>53</v>
      </c>
      <c r="K721">
        <v>18.899999999999999</v>
      </c>
      <c r="L721">
        <v>19.3</v>
      </c>
      <c r="M721">
        <v>24.3</v>
      </c>
      <c r="N721">
        <v>26.6</v>
      </c>
      <c r="O721">
        <v>32.200000000000003</v>
      </c>
      <c r="P721">
        <v>35.9</v>
      </c>
      <c r="Q721">
        <v>50.8</v>
      </c>
      <c r="R721">
        <v>52.6</v>
      </c>
      <c r="S721">
        <v>36.299999999999997</v>
      </c>
      <c r="T721">
        <v>35.5</v>
      </c>
      <c r="U721">
        <v>65.900000000000006</v>
      </c>
      <c r="V721">
        <v>-15.1</v>
      </c>
      <c r="W721" cm="1">
        <f t="array" ref="W721">_xlfn.IFS(OR(X721="N/A",X721="NA"),0,OR(X721="R64",X721="R68"),1,X721="R32",2,X721="S16",3,X721="E8",4,X721="F4",5,X721="2ND",6,X721="Champions",7)</f>
        <v>0</v>
      </c>
      <c r="X721" t="s">
        <v>90</v>
      </c>
      <c r="Y721" t="s">
        <v>90</v>
      </c>
      <c r="Z721">
        <v>2019</v>
      </c>
    </row>
    <row r="722" spans="1:26" x14ac:dyDescent="0.3">
      <c r="A722" t="s">
        <v>244</v>
      </c>
      <c r="B722" t="s">
        <v>69</v>
      </c>
      <c r="C722">
        <v>35</v>
      </c>
      <c r="D722">
        <v>14</v>
      </c>
      <c r="E722" s="1">
        <f t="shared" si="11"/>
        <v>0.4</v>
      </c>
      <c r="F722">
        <v>92.7</v>
      </c>
      <c r="G722">
        <v>102.3</v>
      </c>
      <c r="H722">
        <v>0.2422</v>
      </c>
      <c r="I722">
        <v>45.8</v>
      </c>
      <c r="J722">
        <v>51.1</v>
      </c>
      <c r="K722">
        <v>20.6</v>
      </c>
      <c r="L722">
        <v>21.2</v>
      </c>
      <c r="M722">
        <v>29.3</v>
      </c>
      <c r="N722">
        <v>28.5</v>
      </c>
      <c r="O722">
        <v>40.299999999999997</v>
      </c>
      <c r="P722">
        <v>43.2</v>
      </c>
      <c r="Q722">
        <v>46.4</v>
      </c>
      <c r="R722">
        <v>48.4</v>
      </c>
      <c r="S722">
        <v>29.7</v>
      </c>
      <c r="T722">
        <v>35.799999999999997</v>
      </c>
      <c r="U722">
        <v>68.900000000000006</v>
      </c>
      <c r="V722">
        <v>-15.4</v>
      </c>
      <c r="W722" cm="1">
        <f t="array" ref="W722">_xlfn.IFS(OR(X722="N/A",X722="NA"),0,OR(X722="R64",X722="R68"),1,X722="R32",2,X722="S16",3,X722="E8",4,X722="F4",5,X722="2ND",6,X722="Champions",7)</f>
        <v>0</v>
      </c>
      <c r="X722" t="s">
        <v>90</v>
      </c>
      <c r="Y722" t="s">
        <v>90</v>
      </c>
      <c r="Z722">
        <v>2019</v>
      </c>
    </row>
    <row r="723" spans="1:26" x14ac:dyDescent="0.3">
      <c r="A723" t="s">
        <v>245</v>
      </c>
      <c r="B723" t="s">
        <v>69</v>
      </c>
      <c r="C723">
        <v>32</v>
      </c>
      <c r="D723">
        <v>13</v>
      </c>
      <c r="E723" s="1">
        <f t="shared" si="11"/>
        <v>0.40625</v>
      </c>
      <c r="F723">
        <v>101.2</v>
      </c>
      <c r="G723">
        <v>114.7</v>
      </c>
      <c r="H723">
        <v>0.19159999999999999</v>
      </c>
      <c r="I723">
        <v>49.2</v>
      </c>
      <c r="J723">
        <v>53.4</v>
      </c>
      <c r="K723">
        <v>17.3</v>
      </c>
      <c r="L723">
        <v>16.2</v>
      </c>
      <c r="M723">
        <v>27.1</v>
      </c>
      <c r="N723">
        <v>26.2</v>
      </c>
      <c r="O723">
        <v>33.299999999999997</v>
      </c>
      <c r="P723">
        <v>25.3</v>
      </c>
      <c r="Q723">
        <v>46.1</v>
      </c>
      <c r="R723">
        <v>51.3</v>
      </c>
      <c r="S723">
        <v>35.9</v>
      </c>
      <c r="T723">
        <v>38</v>
      </c>
      <c r="U723">
        <v>71.099999999999994</v>
      </c>
      <c r="V723">
        <v>-15.5</v>
      </c>
      <c r="W723" cm="1">
        <f t="array" ref="W723">_xlfn.IFS(OR(X723="N/A",X723="NA"),0,OR(X723="R64",X723="R68"),1,X723="R32",2,X723="S16",3,X723="E8",4,X723="F4",5,X723="2ND",6,X723="Champions",7)</f>
        <v>0</v>
      </c>
      <c r="X723" t="s">
        <v>90</v>
      </c>
      <c r="Y723" t="s">
        <v>90</v>
      </c>
      <c r="Z723">
        <v>2019</v>
      </c>
    </row>
    <row r="724" spans="1:26" x14ac:dyDescent="0.3">
      <c r="A724" t="s">
        <v>246</v>
      </c>
      <c r="B724" t="s">
        <v>69</v>
      </c>
      <c r="C724">
        <v>31</v>
      </c>
      <c r="D724">
        <v>16</v>
      </c>
      <c r="E724" s="1">
        <f t="shared" si="11"/>
        <v>0.5161290322580645</v>
      </c>
      <c r="F724">
        <v>104.7</v>
      </c>
      <c r="G724">
        <v>111.8</v>
      </c>
      <c r="H724">
        <v>0.31900000000000001</v>
      </c>
      <c r="I724">
        <v>52.8</v>
      </c>
      <c r="J724">
        <v>50.7</v>
      </c>
      <c r="K724">
        <v>19.399999999999999</v>
      </c>
      <c r="L724">
        <v>15.7</v>
      </c>
      <c r="M724">
        <v>29.8</v>
      </c>
      <c r="N724">
        <v>29.3</v>
      </c>
      <c r="O724">
        <v>37.299999999999997</v>
      </c>
      <c r="P724">
        <v>27</v>
      </c>
      <c r="Q724">
        <v>48.5</v>
      </c>
      <c r="R724">
        <v>50.1</v>
      </c>
      <c r="S724">
        <v>37.700000000000003</v>
      </c>
      <c r="T724">
        <v>34.5</v>
      </c>
      <c r="U724">
        <v>68.099999999999994</v>
      </c>
      <c r="V724">
        <v>-10.8</v>
      </c>
      <c r="W724" cm="1">
        <f t="array" ref="W724">_xlfn.IFS(OR(X724="N/A",X724="NA"),0,OR(X724="R64",X724="R68"),1,X724="R32",2,X724="S16",3,X724="E8",4,X724="F4",5,X724="2ND",6,X724="Champions",7)</f>
        <v>0</v>
      </c>
      <c r="X724" t="s">
        <v>90</v>
      </c>
      <c r="Y724" t="s">
        <v>90</v>
      </c>
      <c r="Z724">
        <v>2019</v>
      </c>
    </row>
    <row r="725" spans="1:26" x14ac:dyDescent="0.3">
      <c r="A725" t="s">
        <v>247</v>
      </c>
      <c r="B725" t="s">
        <v>69</v>
      </c>
      <c r="C725">
        <v>31</v>
      </c>
      <c r="D725">
        <v>16</v>
      </c>
      <c r="E725" s="1">
        <f t="shared" si="11"/>
        <v>0.5161290322580645</v>
      </c>
      <c r="F725">
        <v>100.2</v>
      </c>
      <c r="G725">
        <v>104.6</v>
      </c>
      <c r="H725">
        <v>0.37880000000000003</v>
      </c>
      <c r="I725">
        <v>50.6</v>
      </c>
      <c r="J725">
        <v>53.7</v>
      </c>
      <c r="K725">
        <v>18</v>
      </c>
      <c r="L725">
        <v>22.8</v>
      </c>
      <c r="M725">
        <v>30.8</v>
      </c>
      <c r="N725">
        <v>27.4</v>
      </c>
      <c r="O725">
        <v>39.9</v>
      </c>
      <c r="P725">
        <v>36</v>
      </c>
      <c r="Q725">
        <v>50.4</v>
      </c>
      <c r="R725">
        <v>53.6</v>
      </c>
      <c r="S725">
        <v>34</v>
      </c>
      <c r="T725">
        <v>35.9</v>
      </c>
      <c r="U725">
        <v>75.099999999999994</v>
      </c>
      <c r="V725">
        <v>-10.1</v>
      </c>
      <c r="W725" cm="1">
        <f t="array" ref="W725">_xlfn.IFS(OR(X725="N/A",X725="NA"),0,OR(X725="R64",X725="R68"),1,X725="R32",2,X725="S16",3,X725="E8",4,X725="F4",5,X725="2ND",6,X725="Champions",7)</f>
        <v>0</v>
      </c>
      <c r="X725" t="s">
        <v>90</v>
      </c>
      <c r="Y725" t="s">
        <v>90</v>
      </c>
      <c r="Z725">
        <v>2019</v>
      </c>
    </row>
    <row r="726" spans="1:26" x14ac:dyDescent="0.3">
      <c r="A726" t="s">
        <v>248</v>
      </c>
      <c r="B726" t="s">
        <v>69</v>
      </c>
      <c r="C726">
        <v>32</v>
      </c>
      <c r="D726">
        <v>10</v>
      </c>
      <c r="E726" s="1">
        <f t="shared" si="11"/>
        <v>0.3125</v>
      </c>
      <c r="F726">
        <v>94</v>
      </c>
      <c r="G726">
        <v>106.9</v>
      </c>
      <c r="H726">
        <v>0.18540000000000001</v>
      </c>
      <c r="I726">
        <v>48.7</v>
      </c>
      <c r="J726">
        <v>51.2</v>
      </c>
      <c r="K726">
        <v>23.3</v>
      </c>
      <c r="L726">
        <v>18.7</v>
      </c>
      <c r="M726">
        <v>29.9</v>
      </c>
      <c r="N726">
        <v>27.8</v>
      </c>
      <c r="O726">
        <v>34.799999999999997</v>
      </c>
      <c r="P726">
        <v>38.5</v>
      </c>
      <c r="Q726">
        <v>48.8</v>
      </c>
      <c r="R726">
        <v>46.7</v>
      </c>
      <c r="S726">
        <v>32.5</v>
      </c>
      <c r="T726">
        <v>38.6</v>
      </c>
      <c r="U726">
        <v>64.900000000000006</v>
      </c>
      <c r="V726">
        <v>-17.100000000000001</v>
      </c>
      <c r="W726" cm="1">
        <f t="array" ref="W726">_xlfn.IFS(OR(X726="N/A",X726="NA"),0,OR(X726="R64",X726="R68"),1,X726="R32",2,X726="S16",3,X726="E8",4,X726="F4",5,X726="2ND",6,X726="Champions",7)</f>
        <v>0</v>
      </c>
      <c r="X726" t="s">
        <v>90</v>
      </c>
      <c r="Y726" t="s">
        <v>90</v>
      </c>
      <c r="Z726">
        <v>2019</v>
      </c>
    </row>
    <row r="727" spans="1:26" x14ac:dyDescent="0.3">
      <c r="A727" t="s">
        <v>249</v>
      </c>
      <c r="B727" t="s">
        <v>69</v>
      </c>
      <c r="C727">
        <v>33</v>
      </c>
      <c r="D727">
        <v>17</v>
      </c>
      <c r="E727" s="1">
        <f t="shared" si="11"/>
        <v>0.51515151515151514</v>
      </c>
      <c r="F727">
        <v>100.3</v>
      </c>
      <c r="G727">
        <v>106.9</v>
      </c>
      <c r="H727">
        <v>0.32329999999999998</v>
      </c>
      <c r="I727">
        <v>51.5</v>
      </c>
      <c r="J727">
        <v>52.6</v>
      </c>
      <c r="K727">
        <v>15.6</v>
      </c>
      <c r="L727">
        <v>18</v>
      </c>
      <c r="M727">
        <v>23.6</v>
      </c>
      <c r="N727">
        <v>28.5</v>
      </c>
      <c r="O727">
        <v>24.7</v>
      </c>
      <c r="P727">
        <v>27.3</v>
      </c>
      <c r="Q727">
        <v>52.1</v>
      </c>
      <c r="R727">
        <v>51.9</v>
      </c>
      <c r="S727">
        <v>33.9</v>
      </c>
      <c r="T727">
        <v>36</v>
      </c>
      <c r="U727">
        <v>61.9</v>
      </c>
      <c r="V727">
        <v>-11.9</v>
      </c>
      <c r="W727" cm="1">
        <f t="array" ref="W727">_xlfn.IFS(OR(X727="N/A",X727="NA"),0,OR(X727="R64",X727="R68"),1,X727="R32",2,X727="S16",3,X727="E8",4,X727="F4",5,X727="2ND",6,X727="Champions",7)</f>
        <v>0</v>
      </c>
      <c r="X727" t="s">
        <v>90</v>
      </c>
      <c r="Y727" t="s">
        <v>90</v>
      </c>
      <c r="Z727">
        <v>2019</v>
      </c>
    </row>
    <row r="728" spans="1:26" x14ac:dyDescent="0.3">
      <c r="A728" t="s">
        <v>251</v>
      </c>
      <c r="B728" t="s">
        <v>57</v>
      </c>
      <c r="C728">
        <v>34</v>
      </c>
      <c r="D728">
        <v>20</v>
      </c>
      <c r="E728" s="1">
        <f t="shared" si="11"/>
        <v>0.58823529411764708</v>
      </c>
      <c r="F728">
        <v>103.4</v>
      </c>
      <c r="G728">
        <v>97.1</v>
      </c>
      <c r="H728">
        <v>0.67269999999999996</v>
      </c>
      <c r="I728">
        <v>49.4</v>
      </c>
      <c r="J728">
        <v>45.5</v>
      </c>
      <c r="K728">
        <v>18.8</v>
      </c>
      <c r="L728">
        <v>18.8</v>
      </c>
      <c r="M728">
        <v>33.299999999999997</v>
      </c>
      <c r="N728">
        <v>31.5</v>
      </c>
      <c r="O728">
        <v>31.3</v>
      </c>
      <c r="P728">
        <v>41</v>
      </c>
      <c r="Q728">
        <v>46.7</v>
      </c>
      <c r="R728">
        <v>43.8</v>
      </c>
      <c r="S728">
        <v>34.9</v>
      </c>
      <c r="T728">
        <v>33</v>
      </c>
      <c r="U728">
        <v>64.099999999999994</v>
      </c>
      <c r="V728">
        <v>-6.9</v>
      </c>
      <c r="W728" cm="1">
        <f t="array" ref="W728">_xlfn.IFS(OR(X728="N/A",X728="NA"),0,OR(X728="R64",X728="R68"),1,X728="R32",2,X728="S16",3,X728="E8",4,X728="F4",5,X728="2ND",6,X728="Champions",7)</f>
        <v>0</v>
      </c>
      <c r="X728" t="s">
        <v>90</v>
      </c>
      <c r="Y728" t="s">
        <v>90</v>
      </c>
      <c r="Z728">
        <v>2015</v>
      </c>
    </row>
    <row r="729" spans="1:26" x14ac:dyDescent="0.3">
      <c r="A729" t="s">
        <v>252</v>
      </c>
      <c r="B729" t="s">
        <v>57</v>
      </c>
      <c r="C729">
        <v>29</v>
      </c>
      <c r="D729">
        <v>6</v>
      </c>
      <c r="E729" s="1">
        <f t="shared" si="11"/>
        <v>0.20689655172413793</v>
      </c>
      <c r="F729">
        <v>98.9</v>
      </c>
      <c r="G729">
        <v>106.7</v>
      </c>
      <c r="H729">
        <v>0.29420000000000002</v>
      </c>
      <c r="I729">
        <v>48.9</v>
      </c>
      <c r="J729">
        <v>52.4</v>
      </c>
      <c r="K729">
        <v>21.6</v>
      </c>
      <c r="L729">
        <v>18.2</v>
      </c>
      <c r="M729">
        <v>29.9</v>
      </c>
      <c r="N729">
        <v>28.6</v>
      </c>
      <c r="O729">
        <v>35.4</v>
      </c>
      <c r="P729">
        <v>42.1</v>
      </c>
      <c r="Q729">
        <v>47.7</v>
      </c>
      <c r="R729">
        <v>51.8</v>
      </c>
      <c r="S729">
        <v>33.6</v>
      </c>
      <c r="T729">
        <v>35.700000000000003</v>
      </c>
      <c r="U729">
        <v>64</v>
      </c>
      <c r="V729">
        <v>-15.8</v>
      </c>
      <c r="W729" cm="1">
        <f t="array" ref="W729">_xlfn.IFS(OR(X729="N/A",X729="NA"),0,OR(X729="R64",X729="R68"),1,X729="R32",2,X729="S16",3,X729="E8",4,X729="F4",5,X729="2ND",6,X729="Champions",7)</f>
        <v>0</v>
      </c>
      <c r="X729" t="s">
        <v>90</v>
      </c>
      <c r="Y729" t="s">
        <v>90</v>
      </c>
      <c r="Z729">
        <v>2015</v>
      </c>
    </row>
    <row r="730" spans="1:26" x14ac:dyDescent="0.3">
      <c r="A730" t="s">
        <v>253</v>
      </c>
      <c r="B730" t="s">
        <v>57</v>
      </c>
      <c r="C730">
        <v>32</v>
      </c>
      <c r="D730">
        <v>21</v>
      </c>
      <c r="E730" s="1">
        <f t="shared" si="11"/>
        <v>0.65625</v>
      </c>
      <c r="F730">
        <v>104.2</v>
      </c>
      <c r="G730">
        <v>100.1</v>
      </c>
      <c r="H730">
        <v>0.61399999999999999</v>
      </c>
      <c r="I730">
        <v>49.3</v>
      </c>
      <c r="J730">
        <v>47.2</v>
      </c>
      <c r="K730">
        <v>18.399999999999999</v>
      </c>
      <c r="L730">
        <v>19.5</v>
      </c>
      <c r="M730">
        <v>31.6</v>
      </c>
      <c r="N730">
        <v>29.5</v>
      </c>
      <c r="O730">
        <v>32.4</v>
      </c>
      <c r="P730">
        <v>32.200000000000003</v>
      </c>
      <c r="Q730">
        <v>48.6</v>
      </c>
      <c r="R730">
        <v>46.1</v>
      </c>
      <c r="S730">
        <v>33.799999999999997</v>
      </c>
      <c r="T730">
        <v>32.6</v>
      </c>
      <c r="U730">
        <v>63.8</v>
      </c>
      <c r="V730">
        <v>-4.2</v>
      </c>
      <c r="W730" cm="1">
        <f t="array" ref="W730">_xlfn.IFS(OR(X730="N/A",X730="NA"),0,OR(X730="R64",X730="R68"),1,X730="R32",2,X730="S16",3,X730="E8",4,X730="F4",5,X730="2ND",6,X730="Champions",7)</f>
        <v>0</v>
      </c>
      <c r="X730" t="s">
        <v>90</v>
      </c>
      <c r="Y730" t="s">
        <v>90</v>
      </c>
      <c r="Z730">
        <v>2015</v>
      </c>
    </row>
    <row r="731" spans="1:26" x14ac:dyDescent="0.3">
      <c r="A731" t="s">
        <v>254</v>
      </c>
      <c r="B731" t="s">
        <v>57</v>
      </c>
      <c r="C731">
        <v>29</v>
      </c>
      <c r="D731">
        <v>20</v>
      </c>
      <c r="E731" s="1">
        <f t="shared" si="11"/>
        <v>0.68965517241379315</v>
      </c>
      <c r="F731">
        <v>113.2</v>
      </c>
      <c r="G731">
        <v>105.1</v>
      </c>
      <c r="H731">
        <v>0.70020000000000004</v>
      </c>
      <c r="I731">
        <v>54.5</v>
      </c>
      <c r="J731">
        <v>51.7</v>
      </c>
      <c r="K731">
        <v>15.1</v>
      </c>
      <c r="L731">
        <v>19.7</v>
      </c>
      <c r="M731">
        <v>28.8</v>
      </c>
      <c r="N731">
        <v>30.9</v>
      </c>
      <c r="O731">
        <v>36.6</v>
      </c>
      <c r="P731">
        <v>36.200000000000003</v>
      </c>
      <c r="Q731">
        <v>53.7</v>
      </c>
      <c r="R731">
        <v>51.7</v>
      </c>
      <c r="S731">
        <v>36.9</v>
      </c>
      <c r="T731">
        <v>34.4</v>
      </c>
      <c r="U731">
        <v>64.599999999999994</v>
      </c>
      <c r="V731">
        <v>-2.6</v>
      </c>
      <c r="W731" cm="1">
        <f t="array" ref="W731">_xlfn.IFS(OR(X731="N/A",X731="NA"),0,OR(X731="R64",X731="R68"),1,X731="R32",2,X731="S16",3,X731="E8",4,X731="F4",5,X731="2ND",6,X731="Champions",7)</f>
        <v>0</v>
      </c>
      <c r="X731" t="s">
        <v>90</v>
      </c>
      <c r="Y731" t="s">
        <v>90</v>
      </c>
      <c r="Z731">
        <v>2015</v>
      </c>
    </row>
    <row r="732" spans="1:26" x14ac:dyDescent="0.3">
      <c r="A732" t="s">
        <v>255</v>
      </c>
      <c r="B732" t="s">
        <v>57</v>
      </c>
      <c r="C732">
        <v>31</v>
      </c>
      <c r="D732">
        <v>17</v>
      </c>
      <c r="E732" s="1">
        <f t="shared" si="11"/>
        <v>0.54838709677419351</v>
      </c>
      <c r="F732">
        <v>99.4</v>
      </c>
      <c r="G732">
        <v>97.4</v>
      </c>
      <c r="H732">
        <v>0.55910000000000004</v>
      </c>
      <c r="I732">
        <v>46.9</v>
      </c>
      <c r="J732">
        <v>46.2</v>
      </c>
      <c r="K732">
        <v>17.8</v>
      </c>
      <c r="L732">
        <v>21.5</v>
      </c>
      <c r="M732">
        <v>30.2</v>
      </c>
      <c r="N732">
        <v>33.700000000000003</v>
      </c>
      <c r="O732">
        <v>41.5</v>
      </c>
      <c r="P732">
        <v>42.5</v>
      </c>
      <c r="Q732">
        <v>46.7</v>
      </c>
      <c r="R732">
        <v>44</v>
      </c>
      <c r="S732">
        <v>31.4</v>
      </c>
      <c r="T732">
        <v>33.1</v>
      </c>
      <c r="U732">
        <v>66.3</v>
      </c>
      <c r="V732">
        <v>-6.3</v>
      </c>
      <c r="W732" cm="1">
        <f t="array" ref="W732">_xlfn.IFS(OR(X732="N/A",X732="NA"),0,OR(X732="R64",X732="R68"),1,X732="R32",2,X732="S16",3,X732="E8",4,X732="F4",5,X732="2ND",6,X732="Champions",7)</f>
        <v>0</v>
      </c>
      <c r="X732" t="s">
        <v>90</v>
      </c>
      <c r="Y732" t="s">
        <v>90</v>
      </c>
      <c r="Z732">
        <v>2015</v>
      </c>
    </row>
    <row r="733" spans="1:26" x14ac:dyDescent="0.3">
      <c r="A733" t="s">
        <v>256</v>
      </c>
      <c r="B733" t="s">
        <v>57</v>
      </c>
      <c r="C733">
        <v>34</v>
      </c>
      <c r="D733">
        <v>22</v>
      </c>
      <c r="E733" s="1">
        <f t="shared" si="11"/>
        <v>0.6470588235294118</v>
      </c>
      <c r="F733">
        <v>105.3</v>
      </c>
      <c r="G733">
        <v>101.4</v>
      </c>
      <c r="H733">
        <v>0.6069</v>
      </c>
      <c r="I733">
        <v>49.8</v>
      </c>
      <c r="J733">
        <v>45.8</v>
      </c>
      <c r="K733">
        <v>17.8</v>
      </c>
      <c r="L733">
        <v>18.2</v>
      </c>
      <c r="M733">
        <v>33.6</v>
      </c>
      <c r="N733">
        <v>32.700000000000003</v>
      </c>
      <c r="O733">
        <v>37.1</v>
      </c>
      <c r="P733">
        <v>39.5</v>
      </c>
      <c r="Q733">
        <v>46.7</v>
      </c>
      <c r="R733">
        <v>44.8</v>
      </c>
      <c r="S733">
        <v>36.6</v>
      </c>
      <c r="T733">
        <v>32.1</v>
      </c>
      <c r="U733">
        <v>62</v>
      </c>
      <c r="V733">
        <v>-4.7</v>
      </c>
      <c r="W733" cm="1">
        <f t="array" ref="W733">_xlfn.IFS(OR(X733="N/A",X733="NA"),0,OR(X733="R64",X733="R68"),1,X733="R32",2,X733="S16",3,X733="E8",4,X733="F4",5,X733="2ND",6,X733="Champions",7)</f>
        <v>0</v>
      </c>
      <c r="X733" t="s">
        <v>90</v>
      </c>
      <c r="Y733" t="s">
        <v>90</v>
      </c>
      <c r="Z733">
        <v>2015</v>
      </c>
    </row>
    <row r="734" spans="1:26" x14ac:dyDescent="0.3">
      <c r="A734" t="s">
        <v>257</v>
      </c>
      <c r="B734" t="s">
        <v>57</v>
      </c>
      <c r="C734">
        <v>31</v>
      </c>
      <c r="D734">
        <v>12</v>
      </c>
      <c r="E734" s="1">
        <f t="shared" si="11"/>
        <v>0.38709677419354838</v>
      </c>
      <c r="F734">
        <v>99.1</v>
      </c>
      <c r="G734">
        <v>105</v>
      </c>
      <c r="H734">
        <v>0.3397</v>
      </c>
      <c r="I734">
        <v>49.4</v>
      </c>
      <c r="J734">
        <v>53.1</v>
      </c>
      <c r="K734">
        <v>19.399999999999999</v>
      </c>
      <c r="L734">
        <v>20.6</v>
      </c>
      <c r="M734">
        <v>25.9</v>
      </c>
      <c r="N734">
        <v>29.6</v>
      </c>
      <c r="O734">
        <v>38.700000000000003</v>
      </c>
      <c r="P734">
        <v>42.5</v>
      </c>
      <c r="Q734">
        <v>48.3</v>
      </c>
      <c r="R734">
        <v>53.7</v>
      </c>
      <c r="S734">
        <v>34.4</v>
      </c>
      <c r="T734">
        <v>34.9</v>
      </c>
      <c r="U734">
        <v>65.400000000000006</v>
      </c>
      <c r="V734">
        <v>-12.2</v>
      </c>
      <c r="W734" cm="1">
        <f t="array" ref="W734">_xlfn.IFS(OR(X734="N/A",X734="NA"),0,OR(X734="R64",X734="R68"),1,X734="R32",2,X734="S16",3,X734="E8",4,X734="F4",5,X734="2ND",6,X734="Champions",7)</f>
        <v>0</v>
      </c>
      <c r="X734" t="s">
        <v>90</v>
      </c>
      <c r="Y734" t="s">
        <v>90</v>
      </c>
      <c r="Z734">
        <v>2015</v>
      </c>
    </row>
    <row r="735" spans="1:26" x14ac:dyDescent="0.3">
      <c r="A735" t="s">
        <v>258</v>
      </c>
      <c r="B735" t="s">
        <v>57</v>
      </c>
      <c r="C735">
        <v>29</v>
      </c>
      <c r="D735">
        <v>13</v>
      </c>
      <c r="E735" s="1">
        <f t="shared" si="11"/>
        <v>0.44827586206896552</v>
      </c>
      <c r="F735">
        <v>100.1</v>
      </c>
      <c r="G735">
        <v>103.3</v>
      </c>
      <c r="H735">
        <v>0.41120000000000001</v>
      </c>
      <c r="I735">
        <v>47.6</v>
      </c>
      <c r="J735">
        <v>51.8</v>
      </c>
      <c r="K735">
        <v>21.7</v>
      </c>
      <c r="L735">
        <v>21.4</v>
      </c>
      <c r="M735">
        <v>36.4</v>
      </c>
      <c r="N735">
        <v>31.1</v>
      </c>
      <c r="O735">
        <v>47.1</v>
      </c>
      <c r="P735">
        <v>40.9</v>
      </c>
      <c r="Q735">
        <v>47.2</v>
      </c>
      <c r="R735">
        <v>52.5</v>
      </c>
      <c r="S735">
        <v>32.200000000000003</v>
      </c>
      <c r="T735">
        <v>33.9</v>
      </c>
      <c r="U735">
        <v>62.8</v>
      </c>
      <c r="V735">
        <v>-9</v>
      </c>
      <c r="W735" cm="1">
        <f t="array" ref="W735">_xlfn.IFS(OR(X735="N/A",X735="NA"),0,OR(X735="R64",X735="R68"),1,X735="R32",2,X735="S16",3,X735="E8",4,X735="F4",5,X735="2ND",6,X735="Champions",7)</f>
        <v>0</v>
      </c>
      <c r="X735" t="s">
        <v>90</v>
      </c>
      <c r="Y735" t="s">
        <v>90</v>
      </c>
      <c r="Z735">
        <v>2015</v>
      </c>
    </row>
    <row r="736" spans="1:26" x14ac:dyDescent="0.3">
      <c r="A736" t="s">
        <v>259</v>
      </c>
      <c r="B736" t="s">
        <v>57</v>
      </c>
      <c r="C736">
        <v>30</v>
      </c>
      <c r="D736">
        <v>10</v>
      </c>
      <c r="E736" s="1">
        <f t="shared" si="11"/>
        <v>0.33333333333333331</v>
      </c>
      <c r="F736">
        <v>100.8</v>
      </c>
      <c r="G736">
        <v>106.3</v>
      </c>
      <c r="H736">
        <v>0.35</v>
      </c>
      <c r="I736">
        <v>49.8</v>
      </c>
      <c r="J736">
        <v>49.3</v>
      </c>
      <c r="K736">
        <v>18.7</v>
      </c>
      <c r="L736">
        <v>15.4</v>
      </c>
      <c r="M736">
        <v>25.9</v>
      </c>
      <c r="N736">
        <v>30.5</v>
      </c>
      <c r="O736">
        <v>28.9</v>
      </c>
      <c r="P736">
        <v>32.200000000000003</v>
      </c>
      <c r="Q736">
        <v>49</v>
      </c>
      <c r="R736">
        <v>46.8</v>
      </c>
      <c r="S736">
        <v>34</v>
      </c>
      <c r="T736">
        <v>35.9</v>
      </c>
      <c r="U736">
        <v>66.8</v>
      </c>
      <c r="V736">
        <v>-13.5</v>
      </c>
      <c r="W736" cm="1">
        <f t="array" ref="W736">_xlfn.IFS(OR(X736="N/A",X736="NA"),0,OR(X736="R64",X736="R68"),1,X736="R32",2,X736="S16",3,X736="E8",4,X736="F4",5,X736="2ND",6,X736="Champions",7)</f>
        <v>0</v>
      </c>
      <c r="X736" t="s">
        <v>90</v>
      </c>
      <c r="Y736" t="s">
        <v>90</v>
      </c>
      <c r="Z736">
        <v>2015</v>
      </c>
    </row>
    <row r="737" spans="1:26" x14ac:dyDescent="0.3">
      <c r="A737" t="s">
        <v>260</v>
      </c>
      <c r="B737" t="s">
        <v>57</v>
      </c>
      <c r="C737">
        <v>33</v>
      </c>
      <c r="D737">
        <v>20</v>
      </c>
      <c r="E737" s="1">
        <f t="shared" si="11"/>
        <v>0.60606060606060608</v>
      </c>
      <c r="F737">
        <v>111.6</v>
      </c>
      <c r="G737">
        <v>103.8</v>
      </c>
      <c r="H737">
        <v>0.69689999999999996</v>
      </c>
      <c r="I737">
        <v>52.3</v>
      </c>
      <c r="J737">
        <v>49.7</v>
      </c>
      <c r="K737">
        <v>18.100000000000001</v>
      </c>
      <c r="L737">
        <v>16.2</v>
      </c>
      <c r="M737">
        <v>33.299999999999997</v>
      </c>
      <c r="N737">
        <v>29.4</v>
      </c>
      <c r="O737">
        <v>41.2</v>
      </c>
      <c r="P737">
        <v>31</v>
      </c>
      <c r="Q737">
        <v>51.2</v>
      </c>
      <c r="R737">
        <v>51</v>
      </c>
      <c r="S737">
        <v>36.6</v>
      </c>
      <c r="T737">
        <v>31.7</v>
      </c>
      <c r="U737">
        <v>67.2</v>
      </c>
      <c r="V737">
        <v>-5.0999999999999996</v>
      </c>
      <c r="W737" cm="1">
        <f t="array" ref="W737">_xlfn.IFS(OR(X737="N/A",X737="NA"),0,OR(X737="R64",X737="R68"),1,X737="R32",2,X737="S16",3,X737="E8",4,X737="F4",5,X737="2ND",6,X737="Champions",7)</f>
        <v>0</v>
      </c>
      <c r="X737" t="s">
        <v>90</v>
      </c>
      <c r="Y737" t="s">
        <v>90</v>
      </c>
      <c r="Z737">
        <v>2015</v>
      </c>
    </row>
    <row r="738" spans="1:26" x14ac:dyDescent="0.3">
      <c r="A738" t="s">
        <v>261</v>
      </c>
      <c r="B738" t="s">
        <v>57</v>
      </c>
      <c r="C738">
        <v>32</v>
      </c>
      <c r="D738">
        <v>18</v>
      </c>
      <c r="E738" s="1">
        <f t="shared" si="11"/>
        <v>0.5625</v>
      </c>
      <c r="F738">
        <v>105.7</v>
      </c>
      <c r="G738">
        <v>105.2</v>
      </c>
      <c r="H738">
        <v>0.51300000000000001</v>
      </c>
      <c r="I738">
        <v>51.3</v>
      </c>
      <c r="J738">
        <v>51.9</v>
      </c>
      <c r="K738">
        <v>18.100000000000001</v>
      </c>
      <c r="L738">
        <v>18.899999999999999</v>
      </c>
      <c r="M738">
        <v>29.8</v>
      </c>
      <c r="N738">
        <v>30.4</v>
      </c>
      <c r="O738">
        <v>42.7</v>
      </c>
      <c r="P738">
        <v>36.700000000000003</v>
      </c>
      <c r="Q738">
        <v>49.9</v>
      </c>
      <c r="R738">
        <v>51.1</v>
      </c>
      <c r="S738">
        <v>35.9</v>
      </c>
      <c r="T738">
        <v>35.4</v>
      </c>
      <c r="U738">
        <v>65.400000000000006</v>
      </c>
      <c r="V738">
        <v>-6</v>
      </c>
      <c r="W738" cm="1">
        <f t="array" ref="W738">_xlfn.IFS(OR(X738="N/A",X738="NA"),0,OR(X738="R64",X738="R68"),1,X738="R32",2,X738="S16",3,X738="E8",4,X738="F4",5,X738="2ND",6,X738="Champions",7)</f>
        <v>0</v>
      </c>
      <c r="X738" t="s">
        <v>90</v>
      </c>
      <c r="Y738" t="s">
        <v>90</v>
      </c>
      <c r="Z738">
        <v>2015</v>
      </c>
    </row>
    <row r="739" spans="1:26" x14ac:dyDescent="0.3">
      <c r="A739" t="s">
        <v>251</v>
      </c>
      <c r="B739" t="s">
        <v>57</v>
      </c>
      <c r="C739">
        <v>34</v>
      </c>
      <c r="D739">
        <v>25</v>
      </c>
      <c r="E739" s="1">
        <f t="shared" si="11"/>
        <v>0.73529411764705888</v>
      </c>
      <c r="F739">
        <v>109</v>
      </c>
      <c r="G739">
        <v>100.5</v>
      </c>
      <c r="H739">
        <v>0.71870000000000001</v>
      </c>
      <c r="I739">
        <v>52.7</v>
      </c>
      <c r="J739">
        <v>46.8</v>
      </c>
      <c r="K739">
        <v>15.5</v>
      </c>
      <c r="L739">
        <v>16.7</v>
      </c>
      <c r="M739">
        <v>28.5</v>
      </c>
      <c r="N739">
        <v>30.4</v>
      </c>
      <c r="O739">
        <v>30.6</v>
      </c>
      <c r="P739">
        <v>32.4</v>
      </c>
      <c r="Q739">
        <v>48</v>
      </c>
      <c r="R739">
        <v>47.5</v>
      </c>
      <c r="S739">
        <v>38.200000000000003</v>
      </c>
      <c r="T739">
        <v>30.1</v>
      </c>
      <c r="U739">
        <v>68.3</v>
      </c>
      <c r="V739">
        <v>-1.4</v>
      </c>
      <c r="W739" cm="1">
        <f t="array" ref="W739">_xlfn.IFS(OR(X739="N/A",X739="NA"),0,OR(X739="R64",X739="R68"),1,X739="R32",2,X739="S16",3,X739="E8",4,X739="F4",5,X739="2ND",6,X739="Champions",7)</f>
        <v>0</v>
      </c>
      <c r="X739" t="s">
        <v>90</v>
      </c>
      <c r="Y739" t="s">
        <v>90</v>
      </c>
      <c r="Z739">
        <v>2016</v>
      </c>
    </row>
    <row r="740" spans="1:26" x14ac:dyDescent="0.3">
      <c r="A740" t="s">
        <v>252</v>
      </c>
      <c r="B740" t="s">
        <v>57</v>
      </c>
      <c r="C740">
        <v>34</v>
      </c>
      <c r="D740">
        <v>20</v>
      </c>
      <c r="E740" s="1">
        <f t="shared" si="11"/>
        <v>0.58823529411764708</v>
      </c>
      <c r="F740">
        <v>102.1</v>
      </c>
      <c r="G740">
        <v>102.1</v>
      </c>
      <c r="H740">
        <v>0.49940000000000001</v>
      </c>
      <c r="I740">
        <v>52.2</v>
      </c>
      <c r="J740">
        <v>46.8</v>
      </c>
      <c r="K740">
        <v>19.899999999999999</v>
      </c>
      <c r="L740">
        <v>16.5</v>
      </c>
      <c r="M740">
        <v>28</v>
      </c>
      <c r="N740">
        <v>26.3</v>
      </c>
      <c r="O740">
        <v>34.799999999999997</v>
      </c>
      <c r="P740">
        <v>38.6</v>
      </c>
      <c r="Q740">
        <v>49.9</v>
      </c>
      <c r="R740">
        <v>43.7</v>
      </c>
      <c r="S740">
        <v>36.9</v>
      </c>
      <c r="T740">
        <v>35.1</v>
      </c>
      <c r="U740">
        <v>66.2</v>
      </c>
      <c r="V740">
        <v>-8.3000000000000007</v>
      </c>
      <c r="W740" cm="1">
        <f t="array" ref="W740">_xlfn.IFS(OR(X740="N/A",X740="NA"),0,OR(X740="R64",X740="R68"),1,X740="R32",2,X740="S16",3,X740="E8",4,X740="F4",5,X740="2ND",6,X740="Champions",7)</f>
        <v>0</v>
      </c>
      <c r="X740" t="s">
        <v>90</v>
      </c>
      <c r="Y740" t="s">
        <v>90</v>
      </c>
      <c r="Z740">
        <v>2016</v>
      </c>
    </row>
    <row r="741" spans="1:26" x14ac:dyDescent="0.3">
      <c r="A741" t="s">
        <v>253</v>
      </c>
      <c r="B741" t="s">
        <v>57</v>
      </c>
      <c r="C741">
        <v>32</v>
      </c>
      <c r="D741">
        <v>14</v>
      </c>
      <c r="E741" s="1">
        <f t="shared" si="11"/>
        <v>0.4375</v>
      </c>
      <c r="F741">
        <v>99.1</v>
      </c>
      <c r="G741">
        <v>105.8</v>
      </c>
      <c r="H741">
        <v>0.3201</v>
      </c>
      <c r="I741">
        <v>48.9</v>
      </c>
      <c r="J741">
        <v>50.9</v>
      </c>
      <c r="K741">
        <v>18.5</v>
      </c>
      <c r="L741">
        <v>17.100000000000001</v>
      </c>
      <c r="M741">
        <v>28.1</v>
      </c>
      <c r="N741">
        <v>28.4</v>
      </c>
      <c r="O741">
        <v>40.200000000000003</v>
      </c>
      <c r="P741">
        <v>35.9</v>
      </c>
      <c r="Q741">
        <v>47.2</v>
      </c>
      <c r="R741">
        <v>47.3</v>
      </c>
      <c r="S741">
        <v>35.4</v>
      </c>
      <c r="T741">
        <v>37.9</v>
      </c>
      <c r="U741">
        <v>69.3</v>
      </c>
      <c r="V741">
        <v>-11.9</v>
      </c>
      <c r="W741" cm="1">
        <f t="array" ref="W741">_xlfn.IFS(OR(X741="N/A",X741="NA"),0,OR(X741="R64",X741="R68"),1,X741="R32",2,X741="S16",3,X741="E8",4,X741="F4",5,X741="2ND",6,X741="Champions",7)</f>
        <v>0</v>
      </c>
      <c r="X741" t="s">
        <v>90</v>
      </c>
      <c r="Y741" t="s">
        <v>90</v>
      </c>
      <c r="Z741">
        <v>2016</v>
      </c>
    </row>
    <row r="742" spans="1:26" x14ac:dyDescent="0.3">
      <c r="A742" t="s">
        <v>254</v>
      </c>
      <c r="B742" t="s">
        <v>57</v>
      </c>
      <c r="C742">
        <v>30</v>
      </c>
      <c r="D742">
        <v>14</v>
      </c>
      <c r="E742" s="1">
        <f t="shared" si="11"/>
        <v>0.46666666666666667</v>
      </c>
      <c r="F742">
        <v>110.3</v>
      </c>
      <c r="G742">
        <v>108.3</v>
      </c>
      <c r="H742">
        <v>0.5524</v>
      </c>
      <c r="I742">
        <v>51.7</v>
      </c>
      <c r="J742">
        <v>51</v>
      </c>
      <c r="K742">
        <v>13.6</v>
      </c>
      <c r="L742">
        <v>15.9</v>
      </c>
      <c r="M742">
        <v>26.5</v>
      </c>
      <c r="N742">
        <v>31.5</v>
      </c>
      <c r="O742">
        <v>30</v>
      </c>
      <c r="P742">
        <v>35.200000000000003</v>
      </c>
      <c r="Q742">
        <v>50.8</v>
      </c>
      <c r="R742">
        <v>50.7</v>
      </c>
      <c r="S742">
        <v>35.200000000000003</v>
      </c>
      <c r="T742">
        <v>34.4</v>
      </c>
      <c r="U742">
        <v>67.400000000000006</v>
      </c>
      <c r="V742">
        <v>-9.1999999999999993</v>
      </c>
      <c r="W742" cm="1">
        <f t="array" ref="W742">_xlfn.IFS(OR(X742="N/A",X742="NA"),0,OR(X742="R64",X742="R68"),1,X742="R32",2,X742="S16",3,X742="E8",4,X742="F4",5,X742="2ND",6,X742="Champions",7)</f>
        <v>0</v>
      </c>
      <c r="X742" t="s">
        <v>90</v>
      </c>
      <c r="Y742" t="s">
        <v>90</v>
      </c>
      <c r="Z742">
        <v>2016</v>
      </c>
    </row>
    <row r="743" spans="1:26" x14ac:dyDescent="0.3">
      <c r="A743" t="s">
        <v>255</v>
      </c>
      <c r="B743" t="s">
        <v>57</v>
      </c>
      <c r="C743">
        <v>29</v>
      </c>
      <c r="D743">
        <v>14</v>
      </c>
      <c r="E743" s="1">
        <f t="shared" si="11"/>
        <v>0.48275862068965519</v>
      </c>
      <c r="F743">
        <v>105.7</v>
      </c>
      <c r="G743">
        <v>104.4</v>
      </c>
      <c r="H743">
        <v>0.5343</v>
      </c>
      <c r="I743">
        <v>48.8</v>
      </c>
      <c r="J743">
        <v>50.6</v>
      </c>
      <c r="K743">
        <v>17.399999999999999</v>
      </c>
      <c r="L743">
        <v>20.9</v>
      </c>
      <c r="M743">
        <v>31.1</v>
      </c>
      <c r="N743">
        <v>36.9</v>
      </c>
      <c r="O743">
        <v>43.5</v>
      </c>
      <c r="P743">
        <v>42.9</v>
      </c>
      <c r="Q743">
        <v>49.5</v>
      </c>
      <c r="R743">
        <v>47.6</v>
      </c>
      <c r="S743">
        <v>31.5</v>
      </c>
      <c r="T743">
        <v>36.799999999999997</v>
      </c>
      <c r="U743">
        <v>71.2</v>
      </c>
      <c r="V743">
        <v>-7.8</v>
      </c>
      <c r="W743" cm="1">
        <f t="array" ref="W743">_xlfn.IFS(OR(X743="N/A",X743="NA"),0,OR(X743="R64",X743="R68"),1,X743="R32",2,X743="S16",3,X743="E8",4,X743="F4",5,X743="2ND",6,X743="Champions",7)</f>
        <v>0</v>
      </c>
      <c r="X743" t="s">
        <v>90</v>
      </c>
      <c r="Y743" t="s">
        <v>90</v>
      </c>
      <c r="Z743">
        <v>2016</v>
      </c>
    </row>
    <row r="744" spans="1:26" x14ac:dyDescent="0.3">
      <c r="A744" t="s">
        <v>256</v>
      </c>
      <c r="B744" t="s">
        <v>57</v>
      </c>
      <c r="C744">
        <v>31</v>
      </c>
      <c r="D744">
        <v>18</v>
      </c>
      <c r="E744" s="1">
        <f t="shared" si="11"/>
        <v>0.58064516129032262</v>
      </c>
      <c r="F744">
        <v>105.4</v>
      </c>
      <c r="G744">
        <v>106.8</v>
      </c>
      <c r="H744">
        <v>0.46229999999999999</v>
      </c>
      <c r="I744">
        <v>49</v>
      </c>
      <c r="J744">
        <v>51</v>
      </c>
      <c r="K744">
        <v>17.5</v>
      </c>
      <c r="L744">
        <v>16.8</v>
      </c>
      <c r="M744">
        <v>34.1</v>
      </c>
      <c r="N744">
        <v>28</v>
      </c>
      <c r="O744">
        <v>40</v>
      </c>
      <c r="P744">
        <v>35.1</v>
      </c>
      <c r="Q744">
        <v>49</v>
      </c>
      <c r="R744">
        <v>49.5</v>
      </c>
      <c r="S744">
        <v>32.799999999999997</v>
      </c>
      <c r="T744">
        <v>35.9</v>
      </c>
      <c r="U744">
        <v>68.2</v>
      </c>
      <c r="V744">
        <v>-7</v>
      </c>
      <c r="W744" cm="1">
        <f t="array" ref="W744">_xlfn.IFS(OR(X744="N/A",X744="NA"),0,OR(X744="R64",X744="R68"),1,X744="R32",2,X744="S16",3,X744="E8",4,X744="F4",5,X744="2ND",6,X744="Champions",7)</f>
        <v>0</v>
      </c>
      <c r="X744" t="s">
        <v>90</v>
      </c>
      <c r="Y744" t="s">
        <v>90</v>
      </c>
      <c r="Z744">
        <v>2016</v>
      </c>
    </row>
    <row r="745" spans="1:26" x14ac:dyDescent="0.3">
      <c r="A745" t="s">
        <v>257</v>
      </c>
      <c r="B745" t="s">
        <v>57</v>
      </c>
      <c r="C745">
        <v>32</v>
      </c>
      <c r="D745">
        <v>12</v>
      </c>
      <c r="E745" s="1">
        <f t="shared" si="11"/>
        <v>0.375</v>
      </c>
      <c r="F745">
        <v>96.4</v>
      </c>
      <c r="G745">
        <v>103.6</v>
      </c>
      <c r="H745">
        <v>0.30549999999999999</v>
      </c>
      <c r="I745">
        <v>45.3</v>
      </c>
      <c r="J745">
        <v>51.2</v>
      </c>
      <c r="K745">
        <v>18.5</v>
      </c>
      <c r="L745">
        <v>20.8</v>
      </c>
      <c r="M745">
        <v>27.9</v>
      </c>
      <c r="N745">
        <v>31.2</v>
      </c>
      <c r="O745">
        <v>36.1</v>
      </c>
      <c r="P745">
        <v>38.6</v>
      </c>
      <c r="Q745">
        <v>44.8</v>
      </c>
      <c r="R745">
        <v>49.2</v>
      </c>
      <c r="S745">
        <v>30.8</v>
      </c>
      <c r="T745">
        <v>35.9</v>
      </c>
      <c r="U745">
        <v>65.3</v>
      </c>
      <c r="V745">
        <v>-13.4</v>
      </c>
      <c r="W745" cm="1">
        <f t="array" ref="W745">_xlfn.IFS(OR(X745="N/A",X745="NA"),0,OR(X745="R64",X745="R68"),1,X745="R32",2,X745="S16",3,X745="E8",4,X745="F4",5,X745="2ND",6,X745="Champions",7)</f>
        <v>0</v>
      </c>
      <c r="X745" t="s">
        <v>90</v>
      </c>
      <c r="Y745" t="s">
        <v>90</v>
      </c>
      <c r="Z745">
        <v>2016</v>
      </c>
    </row>
    <row r="746" spans="1:26" x14ac:dyDescent="0.3">
      <c r="A746" t="s">
        <v>258</v>
      </c>
      <c r="B746" t="s">
        <v>57</v>
      </c>
      <c r="C746">
        <v>30</v>
      </c>
      <c r="D746">
        <v>17</v>
      </c>
      <c r="E746" s="1">
        <f t="shared" si="11"/>
        <v>0.56666666666666665</v>
      </c>
      <c r="F746">
        <v>100.5</v>
      </c>
      <c r="G746">
        <v>100.8</v>
      </c>
      <c r="H746">
        <v>0.49180000000000001</v>
      </c>
      <c r="I746">
        <v>47.8</v>
      </c>
      <c r="J746">
        <v>49</v>
      </c>
      <c r="K746">
        <v>18.5</v>
      </c>
      <c r="L746">
        <v>19.899999999999999</v>
      </c>
      <c r="M746">
        <v>32.1</v>
      </c>
      <c r="N746">
        <v>27.7</v>
      </c>
      <c r="O746">
        <v>41.7</v>
      </c>
      <c r="P746">
        <v>41.3</v>
      </c>
      <c r="Q746">
        <v>44.8</v>
      </c>
      <c r="R746">
        <v>46.4</v>
      </c>
      <c r="S746">
        <v>35.6</v>
      </c>
      <c r="T746">
        <v>35.200000000000003</v>
      </c>
      <c r="U746">
        <v>68.599999999999994</v>
      </c>
      <c r="V746">
        <v>-6.7</v>
      </c>
      <c r="W746" cm="1">
        <f t="array" ref="W746">_xlfn.IFS(OR(X746="N/A",X746="NA"),0,OR(X746="R64",X746="R68"),1,X746="R32",2,X746="S16",3,X746="E8",4,X746="F4",5,X746="2ND",6,X746="Champions",7)</f>
        <v>0</v>
      </c>
      <c r="X746" t="s">
        <v>90</v>
      </c>
      <c r="Y746" t="s">
        <v>90</v>
      </c>
      <c r="Z746">
        <v>2016</v>
      </c>
    </row>
    <row r="747" spans="1:26" x14ac:dyDescent="0.3">
      <c r="A747" t="s">
        <v>259</v>
      </c>
      <c r="B747" t="s">
        <v>57</v>
      </c>
      <c r="C747">
        <v>34</v>
      </c>
      <c r="D747">
        <v>22</v>
      </c>
      <c r="E747" s="1">
        <f t="shared" si="11"/>
        <v>0.6470588235294118</v>
      </c>
      <c r="F747">
        <v>110.1</v>
      </c>
      <c r="G747">
        <v>106.5</v>
      </c>
      <c r="H747">
        <v>0.59519999999999995</v>
      </c>
      <c r="I747">
        <v>54.2</v>
      </c>
      <c r="J747">
        <v>49.6</v>
      </c>
      <c r="K747">
        <v>16.899999999999999</v>
      </c>
      <c r="L747">
        <v>14.5</v>
      </c>
      <c r="M747">
        <v>24.9</v>
      </c>
      <c r="N747">
        <v>25.8</v>
      </c>
      <c r="O747">
        <v>37.4</v>
      </c>
      <c r="P747">
        <v>33.5</v>
      </c>
      <c r="Q747">
        <v>52.3</v>
      </c>
      <c r="R747">
        <v>47.1</v>
      </c>
      <c r="S747">
        <v>38.200000000000003</v>
      </c>
      <c r="T747">
        <v>36.4</v>
      </c>
      <c r="U747">
        <v>70.7</v>
      </c>
      <c r="V747">
        <v>-5.3</v>
      </c>
      <c r="W747" cm="1">
        <f t="array" ref="W747">_xlfn.IFS(OR(X747="N/A",X747="NA"),0,OR(X747="R64",X747="R68"),1,X747="R32",2,X747="S16",3,X747="E8",4,X747="F4",5,X747="2ND",6,X747="Champions",7)</f>
        <v>0</v>
      </c>
      <c r="X747" t="s">
        <v>90</v>
      </c>
      <c r="Y747" t="s">
        <v>90</v>
      </c>
      <c r="Z747">
        <v>2016</v>
      </c>
    </row>
    <row r="748" spans="1:26" x14ac:dyDescent="0.3">
      <c r="A748" t="s">
        <v>260</v>
      </c>
      <c r="B748" t="s">
        <v>57</v>
      </c>
      <c r="C748">
        <v>31</v>
      </c>
      <c r="D748">
        <v>16</v>
      </c>
      <c r="E748" s="1">
        <f t="shared" si="11"/>
        <v>0.5161290322580645</v>
      </c>
      <c r="F748">
        <v>107.9</v>
      </c>
      <c r="G748">
        <v>102.9</v>
      </c>
      <c r="H748">
        <v>0.63380000000000003</v>
      </c>
      <c r="I748">
        <v>52.7</v>
      </c>
      <c r="J748">
        <v>51</v>
      </c>
      <c r="K748">
        <v>16.600000000000001</v>
      </c>
      <c r="L748">
        <v>17.3</v>
      </c>
      <c r="M748">
        <v>27.9</v>
      </c>
      <c r="N748">
        <v>24.6</v>
      </c>
      <c r="O748">
        <v>34.299999999999997</v>
      </c>
      <c r="P748">
        <v>28.8</v>
      </c>
      <c r="Q748">
        <v>51.7</v>
      </c>
      <c r="R748">
        <v>46.6</v>
      </c>
      <c r="S748">
        <v>36.299999999999997</v>
      </c>
      <c r="T748">
        <v>38.9</v>
      </c>
      <c r="U748">
        <v>70</v>
      </c>
      <c r="V748">
        <v>-9.8000000000000007</v>
      </c>
      <c r="W748" cm="1">
        <f t="array" ref="W748">_xlfn.IFS(OR(X748="N/A",X748="NA"),0,OR(X748="R64",X748="R68"),1,X748="R32",2,X748="S16",3,X748="E8",4,X748="F4",5,X748="2ND",6,X748="Champions",7)</f>
        <v>0</v>
      </c>
      <c r="X748" t="s">
        <v>90</v>
      </c>
      <c r="Y748" t="s">
        <v>90</v>
      </c>
      <c r="Z748">
        <v>2016</v>
      </c>
    </row>
    <row r="749" spans="1:26" x14ac:dyDescent="0.3">
      <c r="A749" t="s">
        <v>261</v>
      </c>
      <c r="B749" t="s">
        <v>57</v>
      </c>
      <c r="C749">
        <v>30</v>
      </c>
      <c r="D749">
        <v>11</v>
      </c>
      <c r="E749" s="1">
        <f t="shared" si="11"/>
        <v>0.36666666666666664</v>
      </c>
      <c r="F749">
        <v>102.4</v>
      </c>
      <c r="G749">
        <v>104.5</v>
      </c>
      <c r="H749">
        <v>0.44169999999999998</v>
      </c>
      <c r="I749">
        <v>47.6</v>
      </c>
      <c r="J749">
        <v>52</v>
      </c>
      <c r="K749">
        <v>17.899999999999999</v>
      </c>
      <c r="L749">
        <v>17.100000000000001</v>
      </c>
      <c r="M749">
        <v>30.6</v>
      </c>
      <c r="N749">
        <v>25.5</v>
      </c>
      <c r="O749">
        <v>43.8</v>
      </c>
      <c r="P749">
        <v>38.5</v>
      </c>
      <c r="Q749">
        <v>46.3</v>
      </c>
      <c r="R749">
        <v>51</v>
      </c>
      <c r="S749">
        <v>33.700000000000003</v>
      </c>
      <c r="T749">
        <v>35.6</v>
      </c>
      <c r="U749">
        <v>69</v>
      </c>
      <c r="V749">
        <v>-12.2</v>
      </c>
      <c r="W749" cm="1">
        <f t="array" ref="W749">_xlfn.IFS(OR(X749="N/A",X749="NA"),0,OR(X749="R64",X749="R68"),1,X749="R32",2,X749="S16",3,X749="E8",4,X749="F4",5,X749="2ND",6,X749="Champions",7)</f>
        <v>0</v>
      </c>
      <c r="X749" t="s">
        <v>90</v>
      </c>
      <c r="Y749" t="s">
        <v>90</v>
      </c>
      <c r="Z749">
        <v>2016</v>
      </c>
    </row>
    <row r="750" spans="1:26" x14ac:dyDescent="0.3">
      <c r="A750" t="s">
        <v>251</v>
      </c>
      <c r="B750" t="s">
        <v>57</v>
      </c>
      <c r="C750">
        <v>35</v>
      </c>
      <c r="D750">
        <v>27</v>
      </c>
      <c r="E750" s="1">
        <f t="shared" si="11"/>
        <v>0.77142857142857146</v>
      </c>
      <c r="F750">
        <v>111.1</v>
      </c>
      <c r="G750">
        <v>105.4</v>
      </c>
      <c r="H750">
        <v>0.64880000000000004</v>
      </c>
      <c r="I750">
        <v>55.1</v>
      </c>
      <c r="J750">
        <v>51</v>
      </c>
      <c r="K750">
        <v>17.2</v>
      </c>
      <c r="L750">
        <v>16.7</v>
      </c>
      <c r="M750">
        <v>29.4</v>
      </c>
      <c r="N750">
        <v>27.9</v>
      </c>
      <c r="O750">
        <v>37.299999999999997</v>
      </c>
      <c r="P750">
        <v>32.9</v>
      </c>
      <c r="Q750">
        <v>55</v>
      </c>
      <c r="R750">
        <v>49</v>
      </c>
      <c r="S750">
        <v>36.799999999999997</v>
      </c>
      <c r="T750">
        <v>36.799999999999997</v>
      </c>
      <c r="U750">
        <v>67.400000000000006</v>
      </c>
      <c r="V750">
        <v>-1.9</v>
      </c>
      <c r="W750" cm="1">
        <f t="array" ref="W750">_xlfn.IFS(OR(X750="N/A",X750="NA"),0,OR(X750="R64",X750="R68"),1,X750="R32",2,X750="S16",3,X750="E8",4,X750="F4",5,X750="2ND",6,X750="Champions",7)</f>
        <v>0</v>
      </c>
      <c r="X750" t="s">
        <v>90</v>
      </c>
      <c r="Y750" t="s">
        <v>90</v>
      </c>
      <c r="Z750">
        <v>2017</v>
      </c>
    </row>
    <row r="751" spans="1:26" x14ac:dyDescent="0.3">
      <c r="A751" t="s">
        <v>252</v>
      </c>
      <c r="B751" t="s">
        <v>57</v>
      </c>
      <c r="C751">
        <v>33</v>
      </c>
      <c r="D751">
        <v>21</v>
      </c>
      <c r="E751" s="1">
        <f t="shared" si="11"/>
        <v>0.63636363636363635</v>
      </c>
      <c r="F751">
        <v>103.6</v>
      </c>
      <c r="G751">
        <v>104.5</v>
      </c>
      <c r="H751">
        <v>0.47399999999999998</v>
      </c>
      <c r="I751">
        <v>53.7</v>
      </c>
      <c r="J751">
        <v>48.7</v>
      </c>
      <c r="K751">
        <v>19.899999999999999</v>
      </c>
      <c r="L751">
        <v>17.2</v>
      </c>
      <c r="M751">
        <v>27.8</v>
      </c>
      <c r="N751">
        <v>28.4</v>
      </c>
      <c r="O751">
        <v>35.1</v>
      </c>
      <c r="P751">
        <v>35.9</v>
      </c>
      <c r="Q751">
        <v>51.7</v>
      </c>
      <c r="R751">
        <v>46.2</v>
      </c>
      <c r="S751">
        <v>37.6</v>
      </c>
      <c r="T751">
        <v>35.6</v>
      </c>
      <c r="U751">
        <v>72.2</v>
      </c>
      <c r="V751">
        <v>-6.8</v>
      </c>
      <c r="W751" cm="1">
        <f t="array" ref="W751">_xlfn.IFS(OR(X751="N/A",X751="NA"),0,OR(X751="R64",X751="R68"),1,X751="R32",2,X751="S16",3,X751="E8",4,X751="F4",5,X751="2ND",6,X751="Champions",7)</f>
        <v>0</v>
      </c>
      <c r="X751" t="s">
        <v>90</v>
      </c>
      <c r="Y751" t="s">
        <v>90</v>
      </c>
      <c r="Z751">
        <v>2017</v>
      </c>
    </row>
    <row r="752" spans="1:26" x14ac:dyDescent="0.3">
      <c r="A752" t="s">
        <v>253</v>
      </c>
      <c r="B752" t="s">
        <v>57</v>
      </c>
      <c r="C752">
        <v>31</v>
      </c>
      <c r="D752">
        <v>13</v>
      </c>
      <c r="E752" s="1">
        <f t="shared" si="11"/>
        <v>0.41935483870967744</v>
      </c>
      <c r="F752">
        <v>99.8</v>
      </c>
      <c r="G752">
        <v>105.8</v>
      </c>
      <c r="H752">
        <v>0.33839999999999998</v>
      </c>
      <c r="I752">
        <v>48</v>
      </c>
      <c r="J752">
        <v>53.1</v>
      </c>
      <c r="K752">
        <v>17.3</v>
      </c>
      <c r="L752">
        <v>20</v>
      </c>
      <c r="M752">
        <v>28.5</v>
      </c>
      <c r="N752">
        <v>28.2</v>
      </c>
      <c r="O752">
        <v>35.799999999999997</v>
      </c>
      <c r="P752">
        <v>34.200000000000003</v>
      </c>
      <c r="Q752">
        <v>46.5</v>
      </c>
      <c r="R752">
        <v>53.3</v>
      </c>
      <c r="S752">
        <v>34.1</v>
      </c>
      <c r="T752">
        <v>35.200000000000003</v>
      </c>
      <c r="U752">
        <v>71.5</v>
      </c>
      <c r="V752">
        <v>-12.9</v>
      </c>
      <c r="W752" cm="1">
        <f t="array" ref="W752">_xlfn.IFS(OR(X752="N/A",X752="NA"),0,OR(X752="R64",X752="R68"),1,X752="R32",2,X752="S16",3,X752="E8",4,X752="F4",5,X752="2ND",6,X752="Champions",7)</f>
        <v>0</v>
      </c>
      <c r="X752" t="s">
        <v>90</v>
      </c>
      <c r="Y752" t="s">
        <v>90</v>
      </c>
      <c r="Z752">
        <v>2017</v>
      </c>
    </row>
    <row r="753" spans="1:26" x14ac:dyDescent="0.3">
      <c r="A753" t="s">
        <v>262</v>
      </c>
      <c r="B753" t="s">
        <v>57</v>
      </c>
      <c r="C753">
        <v>30</v>
      </c>
      <c r="D753">
        <v>17</v>
      </c>
      <c r="E753" s="1">
        <f t="shared" si="11"/>
        <v>0.56666666666666665</v>
      </c>
      <c r="F753">
        <v>103.5</v>
      </c>
      <c r="G753">
        <v>102</v>
      </c>
      <c r="H753">
        <v>0.54200000000000004</v>
      </c>
      <c r="I753">
        <v>50.7</v>
      </c>
      <c r="J753">
        <v>48.2</v>
      </c>
      <c r="K753">
        <v>19.8</v>
      </c>
      <c r="L753">
        <v>17.5</v>
      </c>
      <c r="M753">
        <v>33.200000000000003</v>
      </c>
      <c r="N753">
        <v>29.2</v>
      </c>
      <c r="O753">
        <v>37.299999999999997</v>
      </c>
      <c r="P753">
        <v>42.9</v>
      </c>
      <c r="Q753">
        <v>51.4</v>
      </c>
      <c r="R753">
        <v>45.8</v>
      </c>
      <c r="S753">
        <v>33</v>
      </c>
      <c r="T753">
        <v>35.1</v>
      </c>
      <c r="U753">
        <v>72.400000000000006</v>
      </c>
      <c r="V753">
        <v>-8.3000000000000007</v>
      </c>
      <c r="W753" cm="1">
        <f t="array" ref="W753">_xlfn.IFS(OR(X753="N/A",X753="NA"),0,OR(X753="R64",X753="R68"),1,X753="R32",2,X753="S16",3,X753="E8",4,X753="F4",5,X753="2ND",6,X753="Champions",7)</f>
        <v>0</v>
      </c>
      <c r="X753" t="s">
        <v>90</v>
      </c>
      <c r="Y753" t="s">
        <v>90</v>
      </c>
      <c r="Z753">
        <v>2017</v>
      </c>
    </row>
    <row r="754" spans="1:26" x14ac:dyDescent="0.3">
      <c r="A754" t="s">
        <v>254</v>
      </c>
      <c r="B754" t="s">
        <v>57</v>
      </c>
      <c r="C754">
        <v>30</v>
      </c>
      <c r="D754">
        <v>16</v>
      </c>
      <c r="E754" s="1">
        <f t="shared" si="11"/>
        <v>0.53333333333333333</v>
      </c>
      <c r="F754">
        <v>109.8</v>
      </c>
      <c r="G754">
        <v>117.8</v>
      </c>
      <c r="H754">
        <v>0.30830000000000002</v>
      </c>
      <c r="I754">
        <v>51.7</v>
      </c>
      <c r="J754">
        <v>53.5</v>
      </c>
      <c r="K754">
        <v>14.7</v>
      </c>
      <c r="L754">
        <v>15.2</v>
      </c>
      <c r="M754">
        <v>26.7</v>
      </c>
      <c r="N754">
        <v>34</v>
      </c>
      <c r="O754">
        <v>34.6</v>
      </c>
      <c r="P754">
        <v>32.6</v>
      </c>
      <c r="Q754">
        <v>48.5</v>
      </c>
      <c r="R754">
        <v>53.9</v>
      </c>
      <c r="S754">
        <v>36.4</v>
      </c>
      <c r="T754">
        <v>35.1</v>
      </c>
      <c r="U754">
        <v>76.3</v>
      </c>
      <c r="V754">
        <v>-10.8</v>
      </c>
      <c r="W754" cm="1">
        <f t="array" ref="W754">_xlfn.IFS(OR(X754="N/A",X754="NA"),0,OR(X754="R64",X754="R68"),1,X754="R32",2,X754="S16",3,X754="E8",4,X754="F4",5,X754="2ND",6,X754="Champions",7)</f>
        <v>0</v>
      </c>
      <c r="X754" t="s">
        <v>90</v>
      </c>
      <c r="Y754" t="s">
        <v>90</v>
      </c>
      <c r="Z754">
        <v>2017</v>
      </c>
    </row>
    <row r="755" spans="1:26" x14ac:dyDescent="0.3">
      <c r="A755" t="s">
        <v>255</v>
      </c>
      <c r="B755" t="s">
        <v>57</v>
      </c>
      <c r="C755">
        <v>29</v>
      </c>
      <c r="D755">
        <v>16</v>
      </c>
      <c r="E755" s="1">
        <f t="shared" si="11"/>
        <v>0.55172413793103448</v>
      </c>
      <c r="F755">
        <v>105.3</v>
      </c>
      <c r="G755">
        <v>104.4</v>
      </c>
      <c r="H755">
        <v>0.52459999999999996</v>
      </c>
      <c r="I755">
        <v>48.8</v>
      </c>
      <c r="J755">
        <v>50.4</v>
      </c>
      <c r="K755">
        <v>17.100000000000001</v>
      </c>
      <c r="L755">
        <v>21.5</v>
      </c>
      <c r="M755">
        <v>33.6</v>
      </c>
      <c r="N755">
        <v>35</v>
      </c>
      <c r="O755">
        <v>35.299999999999997</v>
      </c>
      <c r="P755">
        <v>50.8</v>
      </c>
      <c r="Q755">
        <v>48</v>
      </c>
      <c r="R755">
        <v>50.2</v>
      </c>
      <c r="S755">
        <v>33.6</v>
      </c>
      <c r="T755">
        <v>33.9</v>
      </c>
      <c r="U755">
        <v>69.599999999999994</v>
      </c>
      <c r="V755">
        <v>-10.199999999999999</v>
      </c>
      <c r="W755" cm="1">
        <f t="array" ref="W755">_xlfn.IFS(OR(X755="N/A",X755="NA"),0,OR(X755="R64",X755="R68"),1,X755="R32",2,X755="S16",3,X755="E8",4,X755="F4",5,X755="2ND",6,X755="Champions",7)</f>
        <v>0</v>
      </c>
      <c r="X755" t="s">
        <v>90</v>
      </c>
      <c r="Y755" t="s">
        <v>90</v>
      </c>
      <c r="Z755">
        <v>2017</v>
      </c>
    </row>
    <row r="756" spans="1:26" x14ac:dyDescent="0.3">
      <c r="A756" t="s">
        <v>257</v>
      </c>
      <c r="B756" t="s">
        <v>57</v>
      </c>
      <c r="C756">
        <v>30</v>
      </c>
      <c r="D756">
        <v>11</v>
      </c>
      <c r="E756" s="1">
        <f t="shared" si="11"/>
        <v>0.36666666666666664</v>
      </c>
      <c r="F756">
        <v>94.3</v>
      </c>
      <c r="G756">
        <v>105.2</v>
      </c>
      <c r="H756">
        <v>0.2203</v>
      </c>
      <c r="I756">
        <v>48.6</v>
      </c>
      <c r="J756">
        <v>51.4</v>
      </c>
      <c r="K756">
        <v>20.100000000000001</v>
      </c>
      <c r="L756">
        <v>20.7</v>
      </c>
      <c r="M756">
        <v>24.9</v>
      </c>
      <c r="N756">
        <v>31.8</v>
      </c>
      <c r="O756">
        <v>37</v>
      </c>
      <c r="P756">
        <v>40</v>
      </c>
      <c r="Q756">
        <v>49.8</v>
      </c>
      <c r="R756">
        <v>50.8</v>
      </c>
      <c r="S756">
        <v>30.9</v>
      </c>
      <c r="T756">
        <v>34.799999999999997</v>
      </c>
      <c r="U756">
        <v>70</v>
      </c>
      <c r="V756">
        <v>-15.6</v>
      </c>
      <c r="W756" cm="1">
        <f t="array" ref="W756">_xlfn.IFS(OR(X756="N/A",X756="NA"),0,OR(X756="R64",X756="R68"),1,X756="R32",2,X756="S16",3,X756="E8",4,X756="F4",5,X756="2ND",6,X756="Champions",7)</f>
        <v>0</v>
      </c>
      <c r="X756" t="s">
        <v>90</v>
      </c>
      <c r="Y756" t="s">
        <v>90</v>
      </c>
      <c r="Z756">
        <v>2017</v>
      </c>
    </row>
    <row r="757" spans="1:26" x14ac:dyDescent="0.3">
      <c r="A757" t="s">
        <v>258</v>
      </c>
      <c r="B757" t="s">
        <v>57</v>
      </c>
      <c r="C757">
        <v>29</v>
      </c>
      <c r="D757">
        <v>15</v>
      </c>
      <c r="E757" s="1">
        <f t="shared" si="11"/>
        <v>0.51724137931034486</v>
      </c>
      <c r="F757">
        <v>98.8</v>
      </c>
      <c r="G757">
        <v>101.8</v>
      </c>
      <c r="H757">
        <v>0.41210000000000002</v>
      </c>
      <c r="I757">
        <v>46.4</v>
      </c>
      <c r="J757">
        <v>50.8</v>
      </c>
      <c r="K757">
        <v>19.5</v>
      </c>
      <c r="L757">
        <v>20.5</v>
      </c>
      <c r="M757">
        <v>33.5</v>
      </c>
      <c r="N757">
        <v>28.1</v>
      </c>
      <c r="O757">
        <v>40.299999999999997</v>
      </c>
      <c r="P757">
        <v>39.799999999999997</v>
      </c>
      <c r="Q757">
        <v>46.6</v>
      </c>
      <c r="R757">
        <v>49.8</v>
      </c>
      <c r="S757">
        <v>30.6</v>
      </c>
      <c r="T757">
        <v>34.9</v>
      </c>
      <c r="U757">
        <v>68.2</v>
      </c>
      <c r="V757">
        <v>-12.1</v>
      </c>
      <c r="W757" cm="1">
        <f t="array" ref="W757">_xlfn.IFS(OR(X757="N/A",X757="NA"),0,OR(X757="R64",X757="R68"),1,X757="R32",2,X757="S16",3,X757="E8",4,X757="F4",5,X757="2ND",6,X757="Champions",7)</f>
        <v>0</v>
      </c>
      <c r="X757" t="s">
        <v>90</v>
      </c>
      <c r="Y757" t="s">
        <v>90</v>
      </c>
      <c r="Z757">
        <v>2017</v>
      </c>
    </row>
    <row r="758" spans="1:26" x14ac:dyDescent="0.3">
      <c r="A758" t="s">
        <v>259</v>
      </c>
      <c r="B758" t="s">
        <v>57</v>
      </c>
      <c r="C758">
        <v>30</v>
      </c>
      <c r="D758">
        <v>20</v>
      </c>
      <c r="E758" s="1">
        <f t="shared" si="11"/>
        <v>0.66666666666666663</v>
      </c>
      <c r="F758">
        <v>105.5</v>
      </c>
      <c r="G758">
        <v>99.4</v>
      </c>
      <c r="H758">
        <v>0.66590000000000005</v>
      </c>
      <c r="I758">
        <v>53.2</v>
      </c>
      <c r="J758">
        <v>47.3</v>
      </c>
      <c r="K758">
        <v>17.399999999999999</v>
      </c>
      <c r="L758">
        <v>18.100000000000001</v>
      </c>
      <c r="M758">
        <v>25.6</v>
      </c>
      <c r="N758">
        <v>27.7</v>
      </c>
      <c r="O758">
        <v>33.700000000000003</v>
      </c>
      <c r="P758">
        <v>32.700000000000003</v>
      </c>
      <c r="Q758">
        <v>50</v>
      </c>
      <c r="R758">
        <v>46.8</v>
      </c>
      <c r="S758">
        <v>38.5</v>
      </c>
      <c r="T758">
        <v>32.1</v>
      </c>
      <c r="U758">
        <v>71.599999999999994</v>
      </c>
      <c r="V758">
        <v>-6</v>
      </c>
      <c r="W758" cm="1">
        <f t="array" ref="W758">_xlfn.IFS(OR(X758="N/A",X758="NA"),0,OR(X758="R64",X758="R68"),1,X758="R32",2,X758="S16",3,X758="E8",4,X758="F4",5,X758="2ND",6,X758="Champions",7)</f>
        <v>0</v>
      </c>
      <c r="X758" t="s">
        <v>90</v>
      </c>
      <c r="Y758" t="s">
        <v>90</v>
      </c>
      <c r="Z758">
        <v>2017</v>
      </c>
    </row>
    <row r="759" spans="1:26" x14ac:dyDescent="0.3">
      <c r="A759" t="s">
        <v>260</v>
      </c>
      <c r="B759" t="s">
        <v>57</v>
      </c>
      <c r="C759">
        <v>33</v>
      </c>
      <c r="D759">
        <v>17</v>
      </c>
      <c r="E759" s="1">
        <f t="shared" si="11"/>
        <v>0.51515151515151514</v>
      </c>
      <c r="F759">
        <v>107.8</v>
      </c>
      <c r="G759">
        <v>104.2</v>
      </c>
      <c r="H759">
        <v>0.59689999999999999</v>
      </c>
      <c r="I759">
        <v>54.4</v>
      </c>
      <c r="J759">
        <v>51.2</v>
      </c>
      <c r="K759">
        <v>18.5</v>
      </c>
      <c r="L759">
        <v>14.2</v>
      </c>
      <c r="M759">
        <v>29</v>
      </c>
      <c r="N759">
        <v>25.5</v>
      </c>
      <c r="O759">
        <v>38.299999999999997</v>
      </c>
      <c r="P759">
        <v>27.2</v>
      </c>
      <c r="Q759">
        <v>54.6</v>
      </c>
      <c r="R759">
        <v>52.3</v>
      </c>
      <c r="S759">
        <v>36.1</v>
      </c>
      <c r="T759">
        <v>32.299999999999997</v>
      </c>
      <c r="U759">
        <v>68.099999999999994</v>
      </c>
      <c r="V759">
        <v>-9.6</v>
      </c>
      <c r="W759" cm="1">
        <f t="array" ref="W759">_xlfn.IFS(OR(X759="N/A",X759="NA"),0,OR(X759="R64",X759="R68"),1,X759="R32",2,X759="S16",3,X759="E8",4,X759="F4",5,X759="2ND",6,X759="Champions",7)</f>
        <v>0</v>
      </c>
      <c r="X759" t="s">
        <v>90</v>
      </c>
      <c r="Y759" t="s">
        <v>90</v>
      </c>
      <c r="Z759">
        <v>2017</v>
      </c>
    </row>
    <row r="760" spans="1:26" x14ac:dyDescent="0.3">
      <c r="A760" t="s">
        <v>261</v>
      </c>
      <c r="B760" t="s">
        <v>57</v>
      </c>
      <c r="C760">
        <v>31</v>
      </c>
      <c r="D760">
        <v>16</v>
      </c>
      <c r="E760" s="1">
        <f t="shared" si="11"/>
        <v>0.5161290322580645</v>
      </c>
      <c r="F760">
        <v>105.2</v>
      </c>
      <c r="G760">
        <v>105.1</v>
      </c>
      <c r="H760">
        <v>0.50180000000000002</v>
      </c>
      <c r="I760">
        <v>50.9</v>
      </c>
      <c r="J760">
        <v>54</v>
      </c>
      <c r="K760">
        <v>17.600000000000001</v>
      </c>
      <c r="L760">
        <v>18.3</v>
      </c>
      <c r="M760">
        <v>31.1</v>
      </c>
      <c r="N760">
        <v>26.5</v>
      </c>
      <c r="O760">
        <v>35</v>
      </c>
      <c r="P760">
        <v>34.200000000000003</v>
      </c>
      <c r="Q760">
        <v>48.2</v>
      </c>
      <c r="R760">
        <v>53.9</v>
      </c>
      <c r="S760">
        <v>38.299999999999997</v>
      </c>
      <c r="T760">
        <v>36.1</v>
      </c>
      <c r="U760">
        <v>69.3</v>
      </c>
      <c r="V760">
        <v>-9.1999999999999993</v>
      </c>
      <c r="W760" cm="1">
        <f t="array" ref="W760">_xlfn.IFS(OR(X760="N/A",X760="NA"),0,OR(X760="R64",X760="R68"),1,X760="R32",2,X760="S16",3,X760="E8",4,X760="F4",5,X760="2ND",6,X760="Champions",7)</f>
        <v>0</v>
      </c>
      <c r="X760" t="s">
        <v>90</v>
      </c>
      <c r="Y760" t="s">
        <v>90</v>
      </c>
      <c r="Z760">
        <v>2017</v>
      </c>
    </row>
    <row r="761" spans="1:26" x14ac:dyDescent="0.3">
      <c r="A761" t="s">
        <v>251</v>
      </c>
      <c r="B761" t="s">
        <v>57</v>
      </c>
      <c r="C761">
        <v>31</v>
      </c>
      <c r="D761">
        <v>14</v>
      </c>
      <c r="E761" s="1">
        <f t="shared" si="11"/>
        <v>0.45161290322580644</v>
      </c>
      <c r="F761">
        <v>102.4</v>
      </c>
      <c r="G761">
        <v>107.5</v>
      </c>
      <c r="H761">
        <v>0.3634</v>
      </c>
      <c r="I761">
        <v>51.5</v>
      </c>
      <c r="J761">
        <v>54.2</v>
      </c>
      <c r="K761">
        <v>19.8</v>
      </c>
      <c r="L761">
        <v>18.5</v>
      </c>
      <c r="M761">
        <v>27</v>
      </c>
      <c r="N761">
        <v>28.3</v>
      </c>
      <c r="O761">
        <v>31.4</v>
      </c>
      <c r="P761">
        <v>39.1</v>
      </c>
      <c r="Q761">
        <v>49.9</v>
      </c>
      <c r="R761">
        <v>54.1</v>
      </c>
      <c r="S761">
        <v>35.6</v>
      </c>
      <c r="T761">
        <v>36.1</v>
      </c>
      <c r="U761">
        <v>68.900000000000006</v>
      </c>
      <c r="V761">
        <v>-12.1</v>
      </c>
      <c r="W761" cm="1">
        <f t="array" ref="W761">_xlfn.IFS(OR(X761="N/A",X761="NA"),0,OR(X761="R64",X761="R68"),1,X761="R32",2,X761="S16",3,X761="E8",4,X761="F4",5,X761="2ND",6,X761="Champions",7)</f>
        <v>0</v>
      </c>
      <c r="X761" t="s">
        <v>90</v>
      </c>
      <c r="Y761" t="s">
        <v>90</v>
      </c>
      <c r="Z761">
        <v>2018</v>
      </c>
    </row>
    <row r="762" spans="1:26" x14ac:dyDescent="0.3">
      <c r="A762" t="s">
        <v>252</v>
      </c>
      <c r="B762" t="s">
        <v>57</v>
      </c>
      <c r="C762">
        <v>31</v>
      </c>
      <c r="D762">
        <v>19</v>
      </c>
      <c r="E762" s="1">
        <f t="shared" si="11"/>
        <v>0.61290322580645162</v>
      </c>
      <c r="F762">
        <v>102</v>
      </c>
      <c r="G762">
        <v>102.7</v>
      </c>
      <c r="H762">
        <v>0.47970000000000002</v>
      </c>
      <c r="I762">
        <v>51.4</v>
      </c>
      <c r="J762">
        <v>49.4</v>
      </c>
      <c r="K762">
        <v>18.399999999999999</v>
      </c>
      <c r="L762">
        <v>16.7</v>
      </c>
      <c r="M762">
        <v>28</v>
      </c>
      <c r="N762">
        <v>27.5</v>
      </c>
      <c r="O762">
        <v>33.200000000000003</v>
      </c>
      <c r="P762">
        <v>30</v>
      </c>
      <c r="Q762">
        <v>51.7</v>
      </c>
      <c r="R762">
        <v>46.3</v>
      </c>
      <c r="S762">
        <v>33.9</v>
      </c>
      <c r="T762">
        <v>36.6</v>
      </c>
      <c r="U762">
        <v>71.099999999999994</v>
      </c>
      <c r="V762">
        <v>-6.8</v>
      </c>
      <c r="W762" cm="1">
        <f t="array" ref="W762">_xlfn.IFS(OR(X762="N/A",X762="NA"),0,OR(X762="R64",X762="R68"),1,X762="R32",2,X762="S16",3,X762="E8",4,X762="F4",5,X762="2ND",6,X762="Champions",7)</f>
        <v>0</v>
      </c>
      <c r="X762" t="s">
        <v>90</v>
      </c>
      <c r="Y762" t="s">
        <v>90</v>
      </c>
      <c r="Z762">
        <v>2018</v>
      </c>
    </row>
    <row r="763" spans="1:26" x14ac:dyDescent="0.3">
      <c r="A763" t="s">
        <v>253</v>
      </c>
      <c r="B763" t="s">
        <v>57</v>
      </c>
      <c r="C763">
        <v>30</v>
      </c>
      <c r="D763">
        <v>16</v>
      </c>
      <c r="E763" s="1">
        <f t="shared" si="11"/>
        <v>0.53333333333333333</v>
      </c>
      <c r="F763">
        <v>101.4</v>
      </c>
      <c r="G763">
        <v>107.4</v>
      </c>
      <c r="H763">
        <v>0.34060000000000001</v>
      </c>
      <c r="I763">
        <v>47.3</v>
      </c>
      <c r="J763">
        <v>52.3</v>
      </c>
      <c r="K763">
        <v>17.600000000000001</v>
      </c>
      <c r="L763">
        <v>16.8</v>
      </c>
      <c r="M763">
        <v>29.7</v>
      </c>
      <c r="N763">
        <v>26.5</v>
      </c>
      <c r="O763">
        <v>36.6</v>
      </c>
      <c r="P763">
        <v>32</v>
      </c>
      <c r="Q763">
        <v>45.1</v>
      </c>
      <c r="R763">
        <v>51.2</v>
      </c>
      <c r="S763">
        <v>34.299999999999997</v>
      </c>
      <c r="T763">
        <v>36.299999999999997</v>
      </c>
      <c r="U763">
        <v>71.5</v>
      </c>
      <c r="V763">
        <v>-10.8</v>
      </c>
      <c r="W763" cm="1">
        <f t="array" ref="W763">_xlfn.IFS(OR(X763="N/A",X763="NA"),0,OR(X763="R64",X763="R68"),1,X763="R32",2,X763="S16",3,X763="E8",4,X763="F4",5,X763="2ND",6,X763="Champions",7)</f>
        <v>0</v>
      </c>
      <c r="X763" t="s">
        <v>90</v>
      </c>
      <c r="Y763" t="s">
        <v>90</v>
      </c>
      <c r="Z763">
        <v>2018</v>
      </c>
    </row>
    <row r="764" spans="1:26" x14ac:dyDescent="0.3">
      <c r="A764" t="s">
        <v>254</v>
      </c>
      <c r="B764" t="s">
        <v>57</v>
      </c>
      <c r="C764">
        <v>33</v>
      </c>
      <c r="D764">
        <v>21</v>
      </c>
      <c r="E764" s="1">
        <f t="shared" si="11"/>
        <v>0.63636363636363635</v>
      </c>
      <c r="F764">
        <v>109.5</v>
      </c>
      <c r="G764">
        <v>109.4</v>
      </c>
      <c r="H764">
        <v>0.50090000000000001</v>
      </c>
      <c r="I764">
        <v>51</v>
      </c>
      <c r="J764">
        <v>52.5</v>
      </c>
      <c r="K764">
        <v>17</v>
      </c>
      <c r="L764">
        <v>17.899999999999999</v>
      </c>
      <c r="M764">
        <v>31.1</v>
      </c>
      <c r="N764">
        <v>31</v>
      </c>
      <c r="O764">
        <v>33.700000000000003</v>
      </c>
      <c r="P764">
        <v>27.2</v>
      </c>
      <c r="Q764">
        <v>50.5</v>
      </c>
      <c r="R764">
        <v>53.1</v>
      </c>
      <c r="S764">
        <v>34.4</v>
      </c>
      <c r="T764">
        <v>34.5</v>
      </c>
      <c r="U764">
        <v>68.3</v>
      </c>
      <c r="V764">
        <v>-9.1</v>
      </c>
      <c r="W764" cm="1">
        <f t="array" ref="W764">_xlfn.IFS(OR(X764="N/A",X764="NA"),0,OR(X764="R64",X764="R68"),1,X764="R32",2,X764="S16",3,X764="E8",4,X764="F4",5,X764="2ND",6,X764="Champions",7)</f>
        <v>0</v>
      </c>
      <c r="X764" t="s">
        <v>90</v>
      </c>
      <c r="Y764" t="s">
        <v>90</v>
      </c>
      <c r="Z764">
        <v>2018</v>
      </c>
    </row>
    <row r="765" spans="1:26" x14ac:dyDescent="0.3">
      <c r="A765" t="s">
        <v>255</v>
      </c>
      <c r="B765" t="s">
        <v>57</v>
      </c>
      <c r="C765">
        <v>31</v>
      </c>
      <c r="D765">
        <v>22</v>
      </c>
      <c r="E765" s="1">
        <f t="shared" si="11"/>
        <v>0.70967741935483875</v>
      </c>
      <c r="F765">
        <v>101.3</v>
      </c>
      <c r="G765">
        <v>99.1</v>
      </c>
      <c r="H765">
        <v>0.56299999999999994</v>
      </c>
      <c r="I765">
        <v>51.4</v>
      </c>
      <c r="J765">
        <v>47.5</v>
      </c>
      <c r="K765">
        <v>18.7</v>
      </c>
      <c r="L765">
        <v>20.100000000000001</v>
      </c>
      <c r="M765">
        <v>30.4</v>
      </c>
      <c r="N765">
        <v>32.700000000000003</v>
      </c>
      <c r="O765">
        <v>29.2</v>
      </c>
      <c r="P765">
        <v>31.6</v>
      </c>
      <c r="Q765">
        <v>52</v>
      </c>
      <c r="R765">
        <v>44.6</v>
      </c>
      <c r="S765">
        <v>33.6</v>
      </c>
      <c r="T765">
        <v>34.6</v>
      </c>
      <c r="U765">
        <v>66</v>
      </c>
      <c r="V765">
        <v>-6.6</v>
      </c>
      <c r="W765" cm="1">
        <f t="array" ref="W765">_xlfn.IFS(OR(X765="N/A",X765="NA"),0,OR(X765="R64",X765="R68"),1,X765="R32",2,X765="S16",3,X765="E8",4,X765="F4",5,X765="2ND",6,X765="Champions",7)</f>
        <v>0</v>
      </c>
      <c r="X765" t="s">
        <v>90</v>
      </c>
      <c r="Y765" t="s">
        <v>90</v>
      </c>
      <c r="Z765">
        <v>2018</v>
      </c>
    </row>
    <row r="766" spans="1:26" x14ac:dyDescent="0.3">
      <c r="A766" t="s">
        <v>256</v>
      </c>
      <c r="B766" t="s">
        <v>57</v>
      </c>
      <c r="C766">
        <v>33</v>
      </c>
      <c r="D766">
        <v>17</v>
      </c>
      <c r="E766" s="1">
        <f t="shared" si="11"/>
        <v>0.51515151515151514</v>
      </c>
      <c r="F766">
        <v>101.7</v>
      </c>
      <c r="G766">
        <v>105.8</v>
      </c>
      <c r="H766">
        <v>0.38629999999999998</v>
      </c>
      <c r="I766">
        <v>48.7</v>
      </c>
      <c r="J766">
        <v>51.1</v>
      </c>
      <c r="K766">
        <v>18.7</v>
      </c>
      <c r="L766">
        <v>18</v>
      </c>
      <c r="M766">
        <v>31.4</v>
      </c>
      <c r="N766">
        <v>30.5</v>
      </c>
      <c r="O766">
        <v>32.5</v>
      </c>
      <c r="P766">
        <v>33.4</v>
      </c>
      <c r="Q766">
        <v>48.8</v>
      </c>
      <c r="R766">
        <v>51.2</v>
      </c>
      <c r="S766">
        <v>32.4</v>
      </c>
      <c r="T766">
        <v>33.9</v>
      </c>
      <c r="U766">
        <v>69.8</v>
      </c>
      <c r="V766">
        <v>-10.5</v>
      </c>
      <c r="W766" cm="1">
        <f t="array" ref="W766">_xlfn.IFS(OR(X766="N/A",X766="NA"),0,OR(X766="R64",X766="R68"),1,X766="R32",2,X766="S16",3,X766="E8",4,X766="F4",5,X766="2ND",6,X766="Champions",7)</f>
        <v>0</v>
      </c>
      <c r="X766" t="s">
        <v>90</v>
      </c>
      <c r="Y766" t="s">
        <v>90</v>
      </c>
      <c r="Z766">
        <v>2018</v>
      </c>
    </row>
    <row r="767" spans="1:26" x14ac:dyDescent="0.3">
      <c r="A767" t="s">
        <v>257</v>
      </c>
      <c r="B767" t="s">
        <v>57</v>
      </c>
      <c r="C767">
        <v>32</v>
      </c>
      <c r="D767">
        <v>16</v>
      </c>
      <c r="E767" s="1">
        <f t="shared" si="11"/>
        <v>0.5</v>
      </c>
      <c r="F767">
        <v>100</v>
      </c>
      <c r="G767">
        <v>101.9</v>
      </c>
      <c r="H767">
        <v>0.44750000000000001</v>
      </c>
      <c r="I767">
        <v>50.1</v>
      </c>
      <c r="J767">
        <v>51.4</v>
      </c>
      <c r="K767">
        <v>19.3</v>
      </c>
      <c r="L767">
        <v>18.100000000000001</v>
      </c>
      <c r="M767">
        <v>27.1</v>
      </c>
      <c r="N767">
        <v>25.8</v>
      </c>
      <c r="O767">
        <v>27</v>
      </c>
      <c r="P767">
        <v>28.5</v>
      </c>
      <c r="Q767">
        <v>50</v>
      </c>
      <c r="R767">
        <v>51.9</v>
      </c>
      <c r="S767">
        <v>33.5</v>
      </c>
      <c r="T767">
        <v>33.700000000000003</v>
      </c>
      <c r="U767">
        <v>67.7</v>
      </c>
      <c r="V767">
        <v>-10.5</v>
      </c>
      <c r="W767" cm="1">
        <f t="array" ref="W767">_xlfn.IFS(OR(X767="N/A",X767="NA"),0,OR(X767="R64",X767="R68"),1,X767="R32",2,X767="S16",3,X767="E8",4,X767="F4",5,X767="2ND",6,X767="Champions",7)</f>
        <v>0</v>
      </c>
      <c r="X767" t="s">
        <v>90</v>
      </c>
      <c r="Y767" t="s">
        <v>90</v>
      </c>
      <c r="Z767">
        <v>2018</v>
      </c>
    </row>
    <row r="768" spans="1:26" x14ac:dyDescent="0.3">
      <c r="A768" t="s">
        <v>258</v>
      </c>
      <c r="B768" t="s">
        <v>57</v>
      </c>
      <c r="C768">
        <v>30</v>
      </c>
      <c r="D768">
        <v>12</v>
      </c>
      <c r="E768" s="1">
        <f t="shared" si="11"/>
        <v>0.4</v>
      </c>
      <c r="F768">
        <v>102.1</v>
      </c>
      <c r="G768">
        <v>110.6</v>
      </c>
      <c r="H768">
        <v>0.28439999999999999</v>
      </c>
      <c r="I768">
        <v>49.5</v>
      </c>
      <c r="J768">
        <v>54.3</v>
      </c>
      <c r="K768">
        <v>17</v>
      </c>
      <c r="L768">
        <v>17.399999999999999</v>
      </c>
      <c r="M768">
        <v>28.2</v>
      </c>
      <c r="N768">
        <v>28.8</v>
      </c>
      <c r="O768">
        <v>33.1</v>
      </c>
      <c r="P768">
        <v>33.4</v>
      </c>
      <c r="Q768">
        <v>49.8</v>
      </c>
      <c r="R768">
        <v>54.6</v>
      </c>
      <c r="S768">
        <v>32.6</v>
      </c>
      <c r="T768">
        <v>36</v>
      </c>
      <c r="U768">
        <v>68.3</v>
      </c>
      <c r="V768">
        <v>-13</v>
      </c>
      <c r="W768" cm="1">
        <f t="array" ref="W768">_xlfn.IFS(OR(X768="N/A",X768="NA"),0,OR(X768="R64",X768="R68"),1,X768="R32",2,X768="S16",3,X768="E8",4,X768="F4",5,X768="2ND",6,X768="Champions",7)</f>
        <v>0</v>
      </c>
      <c r="X768" t="s">
        <v>90</v>
      </c>
      <c r="Y768" t="s">
        <v>90</v>
      </c>
      <c r="Z768">
        <v>2018</v>
      </c>
    </row>
    <row r="769" spans="1:26" x14ac:dyDescent="0.3">
      <c r="A769" t="s">
        <v>259</v>
      </c>
      <c r="B769" t="s">
        <v>57</v>
      </c>
      <c r="C769">
        <v>30</v>
      </c>
      <c r="D769">
        <v>14</v>
      </c>
      <c r="E769" s="1">
        <f t="shared" si="11"/>
        <v>0.46666666666666667</v>
      </c>
      <c r="F769">
        <v>99.9</v>
      </c>
      <c r="G769">
        <v>101</v>
      </c>
      <c r="H769">
        <v>0.4672</v>
      </c>
      <c r="I769">
        <v>51</v>
      </c>
      <c r="J769">
        <v>49.9</v>
      </c>
      <c r="K769">
        <v>18</v>
      </c>
      <c r="L769">
        <v>18.100000000000001</v>
      </c>
      <c r="M769">
        <v>22.4</v>
      </c>
      <c r="N769">
        <v>26.4</v>
      </c>
      <c r="O769">
        <v>30.9</v>
      </c>
      <c r="P769">
        <v>30.1</v>
      </c>
      <c r="Q769">
        <v>48.4</v>
      </c>
      <c r="R769">
        <v>50.7</v>
      </c>
      <c r="S769">
        <v>37.200000000000003</v>
      </c>
      <c r="T769">
        <v>32.4</v>
      </c>
      <c r="U769">
        <v>72.7</v>
      </c>
      <c r="V769">
        <v>-10.9</v>
      </c>
      <c r="W769" cm="1">
        <f t="array" ref="W769">_xlfn.IFS(OR(X769="N/A",X769="NA"),0,OR(X769="R64",X769="R68"),1,X769="R32",2,X769="S16",3,X769="E8",4,X769="F4",5,X769="2ND",6,X769="Champions",7)</f>
        <v>0</v>
      </c>
      <c r="X769" t="s">
        <v>90</v>
      </c>
      <c r="Y769" t="s">
        <v>90</v>
      </c>
      <c r="Z769">
        <v>2018</v>
      </c>
    </row>
    <row r="770" spans="1:26" x14ac:dyDescent="0.3">
      <c r="A770" t="s">
        <v>260</v>
      </c>
      <c r="B770" t="s">
        <v>57</v>
      </c>
      <c r="C770">
        <v>33</v>
      </c>
      <c r="D770">
        <v>23</v>
      </c>
      <c r="E770" s="1">
        <f t="shared" si="11"/>
        <v>0.69696969696969702</v>
      </c>
      <c r="F770">
        <v>113.2</v>
      </c>
      <c r="G770">
        <v>108.3</v>
      </c>
      <c r="H770">
        <v>0.62480000000000002</v>
      </c>
      <c r="I770">
        <v>55.3</v>
      </c>
      <c r="J770">
        <v>49.5</v>
      </c>
      <c r="K770">
        <v>16.600000000000001</v>
      </c>
      <c r="L770">
        <v>13.4</v>
      </c>
      <c r="M770">
        <v>27.8</v>
      </c>
      <c r="N770">
        <v>27.8</v>
      </c>
      <c r="O770">
        <v>37.1</v>
      </c>
      <c r="P770">
        <v>26.4</v>
      </c>
      <c r="Q770">
        <v>51.4</v>
      </c>
      <c r="R770">
        <v>48.5</v>
      </c>
      <c r="S770">
        <v>40.6</v>
      </c>
      <c r="T770">
        <v>34.4</v>
      </c>
      <c r="U770">
        <v>69.5</v>
      </c>
      <c r="V770">
        <v>-4.5</v>
      </c>
      <c r="W770" cm="1">
        <f t="array" ref="W770">_xlfn.IFS(OR(X770="N/A",X770="NA"),0,OR(X770="R64",X770="R68"),1,X770="R32",2,X770="S16",3,X770="E8",4,X770="F4",5,X770="2ND",6,X770="Champions",7)</f>
        <v>0</v>
      </c>
      <c r="X770" t="s">
        <v>90</v>
      </c>
      <c r="Y770" t="s">
        <v>90</v>
      </c>
      <c r="Z770">
        <v>2018</v>
      </c>
    </row>
    <row r="771" spans="1:26" x14ac:dyDescent="0.3">
      <c r="A771" t="s">
        <v>261</v>
      </c>
      <c r="B771" t="s">
        <v>57</v>
      </c>
      <c r="C771">
        <v>30</v>
      </c>
      <c r="D771">
        <v>17</v>
      </c>
      <c r="E771" s="1">
        <f t="shared" ref="E771:E834" si="12">D771/C771</f>
        <v>0.56666666666666665</v>
      </c>
      <c r="F771">
        <v>105.3</v>
      </c>
      <c r="G771">
        <v>108</v>
      </c>
      <c r="H771">
        <v>0.42870000000000003</v>
      </c>
      <c r="I771">
        <v>49.3</v>
      </c>
      <c r="J771">
        <v>54.2</v>
      </c>
      <c r="K771">
        <v>15.6</v>
      </c>
      <c r="L771">
        <v>19.7</v>
      </c>
      <c r="M771">
        <v>29.7</v>
      </c>
      <c r="N771">
        <v>27.2</v>
      </c>
      <c r="O771">
        <v>34.1</v>
      </c>
      <c r="P771">
        <v>33.700000000000003</v>
      </c>
      <c r="Q771">
        <v>48</v>
      </c>
      <c r="R771">
        <v>52.5</v>
      </c>
      <c r="S771">
        <v>34.5</v>
      </c>
      <c r="T771">
        <v>37.6</v>
      </c>
      <c r="U771">
        <v>68.900000000000006</v>
      </c>
      <c r="V771">
        <v>-9.5</v>
      </c>
      <c r="W771" cm="1">
        <f t="array" ref="W771">_xlfn.IFS(OR(X771="N/A",X771="NA"),0,OR(X771="R64",X771="R68"),1,X771="R32",2,X771="S16",3,X771="E8",4,X771="F4",5,X771="2ND",6,X771="Champions",7)</f>
        <v>0</v>
      </c>
      <c r="X771" t="s">
        <v>90</v>
      </c>
      <c r="Y771" t="s">
        <v>90</v>
      </c>
      <c r="Z771">
        <v>2018</v>
      </c>
    </row>
    <row r="772" spans="1:26" x14ac:dyDescent="0.3">
      <c r="A772" t="s">
        <v>251</v>
      </c>
      <c r="B772" t="s">
        <v>57</v>
      </c>
      <c r="C772">
        <v>31</v>
      </c>
      <c r="D772">
        <v>17</v>
      </c>
      <c r="E772" s="1">
        <f t="shared" si="12"/>
        <v>0.54838709677419351</v>
      </c>
      <c r="F772">
        <v>98.4</v>
      </c>
      <c r="G772">
        <v>92.9</v>
      </c>
      <c r="H772">
        <v>0.65859999999999996</v>
      </c>
      <c r="I772">
        <v>48.2</v>
      </c>
      <c r="J772">
        <v>45.5</v>
      </c>
      <c r="K772">
        <v>17.3</v>
      </c>
      <c r="L772">
        <v>19.100000000000001</v>
      </c>
      <c r="M772">
        <v>25.1</v>
      </c>
      <c r="N772">
        <v>29.9</v>
      </c>
      <c r="O772">
        <v>27.7</v>
      </c>
      <c r="P772">
        <v>30.6</v>
      </c>
      <c r="Q772">
        <v>48.8</v>
      </c>
      <c r="R772">
        <v>46.1</v>
      </c>
      <c r="S772">
        <v>31.7</v>
      </c>
      <c r="T772">
        <v>29.6</v>
      </c>
      <c r="U772">
        <v>67.5</v>
      </c>
      <c r="V772">
        <v>-8.1</v>
      </c>
      <c r="W772" cm="1">
        <f t="array" ref="W772">_xlfn.IFS(OR(X772="N/A",X772="NA"),0,OR(X772="R64",X772="R68"),1,X772="R32",2,X772="S16",3,X772="E8",4,X772="F4",5,X772="2ND",6,X772="Champions",7)</f>
        <v>0</v>
      </c>
      <c r="X772" t="s">
        <v>90</v>
      </c>
      <c r="Y772" t="s">
        <v>90</v>
      </c>
      <c r="Z772">
        <v>2019</v>
      </c>
    </row>
    <row r="773" spans="1:26" x14ac:dyDescent="0.3">
      <c r="A773" t="s">
        <v>252</v>
      </c>
      <c r="B773" t="s">
        <v>57</v>
      </c>
      <c r="C773">
        <v>32</v>
      </c>
      <c r="D773">
        <v>16</v>
      </c>
      <c r="E773" s="1">
        <f t="shared" si="12"/>
        <v>0.5</v>
      </c>
      <c r="F773">
        <v>100.5</v>
      </c>
      <c r="G773">
        <v>97.7</v>
      </c>
      <c r="H773">
        <v>0.58250000000000002</v>
      </c>
      <c r="I773">
        <v>51.8</v>
      </c>
      <c r="J773">
        <v>47.3</v>
      </c>
      <c r="K773">
        <v>20.2</v>
      </c>
      <c r="L773">
        <v>17.899999999999999</v>
      </c>
      <c r="M773">
        <v>27.5</v>
      </c>
      <c r="N773">
        <v>28.6</v>
      </c>
      <c r="O773">
        <v>37.6</v>
      </c>
      <c r="P773">
        <v>30.4</v>
      </c>
      <c r="Q773">
        <v>53.5</v>
      </c>
      <c r="R773">
        <v>46.8</v>
      </c>
      <c r="S773">
        <v>32.200000000000003</v>
      </c>
      <c r="T773">
        <v>32.1</v>
      </c>
      <c r="U773">
        <v>71.599999999999994</v>
      </c>
      <c r="V773">
        <v>-8.6</v>
      </c>
      <c r="W773" cm="1">
        <f t="array" ref="W773">_xlfn.IFS(OR(X773="N/A",X773="NA"),0,OR(X773="R64",X773="R68"),1,X773="R32",2,X773="S16",3,X773="E8",4,X773="F4",5,X773="2ND",6,X773="Champions",7)</f>
        <v>0</v>
      </c>
      <c r="X773" t="s">
        <v>90</v>
      </c>
      <c r="Y773" t="s">
        <v>90</v>
      </c>
      <c r="Z773">
        <v>2019</v>
      </c>
    </row>
    <row r="774" spans="1:26" x14ac:dyDescent="0.3">
      <c r="A774" t="s">
        <v>253</v>
      </c>
      <c r="B774" t="s">
        <v>57</v>
      </c>
      <c r="C774">
        <v>32</v>
      </c>
      <c r="D774">
        <v>22</v>
      </c>
      <c r="E774" s="1">
        <f t="shared" si="12"/>
        <v>0.6875</v>
      </c>
      <c r="F774">
        <v>107.5</v>
      </c>
      <c r="G774">
        <v>102</v>
      </c>
      <c r="H774">
        <v>0.64659999999999995</v>
      </c>
      <c r="I774">
        <v>50.5</v>
      </c>
      <c r="J774">
        <v>50.8</v>
      </c>
      <c r="K774">
        <v>16.600000000000001</v>
      </c>
      <c r="L774">
        <v>17.8</v>
      </c>
      <c r="M774">
        <v>30.7</v>
      </c>
      <c r="N774">
        <v>24.8</v>
      </c>
      <c r="O774">
        <v>34.9</v>
      </c>
      <c r="P774">
        <v>31.1</v>
      </c>
      <c r="Q774">
        <v>48.8</v>
      </c>
      <c r="R774">
        <v>50</v>
      </c>
      <c r="S774">
        <v>35.799999999999997</v>
      </c>
      <c r="T774">
        <v>34.6</v>
      </c>
      <c r="U774">
        <v>71.5</v>
      </c>
      <c r="V774">
        <v>-4.3</v>
      </c>
      <c r="W774" cm="1">
        <f t="array" ref="W774">_xlfn.IFS(OR(X774="N/A",X774="NA"),0,OR(X774="R64",X774="R68"),1,X774="R32",2,X774="S16",3,X774="E8",4,X774="F4",5,X774="2ND",6,X774="Champions",7)</f>
        <v>0</v>
      </c>
      <c r="X774" t="s">
        <v>90</v>
      </c>
      <c r="Y774" t="s">
        <v>90</v>
      </c>
      <c r="Z774">
        <v>2019</v>
      </c>
    </row>
    <row r="775" spans="1:26" x14ac:dyDescent="0.3">
      <c r="A775" t="s">
        <v>254</v>
      </c>
      <c r="B775" t="s">
        <v>57</v>
      </c>
      <c r="C775">
        <v>32</v>
      </c>
      <c r="D775">
        <v>23</v>
      </c>
      <c r="E775" s="1">
        <f t="shared" si="12"/>
        <v>0.71875</v>
      </c>
      <c r="F775">
        <v>109.2</v>
      </c>
      <c r="G775">
        <v>105.3</v>
      </c>
      <c r="H775">
        <v>0.6038</v>
      </c>
      <c r="I775">
        <v>51.4</v>
      </c>
      <c r="J775">
        <v>50.1</v>
      </c>
      <c r="K775">
        <v>16.2</v>
      </c>
      <c r="L775">
        <v>18.7</v>
      </c>
      <c r="M775">
        <v>31</v>
      </c>
      <c r="N775">
        <v>33.1</v>
      </c>
      <c r="O775">
        <v>40</v>
      </c>
      <c r="P775">
        <v>28.8</v>
      </c>
      <c r="Q775">
        <v>48.9</v>
      </c>
      <c r="R775">
        <v>53.6</v>
      </c>
      <c r="S775">
        <v>36.9</v>
      </c>
      <c r="T775">
        <v>29.3</v>
      </c>
      <c r="U775">
        <v>72.400000000000006</v>
      </c>
      <c r="V775">
        <v>-4</v>
      </c>
      <c r="W775" cm="1">
        <f t="array" ref="W775">_xlfn.IFS(OR(X775="N/A",X775="NA"),0,OR(X775="R64",X775="R68"),1,X775="R32",2,X775="S16",3,X775="E8",4,X775="F4",5,X775="2ND",6,X775="Champions",7)</f>
        <v>0</v>
      </c>
      <c r="X775" t="s">
        <v>90</v>
      </c>
      <c r="Y775" t="s">
        <v>90</v>
      </c>
      <c r="Z775">
        <v>2019</v>
      </c>
    </row>
    <row r="776" spans="1:26" x14ac:dyDescent="0.3">
      <c r="A776" t="s">
        <v>255</v>
      </c>
      <c r="B776" t="s">
        <v>57</v>
      </c>
      <c r="C776">
        <v>28</v>
      </c>
      <c r="D776">
        <v>15</v>
      </c>
      <c r="E776" s="1">
        <f t="shared" si="12"/>
        <v>0.5357142857142857</v>
      </c>
      <c r="F776">
        <v>101.4</v>
      </c>
      <c r="G776">
        <v>101.5</v>
      </c>
      <c r="H776">
        <v>0.49730000000000002</v>
      </c>
      <c r="I776">
        <v>48.5</v>
      </c>
      <c r="J776">
        <v>50.8</v>
      </c>
      <c r="K776">
        <v>20.8</v>
      </c>
      <c r="L776">
        <v>20.100000000000001</v>
      </c>
      <c r="M776">
        <v>34.299999999999997</v>
      </c>
      <c r="N776">
        <v>34.9</v>
      </c>
      <c r="O776">
        <v>33.9</v>
      </c>
      <c r="P776">
        <v>32</v>
      </c>
      <c r="Q776">
        <v>50.5</v>
      </c>
      <c r="R776">
        <v>50.4</v>
      </c>
      <c r="S776">
        <v>29.9</v>
      </c>
      <c r="T776">
        <v>34.200000000000003</v>
      </c>
      <c r="U776">
        <v>64.400000000000006</v>
      </c>
      <c r="V776">
        <v>-8.1</v>
      </c>
      <c r="W776" cm="1">
        <f t="array" ref="W776">_xlfn.IFS(OR(X776="N/A",X776="NA"),0,OR(X776="R64",X776="R68"),1,X776="R32",2,X776="S16",3,X776="E8",4,X776="F4",5,X776="2ND",6,X776="Champions",7)</f>
        <v>0</v>
      </c>
      <c r="X776" t="s">
        <v>90</v>
      </c>
      <c r="Y776" t="s">
        <v>90</v>
      </c>
      <c r="Z776">
        <v>2019</v>
      </c>
    </row>
    <row r="777" spans="1:26" x14ac:dyDescent="0.3">
      <c r="A777" t="s">
        <v>256</v>
      </c>
      <c r="B777" t="s">
        <v>57</v>
      </c>
      <c r="C777">
        <v>31</v>
      </c>
      <c r="D777">
        <v>22</v>
      </c>
      <c r="E777" s="1">
        <f t="shared" si="12"/>
        <v>0.70967741935483875</v>
      </c>
      <c r="F777">
        <v>109</v>
      </c>
      <c r="G777">
        <v>106</v>
      </c>
      <c r="H777">
        <v>0.57820000000000005</v>
      </c>
      <c r="I777">
        <v>49.6</v>
      </c>
      <c r="J777">
        <v>52.7</v>
      </c>
      <c r="K777">
        <v>16.399999999999999</v>
      </c>
      <c r="L777">
        <v>19</v>
      </c>
      <c r="M777">
        <v>33.200000000000003</v>
      </c>
      <c r="N777">
        <v>30.6</v>
      </c>
      <c r="O777">
        <v>31.8</v>
      </c>
      <c r="P777">
        <v>35.9</v>
      </c>
      <c r="Q777">
        <v>49.1</v>
      </c>
      <c r="R777">
        <v>53.2</v>
      </c>
      <c r="S777">
        <v>33.6</v>
      </c>
      <c r="T777">
        <v>34.700000000000003</v>
      </c>
      <c r="U777">
        <v>68.900000000000006</v>
      </c>
      <c r="V777">
        <v>-2.7</v>
      </c>
      <c r="W777" cm="1">
        <f t="array" ref="W777">_xlfn.IFS(OR(X777="N/A",X777="NA"),0,OR(X777="R64",X777="R68"),1,X777="R32",2,X777="S16",3,X777="E8",4,X777="F4",5,X777="2ND",6,X777="Champions",7)</f>
        <v>0</v>
      </c>
      <c r="X777" t="s">
        <v>90</v>
      </c>
      <c r="Y777" t="s">
        <v>90</v>
      </c>
      <c r="Z777">
        <v>2019</v>
      </c>
    </row>
    <row r="778" spans="1:26" x14ac:dyDescent="0.3">
      <c r="A778" t="s">
        <v>257</v>
      </c>
      <c r="B778" t="s">
        <v>57</v>
      </c>
      <c r="C778">
        <v>30</v>
      </c>
      <c r="D778">
        <v>15</v>
      </c>
      <c r="E778" s="1">
        <f t="shared" si="12"/>
        <v>0.5</v>
      </c>
      <c r="F778">
        <v>103</v>
      </c>
      <c r="G778">
        <v>101.4</v>
      </c>
      <c r="H778">
        <v>0.54690000000000005</v>
      </c>
      <c r="I778">
        <v>48.6</v>
      </c>
      <c r="J778">
        <v>51.1</v>
      </c>
      <c r="K778">
        <v>18.7</v>
      </c>
      <c r="L778">
        <v>16.7</v>
      </c>
      <c r="M778">
        <v>30</v>
      </c>
      <c r="N778">
        <v>25.3</v>
      </c>
      <c r="O778">
        <v>34.700000000000003</v>
      </c>
      <c r="P778">
        <v>33.9</v>
      </c>
      <c r="Q778">
        <v>48.7</v>
      </c>
      <c r="R778">
        <v>51.3</v>
      </c>
      <c r="S778">
        <v>32.299999999999997</v>
      </c>
      <c r="T778">
        <v>33.9</v>
      </c>
      <c r="U778">
        <v>67.599999999999994</v>
      </c>
      <c r="V778">
        <v>-8.6999999999999993</v>
      </c>
      <c r="W778" cm="1">
        <f t="array" ref="W778">_xlfn.IFS(OR(X778="N/A",X778="NA"),0,OR(X778="R64",X778="R68"),1,X778="R32",2,X778="S16",3,X778="E8",4,X778="F4",5,X778="2ND",6,X778="Champions",7)</f>
        <v>0</v>
      </c>
      <c r="X778" t="s">
        <v>90</v>
      </c>
      <c r="Y778" t="s">
        <v>90</v>
      </c>
      <c r="Z778">
        <v>2019</v>
      </c>
    </row>
    <row r="779" spans="1:26" x14ac:dyDescent="0.3">
      <c r="A779" t="s">
        <v>258</v>
      </c>
      <c r="B779" t="s">
        <v>57</v>
      </c>
      <c r="C779">
        <v>32</v>
      </c>
      <c r="D779">
        <v>17</v>
      </c>
      <c r="E779" s="1">
        <f t="shared" si="12"/>
        <v>0.53125</v>
      </c>
      <c r="F779">
        <v>106.6</v>
      </c>
      <c r="G779">
        <v>104.8</v>
      </c>
      <c r="H779">
        <v>0.54979999999999996</v>
      </c>
      <c r="I779">
        <v>52.6</v>
      </c>
      <c r="J779">
        <v>51.9</v>
      </c>
      <c r="K779">
        <v>17.2</v>
      </c>
      <c r="L779">
        <v>17.899999999999999</v>
      </c>
      <c r="M779">
        <v>27.2</v>
      </c>
      <c r="N779">
        <v>26.7</v>
      </c>
      <c r="O779">
        <v>26.5</v>
      </c>
      <c r="P779">
        <v>39.1</v>
      </c>
      <c r="Q779">
        <v>51.6</v>
      </c>
      <c r="R779">
        <v>50</v>
      </c>
      <c r="S779">
        <v>36.5</v>
      </c>
      <c r="T779">
        <v>36.1</v>
      </c>
      <c r="U779">
        <v>67.3</v>
      </c>
      <c r="V779">
        <v>-8.9</v>
      </c>
      <c r="W779" cm="1">
        <f t="array" ref="W779">_xlfn.IFS(OR(X779="N/A",X779="NA"),0,OR(X779="R64",X779="R68"),1,X779="R32",2,X779="S16",3,X779="E8",4,X779="F4",5,X779="2ND",6,X779="Champions",7)</f>
        <v>0</v>
      </c>
      <c r="X779" t="s">
        <v>90</v>
      </c>
      <c r="Y779" t="s">
        <v>90</v>
      </c>
      <c r="Z779">
        <v>2019</v>
      </c>
    </row>
    <row r="780" spans="1:26" x14ac:dyDescent="0.3">
      <c r="A780" t="s">
        <v>259</v>
      </c>
      <c r="B780" t="s">
        <v>57</v>
      </c>
      <c r="C780">
        <v>30</v>
      </c>
      <c r="D780">
        <v>14</v>
      </c>
      <c r="E780" s="1">
        <f t="shared" si="12"/>
        <v>0.46666666666666667</v>
      </c>
      <c r="F780">
        <v>98.4</v>
      </c>
      <c r="G780">
        <v>100.5</v>
      </c>
      <c r="H780">
        <v>0.43959999999999999</v>
      </c>
      <c r="I780">
        <v>48.6</v>
      </c>
      <c r="J780">
        <v>50.8</v>
      </c>
      <c r="K780">
        <v>20</v>
      </c>
      <c r="L780">
        <v>18.5</v>
      </c>
      <c r="M780">
        <v>28.2</v>
      </c>
      <c r="N780">
        <v>27.4</v>
      </c>
      <c r="O780">
        <v>33.200000000000003</v>
      </c>
      <c r="P780">
        <v>31.2</v>
      </c>
      <c r="Q780">
        <v>50.7</v>
      </c>
      <c r="R780">
        <v>48.9</v>
      </c>
      <c r="S780">
        <v>29.7</v>
      </c>
      <c r="T780">
        <v>35.9</v>
      </c>
      <c r="U780">
        <v>70.8</v>
      </c>
      <c r="V780">
        <v>-8.6999999999999993</v>
      </c>
      <c r="W780" cm="1">
        <f t="array" ref="W780">_xlfn.IFS(OR(X780="N/A",X780="NA"),0,OR(X780="R64",X780="R68"),1,X780="R32",2,X780="S16",3,X780="E8",4,X780="F4",5,X780="2ND",6,X780="Champions",7)</f>
        <v>0</v>
      </c>
      <c r="X780" t="s">
        <v>90</v>
      </c>
      <c r="Y780" t="s">
        <v>90</v>
      </c>
      <c r="Z780">
        <v>2019</v>
      </c>
    </row>
    <row r="781" spans="1:26" x14ac:dyDescent="0.3">
      <c r="A781" t="s">
        <v>260</v>
      </c>
      <c r="B781" t="s">
        <v>57</v>
      </c>
      <c r="C781">
        <v>32</v>
      </c>
      <c r="D781">
        <v>25</v>
      </c>
      <c r="E781" s="1">
        <f t="shared" si="12"/>
        <v>0.78125</v>
      </c>
      <c r="F781">
        <v>108.6</v>
      </c>
      <c r="G781">
        <v>97.8</v>
      </c>
      <c r="H781">
        <v>0.76859999999999995</v>
      </c>
      <c r="I781">
        <v>53.2</v>
      </c>
      <c r="J781">
        <v>46.8</v>
      </c>
      <c r="K781">
        <v>17.399999999999999</v>
      </c>
      <c r="L781">
        <v>15.4</v>
      </c>
      <c r="M781">
        <v>28.1</v>
      </c>
      <c r="N781">
        <v>25.7</v>
      </c>
      <c r="O781">
        <v>26.1</v>
      </c>
      <c r="P781">
        <v>26.8</v>
      </c>
      <c r="Q781">
        <v>50.4</v>
      </c>
      <c r="R781">
        <v>46.6</v>
      </c>
      <c r="S781">
        <v>38</v>
      </c>
      <c r="T781">
        <v>31.5</v>
      </c>
      <c r="U781">
        <v>69</v>
      </c>
      <c r="V781">
        <v>-0.1</v>
      </c>
      <c r="W781" cm="1">
        <f t="array" ref="W781">_xlfn.IFS(OR(X781="N/A",X781="NA"),0,OR(X781="R64",X781="R68"),1,X781="R32",2,X781="S16",3,X781="E8",4,X781="F4",5,X781="2ND",6,X781="Champions",7)</f>
        <v>0</v>
      </c>
      <c r="X781" t="s">
        <v>90</v>
      </c>
      <c r="Y781" t="s">
        <v>90</v>
      </c>
      <c r="Z781">
        <v>2019</v>
      </c>
    </row>
    <row r="782" spans="1:26" x14ac:dyDescent="0.3">
      <c r="A782" t="s">
        <v>261</v>
      </c>
      <c r="B782" t="s">
        <v>57</v>
      </c>
      <c r="C782">
        <v>31</v>
      </c>
      <c r="D782">
        <v>8</v>
      </c>
      <c r="E782" s="1">
        <f t="shared" si="12"/>
        <v>0.25806451612903225</v>
      </c>
      <c r="F782">
        <v>98.3</v>
      </c>
      <c r="G782">
        <v>105</v>
      </c>
      <c r="H782">
        <v>0.31890000000000002</v>
      </c>
      <c r="I782">
        <v>48</v>
      </c>
      <c r="J782">
        <v>52.1</v>
      </c>
      <c r="K782">
        <v>21.7</v>
      </c>
      <c r="L782">
        <v>15.2</v>
      </c>
      <c r="M782">
        <v>29.7</v>
      </c>
      <c r="N782">
        <v>27.6</v>
      </c>
      <c r="O782">
        <v>36.700000000000003</v>
      </c>
      <c r="P782">
        <v>29.9</v>
      </c>
      <c r="Q782">
        <v>49.4</v>
      </c>
      <c r="R782">
        <v>50.1</v>
      </c>
      <c r="S782">
        <v>30.5</v>
      </c>
      <c r="T782">
        <v>36.9</v>
      </c>
      <c r="U782">
        <v>70.5</v>
      </c>
      <c r="V782">
        <v>-15.2</v>
      </c>
      <c r="W782" cm="1">
        <f t="array" ref="W782">_xlfn.IFS(OR(X782="N/A",X782="NA"),0,OR(X782="R64",X782="R68"),1,X782="R32",2,X782="S16",3,X782="E8",4,X782="F4",5,X782="2ND",6,X782="Champions",7)</f>
        <v>0</v>
      </c>
      <c r="X782" t="s">
        <v>90</v>
      </c>
      <c r="Y782" t="s">
        <v>90</v>
      </c>
      <c r="Z782">
        <v>2019</v>
      </c>
    </row>
    <row r="783" spans="1:26" x14ac:dyDescent="0.3">
      <c r="A783" t="s">
        <v>263</v>
      </c>
      <c r="B783" t="s">
        <v>66</v>
      </c>
      <c r="C783">
        <v>30</v>
      </c>
      <c r="D783">
        <v>9</v>
      </c>
      <c r="E783" s="1">
        <f t="shared" si="12"/>
        <v>0.3</v>
      </c>
      <c r="F783">
        <v>90.4</v>
      </c>
      <c r="G783">
        <v>109.4</v>
      </c>
      <c r="H783">
        <v>0.10009999999999999</v>
      </c>
      <c r="I783">
        <v>44.2</v>
      </c>
      <c r="J783">
        <v>48.2</v>
      </c>
      <c r="K783">
        <v>22.7</v>
      </c>
      <c r="L783">
        <v>20.9</v>
      </c>
      <c r="M783">
        <v>34.4</v>
      </c>
      <c r="N783">
        <v>34.1</v>
      </c>
      <c r="O783">
        <v>40.299999999999997</v>
      </c>
      <c r="P783">
        <v>46.4</v>
      </c>
      <c r="Q783">
        <v>44.4</v>
      </c>
      <c r="R783">
        <v>47.5</v>
      </c>
      <c r="S783">
        <v>29.1</v>
      </c>
      <c r="T783">
        <v>33.1</v>
      </c>
      <c r="U783">
        <v>60.6</v>
      </c>
      <c r="V783">
        <v>-18.2</v>
      </c>
      <c r="W783" cm="1">
        <f t="array" ref="W783">_xlfn.IFS(OR(X783="N/A",X783="NA"),0,OR(X783="R64",X783="R68"),1,X783="R32",2,X783="S16",3,X783="E8",4,X783="F4",5,X783="2ND",6,X783="Champions",7)</f>
        <v>0</v>
      </c>
      <c r="X783" t="s">
        <v>90</v>
      </c>
      <c r="Y783" t="s">
        <v>90</v>
      </c>
      <c r="Z783">
        <v>2015</v>
      </c>
    </row>
    <row r="784" spans="1:26" x14ac:dyDescent="0.3">
      <c r="A784" t="s">
        <v>264</v>
      </c>
      <c r="B784" t="s">
        <v>66</v>
      </c>
      <c r="C784">
        <v>30</v>
      </c>
      <c r="D784">
        <v>7</v>
      </c>
      <c r="E784" s="1">
        <f t="shared" si="12"/>
        <v>0.23333333333333334</v>
      </c>
      <c r="F784">
        <v>97</v>
      </c>
      <c r="G784">
        <v>115.7</v>
      </c>
      <c r="H784">
        <v>0.1163</v>
      </c>
      <c r="I784">
        <v>47</v>
      </c>
      <c r="J784">
        <v>54.5</v>
      </c>
      <c r="K784">
        <v>18.399999999999999</v>
      </c>
      <c r="L784">
        <v>19.3</v>
      </c>
      <c r="M784">
        <v>25.3</v>
      </c>
      <c r="N784">
        <v>38.1</v>
      </c>
      <c r="O784">
        <v>30.5</v>
      </c>
      <c r="P784">
        <v>42.4</v>
      </c>
      <c r="Q784">
        <v>42.4</v>
      </c>
      <c r="R784">
        <v>53.2</v>
      </c>
      <c r="S784">
        <v>35.299999999999997</v>
      </c>
      <c r="T784">
        <v>38.4</v>
      </c>
      <c r="U784">
        <v>74.3</v>
      </c>
      <c r="V784">
        <v>-16.600000000000001</v>
      </c>
      <c r="W784" cm="1">
        <f t="array" ref="W784">_xlfn.IFS(OR(X784="N/A",X784="NA"),0,OR(X784="R64",X784="R68"),1,X784="R32",2,X784="S16",3,X784="E8",4,X784="F4",5,X784="2ND",6,X784="Champions",7)</f>
        <v>0</v>
      </c>
      <c r="X784" t="s">
        <v>90</v>
      </c>
      <c r="Y784" t="s">
        <v>90</v>
      </c>
      <c r="Z784">
        <v>2015</v>
      </c>
    </row>
    <row r="785" spans="1:26" x14ac:dyDescent="0.3">
      <c r="A785" t="s">
        <v>265</v>
      </c>
      <c r="B785" t="s">
        <v>66</v>
      </c>
      <c r="C785">
        <v>34</v>
      </c>
      <c r="D785">
        <v>16</v>
      </c>
      <c r="E785" s="1">
        <f t="shared" si="12"/>
        <v>0.47058823529411764</v>
      </c>
      <c r="F785">
        <v>99.3</v>
      </c>
      <c r="G785">
        <v>110</v>
      </c>
      <c r="H785">
        <v>0.2364</v>
      </c>
      <c r="I785">
        <v>47.7</v>
      </c>
      <c r="J785">
        <v>48.8</v>
      </c>
      <c r="K785">
        <v>19.7</v>
      </c>
      <c r="L785">
        <v>16.399999999999999</v>
      </c>
      <c r="M785">
        <v>31.8</v>
      </c>
      <c r="N785">
        <v>31.8</v>
      </c>
      <c r="O785">
        <v>31.5</v>
      </c>
      <c r="P785">
        <v>36</v>
      </c>
      <c r="Q785">
        <v>44.8</v>
      </c>
      <c r="R785">
        <v>48</v>
      </c>
      <c r="S785">
        <v>35</v>
      </c>
      <c r="T785">
        <v>33.5</v>
      </c>
      <c r="U785">
        <v>67.400000000000006</v>
      </c>
      <c r="V785">
        <v>-10.7</v>
      </c>
      <c r="W785" cm="1">
        <f t="array" ref="W785">_xlfn.IFS(OR(X785="N/A",X785="NA"),0,OR(X785="R64",X785="R68"),1,X785="R32",2,X785="S16",3,X785="E8",4,X785="F4",5,X785="2ND",6,X785="Champions",7)</f>
        <v>0</v>
      </c>
      <c r="X785" t="s">
        <v>90</v>
      </c>
      <c r="Y785" t="s">
        <v>90</v>
      </c>
      <c r="Z785">
        <v>2015</v>
      </c>
    </row>
    <row r="786" spans="1:26" x14ac:dyDescent="0.3">
      <c r="A786" t="s">
        <v>266</v>
      </c>
      <c r="B786" t="s">
        <v>66</v>
      </c>
      <c r="C786">
        <v>29</v>
      </c>
      <c r="D786">
        <v>2</v>
      </c>
      <c r="E786" s="1">
        <f t="shared" si="12"/>
        <v>6.8965517241379309E-2</v>
      </c>
      <c r="F786">
        <v>83.6</v>
      </c>
      <c r="G786">
        <v>116</v>
      </c>
      <c r="H786">
        <v>2.2599999999999999E-2</v>
      </c>
      <c r="I786">
        <v>41.3</v>
      </c>
      <c r="J786">
        <v>53.5</v>
      </c>
      <c r="K786">
        <v>21.8</v>
      </c>
      <c r="L786">
        <v>18.5</v>
      </c>
      <c r="M786">
        <v>26.8</v>
      </c>
      <c r="N786">
        <v>35.5</v>
      </c>
      <c r="O786">
        <v>37.799999999999997</v>
      </c>
      <c r="P786">
        <v>34.9</v>
      </c>
      <c r="Q786">
        <v>40.9</v>
      </c>
      <c r="R786">
        <v>54</v>
      </c>
      <c r="S786">
        <v>28.3</v>
      </c>
      <c r="T786">
        <v>35.1</v>
      </c>
      <c r="U786">
        <v>66.3</v>
      </c>
      <c r="V786">
        <v>-23.2</v>
      </c>
      <c r="W786" cm="1">
        <f t="array" ref="W786">_xlfn.IFS(OR(X786="N/A",X786="NA"),0,OR(X786="R64",X786="R68"),1,X786="R32",2,X786="S16",3,X786="E8",4,X786="F4",5,X786="2ND",6,X786="Champions",7)</f>
        <v>0</v>
      </c>
      <c r="X786" t="s">
        <v>90</v>
      </c>
      <c r="Y786" t="s">
        <v>90</v>
      </c>
      <c r="Z786">
        <v>2015</v>
      </c>
    </row>
    <row r="787" spans="1:26" x14ac:dyDescent="0.3">
      <c r="A787" t="s">
        <v>267</v>
      </c>
      <c r="B787" t="s">
        <v>66</v>
      </c>
      <c r="C787">
        <v>29</v>
      </c>
      <c r="D787">
        <v>13</v>
      </c>
      <c r="E787" s="1">
        <f t="shared" si="12"/>
        <v>0.44827586206896552</v>
      </c>
      <c r="F787">
        <v>90.8</v>
      </c>
      <c r="G787">
        <v>100.7</v>
      </c>
      <c r="H787">
        <v>0.23319999999999999</v>
      </c>
      <c r="I787">
        <v>46.2</v>
      </c>
      <c r="J787">
        <v>45.7</v>
      </c>
      <c r="K787">
        <v>25</v>
      </c>
      <c r="L787">
        <v>21.4</v>
      </c>
      <c r="M787">
        <v>33.5</v>
      </c>
      <c r="N787">
        <v>34.6</v>
      </c>
      <c r="O787">
        <v>43.4</v>
      </c>
      <c r="P787">
        <v>40.1</v>
      </c>
      <c r="Q787">
        <v>47.4</v>
      </c>
      <c r="R787">
        <v>44.8</v>
      </c>
      <c r="S787">
        <v>28.9</v>
      </c>
      <c r="T787">
        <v>31.4</v>
      </c>
      <c r="U787">
        <v>63.1</v>
      </c>
      <c r="V787">
        <v>-11.6</v>
      </c>
      <c r="W787" cm="1">
        <f t="array" ref="W787">_xlfn.IFS(OR(X787="N/A",X787="NA"),0,OR(X787="R64",X787="R68"),1,X787="R32",2,X787="S16",3,X787="E8",4,X787="F4",5,X787="2ND",6,X787="Champions",7)</f>
        <v>0</v>
      </c>
      <c r="X787" t="s">
        <v>90</v>
      </c>
      <c r="Y787" t="s">
        <v>90</v>
      </c>
      <c r="Z787">
        <v>2015</v>
      </c>
    </row>
    <row r="788" spans="1:26" x14ac:dyDescent="0.3">
      <c r="A788" t="s">
        <v>268</v>
      </c>
      <c r="B788" t="s">
        <v>66</v>
      </c>
      <c r="C788">
        <v>33</v>
      </c>
      <c r="D788">
        <v>18</v>
      </c>
      <c r="E788" s="1">
        <f t="shared" si="12"/>
        <v>0.54545454545454541</v>
      </c>
      <c r="F788">
        <v>100.9</v>
      </c>
      <c r="G788">
        <v>107.1</v>
      </c>
      <c r="H788">
        <v>0.33510000000000001</v>
      </c>
      <c r="I788">
        <v>51.7</v>
      </c>
      <c r="J788">
        <v>51.1</v>
      </c>
      <c r="K788">
        <v>23.4</v>
      </c>
      <c r="L788">
        <v>21.3</v>
      </c>
      <c r="M788">
        <v>35.5</v>
      </c>
      <c r="N788">
        <v>31.9</v>
      </c>
      <c r="O788">
        <v>47</v>
      </c>
      <c r="P788">
        <v>41.1</v>
      </c>
      <c r="Q788">
        <v>48.9</v>
      </c>
      <c r="R788">
        <v>52.6</v>
      </c>
      <c r="S788">
        <v>38.200000000000003</v>
      </c>
      <c r="T788">
        <v>32.4</v>
      </c>
      <c r="U788">
        <v>64.900000000000006</v>
      </c>
      <c r="V788">
        <v>-8.6999999999999993</v>
      </c>
      <c r="W788" cm="1">
        <f t="array" ref="W788">_xlfn.IFS(OR(X788="N/A",X788="NA"),0,OR(X788="R64",X788="R68"),1,X788="R32",2,X788="S16",3,X788="E8",4,X788="F4",5,X788="2ND",6,X788="Champions",7)</f>
        <v>0</v>
      </c>
      <c r="X788" t="s">
        <v>90</v>
      </c>
      <c r="Y788" t="s">
        <v>90</v>
      </c>
      <c r="Z788">
        <v>2015</v>
      </c>
    </row>
    <row r="789" spans="1:26" x14ac:dyDescent="0.3">
      <c r="A789" t="s">
        <v>269</v>
      </c>
      <c r="B789" t="s">
        <v>66</v>
      </c>
      <c r="C789">
        <v>31</v>
      </c>
      <c r="D789">
        <v>7</v>
      </c>
      <c r="E789" s="1">
        <f t="shared" si="12"/>
        <v>0.22580645161290322</v>
      </c>
      <c r="F789">
        <v>92.4</v>
      </c>
      <c r="G789">
        <v>111.3</v>
      </c>
      <c r="H789">
        <v>0.1057</v>
      </c>
      <c r="I789">
        <v>40.200000000000003</v>
      </c>
      <c r="J789">
        <v>53.3</v>
      </c>
      <c r="K789">
        <v>16.2</v>
      </c>
      <c r="L789">
        <v>21.6</v>
      </c>
      <c r="M789">
        <v>34.799999999999997</v>
      </c>
      <c r="N789">
        <v>33.799999999999997</v>
      </c>
      <c r="O789">
        <v>33.1</v>
      </c>
      <c r="P789">
        <v>43.2</v>
      </c>
      <c r="Q789">
        <v>39.1</v>
      </c>
      <c r="R789">
        <v>52.9</v>
      </c>
      <c r="S789">
        <v>28.4</v>
      </c>
      <c r="T789">
        <v>36.1</v>
      </c>
      <c r="U789">
        <v>65</v>
      </c>
      <c r="V789">
        <v>-18.5</v>
      </c>
      <c r="W789" cm="1">
        <f t="array" ref="W789">_xlfn.IFS(OR(X789="N/A",X789="NA"),0,OR(X789="R64",X789="R68"),1,X789="R32",2,X789="S16",3,X789="E8",4,X789="F4",5,X789="2ND",6,X789="Champions",7)</f>
        <v>0</v>
      </c>
      <c r="X789" t="s">
        <v>90</v>
      </c>
      <c r="Y789" t="s">
        <v>90</v>
      </c>
      <c r="Z789">
        <v>2015</v>
      </c>
    </row>
    <row r="790" spans="1:26" x14ac:dyDescent="0.3">
      <c r="A790" t="s">
        <v>270</v>
      </c>
      <c r="B790" t="s">
        <v>66</v>
      </c>
      <c r="C790">
        <v>32</v>
      </c>
      <c r="D790">
        <v>18</v>
      </c>
      <c r="E790" s="1">
        <f t="shared" si="12"/>
        <v>0.5625</v>
      </c>
      <c r="F790">
        <v>102.3</v>
      </c>
      <c r="G790">
        <v>107.4</v>
      </c>
      <c r="H790">
        <v>0.36209999999999998</v>
      </c>
      <c r="I790">
        <v>52.1</v>
      </c>
      <c r="J790">
        <v>48.1</v>
      </c>
      <c r="K790">
        <v>20.7</v>
      </c>
      <c r="L790">
        <v>18</v>
      </c>
      <c r="M790">
        <v>34.299999999999997</v>
      </c>
      <c r="N790">
        <v>30.4</v>
      </c>
      <c r="O790">
        <v>42.7</v>
      </c>
      <c r="P790">
        <v>39.4</v>
      </c>
      <c r="Q790">
        <v>52.2</v>
      </c>
      <c r="R790">
        <v>46.3</v>
      </c>
      <c r="S790">
        <v>34.5</v>
      </c>
      <c r="T790">
        <v>33.9</v>
      </c>
      <c r="U790">
        <v>65.099999999999994</v>
      </c>
      <c r="V790">
        <v>-7.6</v>
      </c>
      <c r="W790" cm="1">
        <f t="array" ref="W790">_xlfn.IFS(OR(X790="N/A",X790="NA"),0,OR(X790="R64",X790="R68"),1,X790="R32",2,X790="S16",3,X790="E8",4,X790="F4",5,X790="2ND",6,X790="Champions",7)</f>
        <v>0</v>
      </c>
      <c r="X790" t="s">
        <v>90</v>
      </c>
      <c r="Y790" t="s">
        <v>90</v>
      </c>
      <c r="Z790">
        <v>2015</v>
      </c>
    </row>
    <row r="791" spans="1:26" x14ac:dyDescent="0.3">
      <c r="A791" t="s">
        <v>271</v>
      </c>
      <c r="B791" t="s">
        <v>66</v>
      </c>
      <c r="C791">
        <v>30</v>
      </c>
      <c r="D791">
        <v>7</v>
      </c>
      <c r="E791" s="1">
        <f t="shared" si="12"/>
        <v>0.23333333333333334</v>
      </c>
      <c r="F791">
        <v>91.7</v>
      </c>
      <c r="G791">
        <v>112.1</v>
      </c>
      <c r="H791">
        <v>9.0300000000000005E-2</v>
      </c>
      <c r="I791">
        <v>44.6</v>
      </c>
      <c r="J791">
        <v>50.4</v>
      </c>
      <c r="K791">
        <v>23.6</v>
      </c>
      <c r="L791">
        <v>18.8</v>
      </c>
      <c r="M791">
        <v>34.1</v>
      </c>
      <c r="N791">
        <v>34.4</v>
      </c>
      <c r="O791">
        <v>37.299999999999997</v>
      </c>
      <c r="P791">
        <v>40.9</v>
      </c>
      <c r="Q791">
        <v>45.7</v>
      </c>
      <c r="R791">
        <v>47.8</v>
      </c>
      <c r="S791">
        <v>28.4</v>
      </c>
      <c r="T791">
        <v>36.5</v>
      </c>
      <c r="U791">
        <v>62.7</v>
      </c>
      <c r="V791">
        <v>-18.2</v>
      </c>
      <c r="W791" cm="1">
        <f t="array" ref="W791">_xlfn.IFS(OR(X791="N/A",X791="NA"),0,OR(X791="R64",X791="R68"),1,X791="R32",2,X791="S16",3,X791="E8",4,X791="F4",5,X791="2ND",6,X791="Champions",7)</f>
        <v>0</v>
      </c>
      <c r="X791" t="s">
        <v>90</v>
      </c>
      <c r="Y791" t="s">
        <v>90</v>
      </c>
      <c r="Z791">
        <v>2015</v>
      </c>
    </row>
    <row r="792" spans="1:26" x14ac:dyDescent="0.3">
      <c r="A792" t="s">
        <v>272</v>
      </c>
      <c r="B792" t="s">
        <v>66</v>
      </c>
      <c r="C792">
        <v>30</v>
      </c>
      <c r="D792">
        <v>22</v>
      </c>
      <c r="E792" s="1">
        <f t="shared" si="12"/>
        <v>0.73333333333333328</v>
      </c>
      <c r="F792">
        <v>102.5</v>
      </c>
      <c r="G792">
        <v>98.4</v>
      </c>
      <c r="H792">
        <v>0.61419999999999997</v>
      </c>
      <c r="I792">
        <v>53.2</v>
      </c>
      <c r="J792">
        <v>42.1</v>
      </c>
      <c r="K792">
        <v>19.8</v>
      </c>
      <c r="L792">
        <v>20.2</v>
      </c>
      <c r="M792">
        <v>31</v>
      </c>
      <c r="N792">
        <v>30.8</v>
      </c>
      <c r="O792">
        <v>37.200000000000003</v>
      </c>
      <c r="P792">
        <v>41.1</v>
      </c>
      <c r="Q792">
        <v>53.1</v>
      </c>
      <c r="R792">
        <v>41.3</v>
      </c>
      <c r="S792">
        <v>35.6</v>
      </c>
      <c r="T792">
        <v>29.1</v>
      </c>
      <c r="U792">
        <v>59.9</v>
      </c>
      <c r="V792">
        <v>-2.4</v>
      </c>
      <c r="W792" cm="1">
        <f t="array" ref="W792">_xlfn.IFS(OR(X792="N/A",X792="NA"),0,OR(X792="R64",X792="R68"),1,X792="R32",2,X792="S16",3,X792="E8",4,X792="F4",5,X792="2ND",6,X792="Champions",7)</f>
        <v>0</v>
      </c>
      <c r="X792" t="s">
        <v>90</v>
      </c>
      <c r="Y792" t="s">
        <v>90</v>
      </c>
      <c r="Z792">
        <v>2015</v>
      </c>
    </row>
    <row r="793" spans="1:26" x14ac:dyDescent="0.3">
      <c r="A793" t="s">
        <v>273</v>
      </c>
      <c r="B793" t="s">
        <v>66</v>
      </c>
      <c r="C793">
        <v>29</v>
      </c>
      <c r="D793">
        <v>7</v>
      </c>
      <c r="E793" s="1">
        <f t="shared" si="12"/>
        <v>0.2413793103448276</v>
      </c>
      <c r="F793">
        <v>85.6</v>
      </c>
      <c r="G793">
        <v>104.4</v>
      </c>
      <c r="H793">
        <v>9.2200000000000004E-2</v>
      </c>
      <c r="I793">
        <v>44</v>
      </c>
      <c r="J793">
        <v>53</v>
      </c>
      <c r="K793">
        <v>24.7</v>
      </c>
      <c r="L793">
        <v>24.8</v>
      </c>
      <c r="M793">
        <v>30</v>
      </c>
      <c r="N793">
        <v>33.700000000000003</v>
      </c>
      <c r="O793">
        <v>34.200000000000003</v>
      </c>
      <c r="P793">
        <v>50.5</v>
      </c>
      <c r="Q793">
        <v>46.2</v>
      </c>
      <c r="R793">
        <v>51.9</v>
      </c>
      <c r="S793">
        <v>25.2</v>
      </c>
      <c r="T793">
        <v>37.1</v>
      </c>
      <c r="U793">
        <v>65.400000000000006</v>
      </c>
      <c r="V793">
        <v>-16.3</v>
      </c>
      <c r="W793" cm="1">
        <f t="array" ref="W793">_xlfn.IFS(OR(X793="N/A",X793="NA"),0,OR(X793="R64",X793="R68"),1,X793="R32",2,X793="S16",3,X793="E8",4,X793="F4",5,X793="2ND",6,X793="Champions",7)</f>
        <v>0</v>
      </c>
      <c r="X793" t="s">
        <v>90</v>
      </c>
      <c r="Y793" t="s">
        <v>90</v>
      </c>
      <c r="Z793">
        <v>2015</v>
      </c>
    </row>
    <row r="794" spans="1:26" x14ac:dyDescent="0.3">
      <c r="A794" t="s">
        <v>274</v>
      </c>
      <c r="B794" t="s">
        <v>66</v>
      </c>
      <c r="C794">
        <v>31</v>
      </c>
      <c r="D794">
        <v>9</v>
      </c>
      <c r="E794" s="1">
        <f t="shared" si="12"/>
        <v>0.29032258064516131</v>
      </c>
      <c r="F794">
        <v>89.1</v>
      </c>
      <c r="G794">
        <v>107.6</v>
      </c>
      <c r="H794">
        <v>0.10299999999999999</v>
      </c>
      <c r="I794">
        <v>42.4</v>
      </c>
      <c r="J794">
        <v>51</v>
      </c>
      <c r="K794">
        <v>19.399999999999999</v>
      </c>
      <c r="L794">
        <v>20.100000000000001</v>
      </c>
      <c r="M794">
        <v>30.1</v>
      </c>
      <c r="N794">
        <v>33.200000000000003</v>
      </c>
      <c r="O794">
        <v>32.799999999999997</v>
      </c>
      <c r="P794">
        <v>36.4</v>
      </c>
      <c r="Q794">
        <v>41.1</v>
      </c>
      <c r="R794">
        <v>51.5</v>
      </c>
      <c r="S794">
        <v>30.1</v>
      </c>
      <c r="T794">
        <v>33.4</v>
      </c>
      <c r="U794">
        <v>65.2</v>
      </c>
      <c r="V794">
        <v>-17.2</v>
      </c>
      <c r="W794" cm="1">
        <f t="array" ref="W794">_xlfn.IFS(OR(X794="N/A",X794="NA"),0,OR(X794="R64",X794="R68"),1,X794="R32",2,X794="S16",3,X794="E8",4,X794="F4",5,X794="2ND",6,X794="Champions",7)</f>
        <v>0</v>
      </c>
      <c r="X794" t="s">
        <v>90</v>
      </c>
      <c r="Y794" t="s">
        <v>90</v>
      </c>
      <c r="Z794">
        <v>2015</v>
      </c>
    </row>
    <row r="795" spans="1:26" x14ac:dyDescent="0.3">
      <c r="A795" t="s">
        <v>263</v>
      </c>
      <c r="B795" t="s">
        <v>66</v>
      </c>
      <c r="C795">
        <v>30</v>
      </c>
      <c r="D795">
        <v>12</v>
      </c>
      <c r="E795" s="1">
        <f t="shared" si="12"/>
        <v>0.4</v>
      </c>
      <c r="F795">
        <v>97.5</v>
      </c>
      <c r="G795">
        <v>110.6</v>
      </c>
      <c r="H795">
        <v>0.18890000000000001</v>
      </c>
      <c r="I795">
        <v>47.1</v>
      </c>
      <c r="J795">
        <v>49.7</v>
      </c>
      <c r="K795">
        <v>18.5</v>
      </c>
      <c r="L795">
        <v>18</v>
      </c>
      <c r="M795">
        <v>32</v>
      </c>
      <c r="N795">
        <v>35.700000000000003</v>
      </c>
      <c r="O795">
        <v>31</v>
      </c>
      <c r="P795">
        <v>34.5</v>
      </c>
      <c r="Q795">
        <v>47.4</v>
      </c>
      <c r="R795">
        <v>48.4</v>
      </c>
      <c r="S795">
        <v>31.1</v>
      </c>
      <c r="T795">
        <v>34.6</v>
      </c>
      <c r="U795">
        <v>67.8</v>
      </c>
      <c r="V795">
        <v>-13.8</v>
      </c>
      <c r="W795" cm="1">
        <f t="array" ref="W795">_xlfn.IFS(OR(X795="N/A",X795="NA"),0,OR(X795="R64",X795="R68"),1,X795="R32",2,X795="S16",3,X795="E8",4,X795="F4",5,X795="2ND",6,X795="Champions",7)</f>
        <v>0</v>
      </c>
      <c r="X795" t="s">
        <v>90</v>
      </c>
      <c r="Y795" t="s">
        <v>90</v>
      </c>
      <c r="Z795">
        <v>2016</v>
      </c>
    </row>
    <row r="796" spans="1:26" x14ac:dyDescent="0.3">
      <c r="A796" t="s">
        <v>264</v>
      </c>
      <c r="B796" t="s">
        <v>66</v>
      </c>
      <c r="C796">
        <v>29</v>
      </c>
      <c r="D796">
        <v>7</v>
      </c>
      <c r="E796" s="1">
        <f t="shared" si="12"/>
        <v>0.2413793103448276</v>
      </c>
      <c r="F796">
        <v>95.3</v>
      </c>
      <c r="G796">
        <v>111.8</v>
      </c>
      <c r="H796">
        <v>0.1368</v>
      </c>
      <c r="I796">
        <v>44.2</v>
      </c>
      <c r="J796">
        <v>52.8</v>
      </c>
      <c r="K796">
        <v>17.7</v>
      </c>
      <c r="L796">
        <v>18.100000000000001</v>
      </c>
      <c r="M796">
        <v>30.7</v>
      </c>
      <c r="N796">
        <v>34.799999999999997</v>
      </c>
      <c r="O796">
        <v>37.200000000000003</v>
      </c>
      <c r="P796">
        <v>43.1</v>
      </c>
      <c r="Q796">
        <v>40.6</v>
      </c>
      <c r="R796">
        <v>51.8</v>
      </c>
      <c r="S796">
        <v>33.4</v>
      </c>
      <c r="T796">
        <v>36.700000000000003</v>
      </c>
      <c r="U796">
        <v>71.099999999999994</v>
      </c>
      <c r="V796">
        <v>-16.2</v>
      </c>
      <c r="W796" cm="1">
        <f t="array" ref="W796">_xlfn.IFS(OR(X796="N/A",X796="NA"),0,OR(X796="R64",X796="R68"),1,X796="R32",2,X796="S16",3,X796="E8",4,X796="F4",5,X796="2ND",6,X796="Champions",7)</f>
        <v>0</v>
      </c>
      <c r="X796" t="s">
        <v>90</v>
      </c>
      <c r="Y796" t="s">
        <v>90</v>
      </c>
      <c r="Z796">
        <v>2016</v>
      </c>
    </row>
    <row r="797" spans="1:26" x14ac:dyDescent="0.3">
      <c r="A797" t="s">
        <v>265</v>
      </c>
      <c r="B797" t="s">
        <v>66</v>
      </c>
      <c r="C797">
        <v>30</v>
      </c>
      <c r="D797">
        <v>5</v>
      </c>
      <c r="E797" s="1">
        <f t="shared" si="12"/>
        <v>0.16666666666666666</v>
      </c>
      <c r="F797">
        <v>88.6</v>
      </c>
      <c r="G797">
        <v>112.9</v>
      </c>
      <c r="H797">
        <v>5.7799999999999997E-2</v>
      </c>
      <c r="I797">
        <v>44.8</v>
      </c>
      <c r="J797">
        <v>51.6</v>
      </c>
      <c r="K797">
        <v>21.1</v>
      </c>
      <c r="L797">
        <v>19.899999999999999</v>
      </c>
      <c r="M797">
        <v>27.2</v>
      </c>
      <c r="N797">
        <v>38.799999999999997</v>
      </c>
      <c r="O797">
        <v>29.1</v>
      </c>
      <c r="P797">
        <v>41.3</v>
      </c>
      <c r="Q797">
        <v>42.4</v>
      </c>
      <c r="R797">
        <v>52.8</v>
      </c>
      <c r="S797">
        <v>32.4</v>
      </c>
      <c r="T797">
        <v>33.299999999999997</v>
      </c>
      <c r="U797">
        <v>67.099999999999994</v>
      </c>
      <c r="V797">
        <v>-20</v>
      </c>
      <c r="W797" cm="1">
        <f t="array" ref="W797">_xlfn.IFS(OR(X797="N/A",X797="NA"),0,OR(X797="R64",X797="R68"),1,X797="R32",2,X797="S16",3,X797="E8",4,X797="F4",5,X797="2ND",6,X797="Champions",7)</f>
        <v>0</v>
      </c>
      <c r="X797" t="s">
        <v>90</v>
      </c>
      <c r="Y797" t="s">
        <v>90</v>
      </c>
      <c r="Z797">
        <v>2016</v>
      </c>
    </row>
    <row r="798" spans="1:26" x14ac:dyDescent="0.3">
      <c r="A798" t="s">
        <v>266</v>
      </c>
      <c r="B798" t="s">
        <v>66</v>
      </c>
      <c r="C798">
        <v>27</v>
      </c>
      <c r="D798">
        <v>6</v>
      </c>
      <c r="E798" s="1">
        <f t="shared" si="12"/>
        <v>0.22222222222222221</v>
      </c>
      <c r="F798">
        <v>82.9</v>
      </c>
      <c r="G798">
        <v>107</v>
      </c>
      <c r="H798">
        <v>5.0599999999999999E-2</v>
      </c>
      <c r="I798">
        <v>44.8</v>
      </c>
      <c r="J798">
        <v>50.3</v>
      </c>
      <c r="K798">
        <v>22.5</v>
      </c>
      <c r="L798">
        <v>20.3</v>
      </c>
      <c r="M798">
        <v>25.4</v>
      </c>
      <c r="N798">
        <v>31.2</v>
      </c>
      <c r="O798">
        <v>42.5</v>
      </c>
      <c r="P798">
        <v>38.5</v>
      </c>
      <c r="Q798">
        <v>44.4</v>
      </c>
      <c r="R798">
        <v>50.4</v>
      </c>
      <c r="S798">
        <v>30.4</v>
      </c>
      <c r="T798">
        <v>33.299999999999997</v>
      </c>
      <c r="U798">
        <v>70.400000000000006</v>
      </c>
      <c r="V798">
        <v>-18.3</v>
      </c>
      <c r="W798" cm="1">
        <f t="array" ref="W798">_xlfn.IFS(OR(X798="N/A",X798="NA"),0,OR(X798="R64",X798="R68"),1,X798="R32",2,X798="S16",3,X798="E8",4,X798="F4",5,X798="2ND",6,X798="Champions",7)</f>
        <v>0</v>
      </c>
      <c r="X798" t="s">
        <v>90</v>
      </c>
      <c r="Y798" t="s">
        <v>90</v>
      </c>
      <c r="Z798">
        <v>2016</v>
      </c>
    </row>
    <row r="799" spans="1:26" x14ac:dyDescent="0.3">
      <c r="A799" t="s">
        <v>267</v>
      </c>
      <c r="B799" t="s">
        <v>66</v>
      </c>
      <c r="C799">
        <v>30</v>
      </c>
      <c r="D799">
        <v>10</v>
      </c>
      <c r="E799" s="1">
        <f t="shared" si="12"/>
        <v>0.33333333333333331</v>
      </c>
      <c r="F799">
        <v>92.2</v>
      </c>
      <c r="G799">
        <v>108.8</v>
      </c>
      <c r="H799">
        <v>0.12889999999999999</v>
      </c>
      <c r="I799">
        <v>43.6</v>
      </c>
      <c r="J799">
        <v>49.2</v>
      </c>
      <c r="K799">
        <v>20.3</v>
      </c>
      <c r="L799">
        <v>18.899999999999999</v>
      </c>
      <c r="M799">
        <v>32.6</v>
      </c>
      <c r="N799">
        <v>35.799999999999997</v>
      </c>
      <c r="O799">
        <v>48.5</v>
      </c>
      <c r="P799">
        <v>36.6</v>
      </c>
      <c r="Q799">
        <v>43.4</v>
      </c>
      <c r="R799">
        <v>48.6</v>
      </c>
      <c r="S799">
        <v>29.5</v>
      </c>
      <c r="T799">
        <v>33.5</v>
      </c>
      <c r="U799">
        <v>71.5</v>
      </c>
      <c r="V799">
        <v>-16.100000000000001</v>
      </c>
      <c r="W799" cm="1">
        <f t="array" ref="W799">_xlfn.IFS(OR(X799="N/A",X799="NA"),0,OR(X799="R64",X799="R68"),1,X799="R32",2,X799="S16",3,X799="E8",4,X799="F4",5,X799="2ND",6,X799="Champions",7)</f>
        <v>0</v>
      </c>
      <c r="X799" t="s">
        <v>90</v>
      </c>
      <c r="Y799" t="s">
        <v>90</v>
      </c>
      <c r="Z799">
        <v>2016</v>
      </c>
    </row>
    <row r="800" spans="1:26" x14ac:dyDescent="0.3">
      <c r="A800" t="s">
        <v>268</v>
      </c>
      <c r="B800" t="s">
        <v>66</v>
      </c>
      <c r="C800">
        <v>31</v>
      </c>
      <c r="D800">
        <v>9</v>
      </c>
      <c r="E800" s="1">
        <f t="shared" si="12"/>
        <v>0.29032258064516131</v>
      </c>
      <c r="F800">
        <v>97.7</v>
      </c>
      <c r="G800">
        <v>112.9</v>
      </c>
      <c r="H800">
        <v>0.16039999999999999</v>
      </c>
      <c r="I800">
        <v>49.2</v>
      </c>
      <c r="J800">
        <v>53</v>
      </c>
      <c r="K800">
        <v>23</v>
      </c>
      <c r="L800">
        <v>18.8</v>
      </c>
      <c r="M800">
        <v>31.4</v>
      </c>
      <c r="N800">
        <v>29.7</v>
      </c>
      <c r="O800">
        <v>37.299999999999997</v>
      </c>
      <c r="P800">
        <v>49.5</v>
      </c>
      <c r="Q800">
        <v>49.5</v>
      </c>
      <c r="R800">
        <v>53</v>
      </c>
      <c r="S800">
        <v>32.4</v>
      </c>
      <c r="T800">
        <v>35.299999999999997</v>
      </c>
      <c r="U800">
        <v>68.3</v>
      </c>
      <c r="V800">
        <v>-15.5</v>
      </c>
      <c r="W800" cm="1">
        <f t="array" ref="W800">_xlfn.IFS(OR(X800="N/A",X800="NA"),0,OR(X800="R64",X800="R68"),1,X800="R32",2,X800="S16",3,X800="E8",4,X800="F4",5,X800="2ND",6,X800="Champions",7)</f>
        <v>0</v>
      </c>
      <c r="X800" t="s">
        <v>90</v>
      </c>
      <c r="Y800" t="s">
        <v>90</v>
      </c>
      <c r="Z800">
        <v>2016</v>
      </c>
    </row>
    <row r="801" spans="1:26" x14ac:dyDescent="0.3">
      <c r="A801" t="s">
        <v>269</v>
      </c>
      <c r="B801" t="s">
        <v>66</v>
      </c>
      <c r="C801">
        <v>30</v>
      </c>
      <c r="D801">
        <v>8</v>
      </c>
      <c r="E801" s="1">
        <f t="shared" si="12"/>
        <v>0.26666666666666666</v>
      </c>
      <c r="F801">
        <v>93.9</v>
      </c>
      <c r="G801">
        <v>107.1</v>
      </c>
      <c r="H801">
        <v>0.1804</v>
      </c>
      <c r="I801">
        <v>44</v>
      </c>
      <c r="J801">
        <v>50.7</v>
      </c>
      <c r="K801">
        <v>16.7</v>
      </c>
      <c r="L801">
        <v>20.8</v>
      </c>
      <c r="M801">
        <v>30.4</v>
      </c>
      <c r="N801">
        <v>33.9</v>
      </c>
      <c r="O801">
        <v>35.799999999999997</v>
      </c>
      <c r="P801">
        <v>38.5</v>
      </c>
      <c r="Q801">
        <v>43.6</v>
      </c>
      <c r="R801">
        <v>52.5</v>
      </c>
      <c r="S801">
        <v>30.1</v>
      </c>
      <c r="T801">
        <v>31.2</v>
      </c>
      <c r="U801">
        <v>70</v>
      </c>
      <c r="V801">
        <v>-17.399999999999999</v>
      </c>
      <c r="W801" cm="1">
        <f t="array" ref="W801">_xlfn.IFS(OR(X801="N/A",X801="NA"),0,OR(X801="R64",X801="R68"),1,X801="R32",2,X801="S16",3,X801="E8",4,X801="F4",5,X801="2ND",6,X801="Champions",7)</f>
        <v>0</v>
      </c>
      <c r="X801" t="s">
        <v>90</v>
      </c>
      <c r="Y801" t="s">
        <v>90</v>
      </c>
      <c r="Z801">
        <v>2016</v>
      </c>
    </row>
    <row r="802" spans="1:26" x14ac:dyDescent="0.3">
      <c r="A802" t="s">
        <v>270</v>
      </c>
      <c r="B802" t="s">
        <v>66</v>
      </c>
      <c r="C802">
        <v>32</v>
      </c>
      <c r="D802">
        <v>15</v>
      </c>
      <c r="E802" s="1">
        <f t="shared" si="12"/>
        <v>0.46875</v>
      </c>
      <c r="F802">
        <v>103.4</v>
      </c>
      <c r="G802">
        <v>112</v>
      </c>
      <c r="H802">
        <v>0.28589999999999999</v>
      </c>
      <c r="I802">
        <v>48.7</v>
      </c>
      <c r="J802">
        <v>50.2</v>
      </c>
      <c r="K802">
        <v>17.7</v>
      </c>
      <c r="L802">
        <v>19.100000000000001</v>
      </c>
      <c r="M802">
        <v>32.200000000000003</v>
      </c>
      <c r="N802">
        <v>34.299999999999997</v>
      </c>
      <c r="O802">
        <v>41.5</v>
      </c>
      <c r="P802">
        <v>41.9</v>
      </c>
      <c r="Q802">
        <v>46.7</v>
      </c>
      <c r="R802">
        <v>46.1</v>
      </c>
      <c r="S802">
        <v>34.700000000000003</v>
      </c>
      <c r="T802">
        <v>38</v>
      </c>
      <c r="U802">
        <v>68.400000000000006</v>
      </c>
      <c r="V802">
        <v>-11</v>
      </c>
      <c r="W802" cm="1">
        <f t="array" ref="W802">_xlfn.IFS(OR(X802="N/A",X802="NA"),0,OR(X802="R64",X802="R68"),1,X802="R32",2,X802="S16",3,X802="E8",4,X802="F4",5,X802="2ND",6,X802="Champions",7)</f>
        <v>0</v>
      </c>
      <c r="X802" t="s">
        <v>90</v>
      </c>
      <c r="Y802" t="s">
        <v>90</v>
      </c>
      <c r="Z802">
        <v>2016</v>
      </c>
    </row>
    <row r="803" spans="1:26" x14ac:dyDescent="0.3">
      <c r="A803" t="s">
        <v>271</v>
      </c>
      <c r="B803" t="s">
        <v>66</v>
      </c>
      <c r="C803">
        <v>31</v>
      </c>
      <c r="D803">
        <v>10</v>
      </c>
      <c r="E803" s="1">
        <f t="shared" si="12"/>
        <v>0.32258064516129031</v>
      </c>
      <c r="F803">
        <v>95.1</v>
      </c>
      <c r="G803">
        <v>114.3</v>
      </c>
      <c r="H803">
        <v>0.1082</v>
      </c>
      <c r="I803">
        <v>45.8</v>
      </c>
      <c r="J803">
        <v>51.3</v>
      </c>
      <c r="K803">
        <v>19.5</v>
      </c>
      <c r="L803">
        <v>18.2</v>
      </c>
      <c r="M803">
        <v>29.8</v>
      </c>
      <c r="N803">
        <v>31.5</v>
      </c>
      <c r="O803">
        <v>37</v>
      </c>
      <c r="P803">
        <v>48.5</v>
      </c>
      <c r="Q803">
        <v>44.8</v>
      </c>
      <c r="R803">
        <v>51.7</v>
      </c>
      <c r="S803">
        <v>31.8</v>
      </c>
      <c r="T803">
        <v>33.799999999999997</v>
      </c>
      <c r="U803">
        <v>68.7</v>
      </c>
      <c r="V803">
        <v>-16.8</v>
      </c>
      <c r="W803" cm="1">
        <f t="array" ref="W803">_xlfn.IFS(OR(X803="N/A",X803="NA"),0,OR(X803="R64",X803="R68"),1,X803="R32",2,X803="S16",3,X803="E8",4,X803="F4",5,X803="2ND",6,X803="Champions",7)</f>
        <v>0</v>
      </c>
      <c r="X803" t="s">
        <v>90</v>
      </c>
      <c r="Y803" t="s">
        <v>90</v>
      </c>
      <c r="Z803">
        <v>2016</v>
      </c>
    </row>
    <row r="804" spans="1:26" x14ac:dyDescent="0.3">
      <c r="A804" t="s">
        <v>272</v>
      </c>
      <c r="B804" t="s">
        <v>66</v>
      </c>
      <c r="C804">
        <v>29</v>
      </c>
      <c r="D804">
        <v>10</v>
      </c>
      <c r="E804" s="1">
        <f t="shared" si="12"/>
        <v>0.34482758620689657</v>
      </c>
      <c r="F804">
        <v>97.5</v>
      </c>
      <c r="G804">
        <v>111.3</v>
      </c>
      <c r="H804">
        <v>0.17899999999999999</v>
      </c>
      <c r="I804">
        <v>47.7</v>
      </c>
      <c r="J804">
        <v>50</v>
      </c>
      <c r="K804">
        <v>20.399999999999999</v>
      </c>
      <c r="L804">
        <v>18.5</v>
      </c>
      <c r="M804">
        <v>33.9</v>
      </c>
      <c r="N804">
        <v>31.1</v>
      </c>
      <c r="O804">
        <v>38.700000000000003</v>
      </c>
      <c r="P804">
        <v>37.9</v>
      </c>
      <c r="Q804">
        <v>46.3</v>
      </c>
      <c r="R804">
        <v>49.3</v>
      </c>
      <c r="S804">
        <v>33.9</v>
      </c>
      <c r="T804">
        <v>34</v>
      </c>
      <c r="U804">
        <v>66.599999999999994</v>
      </c>
      <c r="V804">
        <v>-15.6</v>
      </c>
      <c r="W804" cm="1">
        <f t="array" ref="W804">_xlfn.IFS(OR(X804="N/A",X804="NA"),0,OR(X804="R64",X804="R68"),1,X804="R32",2,X804="S16",3,X804="E8",4,X804="F4",5,X804="2ND",6,X804="Champions",7)</f>
        <v>0</v>
      </c>
      <c r="X804" t="s">
        <v>90</v>
      </c>
      <c r="Y804" t="s">
        <v>90</v>
      </c>
      <c r="Z804">
        <v>2016</v>
      </c>
    </row>
    <row r="805" spans="1:26" x14ac:dyDescent="0.3">
      <c r="A805" t="s">
        <v>273</v>
      </c>
      <c r="B805" t="s">
        <v>66</v>
      </c>
      <c r="C805">
        <v>30</v>
      </c>
      <c r="D805">
        <v>14</v>
      </c>
      <c r="E805" s="1">
        <f t="shared" si="12"/>
        <v>0.46666666666666667</v>
      </c>
      <c r="F805">
        <v>86.8</v>
      </c>
      <c r="G805">
        <v>102.5</v>
      </c>
      <c r="H805">
        <v>0.12790000000000001</v>
      </c>
      <c r="I805">
        <v>45.1</v>
      </c>
      <c r="J805">
        <v>49.5</v>
      </c>
      <c r="K805">
        <v>21.9</v>
      </c>
      <c r="L805">
        <v>22.2</v>
      </c>
      <c r="M805">
        <v>25.8</v>
      </c>
      <c r="N805">
        <v>30.8</v>
      </c>
      <c r="O805">
        <v>39.799999999999997</v>
      </c>
      <c r="P805">
        <v>41</v>
      </c>
      <c r="Q805">
        <v>44.2</v>
      </c>
      <c r="R805">
        <v>48.6</v>
      </c>
      <c r="S805">
        <v>31.1</v>
      </c>
      <c r="T805">
        <v>34.200000000000003</v>
      </c>
      <c r="U805">
        <v>67.099999999999994</v>
      </c>
      <c r="V805">
        <v>-11.2</v>
      </c>
      <c r="W805" cm="1">
        <f t="array" ref="W805">_xlfn.IFS(OR(X805="N/A",X805="NA"),0,OR(X805="R64",X805="R68"),1,X805="R32",2,X805="S16",3,X805="E8",4,X805="F4",5,X805="2ND",6,X805="Champions",7)</f>
        <v>0</v>
      </c>
      <c r="X805" t="s">
        <v>90</v>
      </c>
      <c r="Y805" t="s">
        <v>90</v>
      </c>
      <c r="Z805">
        <v>2016</v>
      </c>
    </row>
    <row r="806" spans="1:26" x14ac:dyDescent="0.3">
      <c r="A806" t="s">
        <v>274</v>
      </c>
      <c r="B806" t="s">
        <v>66</v>
      </c>
      <c r="C806">
        <v>32</v>
      </c>
      <c r="D806">
        <v>17</v>
      </c>
      <c r="E806" s="1">
        <f t="shared" si="12"/>
        <v>0.53125</v>
      </c>
      <c r="F806">
        <v>101.8</v>
      </c>
      <c r="G806">
        <v>112.6</v>
      </c>
      <c r="H806">
        <v>0.23910000000000001</v>
      </c>
      <c r="I806">
        <v>49.8</v>
      </c>
      <c r="J806">
        <v>50.7</v>
      </c>
      <c r="K806">
        <v>17</v>
      </c>
      <c r="L806">
        <v>17.5</v>
      </c>
      <c r="M806">
        <v>29.1</v>
      </c>
      <c r="N806">
        <v>31.4</v>
      </c>
      <c r="O806">
        <v>34.799999999999997</v>
      </c>
      <c r="P806">
        <v>38.700000000000003</v>
      </c>
      <c r="Q806">
        <v>49.6</v>
      </c>
      <c r="R806">
        <v>49.9</v>
      </c>
      <c r="S806">
        <v>33.6</v>
      </c>
      <c r="T806">
        <v>34.6</v>
      </c>
      <c r="U806">
        <v>68.5</v>
      </c>
      <c r="V806">
        <v>-9.5</v>
      </c>
      <c r="W806" cm="1">
        <f t="array" ref="W806">_xlfn.IFS(OR(X806="N/A",X806="NA"),0,OR(X806="R64",X806="R68"),1,X806="R32",2,X806="S16",3,X806="E8",4,X806="F4",5,X806="2ND",6,X806="Champions",7)</f>
        <v>0</v>
      </c>
      <c r="X806" t="s">
        <v>90</v>
      </c>
      <c r="Y806" t="s">
        <v>90</v>
      </c>
      <c r="Z806">
        <v>2016</v>
      </c>
    </row>
    <row r="807" spans="1:26" x14ac:dyDescent="0.3">
      <c r="A807" t="s">
        <v>263</v>
      </c>
      <c r="B807" t="s">
        <v>66</v>
      </c>
      <c r="C807">
        <v>30</v>
      </c>
      <c r="D807">
        <v>10</v>
      </c>
      <c r="E807" s="1">
        <f t="shared" si="12"/>
        <v>0.33333333333333331</v>
      </c>
      <c r="F807">
        <v>95.2</v>
      </c>
      <c r="G807">
        <v>113.9</v>
      </c>
      <c r="H807">
        <v>0.1138</v>
      </c>
      <c r="I807">
        <v>46.8</v>
      </c>
      <c r="J807">
        <v>53.1</v>
      </c>
      <c r="K807">
        <v>17.7</v>
      </c>
      <c r="L807">
        <v>19.600000000000001</v>
      </c>
      <c r="M807">
        <v>31.1</v>
      </c>
      <c r="N807">
        <v>35.6</v>
      </c>
      <c r="O807">
        <v>28.2</v>
      </c>
      <c r="P807">
        <v>40</v>
      </c>
      <c r="Q807">
        <v>45.9</v>
      </c>
      <c r="R807">
        <v>54.7</v>
      </c>
      <c r="S807">
        <v>32.299999999999997</v>
      </c>
      <c r="T807">
        <v>33.6</v>
      </c>
      <c r="U807">
        <v>69.599999999999994</v>
      </c>
      <c r="V807">
        <v>-18.7</v>
      </c>
      <c r="W807" cm="1">
        <f t="array" ref="W807">_xlfn.IFS(OR(X807="N/A",X807="NA"),0,OR(X807="R64",X807="R68"),1,X807="R32",2,X807="S16",3,X807="E8",4,X807="F4",5,X807="2ND",6,X807="Champions",7)</f>
        <v>0</v>
      </c>
      <c r="X807" t="s">
        <v>90</v>
      </c>
      <c r="Y807" t="s">
        <v>90</v>
      </c>
      <c r="Z807">
        <v>2017</v>
      </c>
    </row>
    <row r="808" spans="1:26" x14ac:dyDescent="0.3">
      <c r="A808" t="s">
        <v>264</v>
      </c>
      <c r="B808" t="s">
        <v>66</v>
      </c>
      <c r="C808">
        <v>30</v>
      </c>
      <c r="D808">
        <v>8</v>
      </c>
      <c r="E808" s="1">
        <f t="shared" si="12"/>
        <v>0.26666666666666666</v>
      </c>
      <c r="F808">
        <v>91.7</v>
      </c>
      <c r="G808">
        <v>116.6</v>
      </c>
      <c r="H808">
        <v>5.9299999999999999E-2</v>
      </c>
      <c r="I808">
        <v>43.9</v>
      </c>
      <c r="J808">
        <v>54.4</v>
      </c>
      <c r="K808">
        <v>19.100000000000001</v>
      </c>
      <c r="L808">
        <v>18.899999999999999</v>
      </c>
      <c r="M808">
        <v>28</v>
      </c>
      <c r="N808">
        <v>33.1</v>
      </c>
      <c r="O808">
        <v>40</v>
      </c>
      <c r="P808">
        <v>40</v>
      </c>
      <c r="Q808">
        <v>41.7</v>
      </c>
      <c r="R808">
        <v>55</v>
      </c>
      <c r="S808">
        <v>31.7</v>
      </c>
      <c r="T808">
        <v>35.6</v>
      </c>
      <c r="U808">
        <v>70</v>
      </c>
      <c r="V808">
        <v>-17.8</v>
      </c>
      <c r="W808" cm="1">
        <f t="array" ref="W808">_xlfn.IFS(OR(X808="N/A",X808="NA"),0,OR(X808="R64",X808="R68"),1,X808="R32",2,X808="S16",3,X808="E8",4,X808="F4",5,X808="2ND",6,X808="Champions",7)</f>
        <v>0</v>
      </c>
      <c r="X808" t="s">
        <v>90</v>
      </c>
      <c r="Y808" t="s">
        <v>90</v>
      </c>
      <c r="Z808">
        <v>2017</v>
      </c>
    </row>
    <row r="809" spans="1:26" x14ac:dyDescent="0.3">
      <c r="A809" t="s">
        <v>265</v>
      </c>
      <c r="B809" t="s">
        <v>66</v>
      </c>
      <c r="C809">
        <v>30</v>
      </c>
      <c r="D809">
        <v>10</v>
      </c>
      <c r="E809" s="1">
        <f t="shared" si="12"/>
        <v>0.33333333333333331</v>
      </c>
      <c r="F809">
        <v>93.9</v>
      </c>
      <c r="G809">
        <v>113.5</v>
      </c>
      <c r="H809">
        <v>0.10150000000000001</v>
      </c>
      <c r="I809">
        <v>47.8</v>
      </c>
      <c r="J809">
        <v>52.3</v>
      </c>
      <c r="K809">
        <v>19.600000000000001</v>
      </c>
      <c r="L809">
        <v>20.3</v>
      </c>
      <c r="M809">
        <v>28.5</v>
      </c>
      <c r="N809">
        <v>37.200000000000003</v>
      </c>
      <c r="O809">
        <v>30.1</v>
      </c>
      <c r="P809">
        <v>39.1</v>
      </c>
      <c r="Q809">
        <v>44.7</v>
      </c>
      <c r="R809">
        <v>52.6</v>
      </c>
      <c r="S809">
        <v>35.1</v>
      </c>
      <c r="T809">
        <v>34.700000000000003</v>
      </c>
      <c r="U809">
        <v>67.3</v>
      </c>
      <c r="V809">
        <v>-17.399999999999999</v>
      </c>
      <c r="W809" cm="1">
        <f t="array" ref="W809">_xlfn.IFS(OR(X809="N/A",X809="NA"),0,OR(X809="R64",X809="R68"),1,X809="R32",2,X809="S16",3,X809="E8",4,X809="F4",5,X809="2ND",6,X809="Champions",7)</f>
        <v>0</v>
      </c>
      <c r="X809" t="s">
        <v>90</v>
      </c>
      <c r="Y809" t="s">
        <v>90</v>
      </c>
      <c r="Z809">
        <v>2017</v>
      </c>
    </row>
    <row r="810" spans="1:26" x14ac:dyDescent="0.3">
      <c r="A810" t="s">
        <v>266</v>
      </c>
      <c r="B810" t="s">
        <v>66</v>
      </c>
      <c r="C810">
        <v>28</v>
      </c>
      <c r="D810">
        <v>7</v>
      </c>
      <c r="E810" s="1">
        <f t="shared" si="12"/>
        <v>0.25</v>
      </c>
      <c r="F810">
        <v>92.3</v>
      </c>
      <c r="G810">
        <v>116.7</v>
      </c>
      <c r="H810">
        <v>6.3200000000000006E-2</v>
      </c>
      <c r="I810">
        <v>46.5</v>
      </c>
      <c r="J810">
        <v>53.2</v>
      </c>
      <c r="K810">
        <v>18.5</v>
      </c>
      <c r="L810">
        <v>18.899999999999999</v>
      </c>
      <c r="M810">
        <v>26.3</v>
      </c>
      <c r="N810">
        <v>34.700000000000003</v>
      </c>
      <c r="O810">
        <v>37.6</v>
      </c>
      <c r="P810">
        <v>33.9</v>
      </c>
      <c r="Q810">
        <v>44.7</v>
      </c>
      <c r="R810">
        <v>52.5</v>
      </c>
      <c r="S810">
        <v>33.9</v>
      </c>
      <c r="T810">
        <v>36.1</v>
      </c>
      <c r="U810">
        <v>71.2</v>
      </c>
      <c r="V810">
        <v>-20.2</v>
      </c>
      <c r="W810" cm="1">
        <f t="array" ref="W810">_xlfn.IFS(OR(X810="N/A",X810="NA"),0,OR(X810="R64",X810="R68"),1,X810="R32",2,X810="S16",3,X810="E8",4,X810="F4",5,X810="2ND",6,X810="Champions",7)</f>
        <v>0</v>
      </c>
      <c r="X810" t="s">
        <v>90</v>
      </c>
      <c r="Y810" t="s">
        <v>90</v>
      </c>
      <c r="Z810">
        <v>2017</v>
      </c>
    </row>
    <row r="811" spans="1:26" x14ac:dyDescent="0.3">
      <c r="A811" t="s">
        <v>187</v>
      </c>
      <c r="B811" t="s">
        <v>66</v>
      </c>
      <c r="C811">
        <v>29</v>
      </c>
      <c r="D811">
        <v>14</v>
      </c>
      <c r="E811" s="1">
        <f t="shared" si="12"/>
        <v>0.48275862068965519</v>
      </c>
      <c r="F811">
        <v>92</v>
      </c>
      <c r="G811">
        <v>106.6</v>
      </c>
      <c r="H811">
        <v>0.1552</v>
      </c>
      <c r="I811">
        <v>46.1</v>
      </c>
      <c r="J811">
        <v>49.6</v>
      </c>
      <c r="K811">
        <v>19.600000000000001</v>
      </c>
      <c r="L811">
        <v>19.899999999999999</v>
      </c>
      <c r="M811">
        <v>30.6</v>
      </c>
      <c r="N811">
        <v>29.3</v>
      </c>
      <c r="O811">
        <v>33.4</v>
      </c>
      <c r="P811">
        <v>42.7</v>
      </c>
      <c r="Q811">
        <v>45</v>
      </c>
      <c r="R811">
        <v>47.5</v>
      </c>
      <c r="S811">
        <v>32.200000000000003</v>
      </c>
      <c r="T811">
        <v>35.6</v>
      </c>
      <c r="U811">
        <v>69.5</v>
      </c>
      <c r="V811">
        <v>-12.5</v>
      </c>
      <c r="W811" cm="1">
        <f t="array" ref="W811">_xlfn.IFS(OR(X811="N/A",X811="NA"),0,OR(X811="R64",X811="R68"),1,X811="R32",2,X811="S16",3,X811="E8",4,X811="F4",5,X811="2ND",6,X811="Champions",7)</f>
        <v>0</v>
      </c>
      <c r="X811" t="s">
        <v>90</v>
      </c>
      <c r="Y811" t="s">
        <v>90</v>
      </c>
      <c r="Z811">
        <v>2017</v>
      </c>
    </row>
    <row r="812" spans="1:26" x14ac:dyDescent="0.3">
      <c r="A812" t="s">
        <v>267</v>
      </c>
      <c r="B812" t="s">
        <v>66</v>
      </c>
      <c r="C812">
        <v>32</v>
      </c>
      <c r="D812">
        <v>10</v>
      </c>
      <c r="E812" s="1">
        <f t="shared" si="12"/>
        <v>0.3125</v>
      </c>
      <c r="F812">
        <v>90</v>
      </c>
      <c r="G812">
        <v>109.1</v>
      </c>
      <c r="H812">
        <v>9.8100000000000007E-2</v>
      </c>
      <c r="I812">
        <v>43.4</v>
      </c>
      <c r="J812">
        <v>49.7</v>
      </c>
      <c r="K812">
        <v>21.5</v>
      </c>
      <c r="L812">
        <v>18.2</v>
      </c>
      <c r="M812">
        <v>32.299999999999997</v>
      </c>
      <c r="N812">
        <v>33.299999999999997</v>
      </c>
      <c r="O812">
        <v>43.4</v>
      </c>
      <c r="P812">
        <v>35.799999999999997</v>
      </c>
      <c r="Q812">
        <v>43.3</v>
      </c>
      <c r="R812">
        <v>47.2</v>
      </c>
      <c r="S812">
        <v>29</v>
      </c>
      <c r="T812">
        <v>36</v>
      </c>
      <c r="U812">
        <v>68.7</v>
      </c>
      <c r="V812">
        <v>-18</v>
      </c>
      <c r="W812" cm="1">
        <f t="array" ref="W812">_xlfn.IFS(OR(X812="N/A",X812="NA"),0,OR(X812="R64",X812="R68"),1,X812="R32",2,X812="S16",3,X812="E8",4,X812="F4",5,X812="2ND",6,X812="Champions",7)</f>
        <v>0</v>
      </c>
      <c r="X812" t="s">
        <v>90</v>
      </c>
      <c r="Y812" t="s">
        <v>90</v>
      </c>
      <c r="Z812">
        <v>2017</v>
      </c>
    </row>
    <row r="813" spans="1:26" x14ac:dyDescent="0.3">
      <c r="A813" t="s">
        <v>268</v>
      </c>
      <c r="B813" t="s">
        <v>66</v>
      </c>
      <c r="C813">
        <v>32</v>
      </c>
      <c r="D813">
        <v>14</v>
      </c>
      <c r="E813" s="1">
        <f t="shared" si="12"/>
        <v>0.4375</v>
      </c>
      <c r="F813">
        <v>96.4</v>
      </c>
      <c r="G813">
        <v>112.7</v>
      </c>
      <c r="H813">
        <v>0.14230000000000001</v>
      </c>
      <c r="I813">
        <v>48.4</v>
      </c>
      <c r="J813">
        <v>52.8</v>
      </c>
      <c r="K813">
        <v>18</v>
      </c>
      <c r="L813">
        <v>19.3</v>
      </c>
      <c r="M813">
        <v>27.1</v>
      </c>
      <c r="N813">
        <v>33.700000000000003</v>
      </c>
      <c r="O813">
        <v>32.5</v>
      </c>
      <c r="P813">
        <v>40.9</v>
      </c>
      <c r="Q813">
        <v>46.5</v>
      </c>
      <c r="R813">
        <v>52.2</v>
      </c>
      <c r="S813">
        <v>34.4</v>
      </c>
      <c r="T813">
        <v>35.9</v>
      </c>
      <c r="U813">
        <v>69.8</v>
      </c>
      <c r="V813">
        <v>-13.7</v>
      </c>
      <c r="W813" cm="1">
        <f t="array" ref="W813">_xlfn.IFS(OR(X813="N/A",X813="NA"),0,OR(X813="R64",X813="R68"),1,X813="R32",2,X813="S16",3,X813="E8",4,X813="F4",5,X813="2ND",6,X813="Champions",7)</f>
        <v>0</v>
      </c>
      <c r="X813" t="s">
        <v>90</v>
      </c>
      <c r="Y813" t="s">
        <v>90</v>
      </c>
      <c r="Z813">
        <v>2017</v>
      </c>
    </row>
    <row r="814" spans="1:26" x14ac:dyDescent="0.3">
      <c r="A814" t="s">
        <v>269</v>
      </c>
      <c r="B814" t="s">
        <v>66</v>
      </c>
      <c r="C814">
        <v>29</v>
      </c>
      <c r="D814">
        <v>14</v>
      </c>
      <c r="E814" s="1">
        <f t="shared" si="12"/>
        <v>0.48275862068965519</v>
      </c>
      <c r="F814">
        <v>91.6</v>
      </c>
      <c r="G814">
        <v>105.6</v>
      </c>
      <c r="H814">
        <v>0.16339999999999999</v>
      </c>
      <c r="I814">
        <v>42.5</v>
      </c>
      <c r="J814">
        <v>48.9</v>
      </c>
      <c r="K814">
        <v>19.8</v>
      </c>
      <c r="L814">
        <v>20.100000000000001</v>
      </c>
      <c r="M814">
        <v>34.799999999999997</v>
      </c>
      <c r="N814">
        <v>31.2</v>
      </c>
      <c r="O814">
        <v>37.799999999999997</v>
      </c>
      <c r="P814">
        <v>41.5</v>
      </c>
      <c r="Q814">
        <v>42</v>
      </c>
      <c r="R814">
        <v>51.7</v>
      </c>
      <c r="S814">
        <v>29.2</v>
      </c>
      <c r="T814">
        <v>28.9</v>
      </c>
      <c r="U814">
        <v>69.2</v>
      </c>
      <c r="V814">
        <v>-13.1</v>
      </c>
      <c r="W814" cm="1">
        <f t="array" ref="W814">_xlfn.IFS(OR(X814="N/A",X814="NA"),0,OR(X814="R64",X814="R68"),1,X814="R32",2,X814="S16",3,X814="E8",4,X814="F4",5,X814="2ND",6,X814="Champions",7)</f>
        <v>0</v>
      </c>
      <c r="X814" t="s">
        <v>90</v>
      </c>
      <c r="Y814" t="s">
        <v>90</v>
      </c>
      <c r="Z814">
        <v>2017</v>
      </c>
    </row>
    <row r="815" spans="1:26" x14ac:dyDescent="0.3">
      <c r="A815" t="s">
        <v>270</v>
      </c>
      <c r="B815" t="s">
        <v>66</v>
      </c>
      <c r="C815">
        <v>32</v>
      </c>
      <c r="D815">
        <v>17</v>
      </c>
      <c r="E815" s="1">
        <f t="shared" si="12"/>
        <v>0.53125</v>
      </c>
      <c r="F815">
        <v>93.5</v>
      </c>
      <c r="G815">
        <v>105.3</v>
      </c>
      <c r="H815">
        <v>0.20269999999999999</v>
      </c>
      <c r="I815">
        <v>47.4</v>
      </c>
      <c r="J815">
        <v>48</v>
      </c>
      <c r="K815">
        <v>20.5</v>
      </c>
      <c r="L815">
        <v>16.7</v>
      </c>
      <c r="M815">
        <v>29.7</v>
      </c>
      <c r="N815">
        <v>28.9</v>
      </c>
      <c r="O815">
        <v>38</v>
      </c>
      <c r="P815">
        <v>38.4</v>
      </c>
      <c r="Q815">
        <v>46.1</v>
      </c>
      <c r="R815">
        <v>45.4</v>
      </c>
      <c r="S815">
        <v>33.200000000000003</v>
      </c>
      <c r="T815">
        <v>34.700000000000003</v>
      </c>
      <c r="U815">
        <v>69.8</v>
      </c>
      <c r="V815">
        <v>-10.9</v>
      </c>
      <c r="W815" cm="1">
        <f t="array" ref="W815">_xlfn.IFS(OR(X815="N/A",X815="NA"),0,OR(X815="R64",X815="R68"),1,X815="R32",2,X815="S16",3,X815="E8",4,X815="F4",5,X815="2ND",6,X815="Champions",7)</f>
        <v>0</v>
      </c>
      <c r="X815" t="s">
        <v>90</v>
      </c>
      <c r="Y815" t="s">
        <v>90</v>
      </c>
      <c r="Z815">
        <v>2017</v>
      </c>
    </row>
    <row r="816" spans="1:26" x14ac:dyDescent="0.3">
      <c r="A816" t="s">
        <v>271</v>
      </c>
      <c r="B816" t="s">
        <v>66</v>
      </c>
      <c r="C816">
        <v>30</v>
      </c>
      <c r="D816">
        <v>3</v>
      </c>
      <c r="E816" s="1">
        <f t="shared" si="12"/>
        <v>0.1</v>
      </c>
      <c r="F816">
        <v>95.2</v>
      </c>
      <c r="G816">
        <v>124</v>
      </c>
      <c r="H816">
        <v>4.58E-2</v>
      </c>
      <c r="I816">
        <v>47.6</v>
      </c>
      <c r="J816">
        <v>53.1</v>
      </c>
      <c r="K816">
        <v>21.7</v>
      </c>
      <c r="L816">
        <v>14.3</v>
      </c>
      <c r="M816">
        <v>31.8</v>
      </c>
      <c r="N816">
        <v>32.9</v>
      </c>
      <c r="O816">
        <v>33.4</v>
      </c>
      <c r="P816">
        <v>38.9</v>
      </c>
      <c r="Q816">
        <v>47.3</v>
      </c>
      <c r="R816">
        <v>50.1</v>
      </c>
      <c r="S816">
        <v>32.200000000000003</v>
      </c>
      <c r="T816">
        <v>38.299999999999997</v>
      </c>
      <c r="U816">
        <v>64.599999999999994</v>
      </c>
      <c r="V816">
        <v>-25.2</v>
      </c>
      <c r="W816" cm="1">
        <f t="array" ref="W816">_xlfn.IFS(OR(X816="N/A",X816="NA"),0,OR(X816="R64",X816="R68"),1,X816="R32",2,X816="S16",3,X816="E8",4,X816="F4",5,X816="2ND",6,X816="Champions",7)</f>
        <v>0</v>
      </c>
      <c r="X816" t="s">
        <v>90</v>
      </c>
      <c r="Y816" t="s">
        <v>90</v>
      </c>
      <c r="Z816">
        <v>2017</v>
      </c>
    </row>
    <row r="817" spans="1:26" x14ac:dyDescent="0.3">
      <c r="A817" t="s">
        <v>273</v>
      </c>
      <c r="B817" t="s">
        <v>66</v>
      </c>
      <c r="C817">
        <v>27</v>
      </c>
      <c r="D817">
        <v>13</v>
      </c>
      <c r="E817" s="1">
        <f t="shared" si="12"/>
        <v>0.48148148148148145</v>
      </c>
      <c r="F817">
        <v>99</v>
      </c>
      <c r="G817">
        <v>113.9</v>
      </c>
      <c r="H817">
        <v>0.16569999999999999</v>
      </c>
      <c r="I817">
        <v>49.5</v>
      </c>
      <c r="J817">
        <v>52.9</v>
      </c>
      <c r="K817">
        <v>17.8</v>
      </c>
      <c r="L817">
        <v>19.3</v>
      </c>
      <c r="M817">
        <v>27.6</v>
      </c>
      <c r="N817">
        <v>35.799999999999997</v>
      </c>
      <c r="O817">
        <v>32.299999999999997</v>
      </c>
      <c r="P817">
        <v>31.7</v>
      </c>
      <c r="Q817">
        <v>52</v>
      </c>
      <c r="R817">
        <v>55.9</v>
      </c>
      <c r="S817">
        <v>31.8</v>
      </c>
      <c r="T817">
        <v>32.6</v>
      </c>
      <c r="U817">
        <v>83.3</v>
      </c>
      <c r="V817">
        <v>-11</v>
      </c>
      <c r="W817" cm="1">
        <f t="array" ref="W817">_xlfn.IFS(OR(X817="N/A",X817="NA"),0,OR(X817="R64",X817="R68"),1,X817="R32",2,X817="S16",3,X817="E8",4,X817="F4",5,X817="2ND",6,X817="Champions",7)</f>
        <v>0</v>
      </c>
      <c r="X817" t="s">
        <v>90</v>
      </c>
      <c r="Y817" t="s">
        <v>90</v>
      </c>
      <c r="Z817">
        <v>2017</v>
      </c>
    </row>
    <row r="818" spans="1:26" x14ac:dyDescent="0.3">
      <c r="A818" t="s">
        <v>274</v>
      </c>
      <c r="B818" t="s">
        <v>66</v>
      </c>
      <c r="C818">
        <v>29</v>
      </c>
      <c r="D818">
        <v>11</v>
      </c>
      <c r="E818" s="1">
        <f t="shared" si="12"/>
        <v>0.37931034482758619</v>
      </c>
      <c r="F818">
        <v>98</v>
      </c>
      <c r="G818">
        <v>118.7</v>
      </c>
      <c r="H818">
        <v>9.9500000000000005E-2</v>
      </c>
      <c r="I818">
        <v>47.4</v>
      </c>
      <c r="J818">
        <v>54.3</v>
      </c>
      <c r="K818">
        <v>18</v>
      </c>
      <c r="L818">
        <v>17.600000000000001</v>
      </c>
      <c r="M818">
        <v>28.1</v>
      </c>
      <c r="N818">
        <v>35.799999999999997</v>
      </c>
      <c r="O818">
        <v>30.4</v>
      </c>
      <c r="P818">
        <v>39.1</v>
      </c>
      <c r="Q818">
        <v>47.1</v>
      </c>
      <c r="R818">
        <v>55.7</v>
      </c>
      <c r="S818">
        <v>32</v>
      </c>
      <c r="T818">
        <v>34.4</v>
      </c>
      <c r="U818">
        <v>69.400000000000006</v>
      </c>
      <c r="V818">
        <v>-13.1</v>
      </c>
      <c r="W818" cm="1">
        <f t="array" ref="W818">_xlfn.IFS(OR(X818="N/A",X818="NA"),0,OR(X818="R64",X818="R68"),1,X818="R32",2,X818="S16",3,X818="E8",4,X818="F4",5,X818="2ND",6,X818="Champions",7)</f>
        <v>0</v>
      </c>
      <c r="X818" t="s">
        <v>90</v>
      </c>
      <c r="Y818" t="s">
        <v>90</v>
      </c>
      <c r="Z818">
        <v>2017</v>
      </c>
    </row>
    <row r="819" spans="1:26" x14ac:dyDescent="0.3">
      <c r="A819" t="s">
        <v>263</v>
      </c>
      <c r="B819" t="s">
        <v>66</v>
      </c>
      <c r="C819">
        <v>30</v>
      </c>
      <c r="D819">
        <v>18</v>
      </c>
      <c r="E819" s="1">
        <f t="shared" si="12"/>
        <v>0.6</v>
      </c>
      <c r="F819">
        <v>98.6</v>
      </c>
      <c r="G819">
        <v>110.9</v>
      </c>
      <c r="H819">
        <v>0.20619999999999999</v>
      </c>
      <c r="I819">
        <v>49.5</v>
      </c>
      <c r="J819">
        <v>48.6</v>
      </c>
      <c r="K819">
        <v>20.3</v>
      </c>
      <c r="L819">
        <v>17.600000000000001</v>
      </c>
      <c r="M819">
        <v>32.9</v>
      </c>
      <c r="N819">
        <v>30.5</v>
      </c>
      <c r="O819">
        <v>41.2</v>
      </c>
      <c r="P819">
        <v>38.200000000000003</v>
      </c>
      <c r="Q819">
        <v>51</v>
      </c>
      <c r="R819">
        <v>47.6</v>
      </c>
      <c r="S819">
        <v>31.2</v>
      </c>
      <c r="T819">
        <v>33.6</v>
      </c>
      <c r="U819">
        <v>76.900000000000006</v>
      </c>
      <c r="V819">
        <v>-11.4</v>
      </c>
      <c r="W819" cm="1">
        <f t="array" ref="W819">_xlfn.IFS(OR(X819="N/A",X819="NA"),0,OR(X819="R64",X819="R68"),1,X819="R32",2,X819="S16",3,X819="E8",4,X819="F4",5,X819="2ND",6,X819="Champions",7)</f>
        <v>0</v>
      </c>
      <c r="X819" t="s">
        <v>90</v>
      </c>
      <c r="Y819" t="s">
        <v>90</v>
      </c>
      <c r="Z819">
        <v>2018</v>
      </c>
    </row>
    <row r="820" spans="1:26" x14ac:dyDescent="0.3">
      <c r="A820" t="s">
        <v>264</v>
      </c>
      <c r="B820" t="s">
        <v>66</v>
      </c>
      <c r="C820">
        <v>32</v>
      </c>
      <c r="D820">
        <v>5</v>
      </c>
      <c r="E820" s="1">
        <f t="shared" si="12"/>
        <v>0.15625</v>
      </c>
      <c r="F820">
        <v>86.2</v>
      </c>
      <c r="G820">
        <v>109.7</v>
      </c>
      <c r="H820">
        <v>5.8500000000000003E-2</v>
      </c>
      <c r="I820">
        <v>43.3</v>
      </c>
      <c r="J820">
        <v>49.2</v>
      </c>
      <c r="K820">
        <v>20.5</v>
      </c>
      <c r="L820">
        <v>17.899999999999999</v>
      </c>
      <c r="M820">
        <v>22.3</v>
      </c>
      <c r="N820">
        <v>31.9</v>
      </c>
      <c r="O820">
        <v>27.1</v>
      </c>
      <c r="P820">
        <v>37.6</v>
      </c>
      <c r="Q820">
        <v>41</v>
      </c>
      <c r="R820">
        <v>48.3</v>
      </c>
      <c r="S820">
        <v>30.5</v>
      </c>
      <c r="T820">
        <v>33.700000000000003</v>
      </c>
      <c r="U820">
        <v>68.7</v>
      </c>
      <c r="V820">
        <v>-20.9</v>
      </c>
      <c r="W820" cm="1">
        <f t="array" ref="W820">_xlfn.IFS(OR(X820="N/A",X820="NA"),0,OR(X820="R64",X820="R68"),1,X820="R32",2,X820="S16",3,X820="E8",4,X820="F4",5,X820="2ND",6,X820="Champions",7)</f>
        <v>0</v>
      </c>
      <c r="X820" t="s">
        <v>90</v>
      </c>
      <c r="Y820" t="s">
        <v>90</v>
      </c>
      <c r="Z820">
        <v>2018</v>
      </c>
    </row>
    <row r="821" spans="1:26" x14ac:dyDescent="0.3">
      <c r="A821" t="s">
        <v>265</v>
      </c>
      <c r="B821" t="s">
        <v>66</v>
      </c>
      <c r="C821">
        <v>30</v>
      </c>
      <c r="D821">
        <v>4</v>
      </c>
      <c r="E821" s="1">
        <f t="shared" si="12"/>
        <v>0.13333333333333333</v>
      </c>
      <c r="F821">
        <v>90.3</v>
      </c>
      <c r="G821">
        <v>119.2</v>
      </c>
      <c r="H821">
        <v>3.9100000000000003E-2</v>
      </c>
      <c r="I821">
        <v>47.3</v>
      </c>
      <c r="J821">
        <v>55.9</v>
      </c>
      <c r="K821">
        <v>22.8</v>
      </c>
      <c r="L821">
        <v>18.2</v>
      </c>
      <c r="M821">
        <v>29.3</v>
      </c>
      <c r="N821">
        <v>33.700000000000003</v>
      </c>
      <c r="O821">
        <v>28.5</v>
      </c>
      <c r="P821">
        <v>35.700000000000003</v>
      </c>
      <c r="Q821">
        <v>46.1</v>
      </c>
      <c r="R821">
        <v>53.8</v>
      </c>
      <c r="S821">
        <v>33.200000000000003</v>
      </c>
      <c r="T821">
        <v>38.9</v>
      </c>
      <c r="U821">
        <v>66.2</v>
      </c>
      <c r="V821">
        <v>-24.1</v>
      </c>
      <c r="W821" cm="1">
        <f t="array" ref="W821">_xlfn.IFS(OR(X821="N/A",X821="NA"),0,OR(X821="R64",X821="R68"),1,X821="R32",2,X821="S16",3,X821="E8",4,X821="F4",5,X821="2ND",6,X821="Champions",7)</f>
        <v>0</v>
      </c>
      <c r="X821" t="s">
        <v>90</v>
      </c>
      <c r="Y821" t="s">
        <v>90</v>
      </c>
      <c r="Z821">
        <v>2018</v>
      </c>
    </row>
    <row r="822" spans="1:26" x14ac:dyDescent="0.3">
      <c r="A822" t="s">
        <v>266</v>
      </c>
      <c r="B822" t="s">
        <v>66</v>
      </c>
      <c r="C822">
        <v>33</v>
      </c>
      <c r="D822">
        <v>9</v>
      </c>
      <c r="E822" s="1">
        <f t="shared" si="12"/>
        <v>0.27272727272727271</v>
      </c>
      <c r="F822">
        <v>94.2</v>
      </c>
      <c r="G822">
        <v>117.7</v>
      </c>
      <c r="H822">
        <v>7.2300000000000003E-2</v>
      </c>
      <c r="I822">
        <v>47.2</v>
      </c>
      <c r="J822">
        <v>53.6</v>
      </c>
      <c r="K822">
        <v>19.5</v>
      </c>
      <c r="L822">
        <v>18.7</v>
      </c>
      <c r="M822">
        <v>27.5</v>
      </c>
      <c r="N822">
        <v>36.5</v>
      </c>
      <c r="O822">
        <v>32.1</v>
      </c>
      <c r="P822">
        <v>36.200000000000003</v>
      </c>
      <c r="Q822">
        <v>44.8</v>
      </c>
      <c r="R822">
        <v>54.4</v>
      </c>
      <c r="S822">
        <v>35.1</v>
      </c>
      <c r="T822">
        <v>34.799999999999997</v>
      </c>
      <c r="U822">
        <v>68.400000000000006</v>
      </c>
      <c r="V822">
        <v>-19.100000000000001</v>
      </c>
      <c r="W822" cm="1">
        <f t="array" ref="W822">_xlfn.IFS(OR(X822="N/A",X822="NA"),0,OR(X822="R64",X822="R68"),1,X822="R32",2,X822="S16",3,X822="E8",4,X822="F4",5,X822="2ND",6,X822="Champions",7)</f>
        <v>0</v>
      </c>
      <c r="X822" t="s">
        <v>90</v>
      </c>
      <c r="Y822" t="s">
        <v>90</v>
      </c>
      <c r="Z822">
        <v>2018</v>
      </c>
    </row>
    <row r="823" spans="1:26" x14ac:dyDescent="0.3">
      <c r="A823" t="s">
        <v>187</v>
      </c>
      <c r="B823" t="s">
        <v>66</v>
      </c>
      <c r="C823">
        <v>32</v>
      </c>
      <c r="D823">
        <v>19</v>
      </c>
      <c r="E823" s="1">
        <f t="shared" si="12"/>
        <v>0.59375</v>
      </c>
      <c r="F823">
        <v>100.1</v>
      </c>
      <c r="G823">
        <v>107.6</v>
      </c>
      <c r="H823">
        <v>0.30370000000000003</v>
      </c>
      <c r="I823">
        <v>48.8</v>
      </c>
      <c r="J823">
        <v>48.9</v>
      </c>
      <c r="K823">
        <v>16.899999999999999</v>
      </c>
      <c r="L823">
        <v>16.899999999999999</v>
      </c>
      <c r="M823">
        <v>28.7</v>
      </c>
      <c r="N823">
        <v>29.7</v>
      </c>
      <c r="O823">
        <v>33.799999999999997</v>
      </c>
      <c r="P823">
        <v>35.700000000000003</v>
      </c>
      <c r="Q823">
        <v>49.1</v>
      </c>
      <c r="R823">
        <v>48.2</v>
      </c>
      <c r="S823">
        <v>32</v>
      </c>
      <c r="T823">
        <v>33.299999999999997</v>
      </c>
      <c r="U823">
        <v>72.8</v>
      </c>
      <c r="V823">
        <v>-11.1</v>
      </c>
      <c r="W823" cm="1">
        <f t="array" ref="W823">_xlfn.IFS(OR(X823="N/A",X823="NA"),0,OR(X823="R64",X823="R68"),1,X823="R32",2,X823="S16",3,X823="E8",4,X823="F4",5,X823="2ND",6,X823="Champions",7)</f>
        <v>0</v>
      </c>
      <c r="X823" t="s">
        <v>90</v>
      </c>
      <c r="Y823" t="s">
        <v>90</v>
      </c>
      <c r="Z823">
        <v>2018</v>
      </c>
    </row>
    <row r="824" spans="1:26" x14ac:dyDescent="0.3">
      <c r="A824" t="s">
        <v>267</v>
      </c>
      <c r="B824" t="s">
        <v>66</v>
      </c>
      <c r="C824">
        <v>31</v>
      </c>
      <c r="D824">
        <v>10</v>
      </c>
      <c r="E824" s="1">
        <f t="shared" si="12"/>
        <v>0.32258064516129031</v>
      </c>
      <c r="F824">
        <v>98.4</v>
      </c>
      <c r="G824">
        <v>119.4</v>
      </c>
      <c r="H824">
        <v>9.7600000000000006E-2</v>
      </c>
      <c r="I824">
        <v>48.8</v>
      </c>
      <c r="J824">
        <v>53.4</v>
      </c>
      <c r="K824">
        <v>18</v>
      </c>
      <c r="L824">
        <v>18.8</v>
      </c>
      <c r="M824">
        <v>28.9</v>
      </c>
      <c r="N824">
        <v>34.9</v>
      </c>
      <c r="O824">
        <v>34.5</v>
      </c>
      <c r="P824">
        <v>38.299999999999997</v>
      </c>
      <c r="Q824">
        <v>46.7</v>
      </c>
      <c r="R824">
        <v>53.7</v>
      </c>
      <c r="S824">
        <v>34.9</v>
      </c>
      <c r="T824">
        <v>35.299999999999997</v>
      </c>
      <c r="U824">
        <v>71.400000000000006</v>
      </c>
      <c r="V824">
        <v>-18.600000000000001</v>
      </c>
      <c r="W824" cm="1">
        <f t="array" ref="W824">_xlfn.IFS(OR(X824="N/A",X824="NA"),0,OR(X824="R64",X824="R68"),1,X824="R32",2,X824="S16",3,X824="E8",4,X824="F4",5,X824="2ND",6,X824="Champions",7)</f>
        <v>0</v>
      </c>
      <c r="X824" t="s">
        <v>90</v>
      </c>
      <c r="Y824" t="s">
        <v>90</v>
      </c>
      <c r="Z824">
        <v>2018</v>
      </c>
    </row>
    <row r="825" spans="1:26" x14ac:dyDescent="0.3">
      <c r="A825" t="s">
        <v>268</v>
      </c>
      <c r="B825" t="s">
        <v>66</v>
      </c>
      <c r="C825">
        <v>30</v>
      </c>
      <c r="D825">
        <v>7</v>
      </c>
      <c r="E825" s="1">
        <f t="shared" si="12"/>
        <v>0.23333333333333334</v>
      </c>
      <c r="F825">
        <v>90.1</v>
      </c>
      <c r="G825">
        <v>117.5</v>
      </c>
      <c r="H825">
        <v>4.4999999999999998E-2</v>
      </c>
      <c r="I825">
        <v>43.1</v>
      </c>
      <c r="J825">
        <v>54.7</v>
      </c>
      <c r="K825">
        <v>19.399999999999999</v>
      </c>
      <c r="L825">
        <v>16</v>
      </c>
      <c r="M825">
        <v>28.2</v>
      </c>
      <c r="N825">
        <v>34.700000000000003</v>
      </c>
      <c r="O825">
        <v>29.7</v>
      </c>
      <c r="P825">
        <v>31.8</v>
      </c>
      <c r="Q825">
        <v>44.3</v>
      </c>
      <c r="R825">
        <v>54.3</v>
      </c>
      <c r="S825">
        <v>27.5</v>
      </c>
      <c r="T825">
        <v>36.799999999999997</v>
      </c>
      <c r="U825">
        <v>66.400000000000006</v>
      </c>
      <c r="V825">
        <v>-19.3</v>
      </c>
      <c r="W825" cm="1">
        <f t="array" ref="W825">_xlfn.IFS(OR(X825="N/A",X825="NA"),0,OR(X825="R64",X825="R68"),1,X825="R32",2,X825="S16",3,X825="E8",4,X825="F4",5,X825="2ND",6,X825="Champions",7)</f>
        <v>0</v>
      </c>
      <c r="X825" t="s">
        <v>90</v>
      </c>
      <c r="Y825" t="s">
        <v>90</v>
      </c>
      <c r="Z825">
        <v>2018</v>
      </c>
    </row>
    <row r="826" spans="1:26" x14ac:dyDescent="0.3">
      <c r="A826" t="s">
        <v>269</v>
      </c>
      <c r="B826" t="s">
        <v>66</v>
      </c>
      <c r="C826">
        <v>30</v>
      </c>
      <c r="D826">
        <v>13</v>
      </c>
      <c r="E826" s="1">
        <f t="shared" si="12"/>
        <v>0.43333333333333335</v>
      </c>
      <c r="F826">
        <v>95.4</v>
      </c>
      <c r="G826">
        <v>111.2</v>
      </c>
      <c r="H826">
        <v>0.1467</v>
      </c>
      <c r="I826">
        <v>45.6</v>
      </c>
      <c r="J826">
        <v>51.9</v>
      </c>
      <c r="K826">
        <v>18.7</v>
      </c>
      <c r="L826">
        <v>20.5</v>
      </c>
      <c r="M826">
        <v>33.5</v>
      </c>
      <c r="N826">
        <v>30.7</v>
      </c>
      <c r="O826">
        <v>39.299999999999997</v>
      </c>
      <c r="P826">
        <v>41.7</v>
      </c>
      <c r="Q826">
        <v>44.8</v>
      </c>
      <c r="R826">
        <v>51.9</v>
      </c>
      <c r="S826">
        <v>32</v>
      </c>
      <c r="T826">
        <v>34.6</v>
      </c>
      <c r="U826">
        <v>70</v>
      </c>
      <c r="V826">
        <v>-15.8</v>
      </c>
      <c r="W826" cm="1">
        <f t="array" ref="W826">_xlfn.IFS(OR(X826="N/A",X826="NA"),0,OR(X826="R64",X826="R68"),1,X826="R32",2,X826="S16",3,X826="E8",4,X826="F4",5,X826="2ND",6,X826="Champions",7)</f>
        <v>0</v>
      </c>
      <c r="X826" t="s">
        <v>90</v>
      </c>
      <c r="Y826" t="s">
        <v>90</v>
      </c>
      <c r="Z826">
        <v>2018</v>
      </c>
    </row>
    <row r="827" spans="1:26" x14ac:dyDescent="0.3">
      <c r="A827" t="s">
        <v>270</v>
      </c>
      <c r="B827" t="s">
        <v>66</v>
      </c>
      <c r="C827">
        <v>30</v>
      </c>
      <c r="D827">
        <v>14</v>
      </c>
      <c r="E827" s="1">
        <f t="shared" si="12"/>
        <v>0.46666666666666667</v>
      </c>
      <c r="F827">
        <v>94.6</v>
      </c>
      <c r="G827">
        <v>108.3</v>
      </c>
      <c r="H827">
        <v>0.17319999999999999</v>
      </c>
      <c r="I827">
        <v>49.4</v>
      </c>
      <c r="J827">
        <v>50</v>
      </c>
      <c r="K827">
        <v>21.1</v>
      </c>
      <c r="L827">
        <v>20.2</v>
      </c>
      <c r="M827">
        <v>31.6</v>
      </c>
      <c r="N827">
        <v>29.8</v>
      </c>
      <c r="O827">
        <v>31.3</v>
      </c>
      <c r="P827">
        <v>43.1</v>
      </c>
      <c r="Q827">
        <v>46.1</v>
      </c>
      <c r="R827">
        <v>47.3</v>
      </c>
      <c r="S827">
        <v>37</v>
      </c>
      <c r="T827">
        <v>35.700000000000003</v>
      </c>
      <c r="U827">
        <v>70</v>
      </c>
      <c r="V827">
        <v>-13</v>
      </c>
      <c r="W827" cm="1">
        <f t="array" ref="W827">_xlfn.IFS(OR(X827="N/A",X827="NA"),0,OR(X827="R64",X827="R68"),1,X827="R32",2,X827="S16",3,X827="E8",4,X827="F4",5,X827="2ND",6,X827="Champions",7)</f>
        <v>0</v>
      </c>
      <c r="X827" t="s">
        <v>90</v>
      </c>
      <c r="Y827" t="s">
        <v>90</v>
      </c>
      <c r="Z827">
        <v>2018</v>
      </c>
    </row>
    <row r="828" spans="1:26" x14ac:dyDescent="0.3">
      <c r="A828" t="s">
        <v>271</v>
      </c>
      <c r="B828" t="s">
        <v>66</v>
      </c>
      <c r="C828">
        <v>33</v>
      </c>
      <c r="D828">
        <v>20</v>
      </c>
      <c r="E828" s="1">
        <f t="shared" si="12"/>
        <v>0.60606060606060608</v>
      </c>
      <c r="F828">
        <v>96.8</v>
      </c>
      <c r="G828">
        <v>111.9</v>
      </c>
      <c r="H828">
        <v>0.1585</v>
      </c>
      <c r="I828">
        <v>51.2</v>
      </c>
      <c r="J828">
        <v>51.5</v>
      </c>
      <c r="K828">
        <v>19.5</v>
      </c>
      <c r="L828">
        <v>18</v>
      </c>
      <c r="M828">
        <v>27.8</v>
      </c>
      <c r="N828">
        <v>28.6</v>
      </c>
      <c r="O828">
        <v>37.5</v>
      </c>
      <c r="P828">
        <v>31.5</v>
      </c>
      <c r="Q828">
        <v>54.3</v>
      </c>
      <c r="R828">
        <v>52.5</v>
      </c>
      <c r="S828">
        <v>30.3</v>
      </c>
      <c r="T828">
        <v>33.1</v>
      </c>
      <c r="U828">
        <v>70.099999999999994</v>
      </c>
      <c r="V828">
        <v>-10.3</v>
      </c>
      <c r="W828" cm="1">
        <f t="array" ref="W828">_xlfn.IFS(OR(X828="N/A",X828="NA"),0,OR(X828="R64",X828="R68"),1,X828="R32",2,X828="S16",3,X828="E8",4,X828="F4",5,X828="2ND",6,X828="Champions",7)</f>
        <v>0</v>
      </c>
      <c r="X828" t="s">
        <v>90</v>
      </c>
      <c r="Y828" t="s">
        <v>90</v>
      </c>
      <c r="Z828">
        <v>2018</v>
      </c>
    </row>
    <row r="829" spans="1:26" x14ac:dyDescent="0.3">
      <c r="A829" t="s">
        <v>273</v>
      </c>
      <c r="B829" t="s">
        <v>66</v>
      </c>
      <c r="C829">
        <v>30</v>
      </c>
      <c r="D829">
        <v>15</v>
      </c>
      <c r="E829" s="1">
        <f t="shared" si="12"/>
        <v>0.5</v>
      </c>
      <c r="F829">
        <v>99.7</v>
      </c>
      <c r="G829">
        <v>114.3</v>
      </c>
      <c r="H829">
        <v>0.1709</v>
      </c>
      <c r="I829">
        <v>48.1</v>
      </c>
      <c r="J829">
        <v>56.6</v>
      </c>
      <c r="K829">
        <v>16.7</v>
      </c>
      <c r="L829">
        <v>20.9</v>
      </c>
      <c r="M829">
        <v>26.7</v>
      </c>
      <c r="N829">
        <v>35.799999999999997</v>
      </c>
      <c r="O829">
        <v>29.3</v>
      </c>
      <c r="P829">
        <v>30.8</v>
      </c>
      <c r="Q829">
        <v>51.5</v>
      </c>
      <c r="R829">
        <v>58</v>
      </c>
      <c r="S829">
        <v>30.2</v>
      </c>
      <c r="T829">
        <v>36.200000000000003</v>
      </c>
      <c r="U829">
        <v>83.4</v>
      </c>
      <c r="V829">
        <v>-9.6</v>
      </c>
      <c r="W829" cm="1">
        <f t="array" ref="W829">_xlfn.IFS(OR(X829="N/A",X829="NA"),0,OR(X829="R64",X829="R68"),1,X829="R32",2,X829="S16",3,X829="E8",4,X829="F4",5,X829="2ND",6,X829="Champions",7)</f>
        <v>0</v>
      </c>
      <c r="X829" t="s">
        <v>90</v>
      </c>
      <c r="Y829" t="s">
        <v>90</v>
      </c>
      <c r="Z829">
        <v>2018</v>
      </c>
    </row>
    <row r="830" spans="1:26" x14ac:dyDescent="0.3">
      <c r="A830" t="s">
        <v>274</v>
      </c>
      <c r="B830" t="s">
        <v>66</v>
      </c>
      <c r="C830">
        <v>30</v>
      </c>
      <c r="D830">
        <v>10</v>
      </c>
      <c r="E830" s="1">
        <f t="shared" si="12"/>
        <v>0.33333333333333331</v>
      </c>
      <c r="F830">
        <v>96.1</v>
      </c>
      <c r="G830">
        <v>119.2</v>
      </c>
      <c r="H830">
        <v>7.7899999999999997E-2</v>
      </c>
      <c r="I830">
        <v>46.7</v>
      </c>
      <c r="J830">
        <v>56.5</v>
      </c>
      <c r="K830">
        <v>18.5</v>
      </c>
      <c r="L830">
        <v>18.899999999999999</v>
      </c>
      <c r="M830">
        <v>29.4</v>
      </c>
      <c r="N830">
        <v>32.799999999999997</v>
      </c>
      <c r="O830">
        <v>35.9</v>
      </c>
      <c r="P830">
        <v>33.6</v>
      </c>
      <c r="Q830">
        <v>45.7</v>
      </c>
      <c r="R830">
        <v>57.8</v>
      </c>
      <c r="S830">
        <v>32.700000000000003</v>
      </c>
      <c r="T830">
        <v>36.299999999999997</v>
      </c>
      <c r="U830">
        <v>71.900000000000006</v>
      </c>
      <c r="V830">
        <v>-17.3</v>
      </c>
      <c r="W830" cm="1">
        <f t="array" ref="W830">_xlfn.IFS(OR(X830="N/A",X830="NA"),0,OR(X830="R64",X830="R68"),1,X830="R32",2,X830="S16",3,X830="E8",4,X830="F4",5,X830="2ND",6,X830="Champions",7)</f>
        <v>0</v>
      </c>
      <c r="X830" t="s">
        <v>90</v>
      </c>
      <c r="Y830" t="s">
        <v>90</v>
      </c>
      <c r="Z830">
        <v>2018</v>
      </c>
    </row>
    <row r="831" spans="1:26" x14ac:dyDescent="0.3">
      <c r="A831" t="s">
        <v>263</v>
      </c>
      <c r="B831" t="s">
        <v>66</v>
      </c>
      <c r="C831">
        <v>29</v>
      </c>
      <c r="D831">
        <v>14</v>
      </c>
      <c r="E831" s="1">
        <f t="shared" si="12"/>
        <v>0.48275862068965519</v>
      </c>
      <c r="F831">
        <v>93</v>
      </c>
      <c r="G831">
        <v>104.8</v>
      </c>
      <c r="H831">
        <v>0.20169999999999999</v>
      </c>
      <c r="I831">
        <v>48.3</v>
      </c>
      <c r="J831">
        <v>47.8</v>
      </c>
      <c r="K831">
        <v>21.5</v>
      </c>
      <c r="L831">
        <v>19.7</v>
      </c>
      <c r="M831">
        <v>33.5</v>
      </c>
      <c r="N831">
        <v>31.5</v>
      </c>
      <c r="O831">
        <v>37.1</v>
      </c>
      <c r="P831">
        <v>36.6</v>
      </c>
      <c r="Q831">
        <v>48.3</v>
      </c>
      <c r="R831">
        <v>48.7</v>
      </c>
      <c r="S831">
        <v>32.4</v>
      </c>
      <c r="T831">
        <v>30.9</v>
      </c>
      <c r="U831">
        <v>73.3</v>
      </c>
      <c r="V831">
        <v>-13.2</v>
      </c>
      <c r="W831" cm="1">
        <f t="array" ref="W831">_xlfn.IFS(OR(X831="N/A",X831="NA"),0,OR(X831="R64",X831="R68"),1,X831="R32",2,X831="S16",3,X831="E8",4,X831="F4",5,X831="2ND",6,X831="Champions",7)</f>
        <v>0</v>
      </c>
      <c r="X831" t="s">
        <v>90</v>
      </c>
      <c r="Y831" t="s">
        <v>90</v>
      </c>
      <c r="Z831">
        <v>2019</v>
      </c>
    </row>
    <row r="832" spans="1:26" x14ac:dyDescent="0.3">
      <c r="A832" t="s">
        <v>264</v>
      </c>
      <c r="B832" t="s">
        <v>66</v>
      </c>
      <c r="C832">
        <v>33</v>
      </c>
      <c r="D832">
        <v>8</v>
      </c>
      <c r="E832" s="1">
        <f t="shared" si="12"/>
        <v>0.24242424242424243</v>
      </c>
      <c r="F832">
        <v>87.5</v>
      </c>
      <c r="G832">
        <v>109.2</v>
      </c>
      <c r="H832">
        <v>7.2400000000000006E-2</v>
      </c>
      <c r="I832">
        <v>45.5</v>
      </c>
      <c r="J832">
        <v>50.2</v>
      </c>
      <c r="K832">
        <v>23.3</v>
      </c>
      <c r="L832">
        <v>16.7</v>
      </c>
      <c r="M832">
        <v>26</v>
      </c>
      <c r="N832">
        <v>28.9</v>
      </c>
      <c r="O832">
        <v>37.700000000000003</v>
      </c>
      <c r="P832">
        <v>33.6</v>
      </c>
      <c r="Q832">
        <v>47.7</v>
      </c>
      <c r="R832">
        <v>47.1</v>
      </c>
      <c r="S832">
        <v>28.6</v>
      </c>
      <c r="T832">
        <v>36.5</v>
      </c>
      <c r="U832">
        <v>71.7</v>
      </c>
      <c r="V832">
        <v>-18.100000000000001</v>
      </c>
      <c r="W832" cm="1">
        <f t="array" ref="W832">_xlfn.IFS(OR(X832="N/A",X832="NA"),0,OR(X832="R64",X832="R68"),1,X832="R32",2,X832="S16",3,X832="E8",4,X832="F4",5,X832="2ND",6,X832="Champions",7)</f>
        <v>0</v>
      </c>
      <c r="X832" t="s">
        <v>90</v>
      </c>
      <c r="Y832" t="s">
        <v>90</v>
      </c>
      <c r="Z832">
        <v>2019</v>
      </c>
    </row>
    <row r="833" spans="1:26" x14ac:dyDescent="0.3">
      <c r="A833" t="s">
        <v>265</v>
      </c>
      <c r="B833" t="s">
        <v>66</v>
      </c>
      <c r="C833">
        <v>29</v>
      </c>
      <c r="D833">
        <v>6</v>
      </c>
      <c r="E833" s="1">
        <f t="shared" si="12"/>
        <v>0.20689655172413793</v>
      </c>
      <c r="F833">
        <v>84.3</v>
      </c>
      <c r="G833">
        <v>112.2</v>
      </c>
      <c r="H833">
        <v>3.5799999999999998E-2</v>
      </c>
      <c r="I833">
        <v>40</v>
      </c>
      <c r="J833">
        <v>52.4</v>
      </c>
      <c r="K833">
        <v>19</v>
      </c>
      <c r="L833">
        <v>18.899999999999999</v>
      </c>
      <c r="M833">
        <v>27.8</v>
      </c>
      <c r="N833">
        <v>31.6</v>
      </c>
      <c r="O833">
        <v>25.5</v>
      </c>
      <c r="P833">
        <v>39.200000000000003</v>
      </c>
      <c r="Q833">
        <v>37.700000000000003</v>
      </c>
      <c r="R833">
        <v>52.6</v>
      </c>
      <c r="S833">
        <v>29</v>
      </c>
      <c r="T833">
        <v>34.700000000000003</v>
      </c>
      <c r="U833">
        <v>71.599999999999994</v>
      </c>
      <c r="V833">
        <v>-21.7</v>
      </c>
      <c r="W833" cm="1">
        <f t="array" ref="W833">_xlfn.IFS(OR(X833="N/A",X833="NA"),0,OR(X833="R64",X833="R68"),1,X833="R32",2,X833="S16",3,X833="E8",4,X833="F4",5,X833="2ND",6,X833="Champions",7)</f>
        <v>0</v>
      </c>
      <c r="X833" t="s">
        <v>90</v>
      </c>
      <c r="Y833" t="s">
        <v>90</v>
      </c>
      <c r="Z833">
        <v>2019</v>
      </c>
    </row>
    <row r="834" spans="1:26" x14ac:dyDescent="0.3">
      <c r="A834" t="s">
        <v>266</v>
      </c>
      <c r="B834" t="s">
        <v>66</v>
      </c>
      <c r="C834">
        <v>29</v>
      </c>
      <c r="D834">
        <v>12</v>
      </c>
      <c r="E834" s="1">
        <f t="shared" si="12"/>
        <v>0.41379310344827586</v>
      </c>
      <c r="F834">
        <v>88.2</v>
      </c>
      <c r="G834">
        <v>101.4</v>
      </c>
      <c r="H834">
        <v>0.1673</v>
      </c>
      <c r="I834">
        <v>49.1</v>
      </c>
      <c r="J834">
        <v>48.5</v>
      </c>
      <c r="K834">
        <v>24.6</v>
      </c>
      <c r="L834">
        <v>21.7</v>
      </c>
      <c r="M834">
        <v>27.9</v>
      </c>
      <c r="N834">
        <v>32.4</v>
      </c>
      <c r="O834">
        <v>31.1</v>
      </c>
      <c r="P834">
        <v>40.5</v>
      </c>
      <c r="Q834">
        <v>46.9</v>
      </c>
      <c r="R834">
        <v>50.4</v>
      </c>
      <c r="S834">
        <v>36.4</v>
      </c>
      <c r="T834">
        <v>30.2</v>
      </c>
      <c r="U834">
        <v>66.400000000000006</v>
      </c>
      <c r="V834">
        <v>-14.1</v>
      </c>
      <c r="W834" cm="1">
        <f t="array" ref="W834">_xlfn.IFS(OR(X834="N/A",X834="NA"),0,OR(X834="R64",X834="R68"),1,X834="R32",2,X834="S16",3,X834="E8",4,X834="F4",5,X834="2ND",6,X834="Champions",7)</f>
        <v>0</v>
      </c>
      <c r="X834" t="s">
        <v>90</v>
      </c>
      <c r="Y834" t="s">
        <v>90</v>
      </c>
      <c r="Z834">
        <v>2019</v>
      </c>
    </row>
    <row r="835" spans="1:26" x14ac:dyDescent="0.3">
      <c r="A835" t="s">
        <v>267</v>
      </c>
      <c r="B835" t="s">
        <v>66</v>
      </c>
      <c r="C835">
        <v>31</v>
      </c>
      <c r="D835">
        <v>17</v>
      </c>
      <c r="E835" s="1">
        <f t="shared" ref="E835:E898" si="13">D835/C835</f>
        <v>0.54838709677419351</v>
      </c>
      <c r="F835">
        <v>101.5</v>
      </c>
      <c r="G835">
        <v>114.1</v>
      </c>
      <c r="H835">
        <v>0.2077</v>
      </c>
      <c r="I835">
        <v>48.5</v>
      </c>
      <c r="J835">
        <v>51.8</v>
      </c>
      <c r="K835">
        <v>16.8</v>
      </c>
      <c r="L835">
        <v>19.8</v>
      </c>
      <c r="M835">
        <v>29.2</v>
      </c>
      <c r="N835">
        <v>33.4</v>
      </c>
      <c r="O835">
        <v>33.799999999999997</v>
      </c>
      <c r="P835">
        <v>37.799999999999997</v>
      </c>
      <c r="Q835">
        <v>45.5</v>
      </c>
      <c r="R835">
        <v>50.8</v>
      </c>
      <c r="S835">
        <v>36.799999999999997</v>
      </c>
      <c r="T835">
        <v>35.5</v>
      </c>
      <c r="U835">
        <v>72.5</v>
      </c>
      <c r="V835">
        <v>-12.8</v>
      </c>
      <c r="W835" cm="1">
        <f t="array" ref="W835">_xlfn.IFS(OR(X835="N/A",X835="NA"),0,OR(X835="R64",X835="R68"),1,X835="R32",2,X835="S16",3,X835="E8",4,X835="F4",5,X835="2ND",6,X835="Champions",7)</f>
        <v>0</v>
      </c>
      <c r="X835" t="s">
        <v>90</v>
      </c>
      <c r="Y835" t="s">
        <v>90</v>
      </c>
      <c r="Z835">
        <v>2019</v>
      </c>
    </row>
    <row r="836" spans="1:26" x14ac:dyDescent="0.3">
      <c r="A836" t="s">
        <v>268</v>
      </c>
      <c r="B836" t="s">
        <v>66</v>
      </c>
      <c r="C836">
        <v>30</v>
      </c>
      <c r="D836">
        <v>7</v>
      </c>
      <c r="E836" s="1">
        <f t="shared" si="13"/>
        <v>0.23333333333333334</v>
      </c>
      <c r="F836">
        <v>85.7</v>
      </c>
      <c r="G836">
        <v>114.4</v>
      </c>
      <c r="H836">
        <v>3.4599999999999999E-2</v>
      </c>
      <c r="I836">
        <v>43.5</v>
      </c>
      <c r="J836">
        <v>54.4</v>
      </c>
      <c r="K836">
        <v>20.7</v>
      </c>
      <c r="L836">
        <v>19</v>
      </c>
      <c r="M836">
        <v>22.8</v>
      </c>
      <c r="N836">
        <v>31.7</v>
      </c>
      <c r="O836">
        <v>28.3</v>
      </c>
      <c r="P836">
        <v>36.6</v>
      </c>
      <c r="Q836">
        <v>44.5</v>
      </c>
      <c r="R836">
        <v>53.2</v>
      </c>
      <c r="S836">
        <v>27.9</v>
      </c>
      <c r="T836">
        <v>37.299999999999997</v>
      </c>
      <c r="U836">
        <v>64.5</v>
      </c>
      <c r="V836">
        <v>-19.899999999999999</v>
      </c>
      <c r="W836" cm="1">
        <f t="array" ref="W836">_xlfn.IFS(OR(X836="N/A",X836="NA"),0,OR(X836="R64",X836="R68"),1,X836="R32",2,X836="S16",3,X836="E8",4,X836="F4",5,X836="2ND",6,X836="Champions",7)</f>
        <v>0</v>
      </c>
      <c r="X836" t="s">
        <v>90</v>
      </c>
      <c r="Y836" t="s">
        <v>90</v>
      </c>
      <c r="Z836">
        <v>2019</v>
      </c>
    </row>
    <row r="837" spans="1:26" x14ac:dyDescent="0.3">
      <c r="A837" t="s">
        <v>269</v>
      </c>
      <c r="B837" t="s">
        <v>66</v>
      </c>
      <c r="C837">
        <v>28</v>
      </c>
      <c r="D837">
        <v>9</v>
      </c>
      <c r="E837" s="1">
        <f t="shared" si="13"/>
        <v>0.32142857142857145</v>
      </c>
      <c r="F837">
        <v>91.8</v>
      </c>
      <c r="G837">
        <v>111.4</v>
      </c>
      <c r="H837">
        <v>9.7000000000000003E-2</v>
      </c>
      <c r="I837">
        <v>43.7</v>
      </c>
      <c r="J837">
        <v>53.4</v>
      </c>
      <c r="K837">
        <v>17.899999999999999</v>
      </c>
      <c r="L837">
        <v>23.9</v>
      </c>
      <c r="M837">
        <v>31.8</v>
      </c>
      <c r="N837">
        <v>35.200000000000003</v>
      </c>
      <c r="O837">
        <v>34.299999999999997</v>
      </c>
      <c r="P837">
        <v>39.9</v>
      </c>
      <c r="Q837">
        <v>41.5</v>
      </c>
      <c r="R837">
        <v>52.4</v>
      </c>
      <c r="S837">
        <v>33.1</v>
      </c>
      <c r="T837">
        <v>36.700000000000003</v>
      </c>
      <c r="U837">
        <v>73.599999999999994</v>
      </c>
      <c r="V837">
        <v>-17.3</v>
      </c>
      <c r="W837" cm="1">
        <f t="array" ref="W837">_xlfn.IFS(OR(X837="N/A",X837="NA"),0,OR(X837="R64",X837="R68"),1,X837="R32",2,X837="S16",3,X837="E8",4,X837="F4",5,X837="2ND",6,X837="Champions",7)</f>
        <v>0</v>
      </c>
      <c r="X837" t="s">
        <v>90</v>
      </c>
      <c r="Y837" t="s">
        <v>90</v>
      </c>
      <c r="Z837">
        <v>2019</v>
      </c>
    </row>
    <row r="838" spans="1:26" x14ac:dyDescent="0.3">
      <c r="A838" t="s">
        <v>270</v>
      </c>
      <c r="B838" t="s">
        <v>66</v>
      </c>
      <c r="C838">
        <v>33</v>
      </c>
      <c r="D838">
        <v>22</v>
      </c>
      <c r="E838" s="1">
        <f t="shared" si="13"/>
        <v>0.66666666666666663</v>
      </c>
      <c r="F838">
        <v>96.7</v>
      </c>
      <c r="G838">
        <v>104.7</v>
      </c>
      <c r="H838">
        <v>0.28620000000000001</v>
      </c>
      <c r="I838">
        <v>49.6</v>
      </c>
      <c r="J838">
        <v>49.2</v>
      </c>
      <c r="K838">
        <v>20.3</v>
      </c>
      <c r="L838">
        <v>20.7</v>
      </c>
      <c r="M838">
        <v>27.4</v>
      </c>
      <c r="N838">
        <v>28.9</v>
      </c>
      <c r="O838">
        <v>38.200000000000003</v>
      </c>
      <c r="P838">
        <v>42.6</v>
      </c>
      <c r="Q838">
        <v>46.1</v>
      </c>
      <c r="R838">
        <v>48</v>
      </c>
      <c r="S838">
        <v>37</v>
      </c>
      <c r="T838">
        <v>33.9</v>
      </c>
      <c r="U838">
        <v>70.2</v>
      </c>
      <c r="V838">
        <v>-9</v>
      </c>
      <c r="W838" cm="1">
        <f t="array" ref="W838">_xlfn.IFS(OR(X838="N/A",X838="NA"),0,OR(X838="R64",X838="R68"),1,X838="R32",2,X838="S16",3,X838="E8",4,X838="F4",5,X838="2ND",6,X838="Champions",7)</f>
        <v>0</v>
      </c>
      <c r="X838" t="s">
        <v>90</v>
      </c>
      <c r="Y838" t="s">
        <v>90</v>
      </c>
      <c r="Z838">
        <v>2019</v>
      </c>
    </row>
    <row r="839" spans="1:26" x14ac:dyDescent="0.3">
      <c r="A839" t="s">
        <v>271</v>
      </c>
      <c r="B839" t="s">
        <v>66</v>
      </c>
      <c r="C839">
        <v>30</v>
      </c>
      <c r="D839">
        <v>19</v>
      </c>
      <c r="E839" s="1">
        <f t="shared" si="13"/>
        <v>0.6333333333333333</v>
      </c>
      <c r="F839">
        <v>95.2</v>
      </c>
      <c r="G839">
        <v>106.8</v>
      </c>
      <c r="H839">
        <v>0.2117</v>
      </c>
      <c r="I839">
        <v>51.1</v>
      </c>
      <c r="J839">
        <v>48.8</v>
      </c>
      <c r="K839">
        <v>19.399999999999999</v>
      </c>
      <c r="L839">
        <v>20.7</v>
      </c>
      <c r="M839">
        <v>27.1</v>
      </c>
      <c r="N839">
        <v>34.700000000000003</v>
      </c>
      <c r="O839">
        <v>31.1</v>
      </c>
      <c r="P839">
        <v>32</v>
      </c>
      <c r="Q839">
        <v>51</v>
      </c>
      <c r="R839">
        <v>49.5</v>
      </c>
      <c r="S839">
        <v>34.1</v>
      </c>
      <c r="T839">
        <v>31.7</v>
      </c>
      <c r="U839">
        <v>67.3</v>
      </c>
      <c r="V839">
        <v>-8.4</v>
      </c>
      <c r="W839" cm="1">
        <f t="array" ref="W839">_xlfn.IFS(OR(X839="N/A",X839="NA"),0,OR(X839="R64",X839="R68"),1,X839="R32",2,X839="S16",3,X839="E8",4,X839="F4",5,X839="2ND",6,X839="Champions",7)</f>
        <v>0</v>
      </c>
      <c r="X839" t="s">
        <v>90</v>
      </c>
      <c r="Y839" t="s">
        <v>90</v>
      </c>
      <c r="Z839">
        <v>2019</v>
      </c>
    </row>
    <row r="840" spans="1:26" x14ac:dyDescent="0.3">
      <c r="A840" t="s">
        <v>273</v>
      </c>
      <c r="B840" t="s">
        <v>66</v>
      </c>
      <c r="C840">
        <v>30</v>
      </c>
      <c r="D840">
        <v>11</v>
      </c>
      <c r="E840" s="1">
        <f t="shared" si="13"/>
        <v>0.36666666666666664</v>
      </c>
      <c r="F840">
        <v>94.6</v>
      </c>
      <c r="G840">
        <v>117.1</v>
      </c>
      <c r="H840">
        <v>7.9100000000000004E-2</v>
      </c>
      <c r="I840">
        <v>48</v>
      </c>
      <c r="J840">
        <v>53.8</v>
      </c>
      <c r="K840">
        <v>19.899999999999999</v>
      </c>
      <c r="L840">
        <v>19.3</v>
      </c>
      <c r="M840">
        <v>28</v>
      </c>
      <c r="N840">
        <v>34.6</v>
      </c>
      <c r="O840">
        <v>25.2</v>
      </c>
      <c r="P840">
        <v>33.299999999999997</v>
      </c>
      <c r="Q840">
        <v>53.7</v>
      </c>
      <c r="R840">
        <v>53.5</v>
      </c>
      <c r="S840">
        <v>29.2</v>
      </c>
      <c r="T840">
        <v>36.1</v>
      </c>
      <c r="U840">
        <v>77.7</v>
      </c>
      <c r="V840">
        <v>-15</v>
      </c>
      <c r="W840" cm="1">
        <f t="array" ref="W840">_xlfn.IFS(OR(X840="N/A",X840="NA"),0,OR(X840="R64",X840="R68"),1,X840="R32",2,X840="S16",3,X840="E8",4,X840="F4",5,X840="2ND",6,X840="Champions",7)</f>
        <v>0</v>
      </c>
      <c r="X840" t="s">
        <v>90</v>
      </c>
      <c r="Y840" t="s">
        <v>90</v>
      </c>
      <c r="Z840">
        <v>2019</v>
      </c>
    </row>
    <row r="841" spans="1:26" x14ac:dyDescent="0.3">
      <c r="A841" t="s">
        <v>274</v>
      </c>
      <c r="B841" t="s">
        <v>66</v>
      </c>
      <c r="C841">
        <v>32</v>
      </c>
      <c r="D841">
        <v>8</v>
      </c>
      <c r="E841" s="1">
        <f t="shared" si="13"/>
        <v>0.25</v>
      </c>
      <c r="F841">
        <v>97.3</v>
      </c>
      <c r="G841">
        <v>117.8</v>
      </c>
      <c r="H841">
        <v>9.9099999999999994E-2</v>
      </c>
      <c r="I841">
        <v>47.2</v>
      </c>
      <c r="J841">
        <v>56.4</v>
      </c>
      <c r="K841">
        <v>20.8</v>
      </c>
      <c r="L841">
        <v>20.399999999999999</v>
      </c>
      <c r="M841">
        <v>31.6</v>
      </c>
      <c r="N841">
        <v>30.2</v>
      </c>
      <c r="O841">
        <v>39.700000000000003</v>
      </c>
      <c r="P841">
        <v>40</v>
      </c>
      <c r="Q841">
        <v>46.5</v>
      </c>
      <c r="R841">
        <v>57.1</v>
      </c>
      <c r="S841">
        <v>32.4</v>
      </c>
      <c r="T841">
        <v>36.9</v>
      </c>
      <c r="U841">
        <v>68.3</v>
      </c>
      <c r="V841">
        <v>-20.2</v>
      </c>
      <c r="W841" cm="1">
        <f t="array" ref="W841">_xlfn.IFS(OR(X841="N/A",X841="NA"),0,OR(X841="R64",X841="R68"),1,X841="R32",2,X841="S16",3,X841="E8",4,X841="F4",5,X841="2ND",6,X841="Champions",7)</f>
        <v>0</v>
      </c>
      <c r="X841" t="s">
        <v>90</v>
      </c>
      <c r="Y841" t="s">
        <v>90</v>
      </c>
      <c r="Z841">
        <v>2019</v>
      </c>
    </row>
    <row r="842" spans="1:26" x14ac:dyDescent="0.3">
      <c r="A842" t="s">
        <v>275</v>
      </c>
      <c r="B842" t="s">
        <v>47</v>
      </c>
      <c r="C842">
        <v>32</v>
      </c>
      <c r="D842">
        <v>8</v>
      </c>
      <c r="E842" s="1">
        <f t="shared" si="13"/>
        <v>0.25</v>
      </c>
      <c r="F842">
        <v>91.9</v>
      </c>
      <c r="G842">
        <v>98.1</v>
      </c>
      <c r="H842">
        <v>0.32200000000000001</v>
      </c>
      <c r="I842">
        <v>42.3</v>
      </c>
      <c r="J842">
        <v>50.3</v>
      </c>
      <c r="K842">
        <v>20.399999999999999</v>
      </c>
      <c r="L842">
        <v>21.9</v>
      </c>
      <c r="M842">
        <v>32</v>
      </c>
      <c r="N842">
        <v>29</v>
      </c>
      <c r="O842">
        <v>37.799999999999997</v>
      </c>
      <c r="P842">
        <v>46.2</v>
      </c>
      <c r="Q842">
        <v>40.700000000000003</v>
      </c>
      <c r="R842">
        <v>47.2</v>
      </c>
      <c r="S842">
        <v>30.1</v>
      </c>
      <c r="T842">
        <v>36.9</v>
      </c>
      <c r="U842">
        <v>62.4</v>
      </c>
      <c r="V842">
        <v>-15.2</v>
      </c>
      <c r="W842" cm="1">
        <f t="array" ref="W842">_xlfn.IFS(OR(X842="N/A",X842="NA"),0,OR(X842="R64",X842="R68"),1,X842="R32",2,X842="S16",3,X842="E8",4,X842="F4",5,X842="2ND",6,X842="Champions",7)</f>
        <v>0</v>
      </c>
      <c r="X842" t="s">
        <v>90</v>
      </c>
      <c r="Y842" t="s">
        <v>90</v>
      </c>
      <c r="Z842">
        <v>2015</v>
      </c>
    </row>
    <row r="843" spans="1:26" x14ac:dyDescent="0.3">
      <c r="A843" t="s">
        <v>276</v>
      </c>
      <c r="B843" t="s">
        <v>47</v>
      </c>
      <c r="C843">
        <v>30</v>
      </c>
      <c r="D843">
        <v>8</v>
      </c>
      <c r="E843" s="1">
        <f t="shared" si="13"/>
        <v>0.26666666666666666</v>
      </c>
      <c r="F843">
        <v>104</v>
      </c>
      <c r="G843">
        <v>110.9</v>
      </c>
      <c r="H843">
        <v>0.32390000000000002</v>
      </c>
      <c r="I843">
        <v>52.1</v>
      </c>
      <c r="J843">
        <v>54.9</v>
      </c>
      <c r="K843">
        <v>22.3</v>
      </c>
      <c r="L843">
        <v>16.899999999999999</v>
      </c>
      <c r="M843">
        <v>23.3</v>
      </c>
      <c r="N843">
        <v>32</v>
      </c>
      <c r="O843">
        <v>34</v>
      </c>
      <c r="P843">
        <v>30.5</v>
      </c>
      <c r="Q843">
        <v>47.4</v>
      </c>
      <c r="R843">
        <v>53.2</v>
      </c>
      <c r="S843">
        <v>40.6</v>
      </c>
      <c r="T843">
        <v>38.5</v>
      </c>
      <c r="U843">
        <v>59.5</v>
      </c>
      <c r="V843">
        <v>-13.2</v>
      </c>
      <c r="W843" cm="1">
        <f t="array" ref="W843">_xlfn.IFS(OR(X843="N/A",X843="NA"),0,OR(X843="R64",X843="R68"),1,X843="R32",2,X843="S16",3,X843="E8",4,X843="F4",5,X843="2ND",6,X843="Champions",7)</f>
        <v>0</v>
      </c>
      <c r="X843" t="s">
        <v>90</v>
      </c>
      <c r="Y843" t="s">
        <v>90</v>
      </c>
      <c r="Z843">
        <v>2015</v>
      </c>
    </row>
    <row r="844" spans="1:26" x14ac:dyDescent="0.3">
      <c r="A844" t="s">
        <v>277</v>
      </c>
      <c r="B844" t="s">
        <v>47</v>
      </c>
      <c r="C844">
        <v>35</v>
      </c>
      <c r="D844">
        <v>23</v>
      </c>
      <c r="E844" s="1">
        <f t="shared" si="13"/>
        <v>0.65714285714285714</v>
      </c>
      <c r="F844">
        <v>104</v>
      </c>
      <c r="G844">
        <v>99.7</v>
      </c>
      <c r="H844">
        <v>0.62109999999999999</v>
      </c>
      <c r="I844">
        <v>52.1</v>
      </c>
      <c r="J844">
        <v>49.4</v>
      </c>
      <c r="K844">
        <v>19.3</v>
      </c>
      <c r="L844">
        <v>19.899999999999999</v>
      </c>
      <c r="M844">
        <v>25.8</v>
      </c>
      <c r="N844">
        <v>28</v>
      </c>
      <c r="O844">
        <v>44.3</v>
      </c>
      <c r="P844">
        <v>31.4</v>
      </c>
      <c r="Q844">
        <v>51.8</v>
      </c>
      <c r="R844">
        <v>47.5</v>
      </c>
      <c r="S844">
        <v>35.4</v>
      </c>
      <c r="T844">
        <v>35.5</v>
      </c>
      <c r="U844">
        <v>66.400000000000006</v>
      </c>
      <c r="V844">
        <v>-4.7</v>
      </c>
      <c r="W844" cm="1">
        <f t="array" ref="W844">_xlfn.IFS(OR(X844="N/A",X844="NA"),0,OR(X844="R64",X844="R68"),1,X844="R32",2,X844="S16",3,X844="E8",4,X844="F4",5,X844="2ND",6,X844="Champions",7)</f>
        <v>0</v>
      </c>
      <c r="X844" t="s">
        <v>90</v>
      </c>
      <c r="Y844" t="s">
        <v>90</v>
      </c>
      <c r="Z844">
        <v>2015</v>
      </c>
    </row>
    <row r="845" spans="1:26" x14ac:dyDescent="0.3">
      <c r="A845" t="s">
        <v>278</v>
      </c>
      <c r="B845" t="s">
        <v>47</v>
      </c>
      <c r="C845">
        <v>34</v>
      </c>
      <c r="D845">
        <v>21</v>
      </c>
      <c r="E845" s="1">
        <f t="shared" si="13"/>
        <v>0.61764705882352944</v>
      </c>
      <c r="F845">
        <v>106.2</v>
      </c>
      <c r="G845">
        <v>94.5</v>
      </c>
      <c r="H845">
        <v>0.79290000000000005</v>
      </c>
      <c r="I845">
        <v>48.4</v>
      </c>
      <c r="J845">
        <v>47</v>
      </c>
      <c r="K845">
        <v>19.899999999999999</v>
      </c>
      <c r="L845">
        <v>20.5</v>
      </c>
      <c r="M845">
        <v>36.200000000000003</v>
      </c>
      <c r="N845">
        <v>29.3</v>
      </c>
      <c r="O845">
        <v>34.799999999999997</v>
      </c>
      <c r="P845">
        <v>40.299999999999997</v>
      </c>
      <c r="Q845">
        <v>46.8</v>
      </c>
      <c r="R845">
        <v>45.9</v>
      </c>
      <c r="S845">
        <v>34.4</v>
      </c>
      <c r="T845">
        <v>32.799999999999997</v>
      </c>
      <c r="U845">
        <v>65.400000000000006</v>
      </c>
      <c r="V845">
        <v>-2.8</v>
      </c>
      <c r="W845" cm="1">
        <f t="array" ref="W845">_xlfn.IFS(OR(X845="N/A",X845="NA"),0,OR(X845="R64",X845="R68"),1,X845="R32",2,X845="S16",3,X845="E8",4,X845="F4",5,X845="2ND",6,X845="Champions",7)</f>
        <v>0</v>
      </c>
      <c r="X845" t="s">
        <v>90</v>
      </c>
      <c r="Y845" t="s">
        <v>90</v>
      </c>
      <c r="Z845">
        <v>2015</v>
      </c>
    </row>
    <row r="846" spans="1:26" x14ac:dyDescent="0.3">
      <c r="A846" t="s">
        <v>279</v>
      </c>
      <c r="B846" t="s">
        <v>47</v>
      </c>
      <c r="C846">
        <v>30</v>
      </c>
      <c r="D846">
        <v>14</v>
      </c>
      <c r="E846" s="1">
        <f t="shared" si="13"/>
        <v>0.46666666666666667</v>
      </c>
      <c r="F846">
        <v>100.5</v>
      </c>
      <c r="G846">
        <v>100.4</v>
      </c>
      <c r="H846">
        <v>0.503</v>
      </c>
      <c r="I846">
        <v>49.4</v>
      </c>
      <c r="J846">
        <v>48.6</v>
      </c>
      <c r="K846">
        <v>20.9</v>
      </c>
      <c r="L846">
        <v>20.8</v>
      </c>
      <c r="M846">
        <v>26.4</v>
      </c>
      <c r="N846">
        <v>31.7</v>
      </c>
      <c r="O846">
        <v>42.3</v>
      </c>
      <c r="P846">
        <v>37.6</v>
      </c>
      <c r="Q846">
        <v>46.6</v>
      </c>
      <c r="R846">
        <v>44.7</v>
      </c>
      <c r="S846">
        <v>35.700000000000003</v>
      </c>
      <c r="T846">
        <v>38.6</v>
      </c>
      <c r="U846">
        <v>67.3</v>
      </c>
      <c r="V846">
        <v>-8.1999999999999993</v>
      </c>
      <c r="W846" cm="1">
        <f t="array" ref="W846">_xlfn.IFS(OR(X846="N/A",X846="NA"),0,OR(X846="R64",X846="R68"),1,X846="R32",2,X846="S16",3,X846="E8",4,X846="F4",5,X846="2ND",6,X846="Champions",7)</f>
        <v>0</v>
      </c>
      <c r="X846" t="s">
        <v>90</v>
      </c>
      <c r="Y846" t="s">
        <v>90</v>
      </c>
      <c r="Z846">
        <v>2015</v>
      </c>
    </row>
    <row r="847" spans="1:26" x14ac:dyDescent="0.3">
      <c r="A847" t="s">
        <v>85</v>
      </c>
      <c r="B847" t="s">
        <v>47</v>
      </c>
      <c r="C847">
        <v>35</v>
      </c>
      <c r="D847">
        <v>22</v>
      </c>
      <c r="E847" s="1">
        <f t="shared" si="13"/>
        <v>0.62857142857142856</v>
      </c>
      <c r="F847">
        <v>103.8</v>
      </c>
      <c r="G847">
        <v>101.3</v>
      </c>
      <c r="H847">
        <v>0.57079999999999997</v>
      </c>
      <c r="I847">
        <v>53.3</v>
      </c>
      <c r="J847">
        <v>49.2</v>
      </c>
      <c r="K847">
        <v>21</v>
      </c>
      <c r="L847">
        <v>20.2</v>
      </c>
      <c r="M847">
        <v>28.7</v>
      </c>
      <c r="N847">
        <v>32.1</v>
      </c>
      <c r="O847">
        <v>33.299999999999997</v>
      </c>
      <c r="P847">
        <v>30.2</v>
      </c>
      <c r="Q847">
        <v>50.6</v>
      </c>
      <c r="R847">
        <v>50.1</v>
      </c>
      <c r="S847">
        <v>39.299999999999997</v>
      </c>
      <c r="T847">
        <v>31.8</v>
      </c>
      <c r="U847">
        <v>61.4</v>
      </c>
      <c r="V847">
        <v>-4.7</v>
      </c>
      <c r="W847" cm="1">
        <f t="array" ref="W847">_xlfn.IFS(OR(X847="N/A",X847="NA"),0,OR(X847="R64",X847="R68"),1,X847="R32",2,X847="S16",3,X847="E8",4,X847="F4",5,X847="2ND",6,X847="Champions",7)</f>
        <v>0</v>
      </c>
      <c r="X847" t="s">
        <v>90</v>
      </c>
      <c r="Y847" t="s">
        <v>90</v>
      </c>
      <c r="Z847">
        <v>2015</v>
      </c>
    </row>
    <row r="848" spans="1:26" x14ac:dyDescent="0.3">
      <c r="A848" t="s">
        <v>280</v>
      </c>
      <c r="B848" t="s">
        <v>47</v>
      </c>
      <c r="C848">
        <v>29</v>
      </c>
      <c r="D848">
        <v>9</v>
      </c>
      <c r="E848" s="1">
        <f t="shared" si="13"/>
        <v>0.31034482758620691</v>
      </c>
      <c r="F848">
        <v>96.5</v>
      </c>
      <c r="G848">
        <v>104.4</v>
      </c>
      <c r="H848">
        <v>0.28839999999999999</v>
      </c>
      <c r="I848">
        <v>45.4</v>
      </c>
      <c r="J848">
        <v>49.6</v>
      </c>
      <c r="K848">
        <v>19.5</v>
      </c>
      <c r="L848">
        <v>16.399999999999999</v>
      </c>
      <c r="M848">
        <v>29.7</v>
      </c>
      <c r="N848">
        <v>30</v>
      </c>
      <c r="O848">
        <v>31.7</v>
      </c>
      <c r="P848">
        <v>36.799999999999997</v>
      </c>
      <c r="Q848">
        <v>44.5</v>
      </c>
      <c r="R848">
        <v>46.6</v>
      </c>
      <c r="S848">
        <v>31.4</v>
      </c>
      <c r="T848">
        <v>36.9</v>
      </c>
      <c r="U848">
        <v>61.9</v>
      </c>
      <c r="V848">
        <v>-12.2</v>
      </c>
      <c r="W848" cm="1">
        <f t="array" ref="W848">_xlfn.IFS(OR(X848="N/A",X848="NA"),0,OR(X848="R64",X848="R68"),1,X848="R32",2,X848="S16",3,X848="E8",4,X848="F4",5,X848="2ND",6,X848="Champions",7)</f>
        <v>0</v>
      </c>
      <c r="X848" t="s">
        <v>90</v>
      </c>
      <c r="Y848" t="s">
        <v>90</v>
      </c>
      <c r="Z848">
        <v>2015</v>
      </c>
    </row>
    <row r="849" spans="1:26" x14ac:dyDescent="0.3">
      <c r="A849" t="s">
        <v>281</v>
      </c>
      <c r="B849" t="s">
        <v>47</v>
      </c>
      <c r="C849">
        <v>32</v>
      </c>
      <c r="D849">
        <v>11</v>
      </c>
      <c r="E849" s="1">
        <f t="shared" si="13"/>
        <v>0.34375</v>
      </c>
      <c r="F849">
        <v>98.1</v>
      </c>
      <c r="G849">
        <v>100.5</v>
      </c>
      <c r="H849">
        <v>0.42970000000000003</v>
      </c>
      <c r="I849">
        <v>45.7</v>
      </c>
      <c r="J849">
        <v>51.4</v>
      </c>
      <c r="K849">
        <v>20.8</v>
      </c>
      <c r="L849">
        <v>21.3</v>
      </c>
      <c r="M849">
        <v>31.4</v>
      </c>
      <c r="N849">
        <v>26.2</v>
      </c>
      <c r="O849">
        <v>41</v>
      </c>
      <c r="P849">
        <v>40.799999999999997</v>
      </c>
      <c r="Q849">
        <v>44.3</v>
      </c>
      <c r="R849">
        <v>48.2</v>
      </c>
      <c r="S849">
        <v>33.299999999999997</v>
      </c>
      <c r="T849">
        <v>38.1</v>
      </c>
      <c r="U849">
        <v>62.8</v>
      </c>
      <c r="V849">
        <v>-13.2</v>
      </c>
      <c r="W849" cm="1">
        <f t="array" ref="W849">_xlfn.IFS(OR(X849="N/A",X849="NA"),0,OR(X849="R64",X849="R68"),1,X849="R32",2,X849="S16",3,X849="E8",4,X849="F4",5,X849="2ND",6,X849="Champions",7)</f>
        <v>0</v>
      </c>
      <c r="X849" t="s">
        <v>90</v>
      </c>
      <c r="Y849" t="s">
        <v>90</v>
      </c>
      <c r="Z849">
        <v>2015</v>
      </c>
    </row>
    <row r="850" spans="1:26" x14ac:dyDescent="0.3">
      <c r="A850" t="s">
        <v>275</v>
      </c>
      <c r="B850" t="s">
        <v>47</v>
      </c>
      <c r="C850">
        <v>31</v>
      </c>
      <c r="D850">
        <v>4</v>
      </c>
      <c r="E850" s="1">
        <f t="shared" si="13"/>
        <v>0.12903225806451613</v>
      </c>
      <c r="F850">
        <v>86.1</v>
      </c>
      <c r="G850">
        <v>100.9</v>
      </c>
      <c r="H850">
        <v>0.13930000000000001</v>
      </c>
      <c r="I850">
        <v>43</v>
      </c>
      <c r="J850">
        <v>49.7</v>
      </c>
      <c r="K850">
        <v>25.4</v>
      </c>
      <c r="L850">
        <v>17</v>
      </c>
      <c r="M850">
        <v>24.9</v>
      </c>
      <c r="N850">
        <v>26.7</v>
      </c>
      <c r="O850">
        <v>38.299999999999997</v>
      </c>
      <c r="P850">
        <v>52.2</v>
      </c>
      <c r="Q850">
        <v>43.9</v>
      </c>
      <c r="R850">
        <v>48.7</v>
      </c>
      <c r="S850">
        <v>27.7</v>
      </c>
      <c r="T850">
        <v>34.5</v>
      </c>
      <c r="U850">
        <v>68.099999999999994</v>
      </c>
      <c r="V850">
        <v>-17.7</v>
      </c>
      <c r="W850" cm="1">
        <f t="array" ref="W850">_xlfn.IFS(OR(X850="N/A",X850="NA"),0,OR(X850="R64",X850="R68"),1,X850="R32",2,X850="S16",3,X850="E8",4,X850="F4",5,X850="2ND",6,X850="Champions",7)</f>
        <v>0</v>
      </c>
      <c r="X850" t="s">
        <v>90</v>
      </c>
      <c r="Y850" t="s">
        <v>90</v>
      </c>
      <c r="Z850">
        <v>2016</v>
      </c>
    </row>
    <row r="851" spans="1:26" x14ac:dyDescent="0.3">
      <c r="A851" t="s">
        <v>276</v>
      </c>
      <c r="B851" t="s">
        <v>47</v>
      </c>
      <c r="C851">
        <v>30</v>
      </c>
      <c r="D851">
        <v>6</v>
      </c>
      <c r="E851" s="1">
        <f t="shared" si="13"/>
        <v>0.2</v>
      </c>
      <c r="F851">
        <v>102.9</v>
      </c>
      <c r="G851">
        <v>111.6</v>
      </c>
      <c r="H851">
        <v>0.28189999999999998</v>
      </c>
      <c r="I851">
        <v>50.7</v>
      </c>
      <c r="J851">
        <v>51.9</v>
      </c>
      <c r="K851">
        <v>20.5</v>
      </c>
      <c r="L851">
        <v>14.6</v>
      </c>
      <c r="M851">
        <v>25.5</v>
      </c>
      <c r="N851">
        <v>27.8</v>
      </c>
      <c r="O851">
        <v>33.6</v>
      </c>
      <c r="P851">
        <v>30.5</v>
      </c>
      <c r="Q851">
        <v>47.2</v>
      </c>
      <c r="R851">
        <v>49.6</v>
      </c>
      <c r="S851">
        <v>38.200000000000003</v>
      </c>
      <c r="T851">
        <v>37.700000000000003</v>
      </c>
      <c r="U851">
        <v>66.3</v>
      </c>
      <c r="V851">
        <v>-16.899999999999999</v>
      </c>
      <c r="W851" cm="1">
        <f t="array" ref="W851">_xlfn.IFS(OR(X851="N/A",X851="NA"),0,OR(X851="R64",X851="R68"),1,X851="R32",2,X851="S16",3,X851="E8",4,X851="F4",5,X851="2ND",6,X851="Champions",7)</f>
        <v>0</v>
      </c>
      <c r="X851" t="s">
        <v>90</v>
      </c>
      <c r="Y851" t="s">
        <v>90</v>
      </c>
      <c r="Z851">
        <v>2016</v>
      </c>
    </row>
    <row r="852" spans="1:26" x14ac:dyDescent="0.3">
      <c r="A852" t="s">
        <v>277</v>
      </c>
      <c r="B852" t="s">
        <v>47</v>
      </c>
      <c r="C852">
        <v>33</v>
      </c>
      <c r="D852">
        <v>24</v>
      </c>
      <c r="E852" s="1">
        <f t="shared" si="13"/>
        <v>0.72727272727272729</v>
      </c>
      <c r="F852">
        <v>105.7</v>
      </c>
      <c r="G852">
        <v>97.3</v>
      </c>
      <c r="H852">
        <v>0.72160000000000002</v>
      </c>
      <c r="I852">
        <v>53.4</v>
      </c>
      <c r="J852">
        <v>45.9</v>
      </c>
      <c r="K852">
        <v>18.2</v>
      </c>
      <c r="L852">
        <v>18.399999999999999</v>
      </c>
      <c r="M852">
        <v>24.5</v>
      </c>
      <c r="N852">
        <v>25</v>
      </c>
      <c r="O852">
        <v>46.9</v>
      </c>
      <c r="P852">
        <v>29.4</v>
      </c>
      <c r="Q852">
        <v>53.2</v>
      </c>
      <c r="R852">
        <v>44.4</v>
      </c>
      <c r="S852">
        <v>35.9</v>
      </c>
      <c r="T852">
        <v>32.6</v>
      </c>
      <c r="U852">
        <v>69.5</v>
      </c>
      <c r="V852">
        <v>-1.4</v>
      </c>
      <c r="W852" cm="1">
        <f t="array" ref="W852">_xlfn.IFS(OR(X852="N/A",X852="NA"),0,OR(X852="R64",X852="R68"),1,X852="R32",2,X852="S16",3,X852="E8",4,X852="F4",5,X852="2ND",6,X852="Champions",7)</f>
        <v>0</v>
      </c>
      <c r="X852" t="s">
        <v>90</v>
      </c>
      <c r="Y852" t="s">
        <v>90</v>
      </c>
      <c r="Z852">
        <v>2016</v>
      </c>
    </row>
    <row r="853" spans="1:26" x14ac:dyDescent="0.3">
      <c r="A853" t="s">
        <v>278</v>
      </c>
      <c r="B853" t="s">
        <v>47</v>
      </c>
      <c r="C853">
        <v>31</v>
      </c>
      <c r="D853">
        <v>17</v>
      </c>
      <c r="E853" s="1">
        <f t="shared" si="13"/>
        <v>0.54838709677419351</v>
      </c>
      <c r="F853">
        <v>103.3</v>
      </c>
      <c r="G853">
        <v>98</v>
      </c>
      <c r="H853">
        <v>0.64600000000000002</v>
      </c>
      <c r="I853">
        <v>47.7</v>
      </c>
      <c r="J853">
        <v>48.4</v>
      </c>
      <c r="K853">
        <v>18.5</v>
      </c>
      <c r="L853">
        <v>20.5</v>
      </c>
      <c r="M853">
        <v>30</v>
      </c>
      <c r="N853">
        <v>28.2</v>
      </c>
      <c r="O853">
        <v>30.9</v>
      </c>
      <c r="P853">
        <v>38.4</v>
      </c>
      <c r="Q853">
        <v>46.2</v>
      </c>
      <c r="R853">
        <v>48.7</v>
      </c>
      <c r="S853">
        <v>33.299999999999997</v>
      </c>
      <c r="T853">
        <v>31.9</v>
      </c>
      <c r="U853">
        <v>68.3</v>
      </c>
      <c r="V853">
        <v>-5.5</v>
      </c>
      <c r="W853" cm="1">
        <f t="array" ref="W853">_xlfn.IFS(OR(X853="N/A",X853="NA"),0,OR(X853="R64",X853="R68"),1,X853="R32",2,X853="S16",3,X853="E8",4,X853="F4",5,X853="2ND",6,X853="Champions",7)</f>
        <v>0</v>
      </c>
      <c r="X853" t="s">
        <v>90</v>
      </c>
      <c r="Y853" t="s">
        <v>90</v>
      </c>
      <c r="Z853">
        <v>2016</v>
      </c>
    </row>
    <row r="854" spans="1:26" x14ac:dyDescent="0.3">
      <c r="A854" t="s">
        <v>279</v>
      </c>
      <c r="B854" t="s">
        <v>47</v>
      </c>
      <c r="C854">
        <v>31</v>
      </c>
      <c r="D854">
        <v>14</v>
      </c>
      <c r="E854" s="1">
        <f t="shared" si="13"/>
        <v>0.45161290322580644</v>
      </c>
      <c r="F854">
        <v>97.3</v>
      </c>
      <c r="G854">
        <v>99.3</v>
      </c>
      <c r="H854">
        <v>0.44219999999999998</v>
      </c>
      <c r="I854">
        <v>44.7</v>
      </c>
      <c r="J854">
        <v>47.2</v>
      </c>
      <c r="K854">
        <v>18.600000000000001</v>
      </c>
      <c r="L854">
        <v>17.8</v>
      </c>
      <c r="M854">
        <v>27.3</v>
      </c>
      <c r="N854">
        <v>25.8</v>
      </c>
      <c r="O854">
        <v>41.5</v>
      </c>
      <c r="P854">
        <v>43.9</v>
      </c>
      <c r="Q854">
        <v>44.7</v>
      </c>
      <c r="R854">
        <v>46.5</v>
      </c>
      <c r="S854">
        <v>29.9</v>
      </c>
      <c r="T854">
        <v>32.4</v>
      </c>
      <c r="U854">
        <v>71.2</v>
      </c>
      <c r="V854">
        <v>-8.9</v>
      </c>
      <c r="W854" cm="1">
        <f t="array" ref="W854">_xlfn.IFS(OR(X854="N/A",X854="NA"),0,OR(X854="R64",X854="R68"),1,X854="R32",2,X854="S16",3,X854="E8",4,X854="F4",5,X854="2ND",6,X854="Champions",7)</f>
        <v>0</v>
      </c>
      <c r="X854" t="s">
        <v>90</v>
      </c>
      <c r="Y854" t="s">
        <v>90</v>
      </c>
      <c r="Z854">
        <v>2016</v>
      </c>
    </row>
    <row r="855" spans="1:26" x14ac:dyDescent="0.3">
      <c r="A855" t="s">
        <v>85</v>
      </c>
      <c r="B855" t="s">
        <v>47</v>
      </c>
      <c r="C855">
        <v>31</v>
      </c>
      <c r="D855">
        <v>14</v>
      </c>
      <c r="E855" s="1">
        <f t="shared" si="13"/>
        <v>0.45161290322580644</v>
      </c>
      <c r="F855">
        <v>100.3</v>
      </c>
      <c r="G855">
        <v>100.2</v>
      </c>
      <c r="H855">
        <v>0.50239999999999996</v>
      </c>
      <c r="I855">
        <v>48.3</v>
      </c>
      <c r="J855">
        <v>49.6</v>
      </c>
      <c r="K855">
        <v>18.899999999999999</v>
      </c>
      <c r="L855">
        <v>22.2</v>
      </c>
      <c r="M855">
        <v>22.5</v>
      </c>
      <c r="N855">
        <v>30.6</v>
      </c>
      <c r="O855">
        <v>32.5</v>
      </c>
      <c r="P855">
        <v>36.4</v>
      </c>
      <c r="Q855">
        <v>45.9</v>
      </c>
      <c r="R855">
        <v>48.2</v>
      </c>
      <c r="S855">
        <v>35.299999999999997</v>
      </c>
      <c r="T855">
        <v>34.9</v>
      </c>
      <c r="U855">
        <v>65.7</v>
      </c>
      <c r="V855">
        <v>-9.3000000000000007</v>
      </c>
      <c r="W855" cm="1">
        <f t="array" ref="W855">_xlfn.IFS(OR(X855="N/A",X855="NA"),0,OR(X855="R64",X855="R68"),1,X855="R32",2,X855="S16",3,X855="E8",4,X855="F4",5,X855="2ND",6,X855="Champions",7)</f>
        <v>0</v>
      </c>
      <c r="X855" t="s">
        <v>90</v>
      </c>
      <c r="Y855" t="s">
        <v>90</v>
      </c>
      <c r="Z855">
        <v>2016</v>
      </c>
    </row>
    <row r="856" spans="1:26" x14ac:dyDescent="0.3">
      <c r="A856" t="s">
        <v>280</v>
      </c>
      <c r="B856" t="s">
        <v>47</v>
      </c>
      <c r="C856">
        <v>31</v>
      </c>
      <c r="D856">
        <v>12</v>
      </c>
      <c r="E856" s="1">
        <f t="shared" si="13"/>
        <v>0.38709677419354838</v>
      </c>
      <c r="F856">
        <v>100.1</v>
      </c>
      <c r="G856">
        <v>104.8</v>
      </c>
      <c r="H856">
        <v>0.37080000000000002</v>
      </c>
      <c r="I856">
        <v>46.1</v>
      </c>
      <c r="J856">
        <v>51.5</v>
      </c>
      <c r="K856">
        <v>18.600000000000001</v>
      </c>
      <c r="L856">
        <v>17.600000000000001</v>
      </c>
      <c r="M856">
        <v>28</v>
      </c>
      <c r="N856">
        <v>28.1</v>
      </c>
      <c r="O856">
        <v>39.299999999999997</v>
      </c>
      <c r="P856">
        <v>34.1</v>
      </c>
      <c r="Q856">
        <v>45.3</v>
      </c>
      <c r="R856">
        <v>49.1</v>
      </c>
      <c r="S856">
        <v>32</v>
      </c>
      <c r="T856">
        <v>37.200000000000003</v>
      </c>
      <c r="U856">
        <v>69.8</v>
      </c>
      <c r="V856">
        <v>-10.6</v>
      </c>
      <c r="W856" cm="1">
        <f t="array" ref="W856">_xlfn.IFS(OR(X856="N/A",X856="NA"),0,OR(X856="R64",X856="R68"),1,X856="R32",2,X856="S16",3,X856="E8",4,X856="F4",5,X856="2ND",6,X856="Champions",7)</f>
        <v>0</v>
      </c>
      <c r="X856" t="s">
        <v>90</v>
      </c>
      <c r="Y856" t="s">
        <v>90</v>
      </c>
      <c r="Z856">
        <v>2016</v>
      </c>
    </row>
    <row r="857" spans="1:26" x14ac:dyDescent="0.3">
      <c r="A857" t="s">
        <v>281</v>
      </c>
      <c r="B857" t="s">
        <v>47</v>
      </c>
      <c r="C857">
        <v>32</v>
      </c>
      <c r="D857">
        <v>22</v>
      </c>
      <c r="E857" s="1">
        <f t="shared" si="13"/>
        <v>0.6875</v>
      </c>
      <c r="F857">
        <v>105</v>
      </c>
      <c r="G857">
        <v>102.5</v>
      </c>
      <c r="H857">
        <v>0.56789999999999996</v>
      </c>
      <c r="I857">
        <v>51.1</v>
      </c>
      <c r="J857">
        <v>50.9</v>
      </c>
      <c r="K857">
        <v>19.399999999999999</v>
      </c>
      <c r="L857">
        <v>21.3</v>
      </c>
      <c r="M857">
        <v>31.7</v>
      </c>
      <c r="N857">
        <v>25.6</v>
      </c>
      <c r="O857">
        <v>39.299999999999997</v>
      </c>
      <c r="P857">
        <v>44.9</v>
      </c>
      <c r="Q857">
        <v>51</v>
      </c>
      <c r="R857">
        <v>52.6</v>
      </c>
      <c r="S857">
        <v>34.299999999999997</v>
      </c>
      <c r="T857">
        <v>31.8</v>
      </c>
      <c r="U857">
        <v>70.5</v>
      </c>
      <c r="V857">
        <v>-3.3</v>
      </c>
      <c r="W857" cm="1">
        <f t="array" ref="W857">_xlfn.IFS(OR(X857="N/A",X857="NA"),0,OR(X857="R64",X857="R68"),1,X857="R32",2,X857="S16",3,X857="E8",4,X857="F4",5,X857="2ND",6,X857="Champions",7)</f>
        <v>0</v>
      </c>
      <c r="X857" t="s">
        <v>90</v>
      </c>
      <c r="Y857" t="s">
        <v>90</v>
      </c>
      <c r="Z857">
        <v>2016</v>
      </c>
    </row>
    <row r="858" spans="1:26" x14ac:dyDescent="0.3">
      <c r="A858" t="s">
        <v>275</v>
      </c>
      <c r="B858" t="s">
        <v>47</v>
      </c>
      <c r="C858">
        <v>32</v>
      </c>
      <c r="D858">
        <v>13</v>
      </c>
      <c r="E858" s="1">
        <f t="shared" si="13"/>
        <v>0.40625</v>
      </c>
      <c r="F858">
        <v>96.5</v>
      </c>
      <c r="G858">
        <v>102.1</v>
      </c>
      <c r="H858">
        <v>0.34089999999999998</v>
      </c>
      <c r="I858">
        <v>48.5</v>
      </c>
      <c r="J858">
        <v>48.9</v>
      </c>
      <c r="K858">
        <v>21.9</v>
      </c>
      <c r="L858">
        <v>18.399999999999999</v>
      </c>
      <c r="M858">
        <v>26.3</v>
      </c>
      <c r="N858">
        <v>29.4</v>
      </c>
      <c r="O858">
        <v>42.1</v>
      </c>
      <c r="P858">
        <v>40.9</v>
      </c>
      <c r="Q858">
        <v>46.1</v>
      </c>
      <c r="R858">
        <v>46.8</v>
      </c>
      <c r="S858">
        <v>35.299999999999997</v>
      </c>
      <c r="T858">
        <v>34.700000000000003</v>
      </c>
      <c r="U858">
        <v>69</v>
      </c>
      <c r="V858">
        <v>-11.2</v>
      </c>
      <c r="W858" cm="1">
        <f t="array" ref="W858">_xlfn.IFS(OR(X858="N/A",X858="NA"),0,OR(X858="R64",X858="R68"),1,X858="R32",2,X858="S16",3,X858="E8",4,X858="F4",5,X858="2ND",6,X858="Champions",7)</f>
        <v>0</v>
      </c>
      <c r="X858" t="s">
        <v>90</v>
      </c>
      <c r="Y858" t="s">
        <v>90</v>
      </c>
      <c r="Z858">
        <v>2017</v>
      </c>
    </row>
    <row r="859" spans="1:26" x14ac:dyDescent="0.3">
      <c r="A859" t="s">
        <v>276</v>
      </c>
      <c r="B859" t="s">
        <v>47</v>
      </c>
      <c r="C859">
        <v>29</v>
      </c>
      <c r="D859">
        <v>7</v>
      </c>
      <c r="E859" s="1">
        <f t="shared" si="13"/>
        <v>0.2413793103448276</v>
      </c>
      <c r="F859">
        <v>102.6</v>
      </c>
      <c r="G859">
        <v>110</v>
      </c>
      <c r="H859">
        <v>0.30990000000000001</v>
      </c>
      <c r="I859">
        <v>48.1</v>
      </c>
      <c r="J859">
        <v>53.1</v>
      </c>
      <c r="K859">
        <v>17.600000000000001</v>
      </c>
      <c r="L859">
        <v>17.600000000000001</v>
      </c>
      <c r="M859">
        <v>26.8</v>
      </c>
      <c r="N859">
        <v>31.5</v>
      </c>
      <c r="O859">
        <v>29.1</v>
      </c>
      <c r="P859">
        <v>30.7</v>
      </c>
      <c r="Q859">
        <v>45.3</v>
      </c>
      <c r="R859">
        <v>52</v>
      </c>
      <c r="S859">
        <v>34.6</v>
      </c>
      <c r="T859">
        <v>36.799999999999997</v>
      </c>
      <c r="U859">
        <v>71</v>
      </c>
      <c r="V859">
        <v>-15.8</v>
      </c>
      <c r="W859" cm="1">
        <f t="array" ref="W859">_xlfn.IFS(OR(X859="N/A",X859="NA"),0,OR(X859="R64",X859="R68"),1,X859="R32",2,X859="S16",3,X859="E8",4,X859="F4",5,X859="2ND",6,X859="Champions",7)</f>
        <v>0</v>
      </c>
      <c r="X859" t="s">
        <v>90</v>
      </c>
      <c r="Y859" t="s">
        <v>90</v>
      </c>
      <c r="Z859">
        <v>2017</v>
      </c>
    </row>
    <row r="860" spans="1:26" x14ac:dyDescent="0.3">
      <c r="A860" t="s">
        <v>277</v>
      </c>
      <c r="B860" t="s">
        <v>47</v>
      </c>
      <c r="C860">
        <v>31</v>
      </c>
      <c r="D860">
        <v>16</v>
      </c>
      <c r="E860" s="1">
        <f t="shared" si="13"/>
        <v>0.5161290322580645</v>
      </c>
      <c r="F860">
        <v>105.9</v>
      </c>
      <c r="G860">
        <v>102.2</v>
      </c>
      <c r="H860">
        <v>0.60119999999999996</v>
      </c>
      <c r="I860">
        <v>48.8</v>
      </c>
      <c r="J860">
        <v>49.6</v>
      </c>
      <c r="K860">
        <v>17.899999999999999</v>
      </c>
      <c r="L860">
        <v>18.5</v>
      </c>
      <c r="M860">
        <v>27.1</v>
      </c>
      <c r="N860">
        <v>27.1</v>
      </c>
      <c r="O860">
        <v>45.8</v>
      </c>
      <c r="P860">
        <v>40.9</v>
      </c>
      <c r="Q860">
        <v>47.2</v>
      </c>
      <c r="R860">
        <v>47.9</v>
      </c>
      <c r="S860">
        <v>36.9</v>
      </c>
      <c r="T860">
        <v>34.9</v>
      </c>
      <c r="U860">
        <v>68</v>
      </c>
      <c r="V860">
        <v>-8.9</v>
      </c>
      <c r="W860" cm="1">
        <f t="array" ref="W860">_xlfn.IFS(OR(X860="N/A",X860="NA"),0,OR(X860="R64",X860="R68"),1,X860="R32",2,X860="S16",3,X860="E8",4,X860="F4",5,X860="2ND",6,X860="Champions",7)</f>
        <v>0</v>
      </c>
      <c r="X860" t="s">
        <v>90</v>
      </c>
      <c r="Y860" t="s">
        <v>90</v>
      </c>
      <c r="Z860">
        <v>2017</v>
      </c>
    </row>
    <row r="861" spans="1:26" x14ac:dyDescent="0.3">
      <c r="A861" t="s">
        <v>278</v>
      </c>
      <c r="B861" t="s">
        <v>47</v>
      </c>
      <c r="C861">
        <v>34</v>
      </c>
      <c r="D861">
        <v>28</v>
      </c>
      <c r="E861" s="1">
        <f t="shared" si="13"/>
        <v>0.82352941176470584</v>
      </c>
      <c r="F861">
        <v>107.5</v>
      </c>
      <c r="G861">
        <v>92.2</v>
      </c>
      <c r="H861">
        <v>0.85289999999999999</v>
      </c>
      <c r="I861">
        <v>51.4</v>
      </c>
      <c r="J861">
        <v>44</v>
      </c>
      <c r="K861">
        <v>18.600000000000001</v>
      </c>
      <c r="L861">
        <v>19</v>
      </c>
      <c r="M861">
        <v>30.4</v>
      </c>
      <c r="N861">
        <v>28.5</v>
      </c>
      <c r="O861">
        <v>29.9</v>
      </c>
      <c r="P861">
        <v>32.6</v>
      </c>
      <c r="Q861">
        <v>48.6</v>
      </c>
      <c r="R861">
        <v>41.1</v>
      </c>
      <c r="S861">
        <v>37</v>
      </c>
      <c r="T861">
        <v>32.5</v>
      </c>
      <c r="U861">
        <v>66.2</v>
      </c>
      <c r="V861">
        <v>1.8</v>
      </c>
      <c r="W861" cm="1">
        <f t="array" ref="W861">_xlfn.IFS(OR(X861="N/A",X861="NA"),0,OR(X861="R64",X861="R68"),1,X861="R32",2,X861="S16",3,X861="E8",4,X861="F4",5,X861="2ND",6,X861="Champions",7)</f>
        <v>0</v>
      </c>
      <c r="X861" t="s">
        <v>90</v>
      </c>
      <c r="Y861" t="s">
        <v>90</v>
      </c>
      <c r="Z861">
        <v>2017</v>
      </c>
    </row>
    <row r="862" spans="1:26" x14ac:dyDescent="0.3">
      <c r="A862" t="s">
        <v>279</v>
      </c>
      <c r="B862" t="s">
        <v>47</v>
      </c>
      <c r="C862">
        <v>30</v>
      </c>
      <c r="D862">
        <v>11</v>
      </c>
      <c r="E862" s="1">
        <f t="shared" si="13"/>
        <v>0.36666666666666664</v>
      </c>
      <c r="F862">
        <v>98.4</v>
      </c>
      <c r="G862">
        <v>100.5</v>
      </c>
      <c r="H862">
        <v>0.4415</v>
      </c>
      <c r="I862">
        <v>47.8</v>
      </c>
      <c r="J862">
        <v>47.9</v>
      </c>
      <c r="K862">
        <v>17.8</v>
      </c>
      <c r="L862">
        <v>17.8</v>
      </c>
      <c r="M862">
        <v>22.4</v>
      </c>
      <c r="N862">
        <v>29.3</v>
      </c>
      <c r="O862">
        <v>30.8</v>
      </c>
      <c r="P862">
        <v>42.8</v>
      </c>
      <c r="Q862">
        <v>45.8</v>
      </c>
      <c r="R862">
        <v>44.2</v>
      </c>
      <c r="S862">
        <v>33.9</v>
      </c>
      <c r="T862">
        <v>37.299999999999997</v>
      </c>
      <c r="U862">
        <v>71.099999999999994</v>
      </c>
      <c r="V862">
        <v>-11.8</v>
      </c>
      <c r="W862" cm="1">
        <f t="array" ref="W862">_xlfn.IFS(OR(X862="N/A",X862="NA"),0,OR(X862="R64",X862="R68"),1,X862="R32",2,X862="S16",3,X862="E8",4,X862="F4",5,X862="2ND",6,X862="Champions",7)</f>
        <v>0</v>
      </c>
      <c r="X862" t="s">
        <v>90</v>
      </c>
      <c r="Y862" t="s">
        <v>90</v>
      </c>
      <c r="Z862">
        <v>2017</v>
      </c>
    </row>
    <row r="863" spans="1:26" x14ac:dyDescent="0.3">
      <c r="A863" t="s">
        <v>85</v>
      </c>
      <c r="B863" t="s">
        <v>47</v>
      </c>
      <c r="C863">
        <v>30</v>
      </c>
      <c r="D863">
        <v>18</v>
      </c>
      <c r="E863" s="1">
        <f t="shared" si="13"/>
        <v>0.6</v>
      </c>
      <c r="F863">
        <v>107.3</v>
      </c>
      <c r="G863">
        <v>100.9</v>
      </c>
      <c r="H863">
        <v>0.66910000000000003</v>
      </c>
      <c r="I863">
        <v>55.3</v>
      </c>
      <c r="J863">
        <v>51.8</v>
      </c>
      <c r="K863">
        <v>17.3</v>
      </c>
      <c r="L863">
        <v>20.9</v>
      </c>
      <c r="M863">
        <v>20.6</v>
      </c>
      <c r="N863">
        <v>25.8</v>
      </c>
      <c r="O863">
        <v>30.8</v>
      </c>
      <c r="P863">
        <v>33.5</v>
      </c>
      <c r="Q863">
        <v>53.5</v>
      </c>
      <c r="R863">
        <v>49.6</v>
      </c>
      <c r="S863">
        <v>38.9</v>
      </c>
      <c r="T863">
        <v>37.299999999999997</v>
      </c>
      <c r="U863">
        <v>67.099999999999994</v>
      </c>
      <c r="V863">
        <v>-7.2</v>
      </c>
      <c r="W863" cm="1">
        <f t="array" ref="W863">_xlfn.IFS(OR(X863="N/A",X863="NA"),0,OR(X863="R64",X863="R68"),1,X863="R32",2,X863="S16",3,X863="E8",4,X863="F4",5,X863="2ND",6,X863="Champions",7)</f>
        <v>0</v>
      </c>
      <c r="X863" t="s">
        <v>90</v>
      </c>
      <c r="Y863" t="s">
        <v>90</v>
      </c>
      <c r="Z863">
        <v>2017</v>
      </c>
    </row>
    <row r="864" spans="1:26" x14ac:dyDescent="0.3">
      <c r="A864" t="s">
        <v>280</v>
      </c>
      <c r="B864" t="s">
        <v>47</v>
      </c>
      <c r="C864">
        <v>32</v>
      </c>
      <c r="D864">
        <v>17</v>
      </c>
      <c r="E864" s="1">
        <f t="shared" si="13"/>
        <v>0.53125</v>
      </c>
      <c r="F864">
        <v>108.5</v>
      </c>
      <c r="G864">
        <v>105.3</v>
      </c>
      <c r="H864">
        <v>0.58589999999999998</v>
      </c>
      <c r="I864">
        <v>51</v>
      </c>
      <c r="J864">
        <v>50.4</v>
      </c>
      <c r="K864">
        <v>18.399999999999999</v>
      </c>
      <c r="L864">
        <v>16.2</v>
      </c>
      <c r="M864">
        <v>32.9</v>
      </c>
      <c r="N864">
        <v>24.6</v>
      </c>
      <c r="O864">
        <v>33.799999999999997</v>
      </c>
      <c r="P864">
        <v>33</v>
      </c>
      <c r="Q864">
        <v>48.8</v>
      </c>
      <c r="R864">
        <v>49.2</v>
      </c>
      <c r="S864">
        <v>36.200000000000003</v>
      </c>
      <c r="T864">
        <v>35</v>
      </c>
      <c r="U864">
        <v>67.400000000000006</v>
      </c>
      <c r="V864">
        <v>-8.5</v>
      </c>
      <c r="W864" cm="1">
        <f t="array" ref="W864">_xlfn.IFS(OR(X864="N/A",X864="NA"),0,OR(X864="R64",X864="R68"),1,X864="R32",2,X864="S16",3,X864="E8",4,X864="F4",5,X864="2ND",6,X864="Champions",7)</f>
        <v>0</v>
      </c>
      <c r="X864" t="s">
        <v>90</v>
      </c>
      <c r="Y864" t="s">
        <v>90</v>
      </c>
      <c r="Z864">
        <v>2017</v>
      </c>
    </row>
    <row r="865" spans="1:26" x14ac:dyDescent="0.3">
      <c r="A865" t="s">
        <v>282</v>
      </c>
      <c r="B865" t="s">
        <v>47</v>
      </c>
      <c r="C865">
        <v>29</v>
      </c>
      <c r="D865">
        <v>14</v>
      </c>
      <c r="E865" s="1">
        <f t="shared" si="13"/>
        <v>0.48275862068965519</v>
      </c>
      <c r="F865">
        <v>96.8</v>
      </c>
      <c r="G865">
        <v>96.6</v>
      </c>
      <c r="H865">
        <v>0.50519999999999998</v>
      </c>
      <c r="I865">
        <v>46.7</v>
      </c>
      <c r="J865">
        <v>50.5</v>
      </c>
      <c r="K865">
        <v>17.3</v>
      </c>
      <c r="L865">
        <v>20.9</v>
      </c>
      <c r="M865">
        <v>17.7</v>
      </c>
      <c r="N865">
        <v>28.3</v>
      </c>
      <c r="O865">
        <v>34.200000000000003</v>
      </c>
      <c r="P865">
        <v>26</v>
      </c>
      <c r="Q865">
        <v>45.3</v>
      </c>
      <c r="R865">
        <v>47.6</v>
      </c>
      <c r="S865">
        <v>32.299999999999997</v>
      </c>
      <c r="T865">
        <v>36.799999999999997</v>
      </c>
      <c r="U865">
        <v>64.7</v>
      </c>
      <c r="V865">
        <v>-6.8</v>
      </c>
      <c r="W865" cm="1">
        <f t="array" ref="W865">_xlfn.IFS(OR(X865="N/A",X865="NA"),0,OR(X865="R64",X865="R68"),1,X865="R32",2,X865="S16",3,X865="E8",4,X865="F4",5,X865="2ND",6,X865="Champions",7)</f>
        <v>0</v>
      </c>
      <c r="X865" t="s">
        <v>90</v>
      </c>
      <c r="Y865" t="s">
        <v>90</v>
      </c>
      <c r="Z865">
        <v>2017</v>
      </c>
    </row>
    <row r="866" spans="1:26" x14ac:dyDescent="0.3">
      <c r="A866" t="s">
        <v>281</v>
      </c>
      <c r="B866" t="s">
        <v>47</v>
      </c>
      <c r="C866">
        <v>32</v>
      </c>
      <c r="D866">
        <v>17</v>
      </c>
      <c r="E866" s="1">
        <f t="shared" si="13"/>
        <v>0.53125</v>
      </c>
      <c r="F866">
        <v>102.1</v>
      </c>
      <c r="G866">
        <v>103.1</v>
      </c>
      <c r="H866">
        <v>0.47110000000000002</v>
      </c>
      <c r="I866">
        <v>47.7</v>
      </c>
      <c r="J866">
        <v>52.2</v>
      </c>
      <c r="K866">
        <v>17.600000000000001</v>
      </c>
      <c r="L866">
        <v>20.3</v>
      </c>
      <c r="M866">
        <v>29.5</v>
      </c>
      <c r="N866">
        <v>31.4</v>
      </c>
      <c r="O866">
        <v>35.4</v>
      </c>
      <c r="P866">
        <v>33.6</v>
      </c>
      <c r="Q866">
        <v>47.9</v>
      </c>
      <c r="R866">
        <v>48.2</v>
      </c>
      <c r="S866">
        <v>31.6</v>
      </c>
      <c r="T866">
        <v>39.4</v>
      </c>
      <c r="U866">
        <v>66.8</v>
      </c>
      <c r="V866">
        <v>-7.2</v>
      </c>
      <c r="W866" cm="1">
        <f t="array" ref="W866">_xlfn.IFS(OR(X866="N/A",X866="NA"),0,OR(X866="R64",X866="R68"),1,X866="R32",2,X866="S16",3,X866="E8",4,X866="F4",5,X866="2ND",6,X866="Champions",7)</f>
        <v>0</v>
      </c>
      <c r="X866" t="s">
        <v>90</v>
      </c>
      <c r="Y866" t="s">
        <v>90</v>
      </c>
      <c r="Z866">
        <v>2017</v>
      </c>
    </row>
    <row r="867" spans="1:26" x14ac:dyDescent="0.3">
      <c r="A867" t="s">
        <v>275</v>
      </c>
      <c r="B867" t="s">
        <v>47</v>
      </c>
      <c r="C867">
        <v>32</v>
      </c>
      <c r="D867">
        <v>20</v>
      </c>
      <c r="E867" s="1">
        <f t="shared" si="13"/>
        <v>0.625</v>
      </c>
      <c r="F867">
        <v>103.9</v>
      </c>
      <c r="G867">
        <v>99.7</v>
      </c>
      <c r="H867">
        <v>0.61550000000000005</v>
      </c>
      <c r="I867">
        <v>48.9</v>
      </c>
      <c r="J867">
        <v>47.7</v>
      </c>
      <c r="K867">
        <v>20</v>
      </c>
      <c r="L867">
        <v>20.3</v>
      </c>
      <c r="M867">
        <v>31.3</v>
      </c>
      <c r="N867">
        <v>29</v>
      </c>
      <c r="O867">
        <v>37.799999999999997</v>
      </c>
      <c r="P867">
        <v>35.6</v>
      </c>
      <c r="Q867">
        <v>46.6</v>
      </c>
      <c r="R867">
        <v>46.2</v>
      </c>
      <c r="S867">
        <v>35.6</v>
      </c>
      <c r="T867">
        <v>33.299999999999997</v>
      </c>
      <c r="U867">
        <v>67</v>
      </c>
      <c r="V867">
        <v>-5.6</v>
      </c>
      <c r="W867" cm="1">
        <f t="array" ref="W867">_xlfn.IFS(OR(X867="N/A",X867="NA"),0,OR(X867="R64",X867="R68"),1,X867="R32",2,X867="S16",3,X867="E8",4,X867="F4",5,X867="2ND",6,X867="Champions",7)</f>
        <v>0</v>
      </c>
      <c r="X867" t="s">
        <v>90</v>
      </c>
      <c r="Y867" t="s">
        <v>90</v>
      </c>
      <c r="Z867">
        <v>2018</v>
      </c>
    </row>
    <row r="868" spans="1:26" x14ac:dyDescent="0.3">
      <c r="A868" t="s">
        <v>276</v>
      </c>
      <c r="B868" t="s">
        <v>47</v>
      </c>
      <c r="C868">
        <v>33</v>
      </c>
      <c r="D868">
        <v>17</v>
      </c>
      <c r="E868" s="1">
        <f t="shared" si="13"/>
        <v>0.51515151515151514</v>
      </c>
      <c r="F868">
        <v>105.6</v>
      </c>
      <c r="G868">
        <v>103.8</v>
      </c>
      <c r="H868">
        <v>0.54959999999999998</v>
      </c>
      <c r="I868">
        <v>50.4</v>
      </c>
      <c r="J868">
        <v>51.6</v>
      </c>
      <c r="K868">
        <v>17.2</v>
      </c>
      <c r="L868">
        <v>16.899999999999999</v>
      </c>
      <c r="M868">
        <v>23.6</v>
      </c>
      <c r="N868">
        <v>27.9</v>
      </c>
      <c r="O868">
        <v>32.299999999999997</v>
      </c>
      <c r="P868">
        <v>24.5</v>
      </c>
      <c r="Q868">
        <v>48.4</v>
      </c>
      <c r="R868">
        <v>52.3</v>
      </c>
      <c r="S868">
        <v>35.6</v>
      </c>
      <c r="T868">
        <v>33.6</v>
      </c>
      <c r="U868">
        <v>69.3</v>
      </c>
      <c r="V868">
        <v>-8.1</v>
      </c>
      <c r="W868" cm="1">
        <f t="array" ref="W868">_xlfn.IFS(OR(X868="N/A",X868="NA"),0,OR(X868="R64",X868="R68"),1,X868="R32",2,X868="S16",3,X868="E8",4,X868="F4",5,X868="2ND",6,X868="Champions",7)</f>
        <v>0</v>
      </c>
      <c r="X868" t="s">
        <v>90</v>
      </c>
      <c r="Y868" t="s">
        <v>90</v>
      </c>
      <c r="Z868">
        <v>2018</v>
      </c>
    </row>
    <row r="869" spans="1:26" x14ac:dyDescent="0.3">
      <c r="A869" t="s">
        <v>277</v>
      </c>
      <c r="B869" t="s">
        <v>47</v>
      </c>
      <c r="C869">
        <v>30</v>
      </c>
      <c r="D869">
        <v>17</v>
      </c>
      <c r="E869" s="1">
        <f t="shared" si="13"/>
        <v>0.56666666666666665</v>
      </c>
      <c r="F869">
        <v>97.6</v>
      </c>
      <c r="G869">
        <v>95.4</v>
      </c>
      <c r="H869">
        <v>0.56740000000000002</v>
      </c>
      <c r="I869">
        <v>48.7</v>
      </c>
      <c r="J869">
        <v>49.8</v>
      </c>
      <c r="K869">
        <v>20.9</v>
      </c>
      <c r="L869">
        <v>20.9</v>
      </c>
      <c r="M869">
        <v>23.9</v>
      </c>
      <c r="N869">
        <v>26.1</v>
      </c>
      <c r="O869">
        <v>34.6</v>
      </c>
      <c r="P869">
        <v>32.9</v>
      </c>
      <c r="Q869">
        <v>44.5</v>
      </c>
      <c r="R869">
        <v>48.5</v>
      </c>
      <c r="S869">
        <v>39.799999999999997</v>
      </c>
      <c r="T869">
        <v>34.4</v>
      </c>
      <c r="U869">
        <v>66.7</v>
      </c>
      <c r="V869">
        <v>-7.7</v>
      </c>
      <c r="W869" cm="1">
        <f t="array" ref="W869">_xlfn.IFS(OR(X869="N/A",X869="NA"),0,OR(X869="R64",X869="R68"),1,X869="R32",2,X869="S16",3,X869="E8",4,X869="F4",5,X869="2ND",6,X869="Champions",7)</f>
        <v>0</v>
      </c>
      <c r="X869" t="s">
        <v>90</v>
      </c>
      <c r="Y869" t="s">
        <v>90</v>
      </c>
      <c r="Z869">
        <v>2018</v>
      </c>
    </row>
    <row r="870" spans="1:26" x14ac:dyDescent="0.3">
      <c r="A870" t="s">
        <v>278</v>
      </c>
      <c r="B870" t="s">
        <v>47</v>
      </c>
      <c r="C870">
        <v>32</v>
      </c>
      <c r="D870">
        <v>18</v>
      </c>
      <c r="E870" s="1">
        <f t="shared" si="13"/>
        <v>0.5625</v>
      </c>
      <c r="F870">
        <v>104.4</v>
      </c>
      <c r="G870">
        <v>102.5</v>
      </c>
      <c r="H870">
        <v>0.55369999999999997</v>
      </c>
      <c r="I870">
        <v>49.8</v>
      </c>
      <c r="J870">
        <v>49</v>
      </c>
      <c r="K870">
        <v>18.899999999999999</v>
      </c>
      <c r="L870">
        <v>18.100000000000001</v>
      </c>
      <c r="M870">
        <v>26</v>
      </c>
      <c r="N870">
        <v>31.5</v>
      </c>
      <c r="O870">
        <v>33.799999999999997</v>
      </c>
      <c r="P870">
        <v>38.299999999999997</v>
      </c>
      <c r="Q870">
        <v>49.4</v>
      </c>
      <c r="R870">
        <v>50.3</v>
      </c>
      <c r="S870">
        <v>33.6</v>
      </c>
      <c r="T870">
        <v>31.3</v>
      </c>
      <c r="U870">
        <v>70.099999999999994</v>
      </c>
      <c r="V870">
        <v>-5.9</v>
      </c>
      <c r="W870" cm="1">
        <f t="array" ref="W870">_xlfn.IFS(OR(X870="N/A",X870="NA"),0,OR(X870="R64",X870="R68"),1,X870="R32",2,X870="S16",3,X870="E8",4,X870="F4",5,X870="2ND",6,X870="Champions",7)</f>
        <v>0</v>
      </c>
      <c r="X870" t="s">
        <v>90</v>
      </c>
      <c r="Y870" t="s">
        <v>90</v>
      </c>
      <c r="Z870">
        <v>2018</v>
      </c>
    </row>
    <row r="871" spans="1:26" x14ac:dyDescent="0.3">
      <c r="A871" t="s">
        <v>279</v>
      </c>
      <c r="B871" t="s">
        <v>47</v>
      </c>
      <c r="C871">
        <v>29</v>
      </c>
      <c r="D871">
        <v>13</v>
      </c>
      <c r="E871" s="1">
        <f t="shared" si="13"/>
        <v>0.44827586206896552</v>
      </c>
      <c r="F871">
        <v>103.2</v>
      </c>
      <c r="G871">
        <v>101.4</v>
      </c>
      <c r="H871">
        <v>0.55059999999999998</v>
      </c>
      <c r="I871">
        <v>49.5</v>
      </c>
      <c r="J871">
        <v>51.4</v>
      </c>
      <c r="K871">
        <v>20.100000000000001</v>
      </c>
      <c r="L871">
        <v>19.8</v>
      </c>
      <c r="M871">
        <v>27.6</v>
      </c>
      <c r="N871">
        <v>23.6</v>
      </c>
      <c r="O871">
        <v>34.1</v>
      </c>
      <c r="P871">
        <v>42.1</v>
      </c>
      <c r="Q871">
        <v>46.5</v>
      </c>
      <c r="R871">
        <v>50.1</v>
      </c>
      <c r="S871">
        <v>35.9</v>
      </c>
      <c r="T871">
        <v>35.700000000000003</v>
      </c>
      <c r="U871">
        <v>71.099999999999994</v>
      </c>
      <c r="V871">
        <v>-10.3</v>
      </c>
      <c r="W871" cm="1">
        <f t="array" ref="W871">_xlfn.IFS(OR(X871="N/A",X871="NA"),0,OR(X871="R64",X871="R68"),1,X871="R32",2,X871="S16",3,X871="E8",4,X871="F4",5,X871="2ND",6,X871="Champions",7)</f>
        <v>0</v>
      </c>
      <c r="X871" t="s">
        <v>90</v>
      </c>
      <c r="Y871" t="s">
        <v>90</v>
      </c>
      <c r="Z871">
        <v>2018</v>
      </c>
    </row>
    <row r="872" spans="1:26" x14ac:dyDescent="0.3">
      <c r="A872" t="s">
        <v>280</v>
      </c>
      <c r="B872" t="s">
        <v>47</v>
      </c>
      <c r="C872">
        <v>32</v>
      </c>
      <c r="D872">
        <v>18</v>
      </c>
      <c r="E872" s="1">
        <f t="shared" si="13"/>
        <v>0.5625</v>
      </c>
      <c r="F872">
        <v>108.3</v>
      </c>
      <c r="G872">
        <v>103.6</v>
      </c>
      <c r="H872">
        <v>0.62709999999999999</v>
      </c>
      <c r="I872">
        <v>49.4</v>
      </c>
      <c r="J872">
        <v>47.5</v>
      </c>
      <c r="K872">
        <v>17.399999999999999</v>
      </c>
      <c r="L872">
        <v>14.8</v>
      </c>
      <c r="M872">
        <v>33.1</v>
      </c>
      <c r="N872">
        <v>25.8</v>
      </c>
      <c r="O872">
        <v>27.3</v>
      </c>
      <c r="P872">
        <v>30.4</v>
      </c>
      <c r="Q872">
        <v>49.4</v>
      </c>
      <c r="R872">
        <v>46</v>
      </c>
      <c r="S872">
        <v>32.9</v>
      </c>
      <c r="T872">
        <v>33.5</v>
      </c>
      <c r="U872">
        <v>66.7</v>
      </c>
      <c r="V872">
        <v>-8</v>
      </c>
      <c r="W872" cm="1">
        <f t="array" ref="W872">_xlfn.IFS(OR(X872="N/A",X872="NA"),0,OR(X872="R64",X872="R68"),1,X872="R32",2,X872="S16",3,X872="E8",4,X872="F4",5,X872="2ND",6,X872="Champions",7)</f>
        <v>0</v>
      </c>
      <c r="X872" t="s">
        <v>90</v>
      </c>
      <c r="Y872" t="s">
        <v>90</v>
      </c>
      <c r="Z872">
        <v>2018</v>
      </c>
    </row>
    <row r="873" spans="1:26" x14ac:dyDescent="0.3">
      <c r="A873" t="s">
        <v>282</v>
      </c>
      <c r="B873" t="s">
        <v>47</v>
      </c>
      <c r="C873">
        <v>30</v>
      </c>
      <c r="D873">
        <v>16</v>
      </c>
      <c r="E873" s="1">
        <f t="shared" si="13"/>
        <v>0.53333333333333333</v>
      </c>
      <c r="F873">
        <v>103.6</v>
      </c>
      <c r="G873">
        <v>97.3</v>
      </c>
      <c r="H873">
        <v>0.67320000000000002</v>
      </c>
      <c r="I873">
        <v>48.5</v>
      </c>
      <c r="J873">
        <v>49.8</v>
      </c>
      <c r="K873">
        <v>17.5</v>
      </c>
      <c r="L873">
        <v>17</v>
      </c>
      <c r="M873">
        <v>24.5</v>
      </c>
      <c r="N873">
        <v>22.1</v>
      </c>
      <c r="O873">
        <v>31.3</v>
      </c>
      <c r="P873">
        <v>25.6</v>
      </c>
      <c r="Q873">
        <v>47.3</v>
      </c>
      <c r="R873">
        <v>46.4</v>
      </c>
      <c r="S873">
        <v>33.5</v>
      </c>
      <c r="T873">
        <v>37</v>
      </c>
      <c r="U873">
        <v>63.7</v>
      </c>
      <c r="V873">
        <v>-7.1</v>
      </c>
      <c r="W873" cm="1">
        <f t="array" ref="W873">_xlfn.IFS(OR(X873="N/A",X873="NA"),0,OR(X873="R64",X873="R68"),1,X873="R32",2,X873="S16",3,X873="E8",4,X873="F4",5,X873="2ND",6,X873="Champions",7)</f>
        <v>0</v>
      </c>
      <c r="X873" t="s">
        <v>90</v>
      </c>
      <c r="Y873" t="s">
        <v>90</v>
      </c>
      <c r="Z873">
        <v>2018</v>
      </c>
    </row>
    <row r="874" spans="1:26" x14ac:dyDescent="0.3">
      <c r="A874" t="s">
        <v>281</v>
      </c>
      <c r="B874" t="s">
        <v>47</v>
      </c>
      <c r="C874">
        <v>32</v>
      </c>
      <c r="D874">
        <v>20</v>
      </c>
      <c r="E874" s="1">
        <f t="shared" si="13"/>
        <v>0.625</v>
      </c>
      <c r="F874">
        <v>104.4</v>
      </c>
      <c r="G874">
        <v>102.8</v>
      </c>
      <c r="H874">
        <v>0.54459999999999997</v>
      </c>
      <c r="I874">
        <v>52.2</v>
      </c>
      <c r="J874">
        <v>50.5</v>
      </c>
      <c r="K874">
        <v>18.7</v>
      </c>
      <c r="L874">
        <v>19.899999999999999</v>
      </c>
      <c r="M874">
        <v>25.9</v>
      </c>
      <c r="N874">
        <v>29</v>
      </c>
      <c r="O874">
        <v>32.4</v>
      </c>
      <c r="P874">
        <v>34.1</v>
      </c>
      <c r="Q874">
        <v>51.5</v>
      </c>
      <c r="R874">
        <v>50.9</v>
      </c>
      <c r="S874">
        <v>35.700000000000003</v>
      </c>
      <c r="T874">
        <v>33.299999999999997</v>
      </c>
      <c r="U874">
        <v>67.900000000000006</v>
      </c>
      <c r="V874">
        <v>-5.3</v>
      </c>
      <c r="W874" cm="1">
        <f t="array" ref="W874">_xlfn.IFS(OR(X874="N/A",X874="NA"),0,OR(X874="R64",X874="R68"),1,X874="R32",2,X874="S16",3,X874="E8",4,X874="F4",5,X874="2ND",6,X874="Champions",7)</f>
        <v>0</v>
      </c>
      <c r="X874" t="s">
        <v>90</v>
      </c>
      <c r="Y874" t="s">
        <v>90</v>
      </c>
      <c r="Z874">
        <v>2018</v>
      </c>
    </row>
    <row r="875" spans="1:26" x14ac:dyDescent="0.3">
      <c r="A875" t="s">
        <v>229</v>
      </c>
      <c r="B875" t="s">
        <v>47</v>
      </c>
      <c r="C875">
        <v>30</v>
      </c>
      <c r="D875">
        <v>15</v>
      </c>
      <c r="E875" s="1">
        <f t="shared" si="13"/>
        <v>0.5</v>
      </c>
      <c r="F875">
        <v>101.5</v>
      </c>
      <c r="G875">
        <v>101.5</v>
      </c>
      <c r="H875">
        <v>0.502</v>
      </c>
      <c r="I875">
        <v>50.8</v>
      </c>
      <c r="J875">
        <v>48.5</v>
      </c>
      <c r="K875">
        <v>21.2</v>
      </c>
      <c r="L875">
        <v>19.5</v>
      </c>
      <c r="M875">
        <v>26.7</v>
      </c>
      <c r="N875">
        <v>28</v>
      </c>
      <c r="O875">
        <v>36.700000000000003</v>
      </c>
      <c r="P875">
        <v>44.1</v>
      </c>
      <c r="Q875">
        <v>50.5</v>
      </c>
      <c r="R875">
        <v>48.6</v>
      </c>
      <c r="S875">
        <v>34.1</v>
      </c>
      <c r="T875">
        <v>32.200000000000003</v>
      </c>
      <c r="U875">
        <v>70.900000000000006</v>
      </c>
      <c r="V875">
        <v>-9.6999999999999993</v>
      </c>
      <c r="W875" cm="1">
        <f t="array" ref="W875">_xlfn.IFS(OR(X875="N/A",X875="NA"),0,OR(X875="R64",X875="R68"),1,X875="R32",2,X875="S16",3,X875="E8",4,X875="F4",5,X875="2ND",6,X875="Champions",7)</f>
        <v>0</v>
      </c>
      <c r="X875" t="s">
        <v>90</v>
      </c>
      <c r="Y875" t="s">
        <v>90</v>
      </c>
      <c r="Z875">
        <v>2018</v>
      </c>
    </row>
    <row r="876" spans="1:26" x14ac:dyDescent="0.3">
      <c r="A876" t="s">
        <v>276</v>
      </c>
      <c r="B876" t="s">
        <v>47</v>
      </c>
      <c r="C876">
        <v>32</v>
      </c>
      <c r="D876">
        <v>24</v>
      </c>
      <c r="E876" s="1">
        <f t="shared" si="13"/>
        <v>0.75</v>
      </c>
      <c r="F876">
        <v>106.2</v>
      </c>
      <c r="G876">
        <v>101.2</v>
      </c>
      <c r="H876">
        <v>0.63490000000000002</v>
      </c>
      <c r="I876">
        <v>53.3</v>
      </c>
      <c r="J876">
        <v>48.7</v>
      </c>
      <c r="K876">
        <v>19.100000000000001</v>
      </c>
      <c r="L876">
        <v>16.8</v>
      </c>
      <c r="M876">
        <v>24.3</v>
      </c>
      <c r="N876">
        <v>26</v>
      </c>
      <c r="O876">
        <v>32.6</v>
      </c>
      <c r="P876">
        <v>29.4</v>
      </c>
      <c r="Q876">
        <v>53.2</v>
      </c>
      <c r="R876">
        <v>50.8</v>
      </c>
      <c r="S876">
        <v>35.700000000000003</v>
      </c>
      <c r="T876">
        <v>30</v>
      </c>
      <c r="U876">
        <v>70.599999999999994</v>
      </c>
      <c r="V876">
        <v>-2.9</v>
      </c>
      <c r="W876" cm="1">
        <f t="array" ref="W876">_xlfn.IFS(OR(X876="N/A",X876="NA"),0,OR(X876="R64",X876="R68"),1,X876="R32",2,X876="S16",3,X876="E8",4,X876="F4",5,X876="2ND",6,X876="Champions",7)</f>
        <v>0</v>
      </c>
      <c r="X876" t="s">
        <v>90</v>
      </c>
      <c r="Y876" t="s">
        <v>90</v>
      </c>
      <c r="Z876">
        <v>2019</v>
      </c>
    </row>
    <row r="877" spans="1:26" x14ac:dyDescent="0.3">
      <c r="A877" t="s">
        <v>277</v>
      </c>
      <c r="B877" t="s">
        <v>47</v>
      </c>
      <c r="C877">
        <v>30</v>
      </c>
      <c r="D877">
        <v>11</v>
      </c>
      <c r="E877" s="1">
        <f t="shared" si="13"/>
        <v>0.36666666666666664</v>
      </c>
      <c r="F877">
        <v>98.1</v>
      </c>
      <c r="G877">
        <v>105.6</v>
      </c>
      <c r="H877">
        <v>0.30080000000000001</v>
      </c>
      <c r="I877">
        <v>49.4</v>
      </c>
      <c r="J877">
        <v>50</v>
      </c>
      <c r="K877">
        <v>18.5</v>
      </c>
      <c r="L877">
        <v>17.100000000000001</v>
      </c>
      <c r="M877">
        <v>18.899999999999999</v>
      </c>
      <c r="N877">
        <v>26.2</v>
      </c>
      <c r="O877">
        <v>37.5</v>
      </c>
      <c r="P877">
        <v>37.5</v>
      </c>
      <c r="Q877">
        <v>47.9</v>
      </c>
      <c r="R877">
        <v>49</v>
      </c>
      <c r="S877">
        <v>34.200000000000003</v>
      </c>
      <c r="T877">
        <v>34.799999999999997</v>
      </c>
      <c r="U877">
        <v>71</v>
      </c>
      <c r="V877">
        <v>-14.5</v>
      </c>
      <c r="W877" cm="1">
        <f t="array" ref="W877">_xlfn.IFS(OR(X877="N/A",X877="NA"),0,OR(X877="R64",X877="R68"),1,X877="R32",2,X877="S16",3,X877="E8",4,X877="F4",5,X877="2ND",6,X877="Champions",7)</f>
        <v>0</v>
      </c>
      <c r="X877" t="s">
        <v>90</v>
      </c>
      <c r="Y877" t="s">
        <v>90</v>
      </c>
      <c r="Z877">
        <v>2019</v>
      </c>
    </row>
    <row r="878" spans="1:26" x14ac:dyDescent="0.3">
      <c r="A878" t="s">
        <v>278</v>
      </c>
      <c r="B878" t="s">
        <v>47</v>
      </c>
      <c r="C878">
        <v>32</v>
      </c>
      <c r="D878">
        <v>17</v>
      </c>
      <c r="E878" s="1">
        <f t="shared" si="13"/>
        <v>0.53125</v>
      </c>
      <c r="F878">
        <v>100.1</v>
      </c>
      <c r="G878">
        <v>103.8</v>
      </c>
      <c r="H878">
        <v>0.39729999999999999</v>
      </c>
      <c r="I878">
        <v>49.1</v>
      </c>
      <c r="J878">
        <v>51.3</v>
      </c>
      <c r="K878">
        <v>18.399999999999999</v>
      </c>
      <c r="L878">
        <v>18.2</v>
      </c>
      <c r="M878">
        <v>26</v>
      </c>
      <c r="N878">
        <v>26.1</v>
      </c>
      <c r="O878">
        <v>28.6</v>
      </c>
      <c r="P878">
        <v>32.799999999999997</v>
      </c>
      <c r="Q878">
        <v>49.1</v>
      </c>
      <c r="R878">
        <v>51.5</v>
      </c>
      <c r="S878">
        <v>32.700000000000003</v>
      </c>
      <c r="T878">
        <v>34</v>
      </c>
      <c r="U878">
        <v>68.2</v>
      </c>
      <c r="V878">
        <v>-9</v>
      </c>
      <c r="W878" cm="1">
        <f t="array" ref="W878">_xlfn.IFS(OR(X878="N/A",X878="NA"),0,OR(X878="R64",X878="R68"),1,X878="R32",2,X878="S16",3,X878="E8",4,X878="F4",5,X878="2ND",6,X878="Champions",7)</f>
        <v>0</v>
      </c>
      <c r="X878" t="s">
        <v>90</v>
      </c>
      <c r="Y878" t="s">
        <v>90</v>
      </c>
      <c r="Z878">
        <v>2019</v>
      </c>
    </row>
    <row r="879" spans="1:26" x14ac:dyDescent="0.3">
      <c r="A879" t="s">
        <v>279</v>
      </c>
      <c r="B879" t="s">
        <v>47</v>
      </c>
      <c r="C879">
        <v>29</v>
      </c>
      <c r="D879">
        <v>15</v>
      </c>
      <c r="E879" s="1">
        <f t="shared" si="13"/>
        <v>0.51724137931034486</v>
      </c>
      <c r="F879">
        <v>101.1</v>
      </c>
      <c r="G879">
        <v>104.3</v>
      </c>
      <c r="H879">
        <v>0.41299999999999998</v>
      </c>
      <c r="I879">
        <v>48.6</v>
      </c>
      <c r="J879">
        <v>51.5</v>
      </c>
      <c r="K879">
        <v>18.600000000000001</v>
      </c>
      <c r="L879">
        <v>19.399999999999999</v>
      </c>
      <c r="M879">
        <v>23.7</v>
      </c>
      <c r="N879">
        <v>27.2</v>
      </c>
      <c r="O879">
        <v>35.799999999999997</v>
      </c>
      <c r="P879">
        <v>38</v>
      </c>
      <c r="Q879">
        <v>46.7</v>
      </c>
      <c r="R879">
        <v>52.1</v>
      </c>
      <c r="S879">
        <v>35.6</v>
      </c>
      <c r="T879">
        <v>33.700000000000003</v>
      </c>
      <c r="U879">
        <v>70.2</v>
      </c>
      <c r="V879">
        <v>-9.5</v>
      </c>
      <c r="W879" cm="1">
        <f t="array" ref="W879">_xlfn.IFS(OR(X879="N/A",X879="NA"),0,OR(X879="R64",X879="R68"),1,X879="R32",2,X879="S16",3,X879="E8",4,X879="F4",5,X879="2ND",6,X879="Champions",7)</f>
        <v>0</v>
      </c>
      <c r="X879" t="s">
        <v>90</v>
      </c>
      <c r="Y879" t="s">
        <v>90</v>
      </c>
      <c r="Z879">
        <v>2019</v>
      </c>
    </row>
    <row r="880" spans="1:26" x14ac:dyDescent="0.3">
      <c r="A880" t="s">
        <v>85</v>
      </c>
      <c r="B880" t="s">
        <v>47</v>
      </c>
      <c r="C880">
        <v>33</v>
      </c>
      <c r="D880">
        <v>20</v>
      </c>
      <c r="E880" s="1">
        <f t="shared" si="13"/>
        <v>0.60606060606060608</v>
      </c>
      <c r="F880">
        <v>104.2</v>
      </c>
      <c r="G880">
        <v>98.2</v>
      </c>
      <c r="H880">
        <v>0.66439999999999999</v>
      </c>
      <c r="I880">
        <v>55.1</v>
      </c>
      <c r="J880">
        <v>51.1</v>
      </c>
      <c r="K880">
        <v>18.8</v>
      </c>
      <c r="L880">
        <v>20.5</v>
      </c>
      <c r="M880">
        <v>19.899999999999999</v>
      </c>
      <c r="N880">
        <v>21.7</v>
      </c>
      <c r="O880">
        <v>32</v>
      </c>
      <c r="P880">
        <v>23.9</v>
      </c>
      <c r="Q880">
        <v>55</v>
      </c>
      <c r="R880">
        <v>48.7</v>
      </c>
      <c r="S880">
        <v>36.700000000000003</v>
      </c>
      <c r="T880">
        <v>36.6</v>
      </c>
      <c r="U880">
        <v>64.2</v>
      </c>
      <c r="V880">
        <v>-7.2</v>
      </c>
      <c r="W880" cm="1">
        <f t="array" ref="W880">_xlfn.IFS(OR(X880="N/A",X880="NA"),0,OR(X880="R64",X880="R68"),1,X880="R32",2,X880="S16",3,X880="E8",4,X880="F4",5,X880="2ND",6,X880="Champions",7)</f>
        <v>0</v>
      </c>
      <c r="X880" t="s">
        <v>90</v>
      </c>
      <c r="Y880" t="s">
        <v>90</v>
      </c>
      <c r="Z880">
        <v>2019</v>
      </c>
    </row>
    <row r="881" spans="1:26" x14ac:dyDescent="0.3">
      <c r="A881" t="s">
        <v>280</v>
      </c>
      <c r="B881" t="s">
        <v>47</v>
      </c>
      <c r="C881">
        <v>31</v>
      </c>
      <c r="D881">
        <v>16</v>
      </c>
      <c r="E881" s="1">
        <f t="shared" si="13"/>
        <v>0.5161290322580645</v>
      </c>
      <c r="F881">
        <v>101.7</v>
      </c>
      <c r="G881">
        <v>102.5</v>
      </c>
      <c r="H881">
        <v>0.47810000000000002</v>
      </c>
      <c r="I881">
        <v>51.2</v>
      </c>
      <c r="J881">
        <v>53.5</v>
      </c>
      <c r="K881">
        <v>18.2</v>
      </c>
      <c r="L881">
        <v>21.8</v>
      </c>
      <c r="M881">
        <v>25.4</v>
      </c>
      <c r="N881">
        <v>25.3</v>
      </c>
      <c r="O881">
        <v>36.9</v>
      </c>
      <c r="P881">
        <v>35</v>
      </c>
      <c r="Q881">
        <v>51.4</v>
      </c>
      <c r="R881">
        <v>49.4</v>
      </c>
      <c r="S881">
        <v>33.9</v>
      </c>
      <c r="T881">
        <v>40.299999999999997</v>
      </c>
      <c r="U881">
        <v>67.400000000000006</v>
      </c>
      <c r="V881">
        <v>-9.9</v>
      </c>
      <c r="W881" cm="1">
        <f t="array" ref="W881">_xlfn.IFS(OR(X881="N/A",X881="NA"),0,OR(X881="R64",X881="R68"),1,X881="R32",2,X881="S16",3,X881="E8",4,X881="F4",5,X881="2ND",6,X881="Champions",7)</f>
        <v>0</v>
      </c>
      <c r="X881" t="s">
        <v>90</v>
      </c>
      <c r="Y881" t="s">
        <v>90</v>
      </c>
      <c r="Z881">
        <v>2019</v>
      </c>
    </row>
    <row r="882" spans="1:26" x14ac:dyDescent="0.3">
      <c r="A882" t="s">
        <v>282</v>
      </c>
      <c r="B882" t="s">
        <v>47</v>
      </c>
      <c r="C882">
        <v>32</v>
      </c>
      <c r="D882">
        <v>16</v>
      </c>
      <c r="E882" s="1">
        <f t="shared" si="13"/>
        <v>0.5</v>
      </c>
      <c r="F882">
        <v>100.4</v>
      </c>
      <c r="G882">
        <v>101</v>
      </c>
      <c r="H882">
        <v>0.48270000000000002</v>
      </c>
      <c r="I882">
        <v>48.9</v>
      </c>
      <c r="J882">
        <v>51.1</v>
      </c>
      <c r="K882">
        <v>17.899999999999999</v>
      </c>
      <c r="L882">
        <v>18.2</v>
      </c>
      <c r="M882">
        <v>23.2</v>
      </c>
      <c r="N882">
        <v>23.1</v>
      </c>
      <c r="O882">
        <v>27.6</v>
      </c>
      <c r="P882">
        <v>32.4</v>
      </c>
      <c r="Q882">
        <v>46.2</v>
      </c>
      <c r="R882">
        <v>51</v>
      </c>
      <c r="S882">
        <v>35</v>
      </c>
      <c r="T882">
        <v>34.200000000000003</v>
      </c>
      <c r="U882">
        <v>65.599999999999994</v>
      </c>
      <c r="V882">
        <v>-11</v>
      </c>
      <c r="W882" cm="1">
        <f t="array" ref="W882">_xlfn.IFS(OR(X882="N/A",X882="NA"),0,OR(X882="R64",X882="R68"),1,X882="R32",2,X882="S16",3,X882="E8",4,X882="F4",5,X882="2ND",6,X882="Champions",7)</f>
        <v>0</v>
      </c>
      <c r="X882" t="s">
        <v>90</v>
      </c>
      <c r="Y882" t="s">
        <v>90</v>
      </c>
      <c r="Z882">
        <v>2019</v>
      </c>
    </row>
    <row r="883" spans="1:26" x14ac:dyDescent="0.3">
      <c r="A883" t="s">
        <v>281</v>
      </c>
      <c r="B883" t="s">
        <v>47</v>
      </c>
      <c r="C883">
        <v>32</v>
      </c>
      <c r="D883">
        <v>17</v>
      </c>
      <c r="E883" s="1">
        <f t="shared" si="13"/>
        <v>0.53125</v>
      </c>
      <c r="F883">
        <v>102</v>
      </c>
      <c r="G883">
        <v>102.2</v>
      </c>
      <c r="H883">
        <v>0.49340000000000001</v>
      </c>
      <c r="I883">
        <v>52.8</v>
      </c>
      <c r="J883">
        <v>49.6</v>
      </c>
      <c r="K883">
        <v>21</v>
      </c>
      <c r="L883">
        <v>19.100000000000001</v>
      </c>
      <c r="M883">
        <v>28.8</v>
      </c>
      <c r="N883">
        <v>29.2</v>
      </c>
      <c r="O883">
        <v>32</v>
      </c>
      <c r="P883">
        <v>25.6</v>
      </c>
      <c r="Q883">
        <v>51.2</v>
      </c>
      <c r="R883">
        <v>47.6</v>
      </c>
      <c r="S883">
        <v>37.4</v>
      </c>
      <c r="T883">
        <v>35.1</v>
      </c>
      <c r="U883">
        <v>67.2</v>
      </c>
      <c r="V883">
        <v>-8.1999999999999993</v>
      </c>
      <c r="W883" cm="1">
        <f t="array" ref="W883">_xlfn.IFS(OR(X883="N/A",X883="NA"),0,OR(X883="R64",X883="R68"),1,X883="R32",2,X883="S16",3,X883="E8",4,X883="F4",5,X883="2ND",6,X883="Champions",7)</f>
        <v>0</v>
      </c>
      <c r="X883" t="s">
        <v>90</v>
      </c>
      <c r="Y883" t="s">
        <v>90</v>
      </c>
      <c r="Z883">
        <v>2019</v>
      </c>
    </row>
    <row r="884" spans="1:26" x14ac:dyDescent="0.3">
      <c r="A884" t="s">
        <v>229</v>
      </c>
      <c r="B884" t="s">
        <v>47</v>
      </c>
      <c r="C884">
        <v>31</v>
      </c>
      <c r="D884">
        <v>15</v>
      </c>
      <c r="E884" s="1">
        <f t="shared" si="13"/>
        <v>0.4838709677419355</v>
      </c>
      <c r="F884">
        <v>96.7</v>
      </c>
      <c r="G884">
        <v>101.5</v>
      </c>
      <c r="H884">
        <v>0.36470000000000002</v>
      </c>
      <c r="I884">
        <v>48.9</v>
      </c>
      <c r="J884">
        <v>49.9</v>
      </c>
      <c r="K884">
        <v>20.3</v>
      </c>
      <c r="L884">
        <v>18.899999999999999</v>
      </c>
      <c r="M884">
        <v>26.7</v>
      </c>
      <c r="N884">
        <v>27.1</v>
      </c>
      <c r="O884">
        <v>32.1</v>
      </c>
      <c r="P884">
        <v>31.7</v>
      </c>
      <c r="Q884">
        <v>50.1</v>
      </c>
      <c r="R884">
        <v>49.8</v>
      </c>
      <c r="S884">
        <v>31</v>
      </c>
      <c r="T884">
        <v>33.4</v>
      </c>
      <c r="U884">
        <v>66.400000000000006</v>
      </c>
      <c r="V884">
        <v>-12.2</v>
      </c>
      <c r="W884" cm="1">
        <f t="array" ref="W884">_xlfn.IFS(OR(X884="N/A",X884="NA"),0,OR(X884="R64",X884="R68"),1,X884="R32",2,X884="S16",3,X884="E8",4,X884="F4",5,X884="2ND",6,X884="Champions",7)</f>
        <v>0</v>
      </c>
      <c r="X884" t="s">
        <v>90</v>
      </c>
      <c r="Y884" t="s">
        <v>90</v>
      </c>
      <c r="Z884">
        <v>2019</v>
      </c>
    </row>
    <row r="885" spans="1:26" x14ac:dyDescent="0.3">
      <c r="A885" t="s">
        <v>283</v>
      </c>
      <c r="B885" t="s">
        <v>55</v>
      </c>
      <c r="C885">
        <v>29</v>
      </c>
      <c r="D885">
        <v>12</v>
      </c>
      <c r="E885" s="1">
        <f t="shared" si="13"/>
        <v>0.41379310344827586</v>
      </c>
      <c r="F885">
        <v>105</v>
      </c>
      <c r="G885">
        <v>110.2</v>
      </c>
      <c r="H885">
        <v>0.36599999999999999</v>
      </c>
      <c r="I885">
        <v>53.6</v>
      </c>
      <c r="J885">
        <v>53</v>
      </c>
      <c r="K885">
        <v>19.2</v>
      </c>
      <c r="L885">
        <v>20.2</v>
      </c>
      <c r="M885">
        <v>29.6</v>
      </c>
      <c r="N885">
        <v>32.6</v>
      </c>
      <c r="O885">
        <v>30.8</v>
      </c>
      <c r="P885">
        <v>35.5</v>
      </c>
      <c r="Q885">
        <v>53.9</v>
      </c>
      <c r="R885">
        <v>51.5</v>
      </c>
      <c r="S885">
        <v>35.4</v>
      </c>
      <c r="T885">
        <v>36.6</v>
      </c>
      <c r="U885">
        <v>61.6</v>
      </c>
      <c r="V885">
        <v>-10.199999999999999</v>
      </c>
      <c r="W885" cm="1">
        <f t="array" ref="W885">_xlfn.IFS(OR(X885="N/A",X885="NA"),0,OR(X885="R64",X885="R68"),1,X885="R32",2,X885="S16",3,X885="E8",4,X885="F4",5,X885="2ND",6,X885="Champions",7)</f>
        <v>0</v>
      </c>
      <c r="X885" t="s">
        <v>90</v>
      </c>
      <c r="Y885" t="s">
        <v>90</v>
      </c>
      <c r="Z885">
        <v>2015</v>
      </c>
    </row>
    <row r="886" spans="1:26" x14ac:dyDescent="0.3">
      <c r="A886" t="s">
        <v>284</v>
      </c>
      <c r="B886" t="s">
        <v>55</v>
      </c>
      <c r="C886">
        <v>33</v>
      </c>
      <c r="D886">
        <v>26</v>
      </c>
      <c r="E886" s="1">
        <f t="shared" si="13"/>
        <v>0.78787878787878785</v>
      </c>
      <c r="F886">
        <v>110</v>
      </c>
      <c r="G886">
        <v>98.4</v>
      </c>
      <c r="H886">
        <v>0.78259999999999996</v>
      </c>
      <c r="I886">
        <v>50.1</v>
      </c>
      <c r="J886">
        <v>48.7</v>
      </c>
      <c r="K886">
        <v>16.100000000000001</v>
      </c>
      <c r="L886">
        <v>18</v>
      </c>
      <c r="M886">
        <v>34.1</v>
      </c>
      <c r="N886">
        <v>25.4</v>
      </c>
      <c r="O886">
        <v>41.9</v>
      </c>
      <c r="P886">
        <v>33.299999999999997</v>
      </c>
      <c r="Q886">
        <v>49</v>
      </c>
      <c r="R886">
        <v>45.7</v>
      </c>
      <c r="S886">
        <v>34.799999999999997</v>
      </c>
      <c r="T886">
        <v>36.200000000000003</v>
      </c>
      <c r="U886">
        <v>67.099999999999994</v>
      </c>
      <c r="V886">
        <v>1.2</v>
      </c>
      <c r="W886" cm="1">
        <f t="array" ref="W886">_xlfn.IFS(OR(X886="N/A",X886="NA"),0,OR(X886="R64",X886="R68"),1,X886="R32",2,X886="S16",3,X886="E8",4,X886="F4",5,X886="2ND",6,X886="Champions",7)</f>
        <v>0</v>
      </c>
      <c r="X886" t="s">
        <v>90</v>
      </c>
      <c r="Y886" t="s">
        <v>90</v>
      </c>
      <c r="Z886">
        <v>2015</v>
      </c>
    </row>
    <row r="887" spans="1:26" x14ac:dyDescent="0.3">
      <c r="A887" t="s">
        <v>285</v>
      </c>
      <c r="B887" t="s">
        <v>55</v>
      </c>
      <c r="C887">
        <v>30</v>
      </c>
      <c r="D887">
        <v>13</v>
      </c>
      <c r="E887" s="1">
        <f t="shared" si="13"/>
        <v>0.43333333333333335</v>
      </c>
      <c r="F887">
        <v>100.6</v>
      </c>
      <c r="G887">
        <v>103.8</v>
      </c>
      <c r="H887">
        <v>0.41110000000000002</v>
      </c>
      <c r="I887">
        <v>47.1</v>
      </c>
      <c r="J887">
        <v>49.4</v>
      </c>
      <c r="K887">
        <v>17.2</v>
      </c>
      <c r="L887">
        <v>20.3</v>
      </c>
      <c r="M887">
        <v>25.9</v>
      </c>
      <c r="N887">
        <v>32.700000000000003</v>
      </c>
      <c r="O887">
        <v>38.799999999999997</v>
      </c>
      <c r="P887">
        <v>44.3</v>
      </c>
      <c r="Q887">
        <v>47.2</v>
      </c>
      <c r="R887">
        <v>48</v>
      </c>
      <c r="S887">
        <v>31.3</v>
      </c>
      <c r="T887">
        <v>34.799999999999997</v>
      </c>
      <c r="U887">
        <v>65.3</v>
      </c>
      <c r="V887">
        <v>-9.4</v>
      </c>
      <c r="W887" cm="1">
        <f t="array" ref="W887">_xlfn.IFS(OR(X887="N/A",X887="NA"),0,OR(X887="R64",X887="R68"),1,X887="R32",2,X887="S16",3,X887="E8",4,X887="F4",5,X887="2ND",6,X887="Champions",7)</f>
        <v>0</v>
      </c>
      <c r="X887" t="s">
        <v>90</v>
      </c>
      <c r="Y887" t="s">
        <v>90</v>
      </c>
      <c r="Z887">
        <v>2015</v>
      </c>
    </row>
    <row r="888" spans="1:26" x14ac:dyDescent="0.3">
      <c r="A888" t="s">
        <v>286</v>
      </c>
      <c r="B888" t="s">
        <v>55</v>
      </c>
      <c r="C888">
        <v>29</v>
      </c>
      <c r="D888">
        <v>7</v>
      </c>
      <c r="E888" s="1">
        <f t="shared" si="13"/>
        <v>0.2413793103448276</v>
      </c>
      <c r="F888">
        <v>95.3</v>
      </c>
      <c r="G888">
        <v>104.2</v>
      </c>
      <c r="H888">
        <v>0.26500000000000001</v>
      </c>
      <c r="I888">
        <v>40.799999999999997</v>
      </c>
      <c r="J888">
        <v>47.6</v>
      </c>
      <c r="K888">
        <v>21.9</v>
      </c>
      <c r="L888">
        <v>15.7</v>
      </c>
      <c r="M888">
        <v>39.799999999999997</v>
      </c>
      <c r="N888">
        <v>31.9</v>
      </c>
      <c r="O888">
        <v>39.9</v>
      </c>
      <c r="P888">
        <v>40.700000000000003</v>
      </c>
      <c r="Q888">
        <v>41.4</v>
      </c>
      <c r="R888">
        <v>45.7</v>
      </c>
      <c r="S888">
        <v>25.8</v>
      </c>
      <c r="T888">
        <v>34.1</v>
      </c>
      <c r="U888">
        <v>64.099999999999994</v>
      </c>
      <c r="V888">
        <v>-14.8</v>
      </c>
      <c r="W888" cm="1">
        <f t="array" ref="W888">_xlfn.IFS(OR(X888="N/A",X888="NA"),0,OR(X888="R64",X888="R68"),1,X888="R32",2,X888="S16",3,X888="E8",4,X888="F4",5,X888="2ND",6,X888="Champions",7)</f>
        <v>0</v>
      </c>
      <c r="X888" t="s">
        <v>90</v>
      </c>
      <c r="Y888" t="s">
        <v>90</v>
      </c>
      <c r="Z888">
        <v>2015</v>
      </c>
    </row>
    <row r="889" spans="1:26" x14ac:dyDescent="0.3">
      <c r="A889" t="s">
        <v>287</v>
      </c>
      <c r="B889" t="s">
        <v>55</v>
      </c>
      <c r="C889">
        <v>31</v>
      </c>
      <c r="D889">
        <v>15</v>
      </c>
      <c r="E889" s="1">
        <f t="shared" si="13"/>
        <v>0.4838709677419355</v>
      </c>
      <c r="F889">
        <v>99</v>
      </c>
      <c r="G889">
        <v>97</v>
      </c>
      <c r="H889">
        <v>0.56069999999999998</v>
      </c>
      <c r="I889">
        <v>47.9</v>
      </c>
      <c r="J889">
        <v>46.7</v>
      </c>
      <c r="K889">
        <v>20.2</v>
      </c>
      <c r="L889">
        <v>18.600000000000001</v>
      </c>
      <c r="M889">
        <v>33.299999999999997</v>
      </c>
      <c r="N889">
        <v>26.1</v>
      </c>
      <c r="O889">
        <v>38.4</v>
      </c>
      <c r="P889">
        <v>32.799999999999997</v>
      </c>
      <c r="Q889">
        <v>48.6</v>
      </c>
      <c r="R889">
        <v>46.4</v>
      </c>
      <c r="S889">
        <v>30.8</v>
      </c>
      <c r="T889">
        <v>31.4</v>
      </c>
      <c r="U889">
        <v>62.8</v>
      </c>
      <c r="V889">
        <v>-8.3000000000000007</v>
      </c>
      <c r="W889" cm="1">
        <f t="array" ref="W889">_xlfn.IFS(OR(X889="N/A",X889="NA"),0,OR(X889="R64",X889="R68"),1,X889="R32",2,X889="S16",3,X889="E8",4,X889="F4",5,X889="2ND",6,X889="Champions",7)</f>
        <v>0</v>
      </c>
      <c r="X889" t="s">
        <v>90</v>
      </c>
      <c r="Y889" t="s">
        <v>90</v>
      </c>
      <c r="Z889">
        <v>2015</v>
      </c>
    </row>
    <row r="890" spans="1:26" x14ac:dyDescent="0.3">
      <c r="A890" t="s">
        <v>288</v>
      </c>
      <c r="B890" t="s">
        <v>55</v>
      </c>
      <c r="C890">
        <v>28</v>
      </c>
      <c r="D890">
        <v>0</v>
      </c>
      <c r="E890" s="1">
        <f t="shared" si="13"/>
        <v>0</v>
      </c>
      <c r="F890">
        <v>86.2</v>
      </c>
      <c r="G890">
        <v>107.1</v>
      </c>
      <c r="H890">
        <v>7.5700000000000003E-2</v>
      </c>
      <c r="I890">
        <v>41</v>
      </c>
      <c r="J890">
        <v>54</v>
      </c>
      <c r="K890">
        <v>21.6</v>
      </c>
      <c r="L890">
        <v>17.8</v>
      </c>
      <c r="M890">
        <v>24.1</v>
      </c>
      <c r="N890">
        <v>31.8</v>
      </c>
      <c r="O890">
        <v>29.1</v>
      </c>
      <c r="P890">
        <v>42.9</v>
      </c>
      <c r="Q890">
        <v>38.700000000000003</v>
      </c>
      <c r="R890">
        <v>51.8</v>
      </c>
      <c r="S890">
        <v>29.4</v>
      </c>
      <c r="T890">
        <v>38.799999999999997</v>
      </c>
      <c r="U890">
        <v>64.599999999999994</v>
      </c>
      <c r="V890">
        <v>-21.4</v>
      </c>
      <c r="W890" cm="1">
        <f t="array" ref="W890">_xlfn.IFS(OR(X890="N/A",X890="NA"),0,OR(X890="R64",X890="R68"),1,X890="R32",2,X890="S16",3,X890="E8",4,X890="F4",5,X890="2ND",6,X890="Champions",7)</f>
        <v>0</v>
      </c>
      <c r="X890" t="s">
        <v>90</v>
      </c>
      <c r="Y890" t="s">
        <v>90</v>
      </c>
      <c r="Z890">
        <v>2015</v>
      </c>
    </row>
    <row r="891" spans="1:26" x14ac:dyDescent="0.3">
      <c r="A891" t="s">
        <v>289</v>
      </c>
      <c r="B891" t="s">
        <v>55</v>
      </c>
      <c r="C891">
        <v>32</v>
      </c>
      <c r="D891">
        <v>17</v>
      </c>
      <c r="E891" s="1">
        <f t="shared" si="13"/>
        <v>0.53125</v>
      </c>
      <c r="F891">
        <v>106.5</v>
      </c>
      <c r="G891">
        <v>99.4</v>
      </c>
      <c r="H891">
        <v>0.69030000000000002</v>
      </c>
      <c r="I891">
        <v>50.2</v>
      </c>
      <c r="J891">
        <v>45.3</v>
      </c>
      <c r="K891">
        <v>17.3</v>
      </c>
      <c r="L891">
        <v>16.2</v>
      </c>
      <c r="M891">
        <v>26.7</v>
      </c>
      <c r="N891">
        <v>32.4</v>
      </c>
      <c r="O891">
        <v>32.700000000000003</v>
      </c>
      <c r="P891">
        <v>29.9</v>
      </c>
      <c r="Q891">
        <v>48</v>
      </c>
      <c r="R891">
        <v>42</v>
      </c>
      <c r="S891">
        <v>36.1</v>
      </c>
      <c r="T891">
        <v>35.1</v>
      </c>
      <c r="U891">
        <v>65.7</v>
      </c>
      <c r="V891">
        <v>-5.5</v>
      </c>
      <c r="W891" cm="1">
        <f t="array" ref="W891">_xlfn.IFS(OR(X891="N/A",X891="NA"),0,OR(X891="R64",X891="R68"),1,X891="R32",2,X891="S16",3,X891="E8",4,X891="F4",5,X891="2ND",6,X891="Champions",7)</f>
        <v>0</v>
      </c>
      <c r="X891" t="s">
        <v>90</v>
      </c>
      <c r="Y891" t="s">
        <v>90</v>
      </c>
      <c r="Z891">
        <v>2015</v>
      </c>
    </row>
    <row r="892" spans="1:26" x14ac:dyDescent="0.3">
      <c r="A892" t="s">
        <v>290</v>
      </c>
      <c r="B892" t="s">
        <v>55</v>
      </c>
      <c r="C892">
        <v>30</v>
      </c>
      <c r="D892">
        <v>17</v>
      </c>
      <c r="E892" s="1">
        <f t="shared" si="13"/>
        <v>0.56666666666666665</v>
      </c>
      <c r="F892">
        <v>105.8</v>
      </c>
      <c r="G892">
        <v>101.6</v>
      </c>
      <c r="H892">
        <v>0.61380000000000001</v>
      </c>
      <c r="I892">
        <v>52.4</v>
      </c>
      <c r="J892">
        <v>45.8</v>
      </c>
      <c r="K892">
        <v>16.3</v>
      </c>
      <c r="L892">
        <v>17</v>
      </c>
      <c r="M892">
        <v>21.7</v>
      </c>
      <c r="N892">
        <v>34</v>
      </c>
      <c r="O892">
        <v>36.4</v>
      </c>
      <c r="P892">
        <v>29.1</v>
      </c>
      <c r="Q892">
        <v>48.5</v>
      </c>
      <c r="R892">
        <v>46.3</v>
      </c>
      <c r="S892">
        <v>39.4</v>
      </c>
      <c r="T892">
        <v>29.9</v>
      </c>
      <c r="U892">
        <v>64.099999999999994</v>
      </c>
      <c r="V892">
        <v>-6.1</v>
      </c>
      <c r="W892" cm="1">
        <f t="array" ref="W892">_xlfn.IFS(OR(X892="N/A",X892="NA"),0,OR(X892="R64",X892="R68"),1,X892="R32",2,X892="S16",3,X892="E8",4,X892="F4",5,X892="2ND",6,X892="Champions",7)</f>
        <v>0</v>
      </c>
      <c r="X892" t="s">
        <v>90</v>
      </c>
      <c r="Y892" t="s">
        <v>90</v>
      </c>
      <c r="Z892">
        <v>2015</v>
      </c>
    </row>
    <row r="893" spans="1:26" x14ac:dyDescent="0.3">
      <c r="A893" t="s">
        <v>283</v>
      </c>
      <c r="B893" t="s">
        <v>55</v>
      </c>
      <c r="C893">
        <v>30</v>
      </c>
      <c r="D893">
        <v>12</v>
      </c>
      <c r="E893" s="1">
        <f t="shared" si="13"/>
        <v>0.4</v>
      </c>
      <c r="F893">
        <v>98.1</v>
      </c>
      <c r="G893">
        <v>105.4</v>
      </c>
      <c r="H893">
        <v>0.30599999999999999</v>
      </c>
      <c r="I893">
        <v>48</v>
      </c>
      <c r="J893">
        <v>51.8</v>
      </c>
      <c r="K893">
        <v>18.8</v>
      </c>
      <c r="L893">
        <v>19.399999999999999</v>
      </c>
      <c r="M893">
        <v>24.3</v>
      </c>
      <c r="N893">
        <v>28.1</v>
      </c>
      <c r="O893">
        <v>39.6</v>
      </c>
      <c r="P893">
        <v>37.200000000000003</v>
      </c>
      <c r="Q893">
        <v>47</v>
      </c>
      <c r="R893">
        <v>51.3</v>
      </c>
      <c r="S893">
        <v>33.4</v>
      </c>
      <c r="T893">
        <v>34.9</v>
      </c>
      <c r="U893">
        <v>67.900000000000006</v>
      </c>
      <c r="V893">
        <v>-10.9</v>
      </c>
      <c r="W893" cm="1">
        <f t="array" ref="W893">_xlfn.IFS(OR(X893="N/A",X893="NA"),0,OR(X893="R64",X893="R68"),1,X893="R32",2,X893="S16",3,X893="E8",4,X893="F4",5,X893="2ND",6,X893="Champions",7)</f>
        <v>0</v>
      </c>
      <c r="X893" t="s">
        <v>90</v>
      </c>
      <c r="Y893" t="s">
        <v>90</v>
      </c>
      <c r="Z893">
        <v>2016</v>
      </c>
    </row>
    <row r="894" spans="1:26" x14ac:dyDescent="0.3">
      <c r="A894" t="s">
        <v>291</v>
      </c>
      <c r="B894" t="s">
        <v>55</v>
      </c>
      <c r="C894">
        <v>30</v>
      </c>
      <c r="D894">
        <v>18</v>
      </c>
      <c r="E894" s="1">
        <f t="shared" si="13"/>
        <v>0.6</v>
      </c>
      <c r="F894">
        <v>108.2</v>
      </c>
      <c r="G894">
        <v>99.7</v>
      </c>
      <c r="H894">
        <v>0.71899999999999997</v>
      </c>
      <c r="I894">
        <v>51.7</v>
      </c>
      <c r="J894">
        <v>52</v>
      </c>
      <c r="K894">
        <v>16.399999999999999</v>
      </c>
      <c r="L894">
        <v>20.2</v>
      </c>
      <c r="M894">
        <v>27.2</v>
      </c>
      <c r="N894">
        <v>25.5</v>
      </c>
      <c r="O894">
        <v>40.9</v>
      </c>
      <c r="P894">
        <v>36.799999999999997</v>
      </c>
      <c r="Q894">
        <v>53.7</v>
      </c>
      <c r="R894">
        <v>50.9</v>
      </c>
      <c r="S894">
        <v>32.6</v>
      </c>
      <c r="T894">
        <v>36</v>
      </c>
      <c r="U894">
        <v>70.3</v>
      </c>
      <c r="V894">
        <v>-3.6</v>
      </c>
      <c r="W894" cm="1">
        <f t="array" ref="W894">_xlfn.IFS(OR(X894="N/A",X894="NA"),0,OR(X894="R64",X894="R68"),1,X894="R32",2,X894="S16",3,X894="E8",4,X894="F4",5,X894="2ND",6,X894="Champions",7)</f>
        <v>0</v>
      </c>
      <c r="X894" t="s">
        <v>90</v>
      </c>
      <c r="Y894" t="s">
        <v>90</v>
      </c>
      <c r="Z894">
        <v>2016</v>
      </c>
    </row>
    <row r="895" spans="1:26" x14ac:dyDescent="0.3">
      <c r="A895" t="s">
        <v>284</v>
      </c>
      <c r="B895" t="s">
        <v>55</v>
      </c>
      <c r="C895">
        <v>32</v>
      </c>
      <c r="D895">
        <v>16</v>
      </c>
      <c r="E895" s="1">
        <f t="shared" si="13"/>
        <v>0.5</v>
      </c>
      <c r="F895">
        <v>111.3</v>
      </c>
      <c r="G895">
        <v>109.1</v>
      </c>
      <c r="H895">
        <v>0.55669999999999997</v>
      </c>
      <c r="I895">
        <v>49.9</v>
      </c>
      <c r="J895">
        <v>52.1</v>
      </c>
      <c r="K895">
        <v>16.3</v>
      </c>
      <c r="L895">
        <v>14.1</v>
      </c>
      <c r="M895">
        <v>33</v>
      </c>
      <c r="N895">
        <v>25.1</v>
      </c>
      <c r="O895">
        <v>42.3</v>
      </c>
      <c r="P895">
        <v>35.1</v>
      </c>
      <c r="Q895">
        <v>46.5</v>
      </c>
      <c r="R895">
        <v>51.4</v>
      </c>
      <c r="S895">
        <v>36.200000000000003</v>
      </c>
      <c r="T895">
        <v>35.4</v>
      </c>
      <c r="U895">
        <v>68.900000000000006</v>
      </c>
      <c r="V895">
        <v>-8.5</v>
      </c>
      <c r="W895" cm="1">
        <f t="array" ref="W895">_xlfn.IFS(OR(X895="N/A",X895="NA"),0,OR(X895="R64",X895="R68"),1,X895="R32",2,X895="S16",3,X895="E8",4,X895="F4",5,X895="2ND",6,X895="Champions",7)</f>
        <v>0</v>
      </c>
      <c r="X895" t="s">
        <v>90</v>
      </c>
      <c r="Y895" t="s">
        <v>90</v>
      </c>
      <c r="Z895">
        <v>2016</v>
      </c>
    </row>
    <row r="896" spans="1:26" x14ac:dyDescent="0.3">
      <c r="A896" t="s">
        <v>286</v>
      </c>
      <c r="B896" t="s">
        <v>55</v>
      </c>
      <c r="C896">
        <v>36</v>
      </c>
      <c r="D896">
        <v>22</v>
      </c>
      <c r="E896" s="1">
        <f t="shared" si="13"/>
        <v>0.61111111111111116</v>
      </c>
      <c r="F896">
        <v>100.8</v>
      </c>
      <c r="G896">
        <v>97.7</v>
      </c>
      <c r="H896">
        <v>0.58640000000000003</v>
      </c>
      <c r="I896">
        <v>45.5</v>
      </c>
      <c r="J896">
        <v>46.1</v>
      </c>
      <c r="K896">
        <v>17.600000000000001</v>
      </c>
      <c r="L896">
        <v>17.3</v>
      </c>
      <c r="M896">
        <v>30.7</v>
      </c>
      <c r="N896">
        <v>30.3</v>
      </c>
      <c r="O896">
        <v>43.2</v>
      </c>
      <c r="P896">
        <v>39.6</v>
      </c>
      <c r="Q896">
        <v>46.3</v>
      </c>
      <c r="R896">
        <v>44.9</v>
      </c>
      <c r="S896">
        <v>29.1</v>
      </c>
      <c r="T896">
        <v>32.299999999999997</v>
      </c>
      <c r="U896">
        <v>72.2</v>
      </c>
      <c r="V896">
        <v>-5.0999999999999996</v>
      </c>
      <c r="W896" cm="1">
        <f t="array" ref="W896">_xlfn.IFS(OR(X896="N/A",X896="NA"),0,OR(X896="R64",X896="R68"),1,X896="R32",2,X896="S16",3,X896="E8",4,X896="F4",5,X896="2ND",6,X896="Champions",7)</f>
        <v>0</v>
      </c>
      <c r="X896" t="s">
        <v>90</v>
      </c>
      <c r="Y896" t="s">
        <v>90</v>
      </c>
      <c r="Z896">
        <v>2016</v>
      </c>
    </row>
    <row r="897" spans="1:26" x14ac:dyDescent="0.3">
      <c r="A897" t="s">
        <v>287</v>
      </c>
      <c r="B897" t="s">
        <v>55</v>
      </c>
      <c r="C897">
        <v>32</v>
      </c>
      <c r="D897">
        <v>17</v>
      </c>
      <c r="E897" s="1">
        <f t="shared" si="13"/>
        <v>0.53125</v>
      </c>
      <c r="F897">
        <v>108.2</v>
      </c>
      <c r="G897">
        <v>101.3</v>
      </c>
      <c r="H897">
        <v>0.68089999999999995</v>
      </c>
      <c r="I897">
        <v>52</v>
      </c>
      <c r="J897">
        <v>48.5</v>
      </c>
      <c r="K897">
        <v>21</v>
      </c>
      <c r="L897">
        <v>17</v>
      </c>
      <c r="M897">
        <v>30.5</v>
      </c>
      <c r="N897">
        <v>28.6</v>
      </c>
      <c r="O897">
        <v>43.9</v>
      </c>
      <c r="P897">
        <v>37.1</v>
      </c>
      <c r="Q897">
        <v>51</v>
      </c>
      <c r="R897">
        <v>48.4</v>
      </c>
      <c r="S897">
        <v>36.299999999999997</v>
      </c>
      <c r="T897">
        <v>32.5</v>
      </c>
      <c r="U897">
        <v>71.8</v>
      </c>
      <c r="V897">
        <v>-6.8</v>
      </c>
      <c r="W897" cm="1">
        <f t="array" ref="W897">_xlfn.IFS(OR(X897="N/A",X897="NA"),0,OR(X897="R64",X897="R68"),1,X897="R32",2,X897="S16",3,X897="E8",4,X897="F4",5,X897="2ND",6,X897="Champions",7)</f>
        <v>0</v>
      </c>
      <c r="X897" t="s">
        <v>90</v>
      </c>
      <c r="Y897" t="s">
        <v>90</v>
      </c>
      <c r="Z897">
        <v>2016</v>
      </c>
    </row>
    <row r="898" spans="1:26" x14ac:dyDescent="0.3">
      <c r="A898" t="s">
        <v>292</v>
      </c>
      <c r="B898" t="s">
        <v>55</v>
      </c>
      <c r="C898">
        <v>36</v>
      </c>
      <c r="D898">
        <v>26</v>
      </c>
      <c r="E898" s="1">
        <f t="shared" si="13"/>
        <v>0.72222222222222221</v>
      </c>
      <c r="F898">
        <v>104</v>
      </c>
      <c r="G898">
        <v>90.3</v>
      </c>
      <c r="H898">
        <v>0.83660000000000001</v>
      </c>
      <c r="I898">
        <v>47.2</v>
      </c>
      <c r="J898">
        <v>42.5</v>
      </c>
      <c r="K898">
        <v>18.399999999999999</v>
      </c>
      <c r="L898">
        <v>18</v>
      </c>
      <c r="M898">
        <v>33.9</v>
      </c>
      <c r="N898">
        <v>27.2</v>
      </c>
      <c r="O898">
        <v>42.5</v>
      </c>
      <c r="P898">
        <v>31.3</v>
      </c>
      <c r="Q898">
        <v>46.3</v>
      </c>
      <c r="R898">
        <v>41.6</v>
      </c>
      <c r="S898">
        <v>32.6</v>
      </c>
      <c r="T898">
        <v>29.4</v>
      </c>
      <c r="U898">
        <v>65.900000000000006</v>
      </c>
      <c r="V898">
        <v>0.1</v>
      </c>
      <c r="W898" cm="1">
        <f t="array" ref="W898">_xlfn.IFS(OR(X898="N/A",X898="NA"),0,OR(X898="R64",X898="R68"),1,X898="R32",2,X898="S16",3,X898="E8",4,X898="F4",5,X898="2ND",6,X898="Champions",7)</f>
        <v>0</v>
      </c>
      <c r="X898" t="s">
        <v>90</v>
      </c>
      <c r="Y898" t="s">
        <v>90</v>
      </c>
      <c r="Z898">
        <v>2016</v>
      </c>
    </row>
    <row r="899" spans="1:26" x14ac:dyDescent="0.3">
      <c r="A899" t="s">
        <v>288</v>
      </c>
      <c r="B899" t="s">
        <v>55</v>
      </c>
      <c r="C899">
        <v>28</v>
      </c>
      <c r="D899">
        <v>6</v>
      </c>
      <c r="E899" s="1">
        <f t="shared" ref="E899:E962" si="14">D899/C899</f>
        <v>0.21428571428571427</v>
      </c>
      <c r="F899">
        <v>96.3</v>
      </c>
      <c r="G899">
        <v>102.4</v>
      </c>
      <c r="H899">
        <v>0.32900000000000001</v>
      </c>
      <c r="I899">
        <v>46.8</v>
      </c>
      <c r="J899">
        <v>49.6</v>
      </c>
      <c r="K899">
        <v>19.2</v>
      </c>
      <c r="L899">
        <v>17.2</v>
      </c>
      <c r="M899">
        <v>27.1</v>
      </c>
      <c r="N899">
        <v>29.7</v>
      </c>
      <c r="O899">
        <v>38.5</v>
      </c>
      <c r="P899">
        <v>47.5</v>
      </c>
      <c r="Q899">
        <v>48.2</v>
      </c>
      <c r="R899">
        <v>47.9</v>
      </c>
      <c r="S899">
        <v>29.8</v>
      </c>
      <c r="T899">
        <v>35.4</v>
      </c>
      <c r="U899">
        <v>70.599999999999994</v>
      </c>
      <c r="V899">
        <v>-15.4</v>
      </c>
      <c r="W899" cm="1">
        <f t="array" ref="W899">_xlfn.IFS(OR(X899="N/A",X899="NA"),0,OR(X899="R64",X899="R68"),1,X899="R32",2,X899="S16",3,X899="E8",4,X899="F4",5,X899="2ND",6,X899="Champions",7)</f>
        <v>0</v>
      </c>
      <c r="X899" t="s">
        <v>90</v>
      </c>
      <c r="Y899" t="s">
        <v>90</v>
      </c>
      <c r="Z899">
        <v>2016</v>
      </c>
    </row>
    <row r="900" spans="1:26" x14ac:dyDescent="0.3">
      <c r="A900" t="s">
        <v>289</v>
      </c>
      <c r="B900" t="s">
        <v>55</v>
      </c>
      <c r="C900">
        <v>31</v>
      </c>
      <c r="D900">
        <v>16</v>
      </c>
      <c r="E900" s="1">
        <f t="shared" si="14"/>
        <v>0.5161290322580645</v>
      </c>
      <c r="F900">
        <v>103.2</v>
      </c>
      <c r="G900">
        <v>98</v>
      </c>
      <c r="H900">
        <v>0.64400000000000002</v>
      </c>
      <c r="I900">
        <v>49.7</v>
      </c>
      <c r="J900">
        <v>47.1</v>
      </c>
      <c r="K900">
        <v>18.899999999999999</v>
      </c>
      <c r="L900">
        <v>19.5</v>
      </c>
      <c r="M900">
        <v>28.3</v>
      </c>
      <c r="N900">
        <v>30.6</v>
      </c>
      <c r="O900">
        <v>40.9</v>
      </c>
      <c r="P900">
        <v>40.1</v>
      </c>
      <c r="Q900">
        <v>50.1</v>
      </c>
      <c r="R900">
        <v>46.1</v>
      </c>
      <c r="S900">
        <v>32.799999999999997</v>
      </c>
      <c r="T900">
        <v>32.700000000000003</v>
      </c>
      <c r="U900">
        <v>73.599999999999994</v>
      </c>
      <c r="V900">
        <v>-6.3</v>
      </c>
      <c r="W900" cm="1">
        <f t="array" ref="W900">_xlfn.IFS(OR(X900="N/A",X900="NA"),0,OR(X900="R64",X900="R68"),1,X900="R32",2,X900="S16",3,X900="E8",4,X900="F4",5,X900="2ND",6,X900="Champions",7)</f>
        <v>0</v>
      </c>
      <c r="X900" t="s">
        <v>90</v>
      </c>
      <c r="Y900" t="s">
        <v>90</v>
      </c>
      <c r="Z900">
        <v>2016</v>
      </c>
    </row>
    <row r="901" spans="1:26" x14ac:dyDescent="0.3">
      <c r="A901" t="s">
        <v>290</v>
      </c>
      <c r="B901" t="s">
        <v>55</v>
      </c>
      <c r="C901">
        <v>29</v>
      </c>
      <c r="D901">
        <v>14</v>
      </c>
      <c r="E901" s="1">
        <f t="shared" si="14"/>
        <v>0.48275862068965519</v>
      </c>
      <c r="F901">
        <v>110.3</v>
      </c>
      <c r="G901">
        <v>106.1</v>
      </c>
      <c r="H901">
        <v>0.60860000000000003</v>
      </c>
      <c r="I901">
        <v>52.2</v>
      </c>
      <c r="J901">
        <v>51.1</v>
      </c>
      <c r="K901">
        <v>17.5</v>
      </c>
      <c r="L901">
        <v>16.5</v>
      </c>
      <c r="M901">
        <v>29.2</v>
      </c>
      <c r="N901">
        <v>28.7</v>
      </c>
      <c r="O901">
        <v>33.6</v>
      </c>
      <c r="P901">
        <v>33.200000000000003</v>
      </c>
      <c r="Q901">
        <v>49.2</v>
      </c>
      <c r="R901">
        <v>50.1</v>
      </c>
      <c r="S901">
        <v>37.9</v>
      </c>
      <c r="T901">
        <v>35.200000000000003</v>
      </c>
      <c r="U901">
        <v>67.7</v>
      </c>
      <c r="V901">
        <v>-7.4</v>
      </c>
      <c r="W901" cm="1">
        <f t="array" ref="W901">_xlfn.IFS(OR(X901="N/A",X901="NA"),0,OR(X901="R64",X901="R68"),1,X901="R32",2,X901="S16",3,X901="E8",4,X901="F4",5,X901="2ND",6,X901="Champions",7)</f>
        <v>0</v>
      </c>
      <c r="X901" t="s">
        <v>90</v>
      </c>
      <c r="Y901" t="s">
        <v>90</v>
      </c>
      <c r="Z901">
        <v>2016</v>
      </c>
    </row>
    <row r="902" spans="1:26" x14ac:dyDescent="0.3">
      <c r="A902" t="s">
        <v>293</v>
      </c>
      <c r="B902" t="s">
        <v>55</v>
      </c>
      <c r="C902">
        <v>30</v>
      </c>
      <c r="D902">
        <v>12</v>
      </c>
      <c r="E902" s="1">
        <f t="shared" si="14"/>
        <v>0.4</v>
      </c>
      <c r="F902">
        <v>108.3</v>
      </c>
      <c r="G902">
        <v>108</v>
      </c>
      <c r="H902">
        <v>0.50919999999999999</v>
      </c>
      <c r="I902">
        <v>53.4</v>
      </c>
      <c r="J902">
        <v>50.1</v>
      </c>
      <c r="K902">
        <v>17</v>
      </c>
      <c r="L902">
        <v>15.8</v>
      </c>
      <c r="M902">
        <v>18.100000000000001</v>
      </c>
      <c r="N902">
        <v>30.4</v>
      </c>
      <c r="O902">
        <v>45.9</v>
      </c>
      <c r="P902">
        <v>39.1</v>
      </c>
      <c r="Q902">
        <v>50.8</v>
      </c>
      <c r="R902">
        <v>48.4</v>
      </c>
      <c r="S902">
        <v>37.200000000000003</v>
      </c>
      <c r="T902">
        <v>35.4</v>
      </c>
      <c r="U902">
        <v>65.599999999999994</v>
      </c>
      <c r="V902">
        <v>-10.6</v>
      </c>
      <c r="W902" cm="1">
        <f t="array" ref="W902">_xlfn.IFS(OR(X902="N/A",X902="NA"),0,OR(X902="R64",X902="R68"),1,X902="R32",2,X902="S16",3,X902="E8",4,X902="F4",5,X902="2ND",6,X902="Champions",7)</f>
        <v>0</v>
      </c>
      <c r="X902" t="s">
        <v>90</v>
      </c>
      <c r="Y902" t="s">
        <v>90</v>
      </c>
      <c r="Z902">
        <v>2016</v>
      </c>
    </row>
    <row r="903" spans="1:26" x14ac:dyDescent="0.3">
      <c r="A903" t="s">
        <v>283</v>
      </c>
      <c r="B903" t="s">
        <v>55</v>
      </c>
      <c r="C903">
        <v>31</v>
      </c>
      <c r="D903">
        <v>12</v>
      </c>
      <c r="E903" s="1">
        <f t="shared" si="14"/>
        <v>0.38709677419354838</v>
      </c>
      <c r="F903">
        <v>103.1</v>
      </c>
      <c r="G903">
        <v>107.3</v>
      </c>
      <c r="H903">
        <v>0.38540000000000002</v>
      </c>
      <c r="I903">
        <v>49.8</v>
      </c>
      <c r="J903">
        <v>54.6</v>
      </c>
      <c r="K903">
        <v>17.899999999999999</v>
      </c>
      <c r="L903">
        <v>17.5</v>
      </c>
      <c r="M903">
        <v>26.5</v>
      </c>
      <c r="N903">
        <v>24.6</v>
      </c>
      <c r="O903">
        <v>37.4</v>
      </c>
      <c r="P903">
        <v>32.6</v>
      </c>
      <c r="Q903">
        <v>47</v>
      </c>
      <c r="R903">
        <v>54.4</v>
      </c>
      <c r="S903">
        <v>36.200000000000003</v>
      </c>
      <c r="T903">
        <v>36.6</v>
      </c>
      <c r="U903">
        <v>68.400000000000006</v>
      </c>
      <c r="V903">
        <v>-14.1</v>
      </c>
      <c r="W903" cm="1">
        <f t="array" ref="W903">_xlfn.IFS(OR(X903="N/A",X903="NA"),0,OR(X903="R64",X903="R68"),1,X903="R32",2,X903="S16",3,X903="E8",4,X903="F4",5,X903="2ND",6,X903="Champions",7)</f>
        <v>0</v>
      </c>
      <c r="X903" t="s">
        <v>90</v>
      </c>
      <c r="Y903" t="s">
        <v>90</v>
      </c>
      <c r="Z903">
        <v>2017</v>
      </c>
    </row>
    <row r="904" spans="1:26" x14ac:dyDescent="0.3">
      <c r="A904" t="s">
        <v>291</v>
      </c>
      <c r="B904" t="s">
        <v>55</v>
      </c>
      <c r="C904">
        <v>31</v>
      </c>
      <c r="D904">
        <v>20</v>
      </c>
      <c r="E904" s="1">
        <f t="shared" si="14"/>
        <v>0.64516129032258063</v>
      </c>
      <c r="F904">
        <v>109.1</v>
      </c>
      <c r="G904">
        <v>101.4</v>
      </c>
      <c r="H904">
        <v>0.6986</v>
      </c>
      <c r="I904">
        <v>51.8</v>
      </c>
      <c r="J904">
        <v>48.3</v>
      </c>
      <c r="K904">
        <v>17.899999999999999</v>
      </c>
      <c r="L904">
        <v>16.600000000000001</v>
      </c>
      <c r="M904">
        <v>27.7</v>
      </c>
      <c r="N904">
        <v>26.5</v>
      </c>
      <c r="O904">
        <v>40.5</v>
      </c>
      <c r="P904">
        <v>41.9</v>
      </c>
      <c r="Q904">
        <v>51.5</v>
      </c>
      <c r="R904">
        <v>47.1</v>
      </c>
      <c r="S904">
        <v>34.799999999999997</v>
      </c>
      <c r="T904">
        <v>34.200000000000003</v>
      </c>
      <c r="U904">
        <v>70.5</v>
      </c>
      <c r="V904">
        <v>-3.2</v>
      </c>
      <c r="W904" cm="1">
        <f t="array" ref="W904">_xlfn.IFS(OR(X904="N/A",X904="NA"),0,OR(X904="R64",X904="R68"),1,X904="R32",2,X904="S16",3,X904="E8",4,X904="F4",5,X904="2ND",6,X904="Champions",7)</f>
        <v>0</v>
      </c>
      <c r="X904" t="s">
        <v>90</v>
      </c>
      <c r="Y904" t="s">
        <v>90</v>
      </c>
      <c r="Z904">
        <v>2017</v>
      </c>
    </row>
    <row r="905" spans="1:26" x14ac:dyDescent="0.3">
      <c r="A905" t="s">
        <v>284</v>
      </c>
      <c r="B905" t="s">
        <v>55</v>
      </c>
      <c r="C905">
        <v>34</v>
      </c>
      <c r="D905">
        <v>24</v>
      </c>
      <c r="E905" s="1">
        <f t="shared" si="14"/>
        <v>0.70588235294117652</v>
      </c>
      <c r="F905">
        <v>108.3</v>
      </c>
      <c r="G905">
        <v>100.2</v>
      </c>
      <c r="H905">
        <v>0.70760000000000001</v>
      </c>
      <c r="I905">
        <v>48.3</v>
      </c>
      <c r="J905">
        <v>46.8</v>
      </c>
      <c r="K905">
        <v>16.100000000000001</v>
      </c>
      <c r="L905">
        <v>16.899999999999999</v>
      </c>
      <c r="M905">
        <v>31.3</v>
      </c>
      <c r="N905">
        <v>28.8</v>
      </c>
      <c r="O905">
        <v>38.200000000000003</v>
      </c>
      <c r="P905">
        <v>31.8</v>
      </c>
      <c r="Q905">
        <v>46.6</v>
      </c>
      <c r="R905">
        <v>46.6</v>
      </c>
      <c r="S905">
        <v>34.1</v>
      </c>
      <c r="T905">
        <v>31.4</v>
      </c>
      <c r="U905">
        <v>67.8</v>
      </c>
      <c r="V905">
        <v>-2.8</v>
      </c>
      <c r="W905" cm="1">
        <f t="array" ref="W905">_xlfn.IFS(OR(X905="N/A",X905="NA"),0,OR(X905="R64",X905="R68"),1,X905="R32",2,X905="S16",3,X905="E8",4,X905="F4",5,X905="2ND",6,X905="Champions",7)</f>
        <v>0</v>
      </c>
      <c r="X905" t="s">
        <v>90</v>
      </c>
      <c r="Y905" t="s">
        <v>90</v>
      </c>
      <c r="Z905">
        <v>2017</v>
      </c>
    </row>
    <row r="906" spans="1:26" x14ac:dyDescent="0.3">
      <c r="A906" t="s">
        <v>285</v>
      </c>
      <c r="B906" t="s">
        <v>55</v>
      </c>
      <c r="C906">
        <v>31</v>
      </c>
      <c r="D906">
        <v>20</v>
      </c>
      <c r="E906" s="1">
        <f t="shared" si="14"/>
        <v>0.64516129032258063</v>
      </c>
      <c r="F906">
        <v>103.5</v>
      </c>
      <c r="G906">
        <v>96.8</v>
      </c>
      <c r="H906">
        <v>0.68440000000000001</v>
      </c>
      <c r="I906">
        <v>50.8</v>
      </c>
      <c r="J906">
        <v>48.5</v>
      </c>
      <c r="K906">
        <v>18.8</v>
      </c>
      <c r="L906">
        <v>20.6</v>
      </c>
      <c r="M906">
        <v>27.2</v>
      </c>
      <c r="N906">
        <v>27.5</v>
      </c>
      <c r="O906">
        <v>40.5</v>
      </c>
      <c r="P906">
        <v>46.2</v>
      </c>
      <c r="Q906">
        <v>49.5</v>
      </c>
      <c r="R906">
        <v>47.2</v>
      </c>
      <c r="S906">
        <v>35.6</v>
      </c>
      <c r="T906">
        <v>33.6</v>
      </c>
      <c r="U906">
        <v>69.8</v>
      </c>
      <c r="V906">
        <v>-3.9</v>
      </c>
      <c r="W906" cm="1">
        <f t="array" ref="W906">_xlfn.IFS(OR(X906="N/A",X906="NA"),0,OR(X906="R64",X906="R68"),1,X906="R32",2,X906="S16",3,X906="E8",4,X906="F4",5,X906="2ND",6,X906="Champions",7)</f>
        <v>0</v>
      </c>
      <c r="X906" t="s">
        <v>90</v>
      </c>
      <c r="Y906" t="s">
        <v>90</v>
      </c>
      <c r="Z906">
        <v>2017</v>
      </c>
    </row>
    <row r="907" spans="1:26" x14ac:dyDescent="0.3">
      <c r="A907" t="s">
        <v>287</v>
      </c>
      <c r="B907" t="s">
        <v>55</v>
      </c>
      <c r="C907">
        <v>31</v>
      </c>
      <c r="D907">
        <v>17</v>
      </c>
      <c r="E907" s="1">
        <f t="shared" si="14"/>
        <v>0.54838709677419351</v>
      </c>
      <c r="F907">
        <v>105.2</v>
      </c>
      <c r="G907">
        <v>100.7</v>
      </c>
      <c r="H907">
        <v>0.62319999999999998</v>
      </c>
      <c r="I907">
        <v>50.2</v>
      </c>
      <c r="J907">
        <v>50.6</v>
      </c>
      <c r="K907">
        <v>18.399999999999999</v>
      </c>
      <c r="L907">
        <v>19</v>
      </c>
      <c r="M907">
        <v>27</v>
      </c>
      <c r="N907">
        <v>27.8</v>
      </c>
      <c r="O907">
        <v>46</v>
      </c>
      <c r="P907">
        <v>37.700000000000003</v>
      </c>
      <c r="Q907">
        <v>50.7</v>
      </c>
      <c r="R907">
        <v>47.5</v>
      </c>
      <c r="S907">
        <v>32.700000000000003</v>
      </c>
      <c r="T907">
        <v>36.9</v>
      </c>
      <c r="U907">
        <v>70.400000000000006</v>
      </c>
      <c r="V907">
        <v>-5.4</v>
      </c>
      <c r="W907" cm="1">
        <f t="array" ref="W907">_xlfn.IFS(OR(X907="N/A",X907="NA"),0,OR(X907="R64",X907="R68"),1,X907="R32",2,X907="S16",3,X907="E8",4,X907="F4",5,X907="2ND",6,X907="Champions",7)</f>
        <v>0</v>
      </c>
      <c r="X907" t="s">
        <v>90</v>
      </c>
      <c r="Y907" t="s">
        <v>90</v>
      </c>
      <c r="Z907">
        <v>2017</v>
      </c>
    </row>
    <row r="908" spans="1:26" x14ac:dyDescent="0.3">
      <c r="A908" t="s">
        <v>292</v>
      </c>
      <c r="B908" t="s">
        <v>55</v>
      </c>
      <c r="C908">
        <v>32</v>
      </c>
      <c r="D908">
        <v>19</v>
      </c>
      <c r="E908" s="1">
        <f t="shared" si="14"/>
        <v>0.59375</v>
      </c>
      <c r="F908">
        <v>103.2</v>
      </c>
      <c r="G908">
        <v>93.4</v>
      </c>
      <c r="H908">
        <v>0.75870000000000004</v>
      </c>
      <c r="I908">
        <v>47.5</v>
      </c>
      <c r="J908">
        <v>44.8</v>
      </c>
      <c r="K908">
        <v>17.5</v>
      </c>
      <c r="L908">
        <v>19</v>
      </c>
      <c r="M908">
        <v>30.5</v>
      </c>
      <c r="N908">
        <v>29.1</v>
      </c>
      <c r="O908">
        <v>35.299999999999997</v>
      </c>
      <c r="P908">
        <v>32.4</v>
      </c>
      <c r="Q908">
        <v>47.5</v>
      </c>
      <c r="R908">
        <v>42.9</v>
      </c>
      <c r="S908">
        <v>31.6</v>
      </c>
      <c r="T908">
        <v>32.1</v>
      </c>
      <c r="U908">
        <v>66.099999999999994</v>
      </c>
      <c r="V908">
        <v>-6</v>
      </c>
      <c r="W908" cm="1">
        <f t="array" ref="W908">_xlfn.IFS(OR(X908="N/A",X908="NA"),0,OR(X908="R64",X908="R68"),1,X908="R32",2,X908="S16",3,X908="E8",4,X908="F4",5,X908="2ND",6,X908="Champions",7)</f>
        <v>0</v>
      </c>
      <c r="X908" t="s">
        <v>90</v>
      </c>
      <c r="Y908" t="s">
        <v>90</v>
      </c>
      <c r="Z908">
        <v>2017</v>
      </c>
    </row>
    <row r="909" spans="1:26" x14ac:dyDescent="0.3">
      <c r="A909" t="s">
        <v>288</v>
      </c>
      <c r="B909" t="s">
        <v>55</v>
      </c>
      <c r="C909">
        <v>28</v>
      </c>
      <c r="D909">
        <v>14</v>
      </c>
      <c r="E909" s="1">
        <f t="shared" si="14"/>
        <v>0.5</v>
      </c>
      <c r="F909">
        <v>99.7</v>
      </c>
      <c r="G909">
        <v>104</v>
      </c>
      <c r="H909">
        <v>0.37940000000000002</v>
      </c>
      <c r="I909">
        <v>48.6</v>
      </c>
      <c r="J909">
        <v>51.8</v>
      </c>
      <c r="K909">
        <v>18.2</v>
      </c>
      <c r="L909">
        <v>18.899999999999999</v>
      </c>
      <c r="M909">
        <v>24.9</v>
      </c>
      <c r="N909">
        <v>26.1</v>
      </c>
      <c r="O909">
        <v>36.1</v>
      </c>
      <c r="P909">
        <v>40.299999999999997</v>
      </c>
      <c r="Q909">
        <v>47.7</v>
      </c>
      <c r="R909">
        <v>52</v>
      </c>
      <c r="S909">
        <v>33.700000000000003</v>
      </c>
      <c r="T909">
        <v>34.299999999999997</v>
      </c>
      <c r="U909">
        <v>72.099999999999994</v>
      </c>
      <c r="V909">
        <v>-9</v>
      </c>
      <c r="W909" cm="1">
        <f t="array" ref="W909">_xlfn.IFS(OR(X909="N/A",X909="NA"),0,OR(X909="R64",X909="R68"),1,X909="R32",2,X909="S16",3,X909="E8",4,X909="F4",5,X909="2ND",6,X909="Champions",7)</f>
        <v>0</v>
      </c>
      <c r="X909" t="s">
        <v>90</v>
      </c>
      <c r="Y909" t="s">
        <v>90</v>
      </c>
      <c r="Z909">
        <v>2017</v>
      </c>
    </row>
    <row r="910" spans="1:26" x14ac:dyDescent="0.3">
      <c r="A910" t="s">
        <v>289</v>
      </c>
      <c r="B910" t="s">
        <v>55</v>
      </c>
      <c r="C910">
        <v>32</v>
      </c>
      <c r="D910">
        <v>11</v>
      </c>
      <c r="E910" s="1">
        <f t="shared" si="14"/>
        <v>0.34375</v>
      </c>
      <c r="F910">
        <v>97.4</v>
      </c>
      <c r="G910">
        <v>104.1</v>
      </c>
      <c r="H910">
        <v>0.31859999999999999</v>
      </c>
      <c r="I910">
        <v>45.1</v>
      </c>
      <c r="J910">
        <v>51.6</v>
      </c>
      <c r="K910">
        <v>18</v>
      </c>
      <c r="L910">
        <v>16.5</v>
      </c>
      <c r="M910">
        <v>28.9</v>
      </c>
      <c r="N910">
        <v>27.5</v>
      </c>
      <c r="O910">
        <v>37.5</v>
      </c>
      <c r="P910">
        <v>28.6</v>
      </c>
      <c r="Q910">
        <v>43.5</v>
      </c>
      <c r="R910">
        <v>48.9</v>
      </c>
      <c r="S910">
        <v>32</v>
      </c>
      <c r="T910">
        <v>37.799999999999997</v>
      </c>
      <c r="U910">
        <v>70.099999999999994</v>
      </c>
      <c r="V910">
        <v>-12.6</v>
      </c>
      <c r="W910" cm="1">
        <f t="array" ref="W910">_xlfn.IFS(OR(X910="N/A",X910="NA"),0,OR(X910="R64",X910="R68"),1,X910="R32",2,X910="S16",3,X910="E8",4,X910="F4",5,X910="2ND",6,X910="Champions",7)</f>
        <v>0</v>
      </c>
      <c r="X910" t="s">
        <v>90</v>
      </c>
      <c r="Y910" t="s">
        <v>90</v>
      </c>
      <c r="Z910">
        <v>2017</v>
      </c>
    </row>
    <row r="911" spans="1:26" x14ac:dyDescent="0.3">
      <c r="A911" t="s">
        <v>290</v>
      </c>
      <c r="B911" t="s">
        <v>55</v>
      </c>
      <c r="C911">
        <v>30</v>
      </c>
      <c r="D911">
        <v>15</v>
      </c>
      <c r="E911" s="1">
        <f t="shared" si="14"/>
        <v>0.5</v>
      </c>
      <c r="F911">
        <v>105.7</v>
      </c>
      <c r="G911">
        <v>103.2</v>
      </c>
      <c r="H911">
        <v>0.56630000000000003</v>
      </c>
      <c r="I911">
        <v>52.5</v>
      </c>
      <c r="J911">
        <v>49.2</v>
      </c>
      <c r="K911">
        <v>18.2</v>
      </c>
      <c r="L911">
        <v>15.8</v>
      </c>
      <c r="M911">
        <v>24.9</v>
      </c>
      <c r="N911">
        <v>26.8</v>
      </c>
      <c r="O911">
        <v>35.1</v>
      </c>
      <c r="P911">
        <v>33.700000000000003</v>
      </c>
      <c r="Q911">
        <v>50</v>
      </c>
      <c r="R911">
        <v>47.7</v>
      </c>
      <c r="S911">
        <v>38</v>
      </c>
      <c r="T911">
        <v>34.5</v>
      </c>
      <c r="U911">
        <v>68.099999999999994</v>
      </c>
      <c r="V911">
        <v>-9.1999999999999993</v>
      </c>
      <c r="W911" cm="1">
        <f t="array" ref="W911">_xlfn.IFS(OR(X911="N/A",X911="NA"),0,OR(X911="R64",X911="R68"),1,X911="R32",2,X911="S16",3,X911="E8",4,X911="F4",5,X911="2ND",6,X911="Champions",7)</f>
        <v>0</v>
      </c>
      <c r="X911" t="s">
        <v>90</v>
      </c>
      <c r="Y911" t="s">
        <v>90</v>
      </c>
      <c r="Z911">
        <v>2017</v>
      </c>
    </row>
    <row r="912" spans="1:26" x14ac:dyDescent="0.3">
      <c r="A912" t="s">
        <v>293</v>
      </c>
      <c r="B912" t="s">
        <v>55</v>
      </c>
      <c r="C912">
        <v>36</v>
      </c>
      <c r="D912">
        <v>23</v>
      </c>
      <c r="E912" s="1">
        <f t="shared" si="14"/>
        <v>0.63888888888888884</v>
      </c>
      <c r="F912">
        <v>104.4</v>
      </c>
      <c r="G912">
        <v>101.4</v>
      </c>
      <c r="H912">
        <v>0.58509999999999995</v>
      </c>
      <c r="I912">
        <v>51.6</v>
      </c>
      <c r="J912">
        <v>46.2</v>
      </c>
      <c r="K912">
        <v>17.7</v>
      </c>
      <c r="L912">
        <v>16.2</v>
      </c>
      <c r="M912">
        <v>22.7</v>
      </c>
      <c r="N912">
        <v>27.7</v>
      </c>
      <c r="O912">
        <v>37.5</v>
      </c>
      <c r="P912">
        <v>39.4</v>
      </c>
      <c r="Q912">
        <v>50.7</v>
      </c>
      <c r="R912">
        <v>45.7</v>
      </c>
      <c r="S912">
        <v>35.1</v>
      </c>
      <c r="T912">
        <v>31.4</v>
      </c>
      <c r="U912">
        <v>74.2</v>
      </c>
      <c r="V912">
        <v>-7.5</v>
      </c>
      <c r="W912" cm="1">
        <f t="array" ref="W912">_xlfn.IFS(OR(X912="N/A",X912="NA"),0,OR(X912="R64",X912="R68"),1,X912="R32",2,X912="S16",3,X912="E8",4,X912="F4",5,X912="2ND",6,X912="Champions",7)</f>
        <v>0</v>
      </c>
      <c r="X912" t="s">
        <v>90</v>
      </c>
      <c r="Y912" t="s">
        <v>90</v>
      </c>
      <c r="Z912">
        <v>2017</v>
      </c>
    </row>
    <row r="913" spans="1:26" x14ac:dyDescent="0.3">
      <c r="A913" t="s">
        <v>283</v>
      </c>
      <c r="B913" t="s">
        <v>55</v>
      </c>
      <c r="C913">
        <v>29</v>
      </c>
      <c r="D913">
        <v>12</v>
      </c>
      <c r="E913" s="1">
        <f t="shared" si="14"/>
        <v>0.41379310344827586</v>
      </c>
      <c r="F913">
        <v>99.8</v>
      </c>
      <c r="G913">
        <v>105</v>
      </c>
      <c r="H913">
        <v>0.35959999999999998</v>
      </c>
      <c r="I913">
        <v>47.6</v>
      </c>
      <c r="J913">
        <v>54.9</v>
      </c>
      <c r="K913">
        <v>18.8</v>
      </c>
      <c r="L913">
        <v>20.6</v>
      </c>
      <c r="M913">
        <v>27.4</v>
      </c>
      <c r="N913">
        <v>28.8</v>
      </c>
      <c r="O913">
        <v>32</v>
      </c>
      <c r="P913">
        <v>33.299999999999997</v>
      </c>
      <c r="Q913">
        <v>46.8</v>
      </c>
      <c r="R913">
        <v>51.3</v>
      </c>
      <c r="S913">
        <v>32.5</v>
      </c>
      <c r="T913">
        <v>39.700000000000003</v>
      </c>
      <c r="U913">
        <v>66.900000000000006</v>
      </c>
      <c r="V913">
        <v>-11.8</v>
      </c>
      <c r="W913" cm="1">
        <f t="array" ref="W913">_xlfn.IFS(OR(X913="N/A",X913="NA"),0,OR(X913="R64",X913="R68"),1,X913="R32",2,X913="S16",3,X913="E8",4,X913="F4",5,X913="2ND",6,X913="Champions",7)</f>
        <v>0</v>
      </c>
      <c r="X913" t="s">
        <v>90</v>
      </c>
      <c r="Y913" t="s">
        <v>90</v>
      </c>
      <c r="Z913">
        <v>2018</v>
      </c>
    </row>
    <row r="914" spans="1:26" x14ac:dyDescent="0.3">
      <c r="A914" t="s">
        <v>291</v>
      </c>
      <c r="B914" t="s">
        <v>55</v>
      </c>
      <c r="C914">
        <v>31</v>
      </c>
      <c r="D914">
        <v>23</v>
      </c>
      <c r="E914" s="1">
        <f t="shared" si="14"/>
        <v>0.74193548387096775</v>
      </c>
      <c r="F914">
        <v>109.2</v>
      </c>
      <c r="G914">
        <v>96.3</v>
      </c>
      <c r="H914">
        <v>0.80869999999999997</v>
      </c>
      <c r="I914">
        <v>53.8</v>
      </c>
      <c r="J914">
        <v>48.8</v>
      </c>
      <c r="K914">
        <v>18.899999999999999</v>
      </c>
      <c r="L914">
        <v>16.399999999999999</v>
      </c>
      <c r="M914">
        <v>29.3</v>
      </c>
      <c r="N914">
        <v>18.399999999999999</v>
      </c>
      <c r="O914">
        <v>31</v>
      </c>
      <c r="P914">
        <v>29.5</v>
      </c>
      <c r="Q914">
        <v>52</v>
      </c>
      <c r="R914">
        <v>48.4</v>
      </c>
      <c r="S914">
        <v>37.5</v>
      </c>
      <c r="T914">
        <v>33</v>
      </c>
      <c r="U914">
        <v>70.099999999999994</v>
      </c>
      <c r="V914">
        <v>-0.4</v>
      </c>
      <c r="W914" cm="1">
        <f t="array" ref="W914">_xlfn.IFS(OR(X914="N/A",X914="NA"),0,OR(X914="R64",X914="R68"),1,X914="R32",2,X914="S16",3,X914="E8",4,X914="F4",5,X914="2ND",6,X914="Champions",7)</f>
        <v>0</v>
      </c>
      <c r="X914" t="s">
        <v>90</v>
      </c>
      <c r="Y914" t="s">
        <v>90</v>
      </c>
      <c r="Z914">
        <v>2018</v>
      </c>
    </row>
    <row r="915" spans="1:26" x14ac:dyDescent="0.3">
      <c r="A915" t="s">
        <v>284</v>
      </c>
      <c r="B915" t="s">
        <v>55</v>
      </c>
      <c r="C915">
        <v>31</v>
      </c>
      <c r="D915">
        <v>11</v>
      </c>
      <c r="E915" s="1">
        <f t="shared" si="14"/>
        <v>0.35483870967741937</v>
      </c>
      <c r="F915">
        <v>102</v>
      </c>
      <c r="G915">
        <v>107</v>
      </c>
      <c r="H915">
        <v>0.3659</v>
      </c>
      <c r="I915">
        <v>47.5</v>
      </c>
      <c r="J915">
        <v>53.7</v>
      </c>
      <c r="K915">
        <v>18.8</v>
      </c>
      <c r="L915">
        <v>17.399999999999999</v>
      </c>
      <c r="M915">
        <v>30.6</v>
      </c>
      <c r="N915">
        <v>28.1</v>
      </c>
      <c r="O915">
        <v>33.799999999999997</v>
      </c>
      <c r="P915">
        <v>35.9</v>
      </c>
      <c r="Q915">
        <v>46.4</v>
      </c>
      <c r="R915">
        <v>53.7</v>
      </c>
      <c r="S915">
        <v>33</v>
      </c>
      <c r="T915">
        <v>35.799999999999997</v>
      </c>
      <c r="U915">
        <v>71</v>
      </c>
      <c r="V915">
        <v>-11.9</v>
      </c>
      <c r="W915" cm="1">
        <f t="array" ref="W915">_xlfn.IFS(OR(X915="N/A",X915="NA"),0,OR(X915="R64",X915="R68"),1,X915="R32",2,X915="S16",3,X915="E8",4,X915="F4",5,X915="2ND",6,X915="Champions",7)</f>
        <v>0</v>
      </c>
      <c r="X915" t="s">
        <v>90</v>
      </c>
      <c r="Y915" t="s">
        <v>90</v>
      </c>
      <c r="Z915">
        <v>2018</v>
      </c>
    </row>
    <row r="916" spans="1:26" x14ac:dyDescent="0.3">
      <c r="A916" t="s">
        <v>285</v>
      </c>
      <c r="B916" t="s">
        <v>55</v>
      </c>
      <c r="C916">
        <v>30</v>
      </c>
      <c r="D916">
        <v>21</v>
      </c>
      <c r="E916" s="1">
        <f t="shared" si="14"/>
        <v>0.7</v>
      </c>
      <c r="F916">
        <v>108.5</v>
      </c>
      <c r="G916">
        <v>98</v>
      </c>
      <c r="H916">
        <v>0.7631</v>
      </c>
      <c r="I916">
        <v>54.5</v>
      </c>
      <c r="J916">
        <v>49.6</v>
      </c>
      <c r="K916">
        <v>17.399999999999999</v>
      </c>
      <c r="L916">
        <v>18.8</v>
      </c>
      <c r="M916">
        <v>26.6</v>
      </c>
      <c r="N916">
        <v>24.6</v>
      </c>
      <c r="O916">
        <v>38.4</v>
      </c>
      <c r="P916">
        <v>39</v>
      </c>
      <c r="Q916">
        <v>52.7</v>
      </c>
      <c r="R916">
        <v>46.7</v>
      </c>
      <c r="S916">
        <v>39</v>
      </c>
      <c r="T916">
        <v>36.799999999999997</v>
      </c>
      <c r="U916">
        <v>67.7</v>
      </c>
      <c r="V916">
        <v>-3.8</v>
      </c>
      <c r="W916" cm="1">
        <f t="array" ref="W916">_xlfn.IFS(OR(X916="N/A",X916="NA"),0,OR(X916="R64",X916="R68"),1,X916="R32",2,X916="S16",3,X916="E8",4,X916="F4",5,X916="2ND",6,X916="Champions",7)</f>
        <v>0</v>
      </c>
      <c r="X916" t="s">
        <v>90</v>
      </c>
      <c r="Y916" t="s">
        <v>90</v>
      </c>
      <c r="Z916">
        <v>2018</v>
      </c>
    </row>
    <row r="917" spans="1:26" x14ac:dyDescent="0.3">
      <c r="A917" t="s">
        <v>287</v>
      </c>
      <c r="B917" t="s">
        <v>55</v>
      </c>
      <c r="C917">
        <v>33</v>
      </c>
      <c r="D917">
        <v>19</v>
      </c>
      <c r="E917" s="1">
        <f t="shared" si="14"/>
        <v>0.5757575757575758</v>
      </c>
      <c r="F917">
        <v>113.2</v>
      </c>
      <c r="G917">
        <v>106.1</v>
      </c>
      <c r="H917">
        <v>0.67779999999999996</v>
      </c>
      <c r="I917">
        <v>53.5</v>
      </c>
      <c r="J917">
        <v>54.8</v>
      </c>
      <c r="K917">
        <v>16.8</v>
      </c>
      <c r="L917">
        <v>22</v>
      </c>
      <c r="M917">
        <v>26.1</v>
      </c>
      <c r="N917">
        <v>31</v>
      </c>
      <c r="O917">
        <v>34.6</v>
      </c>
      <c r="P917">
        <v>39.9</v>
      </c>
      <c r="Q917">
        <v>51.4</v>
      </c>
      <c r="R917">
        <v>53.7</v>
      </c>
      <c r="S917">
        <v>37.1</v>
      </c>
      <c r="T917">
        <v>38.1</v>
      </c>
      <c r="U917">
        <v>72.2</v>
      </c>
      <c r="V917">
        <v>-6.1</v>
      </c>
      <c r="W917" cm="1">
        <f t="array" ref="W917">_xlfn.IFS(OR(X917="N/A",X917="NA"),0,OR(X917="R64",X917="R68"),1,X917="R32",2,X917="S16",3,X917="E8",4,X917="F4",5,X917="2ND",6,X917="Champions",7)</f>
        <v>0</v>
      </c>
      <c r="X917" t="s">
        <v>90</v>
      </c>
      <c r="Y917" t="s">
        <v>90</v>
      </c>
      <c r="Z917">
        <v>2018</v>
      </c>
    </row>
    <row r="918" spans="1:26" x14ac:dyDescent="0.3">
      <c r="A918" t="s">
        <v>288</v>
      </c>
      <c r="B918" t="s">
        <v>55</v>
      </c>
      <c r="C918">
        <v>29</v>
      </c>
      <c r="D918">
        <v>4</v>
      </c>
      <c r="E918" s="1">
        <f t="shared" si="14"/>
        <v>0.13793103448275862</v>
      </c>
      <c r="F918">
        <v>95.5</v>
      </c>
      <c r="G918">
        <v>106.9</v>
      </c>
      <c r="H918">
        <v>0.21299999999999999</v>
      </c>
      <c r="I918">
        <v>48.6</v>
      </c>
      <c r="J918">
        <v>53.2</v>
      </c>
      <c r="K918">
        <v>23.6</v>
      </c>
      <c r="L918">
        <v>14.9</v>
      </c>
      <c r="M918">
        <v>27.8</v>
      </c>
      <c r="N918">
        <v>24.8</v>
      </c>
      <c r="O918">
        <v>34.200000000000003</v>
      </c>
      <c r="P918">
        <v>30.8</v>
      </c>
      <c r="Q918">
        <v>46.2</v>
      </c>
      <c r="R918">
        <v>53.3</v>
      </c>
      <c r="S918">
        <v>36.200000000000003</v>
      </c>
      <c r="T918">
        <v>35.4</v>
      </c>
      <c r="U918">
        <v>68.3</v>
      </c>
      <c r="V918">
        <v>-18.5</v>
      </c>
      <c r="W918" cm="1">
        <f t="array" ref="W918">_xlfn.IFS(OR(X918="N/A",X918="NA"),0,OR(X918="R64",X918="R68"),1,X918="R32",2,X918="S16",3,X918="E8",4,X918="F4",5,X918="2ND",6,X918="Champions",7)</f>
        <v>0</v>
      </c>
      <c r="X918" t="s">
        <v>90</v>
      </c>
      <c r="Y918" t="s">
        <v>90</v>
      </c>
      <c r="Z918">
        <v>2018</v>
      </c>
    </row>
    <row r="919" spans="1:26" x14ac:dyDescent="0.3">
      <c r="A919" t="s">
        <v>289</v>
      </c>
      <c r="B919" t="s">
        <v>55</v>
      </c>
      <c r="C919">
        <v>33</v>
      </c>
      <c r="D919">
        <v>20</v>
      </c>
      <c r="E919" s="1">
        <f t="shared" si="14"/>
        <v>0.60606060606060608</v>
      </c>
      <c r="F919">
        <v>110.4</v>
      </c>
      <c r="G919">
        <v>104.1</v>
      </c>
      <c r="H919">
        <v>0.66369999999999996</v>
      </c>
      <c r="I919">
        <v>53.5</v>
      </c>
      <c r="J919">
        <v>48.7</v>
      </c>
      <c r="K919">
        <v>19.100000000000001</v>
      </c>
      <c r="L919">
        <v>15.5</v>
      </c>
      <c r="M919">
        <v>34.5</v>
      </c>
      <c r="N919">
        <v>29.9</v>
      </c>
      <c r="O919">
        <v>43.4</v>
      </c>
      <c r="P919">
        <v>26.2</v>
      </c>
      <c r="Q919">
        <v>54.8</v>
      </c>
      <c r="R919">
        <v>46.7</v>
      </c>
      <c r="S919">
        <v>33.4</v>
      </c>
      <c r="T919">
        <v>35.200000000000003</v>
      </c>
      <c r="U919">
        <v>73.8</v>
      </c>
      <c r="V919">
        <v>-4.8</v>
      </c>
      <c r="W919" cm="1">
        <f t="array" ref="W919">_xlfn.IFS(OR(X919="N/A",X919="NA"),0,OR(X919="R64",X919="R68"),1,X919="R32",2,X919="S16",3,X919="E8",4,X919="F4",5,X919="2ND",6,X919="Champions",7)</f>
        <v>0</v>
      </c>
      <c r="X919" t="s">
        <v>90</v>
      </c>
      <c r="Y919" t="s">
        <v>90</v>
      </c>
      <c r="Z919">
        <v>2018</v>
      </c>
    </row>
    <row r="920" spans="1:26" x14ac:dyDescent="0.3">
      <c r="A920" t="s">
        <v>290</v>
      </c>
      <c r="B920" t="s">
        <v>55</v>
      </c>
      <c r="C920">
        <v>33</v>
      </c>
      <c r="D920">
        <v>17</v>
      </c>
      <c r="E920" s="1">
        <f t="shared" si="14"/>
        <v>0.51515151515151514</v>
      </c>
      <c r="F920">
        <v>106.1</v>
      </c>
      <c r="G920">
        <v>103.8</v>
      </c>
      <c r="H920">
        <v>0.56310000000000004</v>
      </c>
      <c r="I920">
        <v>53.2</v>
      </c>
      <c r="J920">
        <v>51.9</v>
      </c>
      <c r="K920">
        <v>18.8</v>
      </c>
      <c r="L920">
        <v>17.600000000000001</v>
      </c>
      <c r="M920">
        <v>25.4</v>
      </c>
      <c r="N920">
        <v>26.4</v>
      </c>
      <c r="O920">
        <v>33.200000000000003</v>
      </c>
      <c r="P920">
        <v>33.299999999999997</v>
      </c>
      <c r="Q920">
        <v>52.5</v>
      </c>
      <c r="R920">
        <v>50.7</v>
      </c>
      <c r="S920">
        <v>36</v>
      </c>
      <c r="T920">
        <v>36</v>
      </c>
      <c r="U920">
        <v>68</v>
      </c>
      <c r="V920">
        <v>-8</v>
      </c>
      <c r="W920" cm="1">
        <f t="array" ref="W920">_xlfn.IFS(OR(X920="N/A",X920="NA"),0,OR(X920="R64",X920="R68"),1,X920="R32",2,X920="S16",3,X920="E8",4,X920="F4",5,X920="2ND",6,X920="Champions",7)</f>
        <v>0</v>
      </c>
      <c r="X920" t="s">
        <v>90</v>
      </c>
      <c r="Y920" t="s">
        <v>90</v>
      </c>
      <c r="Z920">
        <v>2018</v>
      </c>
    </row>
    <row r="921" spans="1:26" x14ac:dyDescent="0.3">
      <c r="A921" t="s">
        <v>293</v>
      </c>
      <c r="B921" t="s">
        <v>55</v>
      </c>
      <c r="C921">
        <v>32</v>
      </c>
      <c r="D921">
        <v>20</v>
      </c>
      <c r="E921" s="1">
        <f t="shared" si="14"/>
        <v>0.625</v>
      </c>
      <c r="F921">
        <v>104.6</v>
      </c>
      <c r="G921">
        <v>101.2</v>
      </c>
      <c r="H921">
        <v>0.59440000000000004</v>
      </c>
      <c r="I921">
        <v>52.1</v>
      </c>
      <c r="J921">
        <v>51</v>
      </c>
      <c r="K921">
        <v>17.600000000000001</v>
      </c>
      <c r="L921">
        <v>19.100000000000001</v>
      </c>
      <c r="M921">
        <v>19.5</v>
      </c>
      <c r="N921">
        <v>25.7</v>
      </c>
      <c r="O921">
        <v>41.2</v>
      </c>
      <c r="P921">
        <v>37.799999999999997</v>
      </c>
      <c r="Q921">
        <v>52.7</v>
      </c>
      <c r="R921">
        <v>48.6</v>
      </c>
      <c r="S921">
        <v>34.200000000000003</v>
      </c>
      <c r="T921">
        <v>37</v>
      </c>
      <c r="U921">
        <v>74.5</v>
      </c>
      <c r="V921">
        <v>-3.8</v>
      </c>
      <c r="W921" cm="1">
        <f t="array" ref="W921">_xlfn.IFS(OR(X921="N/A",X921="NA"),0,OR(X921="R64",X921="R68"),1,X921="R32",2,X921="S16",3,X921="E8",4,X921="F4",5,X921="2ND",6,X921="Champions",7)</f>
        <v>0</v>
      </c>
      <c r="X921" t="s">
        <v>90</v>
      </c>
      <c r="Y921" t="s">
        <v>90</v>
      </c>
      <c r="Z921">
        <v>2018</v>
      </c>
    </row>
    <row r="922" spans="1:26" x14ac:dyDescent="0.3">
      <c r="A922" t="s">
        <v>283</v>
      </c>
      <c r="B922" t="s">
        <v>55</v>
      </c>
      <c r="C922">
        <v>31</v>
      </c>
      <c r="D922">
        <v>14</v>
      </c>
      <c r="E922" s="1">
        <f t="shared" si="14"/>
        <v>0.45161290322580644</v>
      </c>
      <c r="F922">
        <v>99.7</v>
      </c>
      <c r="G922">
        <v>106.1</v>
      </c>
      <c r="H922">
        <v>0.32950000000000002</v>
      </c>
      <c r="I922">
        <v>51.3</v>
      </c>
      <c r="J922">
        <v>53.6</v>
      </c>
      <c r="K922">
        <v>19.3</v>
      </c>
      <c r="L922">
        <v>17.8</v>
      </c>
      <c r="M922">
        <v>23.2</v>
      </c>
      <c r="N922">
        <v>24.1</v>
      </c>
      <c r="O922">
        <v>28.3</v>
      </c>
      <c r="P922">
        <v>28.6</v>
      </c>
      <c r="Q922">
        <v>53.1</v>
      </c>
      <c r="R922">
        <v>53.6</v>
      </c>
      <c r="S922">
        <v>32.299999999999997</v>
      </c>
      <c r="T922">
        <v>35.700000000000003</v>
      </c>
      <c r="U922">
        <v>67.8</v>
      </c>
      <c r="V922">
        <v>-10.8</v>
      </c>
      <c r="W922" cm="1">
        <f t="array" ref="W922">_xlfn.IFS(OR(X922="N/A",X922="NA"),0,OR(X922="R64",X922="R68"),1,X922="R32",2,X922="S16",3,X922="E8",4,X922="F4",5,X922="2ND",6,X922="Champions",7)</f>
        <v>0</v>
      </c>
      <c r="X922" t="s">
        <v>90</v>
      </c>
      <c r="Y922" t="s">
        <v>90</v>
      </c>
      <c r="Z922">
        <v>2019</v>
      </c>
    </row>
    <row r="923" spans="1:26" x14ac:dyDescent="0.3">
      <c r="A923" t="s">
        <v>291</v>
      </c>
      <c r="B923" t="s">
        <v>55</v>
      </c>
      <c r="C923">
        <v>32</v>
      </c>
      <c r="D923">
        <v>13</v>
      </c>
      <c r="E923" s="1">
        <f t="shared" si="14"/>
        <v>0.40625</v>
      </c>
      <c r="F923">
        <v>107.6</v>
      </c>
      <c r="G923">
        <v>102.4</v>
      </c>
      <c r="H923">
        <v>0.64039999999999997</v>
      </c>
      <c r="I923">
        <v>53.9</v>
      </c>
      <c r="J923">
        <v>51.8</v>
      </c>
      <c r="K923">
        <v>17.3</v>
      </c>
      <c r="L923">
        <v>18.5</v>
      </c>
      <c r="M923">
        <v>23.5</v>
      </c>
      <c r="N923">
        <v>24.4</v>
      </c>
      <c r="O923">
        <v>31.8</v>
      </c>
      <c r="P923">
        <v>33.6</v>
      </c>
      <c r="Q923">
        <v>54.7</v>
      </c>
      <c r="R923">
        <v>52</v>
      </c>
      <c r="S923">
        <v>35.200000000000003</v>
      </c>
      <c r="T923">
        <v>34.299999999999997</v>
      </c>
      <c r="U923">
        <v>66.900000000000006</v>
      </c>
      <c r="V923">
        <v>-11.9</v>
      </c>
      <c r="W923" cm="1">
        <f t="array" ref="W923">_xlfn.IFS(OR(X923="N/A",X923="NA"),0,OR(X923="R64",X923="R68"),1,X923="R32",2,X923="S16",3,X923="E8",4,X923="F4",5,X923="2ND",6,X923="Champions",7)</f>
        <v>0</v>
      </c>
      <c r="X923" t="s">
        <v>90</v>
      </c>
      <c r="Y923" t="s">
        <v>90</v>
      </c>
      <c r="Z923">
        <v>2019</v>
      </c>
    </row>
    <row r="924" spans="1:26" x14ac:dyDescent="0.3">
      <c r="A924" t="s">
        <v>284</v>
      </c>
      <c r="B924" t="s">
        <v>55</v>
      </c>
      <c r="C924">
        <v>31</v>
      </c>
      <c r="D924">
        <v>12</v>
      </c>
      <c r="E924" s="1">
        <f t="shared" si="14"/>
        <v>0.38709677419354838</v>
      </c>
      <c r="F924">
        <v>106.5</v>
      </c>
      <c r="G924">
        <v>107.9</v>
      </c>
      <c r="H924">
        <v>0.46200000000000002</v>
      </c>
      <c r="I924">
        <v>54.4</v>
      </c>
      <c r="J924">
        <v>53.1</v>
      </c>
      <c r="K924">
        <v>17</v>
      </c>
      <c r="L924">
        <v>16.2</v>
      </c>
      <c r="M924">
        <v>23.9</v>
      </c>
      <c r="N924">
        <v>27.1</v>
      </c>
      <c r="O924">
        <v>31.9</v>
      </c>
      <c r="P924">
        <v>29.5</v>
      </c>
      <c r="Q924">
        <v>55.5</v>
      </c>
      <c r="R924">
        <v>53.5</v>
      </c>
      <c r="S924">
        <v>35.200000000000003</v>
      </c>
      <c r="T924">
        <v>35</v>
      </c>
      <c r="U924">
        <v>68.5</v>
      </c>
      <c r="V924">
        <v>-13</v>
      </c>
      <c r="W924" cm="1">
        <f t="array" ref="W924">_xlfn.IFS(OR(X924="N/A",X924="NA"),0,OR(X924="R64",X924="R68"),1,X924="R32",2,X924="S16",3,X924="E8",4,X924="F4",5,X924="2ND",6,X924="Champions",7)</f>
        <v>0</v>
      </c>
      <c r="X924" t="s">
        <v>90</v>
      </c>
      <c r="Y924" t="s">
        <v>90</v>
      </c>
      <c r="Z924">
        <v>2019</v>
      </c>
    </row>
    <row r="925" spans="1:26" x14ac:dyDescent="0.3">
      <c r="A925" t="s">
        <v>285</v>
      </c>
      <c r="B925" t="s">
        <v>55</v>
      </c>
      <c r="C925">
        <v>31</v>
      </c>
      <c r="D925">
        <v>23</v>
      </c>
      <c r="E925" s="1">
        <f t="shared" si="14"/>
        <v>0.74193548387096775</v>
      </c>
      <c r="F925">
        <v>107</v>
      </c>
      <c r="G925">
        <v>99.1</v>
      </c>
      <c r="H925">
        <v>0.70760000000000001</v>
      </c>
      <c r="I925">
        <v>54.5</v>
      </c>
      <c r="J925">
        <v>48.5</v>
      </c>
      <c r="K925">
        <v>18.2</v>
      </c>
      <c r="L925">
        <v>19.5</v>
      </c>
      <c r="M925">
        <v>27.4</v>
      </c>
      <c r="N925">
        <v>25.4</v>
      </c>
      <c r="O925">
        <v>30.2</v>
      </c>
      <c r="P925">
        <v>35</v>
      </c>
      <c r="Q925">
        <v>51.9</v>
      </c>
      <c r="R925">
        <v>50.2</v>
      </c>
      <c r="S925">
        <v>38.200000000000003</v>
      </c>
      <c r="T925">
        <v>30.7</v>
      </c>
      <c r="U925">
        <v>69.2</v>
      </c>
      <c r="V925">
        <v>-2</v>
      </c>
      <c r="W925" cm="1">
        <f t="array" ref="W925">_xlfn.IFS(OR(X925="N/A",X925="NA"),0,OR(X925="R64",X925="R68"),1,X925="R32",2,X925="S16",3,X925="E8",4,X925="F4",5,X925="2ND",6,X925="Champions",7)</f>
        <v>0</v>
      </c>
      <c r="X925" t="s">
        <v>90</v>
      </c>
      <c r="Y925" t="s">
        <v>90</v>
      </c>
      <c r="Z925">
        <v>2019</v>
      </c>
    </row>
    <row r="926" spans="1:26" x14ac:dyDescent="0.3">
      <c r="A926" t="s">
        <v>287</v>
      </c>
      <c r="B926" t="s">
        <v>55</v>
      </c>
      <c r="C926">
        <v>31</v>
      </c>
      <c r="D926">
        <v>14</v>
      </c>
      <c r="E926" s="1">
        <f t="shared" si="14"/>
        <v>0.45161290322580644</v>
      </c>
      <c r="F926">
        <v>102.6</v>
      </c>
      <c r="G926">
        <v>104.8</v>
      </c>
      <c r="H926">
        <v>0.43919999999999998</v>
      </c>
      <c r="I926">
        <v>49.5</v>
      </c>
      <c r="J926">
        <v>51.6</v>
      </c>
      <c r="K926">
        <v>19.399999999999999</v>
      </c>
      <c r="L926">
        <v>18.3</v>
      </c>
      <c r="M926">
        <v>29.3</v>
      </c>
      <c r="N926">
        <v>28.6</v>
      </c>
      <c r="O926">
        <v>39.299999999999997</v>
      </c>
      <c r="P926">
        <v>37.1</v>
      </c>
      <c r="Q926">
        <v>47.8</v>
      </c>
      <c r="R926">
        <v>50.8</v>
      </c>
      <c r="S926">
        <v>34.4</v>
      </c>
      <c r="T926">
        <v>35.5</v>
      </c>
      <c r="U926">
        <v>74.099999999999994</v>
      </c>
      <c r="V926">
        <v>-10.3</v>
      </c>
      <c r="W926" cm="1">
        <f t="array" ref="W926">_xlfn.IFS(OR(X926="N/A",X926="NA"),0,OR(X926="R64",X926="R68"),1,X926="R32",2,X926="S16",3,X926="E8",4,X926="F4",5,X926="2ND",6,X926="Champions",7)</f>
        <v>0</v>
      </c>
      <c r="X926" t="s">
        <v>90</v>
      </c>
      <c r="Y926" t="s">
        <v>90</v>
      </c>
      <c r="Z926">
        <v>2019</v>
      </c>
    </row>
    <row r="927" spans="1:26" x14ac:dyDescent="0.3">
      <c r="A927" t="s">
        <v>292</v>
      </c>
      <c r="B927" t="s">
        <v>55</v>
      </c>
      <c r="C927">
        <v>33</v>
      </c>
      <c r="D927">
        <v>21</v>
      </c>
      <c r="E927" s="1">
        <f t="shared" si="14"/>
        <v>0.63636363636363635</v>
      </c>
      <c r="F927">
        <v>102.3</v>
      </c>
      <c r="G927">
        <v>96.8</v>
      </c>
      <c r="H927">
        <v>0.65329999999999999</v>
      </c>
      <c r="I927">
        <v>49.9</v>
      </c>
      <c r="J927">
        <v>48.2</v>
      </c>
      <c r="K927">
        <v>18.3</v>
      </c>
      <c r="L927">
        <v>18.8</v>
      </c>
      <c r="M927">
        <v>28.9</v>
      </c>
      <c r="N927">
        <v>28.4</v>
      </c>
      <c r="O927">
        <v>35.200000000000003</v>
      </c>
      <c r="P927">
        <v>33.299999999999997</v>
      </c>
      <c r="Q927">
        <v>47.9</v>
      </c>
      <c r="R927">
        <v>47.2</v>
      </c>
      <c r="S927">
        <v>35.6</v>
      </c>
      <c r="T927">
        <v>33</v>
      </c>
      <c r="U927">
        <v>68</v>
      </c>
      <c r="V927">
        <v>-4.2</v>
      </c>
      <c r="W927" cm="1">
        <f t="array" ref="W927">_xlfn.IFS(OR(X927="N/A",X927="NA"),0,OR(X927="R64",X927="R68"),1,X927="R32",2,X927="S16",3,X927="E8",4,X927="F4",5,X927="2ND",6,X927="Champions",7)</f>
        <v>0</v>
      </c>
      <c r="X927" t="s">
        <v>90</v>
      </c>
      <c r="Y927" t="s">
        <v>90</v>
      </c>
      <c r="Z927">
        <v>2019</v>
      </c>
    </row>
    <row r="928" spans="1:26" x14ac:dyDescent="0.3">
      <c r="A928" t="s">
        <v>288</v>
      </c>
      <c r="B928" t="s">
        <v>55</v>
      </c>
      <c r="C928">
        <v>30</v>
      </c>
      <c r="D928">
        <v>4</v>
      </c>
      <c r="E928" s="1">
        <f t="shared" si="14"/>
        <v>0.13333333333333333</v>
      </c>
      <c r="F928">
        <v>92.7</v>
      </c>
      <c r="G928">
        <v>112.5</v>
      </c>
      <c r="H928">
        <v>9.7199999999999995E-2</v>
      </c>
      <c r="I928">
        <v>46</v>
      </c>
      <c r="J928">
        <v>56.1</v>
      </c>
      <c r="K928">
        <v>21.9</v>
      </c>
      <c r="L928">
        <v>15.4</v>
      </c>
      <c r="M928">
        <v>27.4</v>
      </c>
      <c r="N928">
        <v>28.7</v>
      </c>
      <c r="O928">
        <v>34.799999999999997</v>
      </c>
      <c r="P928">
        <v>26.9</v>
      </c>
      <c r="Q928">
        <v>44.1</v>
      </c>
      <c r="R928">
        <v>56.3</v>
      </c>
      <c r="S928">
        <v>33</v>
      </c>
      <c r="T928">
        <v>37.299999999999997</v>
      </c>
      <c r="U928">
        <v>71</v>
      </c>
      <c r="V928">
        <v>-20.3</v>
      </c>
      <c r="W928" cm="1">
        <f t="array" ref="W928">_xlfn.IFS(OR(X928="N/A",X928="NA"),0,OR(X928="R64",X928="R68"),1,X928="R32",2,X928="S16",3,X928="E8",4,X928="F4",5,X928="2ND",6,X928="Champions",7)</f>
        <v>0</v>
      </c>
      <c r="X928" t="s">
        <v>90</v>
      </c>
      <c r="Y928" t="s">
        <v>90</v>
      </c>
      <c r="Z928">
        <v>2019</v>
      </c>
    </row>
    <row r="929" spans="1:26" x14ac:dyDescent="0.3">
      <c r="A929" t="s">
        <v>289</v>
      </c>
      <c r="B929" t="s">
        <v>55</v>
      </c>
      <c r="C929">
        <v>31</v>
      </c>
      <c r="D929">
        <v>17</v>
      </c>
      <c r="E929" s="1">
        <f t="shared" si="14"/>
        <v>0.54838709677419351</v>
      </c>
      <c r="F929">
        <v>104.5</v>
      </c>
      <c r="G929">
        <v>105.3</v>
      </c>
      <c r="H929">
        <v>0.4773</v>
      </c>
      <c r="I929">
        <v>49.5</v>
      </c>
      <c r="J929">
        <v>51</v>
      </c>
      <c r="K929">
        <v>18.600000000000001</v>
      </c>
      <c r="L929">
        <v>17.600000000000001</v>
      </c>
      <c r="M929">
        <v>35.5</v>
      </c>
      <c r="N929">
        <v>27.7</v>
      </c>
      <c r="O929">
        <v>34.9</v>
      </c>
      <c r="P929">
        <v>31.6</v>
      </c>
      <c r="Q929">
        <v>48.8</v>
      </c>
      <c r="R929">
        <v>49.7</v>
      </c>
      <c r="S929">
        <v>33.700000000000003</v>
      </c>
      <c r="T929">
        <v>35.700000000000003</v>
      </c>
      <c r="U929">
        <v>69.099999999999994</v>
      </c>
      <c r="V929">
        <v>-7.5</v>
      </c>
      <c r="W929" cm="1">
        <f t="array" ref="W929">_xlfn.IFS(OR(X929="N/A",X929="NA"),0,OR(X929="R64",X929="R68"),1,X929="R32",2,X929="S16",3,X929="E8",4,X929="F4",5,X929="2ND",6,X929="Champions",7)</f>
        <v>0</v>
      </c>
      <c r="X929" t="s">
        <v>90</v>
      </c>
      <c r="Y929" t="s">
        <v>90</v>
      </c>
      <c r="Z929">
        <v>2019</v>
      </c>
    </row>
    <row r="930" spans="1:26" x14ac:dyDescent="0.3">
      <c r="A930" t="s">
        <v>293</v>
      </c>
      <c r="B930" t="s">
        <v>55</v>
      </c>
      <c r="C930">
        <v>31</v>
      </c>
      <c r="D930">
        <v>8</v>
      </c>
      <c r="E930" s="1">
        <f t="shared" si="14"/>
        <v>0.25806451612903225</v>
      </c>
      <c r="F930">
        <v>94.2</v>
      </c>
      <c r="G930">
        <v>106.6</v>
      </c>
      <c r="H930">
        <v>0.19539999999999999</v>
      </c>
      <c r="I930">
        <v>49.1</v>
      </c>
      <c r="J930">
        <v>51.7</v>
      </c>
      <c r="K930">
        <v>19.899999999999999</v>
      </c>
      <c r="L930">
        <v>17.399999999999999</v>
      </c>
      <c r="M930">
        <v>15.9</v>
      </c>
      <c r="N930">
        <v>28.8</v>
      </c>
      <c r="O930">
        <v>39.1</v>
      </c>
      <c r="P930">
        <v>34.4</v>
      </c>
      <c r="Q930">
        <v>47.1</v>
      </c>
      <c r="R930">
        <v>51.6</v>
      </c>
      <c r="S930">
        <v>34.5</v>
      </c>
      <c r="T930">
        <v>34.6</v>
      </c>
      <c r="U930">
        <v>69.900000000000006</v>
      </c>
      <c r="V930">
        <v>-17.600000000000001</v>
      </c>
      <c r="W930" cm="1">
        <f t="array" ref="W930">_xlfn.IFS(OR(X930="N/A",X930="NA"),0,OR(X930="R64",X930="R68"),1,X930="R32",2,X930="S16",3,X930="E8",4,X930="F4",5,X930="2ND",6,X930="Champions",7)</f>
        <v>0</v>
      </c>
      <c r="X930" t="s">
        <v>90</v>
      </c>
      <c r="Y930" t="s">
        <v>90</v>
      </c>
      <c r="Z930">
        <v>2019</v>
      </c>
    </row>
    <row r="931" spans="1:26" x14ac:dyDescent="0.3">
      <c r="A931" t="s">
        <v>294</v>
      </c>
      <c r="B931" t="s">
        <v>77</v>
      </c>
      <c r="C931">
        <v>31</v>
      </c>
      <c r="D931">
        <v>16</v>
      </c>
      <c r="E931" s="1">
        <f t="shared" si="14"/>
        <v>0.5161290322580645</v>
      </c>
      <c r="F931">
        <v>102.1</v>
      </c>
      <c r="G931">
        <v>108.8</v>
      </c>
      <c r="H931">
        <v>0.3266</v>
      </c>
      <c r="I931">
        <v>48.8</v>
      </c>
      <c r="J931">
        <v>48.3</v>
      </c>
      <c r="K931">
        <v>18.3</v>
      </c>
      <c r="L931">
        <v>16.600000000000001</v>
      </c>
      <c r="M931">
        <v>29.5</v>
      </c>
      <c r="N931">
        <v>32</v>
      </c>
      <c r="O931">
        <v>32.799999999999997</v>
      </c>
      <c r="P931">
        <v>35.9</v>
      </c>
      <c r="Q931">
        <v>46.9</v>
      </c>
      <c r="R931">
        <v>48.9</v>
      </c>
      <c r="S931">
        <v>34.6</v>
      </c>
      <c r="T931">
        <v>31.5</v>
      </c>
      <c r="U931">
        <v>63.6</v>
      </c>
      <c r="V931">
        <v>-10.4</v>
      </c>
      <c r="W931" cm="1">
        <f t="array" ref="W931">_xlfn.IFS(OR(X931="N/A",X931="NA"),0,OR(X931="R64",X931="R68"),1,X931="R32",2,X931="S16",3,X931="E8",4,X931="F4",5,X931="2ND",6,X931="Champions",7)</f>
        <v>0</v>
      </c>
      <c r="X931" t="s">
        <v>90</v>
      </c>
      <c r="Y931" t="s">
        <v>90</v>
      </c>
      <c r="Z931">
        <v>2015</v>
      </c>
    </row>
    <row r="932" spans="1:26" x14ac:dyDescent="0.3">
      <c r="A932" t="s">
        <v>295</v>
      </c>
      <c r="B932" t="s">
        <v>77</v>
      </c>
      <c r="C932">
        <v>31</v>
      </c>
      <c r="D932">
        <v>5</v>
      </c>
      <c r="E932" s="1">
        <f t="shared" si="14"/>
        <v>0.16129032258064516</v>
      </c>
      <c r="F932">
        <v>91.3</v>
      </c>
      <c r="G932">
        <v>111.3</v>
      </c>
      <c r="H932">
        <v>9.2600000000000002E-2</v>
      </c>
      <c r="I932">
        <v>44.6</v>
      </c>
      <c r="J932">
        <v>51.4</v>
      </c>
      <c r="K932">
        <v>21.3</v>
      </c>
      <c r="L932">
        <v>15.8</v>
      </c>
      <c r="M932">
        <v>30.9</v>
      </c>
      <c r="N932">
        <v>32.799999999999997</v>
      </c>
      <c r="O932">
        <v>28.6</v>
      </c>
      <c r="P932">
        <v>23.9</v>
      </c>
      <c r="Q932">
        <v>43.2</v>
      </c>
      <c r="R932">
        <v>51.2</v>
      </c>
      <c r="S932">
        <v>32.200000000000003</v>
      </c>
      <c r="T932">
        <v>34.5</v>
      </c>
      <c r="U932">
        <v>63.8</v>
      </c>
      <c r="V932">
        <v>-21.9</v>
      </c>
      <c r="W932" cm="1">
        <f t="array" ref="W932">_xlfn.IFS(OR(X932="N/A",X932="NA"),0,OR(X932="R64",X932="R68"),1,X932="R32",2,X932="S16",3,X932="E8",4,X932="F4",5,X932="2ND",6,X932="Champions",7)</f>
        <v>0</v>
      </c>
      <c r="X932" t="s">
        <v>90</v>
      </c>
      <c r="Y932" t="s">
        <v>90</v>
      </c>
      <c r="Z932">
        <v>2015</v>
      </c>
    </row>
    <row r="933" spans="1:26" x14ac:dyDescent="0.3">
      <c r="A933" t="s">
        <v>296</v>
      </c>
      <c r="B933" t="s">
        <v>77</v>
      </c>
      <c r="C933">
        <v>28</v>
      </c>
      <c r="D933">
        <v>7</v>
      </c>
      <c r="E933" s="1">
        <f t="shared" si="14"/>
        <v>0.25</v>
      </c>
      <c r="F933">
        <v>95</v>
      </c>
      <c r="G933">
        <v>111.4</v>
      </c>
      <c r="H933">
        <v>0.1376</v>
      </c>
      <c r="I933">
        <v>46.5</v>
      </c>
      <c r="J933">
        <v>52.3</v>
      </c>
      <c r="K933">
        <v>18.600000000000001</v>
      </c>
      <c r="L933">
        <v>23.2</v>
      </c>
      <c r="M933">
        <v>27.6</v>
      </c>
      <c r="N933">
        <v>40.4</v>
      </c>
      <c r="O933">
        <v>34.200000000000003</v>
      </c>
      <c r="P933">
        <v>51.8</v>
      </c>
      <c r="Q933">
        <v>45.5</v>
      </c>
      <c r="R933">
        <v>52.5</v>
      </c>
      <c r="S933">
        <v>32.1</v>
      </c>
      <c r="T933">
        <v>34.700000000000003</v>
      </c>
      <c r="U933">
        <v>67.5</v>
      </c>
      <c r="V933">
        <v>-16.399999999999999</v>
      </c>
      <c r="W933" cm="1">
        <f t="array" ref="W933">_xlfn.IFS(OR(X933="N/A",X933="NA"),0,OR(X933="R64",X933="R68"),1,X933="R32",2,X933="S16",3,X933="E8",4,X933="F4",5,X933="2ND",6,X933="Champions",7)</f>
        <v>0</v>
      </c>
      <c r="X933" t="s">
        <v>90</v>
      </c>
      <c r="Y933" t="s">
        <v>90</v>
      </c>
      <c r="Z933">
        <v>2015</v>
      </c>
    </row>
    <row r="934" spans="1:26" x14ac:dyDescent="0.3">
      <c r="A934" t="s">
        <v>297</v>
      </c>
      <c r="B934" t="s">
        <v>77</v>
      </c>
      <c r="C934">
        <v>30</v>
      </c>
      <c r="D934">
        <v>12</v>
      </c>
      <c r="E934" s="1">
        <f t="shared" si="14"/>
        <v>0.4</v>
      </c>
      <c r="F934">
        <v>95.2</v>
      </c>
      <c r="G934">
        <v>104.8</v>
      </c>
      <c r="H934">
        <v>0.25019999999999998</v>
      </c>
      <c r="I934">
        <v>44.9</v>
      </c>
      <c r="J934">
        <v>48.4</v>
      </c>
      <c r="K934">
        <v>19.600000000000001</v>
      </c>
      <c r="L934">
        <v>18.2</v>
      </c>
      <c r="M934">
        <v>31.3</v>
      </c>
      <c r="N934">
        <v>31</v>
      </c>
      <c r="O934">
        <v>39.799999999999997</v>
      </c>
      <c r="P934">
        <v>35.6</v>
      </c>
      <c r="Q934">
        <v>42.8</v>
      </c>
      <c r="R934">
        <v>49.8</v>
      </c>
      <c r="S934">
        <v>32.4</v>
      </c>
      <c r="T934">
        <v>30.4</v>
      </c>
      <c r="U934">
        <v>67.5</v>
      </c>
      <c r="V934">
        <v>-13.7</v>
      </c>
      <c r="W934" cm="1">
        <f t="array" ref="W934">_xlfn.IFS(OR(X934="N/A",X934="NA"),0,OR(X934="R64",X934="R68"),1,X934="R32",2,X934="S16",3,X934="E8",4,X934="F4",5,X934="2ND",6,X934="Champions",7)</f>
        <v>0</v>
      </c>
      <c r="X934" t="s">
        <v>90</v>
      </c>
      <c r="Y934" t="s">
        <v>90</v>
      </c>
      <c r="Z934">
        <v>2015</v>
      </c>
    </row>
    <row r="935" spans="1:26" x14ac:dyDescent="0.3">
      <c r="A935" t="s">
        <v>298</v>
      </c>
      <c r="B935" t="s">
        <v>77</v>
      </c>
      <c r="C935">
        <v>30</v>
      </c>
      <c r="D935">
        <v>15</v>
      </c>
      <c r="E935" s="1">
        <f t="shared" si="14"/>
        <v>0.5</v>
      </c>
      <c r="F935">
        <v>96.1</v>
      </c>
      <c r="G935">
        <v>102</v>
      </c>
      <c r="H935">
        <v>0.33450000000000002</v>
      </c>
      <c r="I935">
        <v>47.2</v>
      </c>
      <c r="J935">
        <v>49.6</v>
      </c>
      <c r="K935">
        <v>19</v>
      </c>
      <c r="L935">
        <v>21.3</v>
      </c>
      <c r="M935">
        <v>30.6</v>
      </c>
      <c r="N935">
        <v>32.4</v>
      </c>
      <c r="O935">
        <v>30.4</v>
      </c>
      <c r="P935">
        <v>35.6</v>
      </c>
      <c r="Q935">
        <v>45.5</v>
      </c>
      <c r="R935">
        <v>48.5</v>
      </c>
      <c r="S935">
        <v>33</v>
      </c>
      <c r="T935">
        <v>34.799999999999997</v>
      </c>
      <c r="U935">
        <v>62.8</v>
      </c>
      <c r="V935">
        <v>-9.6</v>
      </c>
      <c r="W935" cm="1">
        <f t="array" ref="W935">_xlfn.IFS(OR(X935="N/A",X935="NA"),0,OR(X935="R64",X935="R68"),1,X935="R32",2,X935="S16",3,X935="E8",4,X935="F4",5,X935="2ND",6,X935="Champions",7)</f>
        <v>0</v>
      </c>
      <c r="X935" t="s">
        <v>90</v>
      </c>
      <c r="Y935" t="s">
        <v>90</v>
      </c>
      <c r="Z935">
        <v>2015</v>
      </c>
    </row>
    <row r="936" spans="1:26" x14ac:dyDescent="0.3">
      <c r="A936" t="s">
        <v>299</v>
      </c>
      <c r="B936" t="s">
        <v>77</v>
      </c>
      <c r="C936">
        <v>31</v>
      </c>
      <c r="D936">
        <v>14</v>
      </c>
      <c r="E936" s="1">
        <f t="shared" si="14"/>
        <v>0.45161290322580644</v>
      </c>
      <c r="F936">
        <v>100.2</v>
      </c>
      <c r="G936">
        <v>108.6</v>
      </c>
      <c r="H936">
        <v>0.28370000000000001</v>
      </c>
      <c r="I936">
        <v>49.6</v>
      </c>
      <c r="J936">
        <v>49.2</v>
      </c>
      <c r="K936">
        <v>19.399999999999999</v>
      </c>
      <c r="L936">
        <v>18.399999999999999</v>
      </c>
      <c r="M936">
        <v>33.9</v>
      </c>
      <c r="N936">
        <v>32.700000000000003</v>
      </c>
      <c r="O936">
        <v>35.9</v>
      </c>
      <c r="P936">
        <v>33.6</v>
      </c>
      <c r="Q936">
        <v>50.3</v>
      </c>
      <c r="R936">
        <v>47.7</v>
      </c>
      <c r="S936">
        <v>32</v>
      </c>
      <c r="T936">
        <v>34.700000000000003</v>
      </c>
      <c r="U936">
        <v>69.099999999999994</v>
      </c>
      <c r="V936">
        <v>-13.1</v>
      </c>
      <c r="W936" cm="1">
        <f t="array" ref="W936">_xlfn.IFS(OR(X936="N/A",X936="NA"),0,OR(X936="R64",X936="R68"),1,X936="R32",2,X936="S16",3,X936="E8",4,X936="F4",5,X936="2ND",6,X936="Champions",7)</f>
        <v>0</v>
      </c>
      <c r="X936" t="s">
        <v>90</v>
      </c>
      <c r="Y936" t="s">
        <v>90</v>
      </c>
      <c r="Z936">
        <v>2015</v>
      </c>
    </row>
    <row r="937" spans="1:26" x14ac:dyDescent="0.3">
      <c r="A937" t="s">
        <v>300</v>
      </c>
      <c r="B937" t="s">
        <v>77</v>
      </c>
      <c r="C937">
        <v>34</v>
      </c>
      <c r="D937">
        <v>22</v>
      </c>
      <c r="E937" s="1">
        <f t="shared" si="14"/>
        <v>0.6470588235294118</v>
      </c>
      <c r="F937">
        <v>100.2</v>
      </c>
      <c r="G937">
        <v>102.4</v>
      </c>
      <c r="H937">
        <v>0.43959999999999999</v>
      </c>
      <c r="I937">
        <v>46.3</v>
      </c>
      <c r="J937">
        <v>47.4</v>
      </c>
      <c r="K937">
        <v>19.8</v>
      </c>
      <c r="L937">
        <v>20.2</v>
      </c>
      <c r="M937">
        <v>39.6</v>
      </c>
      <c r="N937">
        <v>28.8</v>
      </c>
      <c r="O937">
        <v>40.9</v>
      </c>
      <c r="P937">
        <v>40.200000000000003</v>
      </c>
      <c r="Q937">
        <v>47.5</v>
      </c>
      <c r="R937">
        <v>44.7</v>
      </c>
      <c r="S937">
        <v>29.1</v>
      </c>
      <c r="T937">
        <v>36.700000000000003</v>
      </c>
      <c r="U937">
        <v>65</v>
      </c>
      <c r="V937">
        <v>-7.2</v>
      </c>
      <c r="W937" cm="1">
        <f t="array" ref="W937">_xlfn.IFS(OR(X937="N/A",X937="NA"),0,OR(X937="R64",X937="R68"),1,X937="R32",2,X937="S16",3,X937="E8",4,X937="F4",5,X937="2ND",6,X937="Champions",7)</f>
        <v>0</v>
      </c>
      <c r="X937" t="s">
        <v>90</v>
      </c>
      <c r="Y937" t="s">
        <v>90</v>
      </c>
      <c r="Z937">
        <v>2015</v>
      </c>
    </row>
    <row r="938" spans="1:26" x14ac:dyDescent="0.3">
      <c r="A938" t="s">
        <v>301</v>
      </c>
      <c r="B938" t="s">
        <v>77</v>
      </c>
      <c r="C938">
        <v>31</v>
      </c>
      <c r="D938">
        <v>15</v>
      </c>
      <c r="E938" s="1">
        <f t="shared" si="14"/>
        <v>0.4838709677419355</v>
      </c>
      <c r="F938">
        <v>97.9</v>
      </c>
      <c r="G938">
        <v>101.8</v>
      </c>
      <c r="H938">
        <v>0.38919999999999999</v>
      </c>
      <c r="I938">
        <v>50.1</v>
      </c>
      <c r="J938">
        <v>49.5</v>
      </c>
      <c r="K938">
        <v>19.399999999999999</v>
      </c>
      <c r="L938">
        <v>20.6</v>
      </c>
      <c r="M938">
        <v>25.7</v>
      </c>
      <c r="N938">
        <v>31.4</v>
      </c>
      <c r="O938">
        <v>34.6</v>
      </c>
      <c r="P938">
        <v>30.1</v>
      </c>
      <c r="Q938">
        <v>50.3</v>
      </c>
      <c r="R938">
        <v>50</v>
      </c>
      <c r="S938">
        <v>33.1</v>
      </c>
      <c r="T938">
        <v>32.4</v>
      </c>
      <c r="U938">
        <v>63.1</v>
      </c>
      <c r="V938">
        <v>-10.3</v>
      </c>
      <c r="W938" cm="1">
        <f t="array" ref="W938">_xlfn.IFS(OR(X938="N/A",X938="NA"),0,OR(X938="R64",X938="R68"),1,X938="R32",2,X938="S16",3,X938="E8",4,X938="F4",5,X938="2ND",6,X938="Champions",7)</f>
        <v>0</v>
      </c>
      <c r="X938" t="s">
        <v>90</v>
      </c>
      <c r="Y938" t="s">
        <v>90</v>
      </c>
      <c r="Z938">
        <v>2015</v>
      </c>
    </row>
    <row r="939" spans="1:26" x14ac:dyDescent="0.3">
      <c r="A939" t="s">
        <v>302</v>
      </c>
      <c r="B939" t="s">
        <v>77</v>
      </c>
      <c r="C939">
        <v>29</v>
      </c>
      <c r="D939">
        <v>9</v>
      </c>
      <c r="E939" s="1">
        <f t="shared" si="14"/>
        <v>0.31034482758620691</v>
      </c>
      <c r="F939">
        <v>96.1</v>
      </c>
      <c r="G939">
        <v>110.1</v>
      </c>
      <c r="H939">
        <v>0.17369999999999999</v>
      </c>
      <c r="I939">
        <v>44.6</v>
      </c>
      <c r="J939">
        <v>53.4</v>
      </c>
      <c r="K939">
        <v>20.100000000000001</v>
      </c>
      <c r="L939">
        <v>19.8</v>
      </c>
      <c r="M939">
        <v>37.200000000000003</v>
      </c>
      <c r="N939">
        <v>30.3</v>
      </c>
      <c r="O939">
        <v>33.9</v>
      </c>
      <c r="P939">
        <v>53.3</v>
      </c>
      <c r="Q939">
        <v>44</v>
      </c>
      <c r="R939">
        <v>51.7</v>
      </c>
      <c r="S939">
        <v>30.6</v>
      </c>
      <c r="T939">
        <v>37.700000000000003</v>
      </c>
      <c r="U939">
        <v>67.599999999999994</v>
      </c>
      <c r="V939">
        <v>-15.4</v>
      </c>
      <c r="W939" cm="1">
        <f t="array" ref="W939">_xlfn.IFS(OR(X939="N/A",X939="NA"),0,OR(X939="R64",X939="R68"),1,X939="R32",2,X939="S16",3,X939="E8",4,X939="F4",5,X939="2ND",6,X939="Champions",7)</f>
        <v>0</v>
      </c>
      <c r="X939" t="s">
        <v>90</v>
      </c>
      <c r="Y939" t="s">
        <v>90</v>
      </c>
      <c r="Z939">
        <v>2015</v>
      </c>
    </row>
    <row r="940" spans="1:26" x14ac:dyDescent="0.3">
      <c r="A940" t="s">
        <v>294</v>
      </c>
      <c r="B940" t="s">
        <v>77</v>
      </c>
      <c r="C940">
        <v>30</v>
      </c>
      <c r="D940">
        <v>7</v>
      </c>
      <c r="E940" s="1">
        <f t="shared" si="14"/>
        <v>0.23333333333333334</v>
      </c>
      <c r="F940">
        <v>93.3</v>
      </c>
      <c r="G940">
        <v>113.1</v>
      </c>
      <c r="H940">
        <v>9.8000000000000004E-2</v>
      </c>
      <c r="I940">
        <v>47.3</v>
      </c>
      <c r="J940">
        <v>51.5</v>
      </c>
      <c r="K940">
        <v>19.899999999999999</v>
      </c>
      <c r="L940">
        <v>16</v>
      </c>
      <c r="M940">
        <v>26.2</v>
      </c>
      <c r="N940">
        <v>33.5</v>
      </c>
      <c r="O940">
        <v>26.9</v>
      </c>
      <c r="P940">
        <v>31.6</v>
      </c>
      <c r="Q940">
        <v>46.9</v>
      </c>
      <c r="R940">
        <v>53.1</v>
      </c>
      <c r="S940">
        <v>32</v>
      </c>
      <c r="T940">
        <v>32.700000000000003</v>
      </c>
      <c r="U940">
        <v>68.2</v>
      </c>
      <c r="V940">
        <v>-17.7</v>
      </c>
      <c r="W940" cm="1">
        <f t="array" ref="W940">_xlfn.IFS(OR(X940="N/A",X940="NA"),0,OR(X940="R64",X940="R68"),1,X940="R32",2,X940="S16",3,X940="E8",4,X940="F4",5,X940="2ND",6,X940="Champions",7)</f>
        <v>0</v>
      </c>
      <c r="X940" t="s">
        <v>90</v>
      </c>
      <c r="Y940" t="s">
        <v>90</v>
      </c>
      <c r="Z940">
        <v>2016</v>
      </c>
    </row>
    <row r="941" spans="1:26" x14ac:dyDescent="0.3">
      <c r="A941" t="s">
        <v>295</v>
      </c>
      <c r="B941" t="s">
        <v>77</v>
      </c>
      <c r="C941">
        <v>29</v>
      </c>
      <c r="D941">
        <v>4</v>
      </c>
      <c r="E941" s="1">
        <f t="shared" si="14"/>
        <v>0.13793103448275862</v>
      </c>
      <c r="F941">
        <v>92.5</v>
      </c>
      <c r="G941">
        <v>118</v>
      </c>
      <c r="H941">
        <v>5.7000000000000002E-2</v>
      </c>
      <c r="I941">
        <v>44.8</v>
      </c>
      <c r="J941">
        <v>53.4</v>
      </c>
      <c r="K941">
        <v>19.899999999999999</v>
      </c>
      <c r="L941">
        <v>14.8</v>
      </c>
      <c r="M941">
        <v>29.9</v>
      </c>
      <c r="N941">
        <v>30.2</v>
      </c>
      <c r="O941">
        <v>31.1</v>
      </c>
      <c r="P941">
        <v>30.6</v>
      </c>
      <c r="Q941">
        <v>42.3</v>
      </c>
      <c r="R941">
        <v>53.2</v>
      </c>
      <c r="S941">
        <v>34.200000000000003</v>
      </c>
      <c r="T941">
        <v>35.9</v>
      </c>
      <c r="U941">
        <v>68.400000000000006</v>
      </c>
      <c r="V941">
        <v>-21.9</v>
      </c>
      <c r="W941" cm="1">
        <f t="array" ref="W941">_xlfn.IFS(OR(X941="N/A",X941="NA"),0,OR(X941="R64",X941="R68"),1,X941="R32",2,X941="S16",3,X941="E8",4,X941="F4",5,X941="2ND",6,X941="Champions",7)</f>
        <v>0</v>
      </c>
      <c r="X941" t="s">
        <v>90</v>
      </c>
      <c r="Y941" t="s">
        <v>90</v>
      </c>
      <c r="Z941">
        <v>2016</v>
      </c>
    </row>
    <row r="942" spans="1:26" x14ac:dyDescent="0.3">
      <c r="A942" t="s">
        <v>297</v>
      </c>
      <c r="B942" t="s">
        <v>77</v>
      </c>
      <c r="C942">
        <v>31</v>
      </c>
      <c r="D942">
        <v>16</v>
      </c>
      <c r="E942" s="1">
        <f t="shared" si="14"/>
        <v>0.5161290322580645</v>
      </c>
      <c r="F942">
        <v>100.2</v>
      </c>
      <c r="G942">
        <v>111.3</v>
      </c>
      <c r="H942">
        <v>0.23</v>
      </c>
      <c r="I942">
        <v>47.9</v>
      </c>
      <c r="J942">
        <v>50.9</v>
      </c>
      <c r="K942">
        <v>18.399999999999999</v>
      </c>
      <c r="L942">
        <v>19.7</v>
      </c>
      <c r="M942">
        <v>32.200000000000003</v>
      </c>
      <c r="N942">
        <v>31.1</v>
      </c>
      <c r="O942">
        <v>41.4</v>
      </c>
      <c r="P942">
        <v>38</v>
      </c>
      <c r="Q942">
        <v>49.5</v>
      </c>
      <c r="R942">
        <v>48.8</v>
      </c>
      <c r="S942">
        <v>29.7</v>
      </c>
      <c r="T942">
        <v>37</v>
      </c>
      <c r="U942">
        <v>73</v>
      </c>
      <c r="V942">
        <v>-12.5</v>
      </c>
      <c r="W942" cm="1">
        <f t="array" ref="W942">_xlfn.IFS(OR(X942="N/A",X942="NA"),0,OR(X942="R64",X942="R68"),1,X942="R32",2,X942="S16",3,X942="E8",4,X942="F4",5,X942="2ND",6,X942="Champions",7)</f>
        <v>0</v>
      </c>
      <c r="X942" t="s">
        <v>90</v>
      </c>
      <c r="Y942" t="s">
        <v>90</v>
      </c>
      <c r="Z942">
        <v>2016</v>
      </c>
    </row>
    <row r="943" spans="1:26" x14ac:dyDescent="0.3">
      <c r="A943" t="s">
        <v>298</v>
      </c>
      <c r="B943" t="s">
        <v>77</v>
      </c>
      <c r="C943">
        <v>33</v>
      </c>
      <c r="D943">
        <v>14</v>
      </c>
      <c r="E943" s="1">
        <f t="shared" si="14"/>
        <v>0.42424242424242425</v>
      </c>
      <c r="F943">
        <v>92.1</v>
      </c>
      <c r="G943">
        <v>100.9</v>
      </c>
      <c r="H943">
        <v>0.25790000000000002</v>
      </c>
      <c r="I943">
        <v>45.8</v>
      </c>
      <c r="J943">
        <v>50.2</v>
      </c>
      <c r="K943">
        <v>17.2</v>
      </c>
      <c r="L943">
        <v>24.6</v>
      </c>
      <c r="M943">
        <v>25.3</v>
      </c>
      <c r="N943">
        <v>33.700000000000003</v>
      </c>
      <c r="O943">
        <v>30.6</v>
      </c>
      <c r="P943">
        <v>40.4</v>
      </c>
      <c r="Q943">
        <v>44.8</v>
      </c>
      <c r="R943">
        <v>50.1</v>
      </c>
      <c r="S943">
        <v>31.7</v>
      </c>
      <c r="T943">
        <v>33.700000000000003</v>
      </c>
      <c r="U943">
        <v>69.8</v>
      </c>
      <c r="V943">
        <v>-13.9</v>
      </c>
      <c r="W943" cm="1">
        <f t="array" ref="W943">_xlfn.IFS(OR(X943="N/A",X943="NA"),0,OR(X943="R64",X943="R68"),1,X943="R32",2,X943="S16",3,X943="E8",4,X943="F4",5,X943="2ND",6,X943="Champions",7)</f>
        <v>0</v>
      </c>
      <c r="X943" t="s">
        <v>90</v>
      </c>
      <c r="Y943" t="s">
        <v>90</v>
      </c>
      <c r="Z943">
        <v>2016</v>
      </c>
    </row>
    <row r="944" spans="1:26" x14ac:dyDescent="0.3">
      <c r="A944" t="s">
        <v>303</v>
      </c>
      <c r="B944" t="s">
        <v>77</v>
      </c>
      <c r="C944">
        <v>32</v>
      </c>
      <c r="D944">
        <v>10</v>
      </c>
      <c r="E944" s="1">
        <f t="shared" si="14"/>
        <v>0.3125</v>
      </c>
      <c r="F944">
        <v>90.4</v>
      </c>
      <c r="G944">
        <v>104.9</v>
      </c>
      <c r="H944">
        <v>0.1545</v>
      </c>
      <c r="I944">
        <v>46.6</v>
      </c>
      <c r="J944">
        <v>49.4</v>
      </c>
      <c r="K944">
        <v>20.399999999999999</v>
      </c>
      <c r="L944">
        <v>22</v>
      </c>
      <c r="M944">
        <v>26.1</v>
      </c>
      <c r="N944">
        <v>34.700000000000003</v>
      </c>
      <c r="O944">
        <v>35.5</v>
      </c>
      <c r="P944">
        <v>32.9</v>
      </c>
      <c r="Q944">
        <v>49.6</v>
      </c>
      <c r="R944">
        <v>48.9</v>
      </c>
      <c r="S944">
        <v>27.6</v>
      </c>
      <c r="T944">
        <v>33.5</v>
      </c>
      <c r="U944">
        <v>69.099999999999994</v>
      </c>
      <c r="V944">
        <v>-17.3</v>
      </c>
      <c r="W944" cm="1">
        <f t="array" ref="W944">_xlfn.IFS(OR(X944="N/A",X944="NA"),0,OR(X944="R64",X944="R68"),1,X944="R32",2,X944="S16",3,X944="E8",4,X944="F4",5,X944="2ND",6,X944="Champions",7)</f>
        <v>0</v>
      </c>
      <c r="X944" t="s">
        <v>90</v>
      </c>
      <c r="Y944" t="s">
        <v>90</v>
      </c>
      <c r="Z944">
        <v>2016</v>
      </c>
    </row>
    <row r="945" spans="1:26" x14ac:dyDescent="0.3">
      <c r="A945" t="s">
        <v>299</v>
      </c>
      <c r="B945" t="s">
        <v>77</v>
      </c>
      <c r="C945">
        <v>30</v>
      </c>
      <c r="D945">
        <v>12</v>
      </c>
      <c r="E945" s="1">
        <f t="shared" si="14"/>
        <v>0.4</v>
      </c>
      <c r="F945">
        <v>98</v>
      </c>
      <c r="G945">
        <v>112.1</v>
      </c>
      <c r="H945">
        <v>0.1772</v>
      </c>
      <c r="I945">
        <v>48.4</v>
      </c>
      <c r="J945">
        <v>51.1</v>
      </c>
      <c r="K945">
        <v>20.2</v>
      </c>
      <c r="L945">
        <v>18</v>
      </c>
      <c r="M945">
        <v>33.4</v>
      </c>
      <c r="N945">
        <v>32.4</v>
      </c>
      <c r="O945">
        <v>38.700000000000003</v>
      </c>
      <c r="P945">
        <v>39.4</v>
      </c>
      <c r="Q945">
        <v>49.2</v>
      </c>
      <c r="R945">
        <v>49.6</v>
      </c>
      <c r="S945">
        <v>31.1</v>
      </c>
      <c r="T945">
        <v>35.9</v>
      </c>
      <c r="U945">
        <v>72.2</v>
      </c>
      <c r="V945">
        <v>-13.8</v>
      </c>
      <c r="W945" cm="1">
        <f t="array" ref="W945">_xlfn.IFS(OR(X945="N/A",X945="NA"),0,OR(X945="R64",X945="R68"),1,X945="R32",2,X945="S16",3,X945="E8",4,X945="F4",5,X945="2ND",6,X945="Champions",7)</f>
        <v>0</v>
      </c>
      <c r="X945" t="s">
        <v>90</v>
      </c>
      <c r="Y945" t="s">
        <v>90</v>
      </c>
      <c r="Z945">
        <v>2016</v>
      </c>
    </row>
    <row r="946" spans="1:26" x14ac:dyDescent="0.3">
      <c r="A946" t="s">
        <v>300</v>
      </c>
      <c r="B946" t="s">
        <v>77</v>
      </c>
      <c r="C946">
        <v>31</v>
      </c>
      <c r="D946">
        <v>14</v>
      </c>
      <c r="E946" s="1">
        <f t="shared" si="14"/>
        <v>0.45161290322580644</v>
      </c>
      <c r="F946">
        <v>92.3</v>
      </c>
      <c r="G946">
        <v>104.9</v>
      </c>
      <c r="H946">
        <v>0.18590000000000001</v>
      </c>
      <c r="I946">
        <v>45.9</v>
      </c>
      <c r="J946">
        <v>46.6</v>
      </c>
      <c r="K946">
        <v>20.399999999999999</v>
      </c>
      <c r="L946">
        <v>18.600000000000001</v>
      </c>
      <c r="M946">
        <v>32.200000000000003</v>
      </c>
      <c r="N946">
        <v>30.2</v>
      </c>
      <c r="O946">
        <v>36.1</v>
      </c>
      <c r="P946">
        <v>34.9</v>
      </c>
      <c r="Q946">
        <v>46.2</v>
      </c>
      <c r="R946">
        <v>45.6</v>
      </c>
      <c r="S946">
        <v>30.3</v>
      </c>
      <c r="T946">
        <v>33.1</v>
      </c>
      <c r="U946">
        <v>66.400000000000006</v>
      </c>
      <c r="V946">
        <v>-13.7</v>
      </c>
      <c r="W946" cm="1">
        <f t="array" ref="W946">_xlfn.IFS(OR(X946="N/A",X946="NA"),0,OR(X946="R64",X946="R68"),1,X946="R32",2,X946="S16",3,X946="E8",4,X946="F4",5,X946="2ND",6,X946="Champions",7)</f>
        <v>0</v>
      </c>
      <c r="X946" t="s">
        <v>90</v>
      </c>
      <c r="Y946" t="s">
        <v>90</v>
      </c>
      <c r="Z946">
        <v>2016</v>
      </c>
    </row>
    <row r="947" spans="1:26" x14ac:dyDescent="0.3">
      <c r="A947" t="s">
        <v>301</v>
      </c>
      <c r="B947" t="s">
        <v>77</v>
      </c>
      <c r="C947">
        <v>29</v>
      </c>
      <c r="D947">
        <v>12</v>
      </c>
      <c r="E947" s="1">
        <f t="shared" si="14"/>
        <v>0.41379310344827586</v>
      </c>
      <c r="F947">
        <v>99.6</v>
      </c>
      <c r="G947">
        <v>113.2</v>
      </c>
      <c r="H947">
        <v>0.1867</v>
      </c>
      <c r="I947">
        <v>48.3</v>
      </c>
      <c r="J947">
        <v>50.8</v>
      </c>
      <c r="K947">
        <v>18.5</v>
      </c>
      <c r="L947">
        <v>16.399999999999999</v>
      </c>
      <c r="M947">
        <v>31.5</v>
      </c>
      <c r="N947">
        <v>30.8</v>
      </c>
      <c r="O947">
        <v>38.5</v>
      </c>
      <c r="P947">
        <v>29.9</v>
      </c>
      <c r="Q947">
        <v>45.3</v>
      </c>
      <c r="R947">
        <v>52.3</v>
      </c>
      <c r="S947">
        <v>35.799999999999997</v>
      </c>
      <c r="T947">
        <v>32.1</v>
      </c>
      <c r="U947">
        <v>67</v>
      </c>
      <c r="V947">
        <v>-13.5</v>
      </c>
      <c r="W947" cm="1">
        <f t="array" ref="W947">_xlfn.IFS(OR(X947="N/A",X947="NA"),0,OR(X947="R64",X947="R68"),1,X947="R32",2,X947="S16",3,X947="E8",4,X947="F4",5,X947="2ND",6,X947="Champions",7)</f>
        <v>0</v>
      </c>
      <c r="X947" t="s">
        <v>90</v>
      </c>
      <c r="Y947" t="s">
        <v>90</v>
      </c>
      <c r="Z947">
        <v>2016</v>
      </c>
    </row>
    <row r="948" spans="1:26" x14ac:dyDescent="0.3">
      <c r="A948" t="s">
        <v>302</v>
      </c>
      <c r="B948" t="s">
        <v>77</v>
      </c>
      <c r="C948">
        <v>33</v>
      </c>
      <c r="D948">
        <v>22</v>
      </c>
      <c r="E948" s="1">
        <f t="shared" si="14"/>
        <v>0.66666666666666663</v>
      </c>
      <c r="F948">
        <v>99.6</v>
      </c>
      <c r="G948">
        <v>101.4</v>
      </c>
      <c r="H948">
        <v>0.44900000000000001</v>
      </c>
      <c r="I948">
        <v>47.6</v>
      </c>
      <c r="J948">
        <v>46.8</v>
      </c>
      <c r="K948">
        <v>19.600000000000001</v>
      </c>
      <c r="L948">
        <v>20.7</v>
      </c>
      <c r="M948">
        <v>36.9</v>
      </c>
      <c r="N948">
        <v>27.5</v>
      </c>
      <c r="O948">
        <v>32.6</v>
      </c>
      <c r="P948">
        <v>44.3</v>
      </c>
      <c r="Q948">
        <v>46.4</v>
      </c>
      <c r="R948">
        <v>45.6</v>
      </c>
      <c r="S948">
        <v>33.6</v>
      </c>
      <c r="T948">
        <v>32.700000000000003</v>
      </c>
      <c r="U948">
        <v>66.7</v>
      </c>
      <c r="V948">
        <v>-7</v>
      </c>
      <c r="W948" cm="1">
        <f t="array" ref="W948">_xlfn.IFS(OR(X948="N/A",X948="NA"),0,OR(X948="R64",X948="R68"),1,X948="R32",2,X948="S16",3,X948="E8",4,X948="F4",5,X948="2ND",6,X948="Champions",7)</f>
        <v>0</v>
      </c>
      <c r="X948" t="s">
        <v>90</v>
      </c>
      <c r="Y948" t="s">
        <v>90</v>
      </c>
      <c r="Z948">
        <v>2016</v>
      </c>
    </row>
    <row r="949" spans="1:26" x14ac:dyDescent="0.3">
      <c r="A949" t="s">
        <v>294</v>
      </c>
      <c r="B949" t="s">
        <v>77</v>
      </c>
      <c r="C949">
        <v>31</v>
      </c>
      <c r="D949">
        <v>12</v>
      </c>
      <c r="E949" s="1">
        <f t="shared" si="14"/>
        <v>0.38709677419354838</v>
      </c>
      <c r="F949">
        <v>100.1</v>
      </c>
      <c r="G949">
        <v>111.6</v>
      </c>
      <c r="H949">
        <v>0.2223</v>
      </c>
      <c r="I949">
        <v>49.7</v>
      </c>
      <c r="J949">
        <v>51.5</v>
      </c>
      <c r="K949">
        <v>18.8</v>
      </c>
      <c r="L949">
        <v>17.600000000000001</v>
      </c>
      <c r="M949">
        <v>29.2</v>
      </c>
      <c r="N949">
        <v>30.6</v>
      </c>
      <c r="O949">
        <v>32.799999999999997</v>
      </c>
      <c r="P949">
        <v>37.4</v>
      </c>
      <c r="Q949">
        <v>49.2</v>
      </c>
      <c r="R949">
        <v>52.1</v>
      </c>
      <c r="S949">
        <v>33.700000000000003</v>
      </c>
      <c r="T949">
        <v>33.6</v>
      </c>
      <c r="U949">
        <v>70.5</v>
      </c>
      <c r="V949">
        <v>-14.7</v>
      </c>
      <c r="W949" cm="1">
        <f t="array" ref="W949">_xlfn.IFS(OR(X949="N/A",X949="NA"),0,OR(X949="R64",X949="R68"),1,X949="R32",2,X949="S16",3,X949="E8",4,X949="F4",5,X949="2ND",6,X949="Champions",7)</f>
        <v>0</v>
      </c>
      <c r="X949" t="s">
        <v>90</v>
      </c>
      <c r="Y949" t="s">
        <v>90</v>
      </c>
      <c r="Z949">
        <v>2017</v>
      </c>
    </row>
    <row r="950" spans="1:26" x14ac:dyDescent="0.3">
      <c r="A950" t="s">
        <v>295</v>
      </c>
      <c r="B950" t="s">
        <v>77</v>
      </c>
      <c r="C950">
        <v>29</v>
      </c>
      <c r="D950">
        <v>6</v>
      </c>
      <c r="E950" s="1">
        <f t="shared" si="14"/>
        <v>0.20689655172413793</v>
      </c>
      <c r="F950">
        <v>92.5</v>
      </c>
      <c r="G950">
        <v>113.3</v>
      </c>
      <c r="H950">
        <v>8.8999999999999996E-2</v>
      </c>
      <c r="I950">
        <v>46.7</v>
      </c>
      <c r="J950">
        <v>54</v>
      </c>
      <c r="K950">
        <v>21.2</v>
      </c>
      <c r="L950">
        <v>20.2</v>
      </c>
      <c r="M950">
        <v>31.5</v>
      </c>
      <c r="N950">
        <v>32.5</v>
      </c>
      <c r="O950">
        <v>33.299999999999997</v>
      </c>
      <c r="P950">
        <v>34.6</v>
      </c>
      <c r="Q950">
        <v>44.6</v>
      </c>
      <c r="R950">
        <v>52.2</v>
      </c>
      <c r="S950">
        <v>35.1</v>
      </c>
      <c r="T950">
        <v>38</v>
      </c>
      <c r="U950">
        <v>66.5</v>
      </c>
      <c r="V950">
        <v>-19.600000000000001</v>
      </c>
      <c r="W950" cm="1">
        <f t="array" ref="W950">_xlfn.IFS(OR(X950="N/A",X950="NA"),0,OR(X950="R64",X950="R68"),1,X950="R32",2,X950="S16",3,X950="E8",4,X950="F4",5,X950="2ND",6,X950="Champions",7)</f>
        <v>0</v>
      </c>
      <c r="X950" t="s">
        <v>90</v>
      </c>
      <c r="Y950" t="s">
        <v>90</v>
      </c>
      <c r="Z950">
        <v>2017</v>
      </c>
    </row>
    <row r="951" spans="1:26" x14ac:dyDescent="0.3">
      <c r="A951" t="s">
        <v>296</v>
      </c>
      <c r="B951" t="s">
        <v>77</v>
      </c>
      <c r="C951">
        <v>29</v>
      </c>
      <c r="D951">
        <v>11</v>
      </c>
      <c r="E951" s="1">
        <f t="shared" si="14"/>
        <v>0.37931034482758619</v>
      </c>
      <c r="F951">
        <v>101.3</v>
      </c>
      <c r="G951">
        <v>111</v>
      </c>
      <c r="H951">
        <v>0.25840000000000002</v>
      </c>
      <c r="I951">
        <v>49.5</v>
      </c>
      <c r="J951">
        <v>51.8</v>
      </c>
      <c r="K951">
        <v>18.899999999999999</v>
      </c>
      <c r="L951">
        <v>19.399999999999999</v>
      </c>
      <c r="M951">
        <v>27.4</v>
      </c>
      <c r="N951">
        <v>34.200000000000003</v>
      </c>
      <c r="O951">
        <v>36.1</v>
      </c>
      <c r="P951">
        <v>44</v>
      </c>
      <c r="Q951">
        <v>49.8</v>
      </c>
      <c r="R951">
        <v>51.9</v>
      </c>
      <c r="S951">
        <v>32.700000000000003</v>
      </c>
      <c r="T951">
        <v>34.4</v>
      </c>
      <c r="U951">
        <v>70.599999999999994</v>
      </c>
      <c r="V951">
        <v>-13.9</v>
      </c>
      <c r="W951" cm="1">
        <f t="array" ref="W951">_xlfn.IFS(OR(X951="N/A",X951="NA"),0,OR(X951="R64",X951="R68"),1,X951="R32",2,X951="S16",3,X951="E8",4,X951="F4",5,X951="2ND",6,X951="Champions",7)</f>
        <v>0</v>
      </c>
      <c r="X951" t="s">
        <v>90</v>
      </c>
      <c r="Y951" t="s">
        <v>90</v>
      </c>
      <c r="Z951">
        <v>2017</v>
      </c>
    </row>
    <row r="952" spans="1:26" x14ac:dyDescent="0.3">
      <c r="A952" t="s">
        <v>297</v>
      </c>
      <c r="B952" t="s">
        <v>77</v>
      </c>
      <c r="C952">
        <v>31</v>
      </c>
      <c r="D952">
        <v>20</v>
      </c>
      <c r="E952" s="1">
        <f t="shared" si="14"/>
        <v>0.64516129032258063</v>
      </c>
      <c r="F952">
        <v>99.3</v>
      </c>
      <c r="G952">
        <v>106.7</v>
      </c>
      <c r="H952">
        <v>0.30270000000000002</v>
      </c>
      <c r="I952">
        <v>48.5</v>
      </c>
      <c r="J952">
        <v>49.5</v>
      </c>
      <c r="K952">
        <v>20.9</v>
      </c>
      <c r="L952">
        <v>19.5</v>
      </c>
      <c r="M952">
        <v>36.4</v>
      </c>
      <c r="N952">
        <v>28.9</v>
      </c>
      <c r="O952">
        <v>38.799999999999997</v>
      </c>
      <c r="P952">
        <v>37.1</v>
      </c>
      <c r="Q952">
        <v>47</v>
      </c>
      <c r="R952">
        <v>47.6</v>
      </c>
      <c r="S952">
        <v>34.799999999999997</v>
      </c>
      <c r="T952">
        <v>35.4</v>
      </c>
      <c r="U952">
        <v>68.3</v>
      </c>
      <c r="V952">
        <v>-8.6999999999999993</v>
      </c>
      <c r="W952" cm="1">
        <f t="array" ref="W952">_xlfn.IFS(OR(X952="N/A",X952="NA"),0,OR(X952="R64",X952="R68"),1,X952="R32",2,X952="S16",3,X952="E8",4,X952="F4",5,X952="2ND",6,X952="Champions",7)</f>
        <v>0</v>
      </c>
      <c r="X952" t="s">
        <v>90</v>
      </c>
      <c r="Y952" t="s">
        <v>90</v>
      </c>
      <c r="Z952">
        <v>2017</v>
      </c>
    </row>
    <row r="953" spans="1:26" x14ac:dyDescent="0.3">
      <c r="A953" t="s">
        <v>303</v>
      </c>
      <c r="B953" t="s">
        <v>77</v>
      </c>
      <c r="C953">
        <v>33</v>
      </c>
      <c r="D953">
        <v>14</v>
      </c>
      <c r="E953" s="1">
        <f t="shared" si="14"/>
        <v>0.42424242424242425</v>
      </c>
      <c r="F953">
        <v>91.5</v>
      </c>
      <c r="G953">
        <v>99</v>
      </c>
      <c r="H953">
        <v>0.28789999999999999</v>
      </c>
      <c r="I953">
        <v>45.1</v>
      </c>
      <c r="J953">
        <v>48.4</v>
      </c>
      <c r="K953">
        <v>21.5</v>
      </c>
      <c r="L953">
        <v>23.7</v>
      </c>
      <c r="M953">
        <v>29.3</v>
      </c>
      <c r="N953">
        <v>31.3</v>
      </c>
      <c r="O953">
        <v>41.3</v>
      </c>
      <c r="P953">
        <v>42.5</v>
      </c>
      <c r="Q953">
        <v>43.8</v>
      </c>
      <c r="R953">
        <v>50</v>
      </c>
      <c r="S953">
        <v>31.9</v>
      </c>
      <c r="T953">
        <v>29.8</v>
      </c>
      <c r="U953">
        <v>70.2</v>
      </c>
      <c r="V953">
        <v>-13.5</v>
      </c>
      <c r="W953" cm="1">
        <f t="array" ref="W953">_xlfn.IFS(OR(X953="N/A",X953="NA"),0,OR(X953="R64",X953="R68"),1,X953="R32",2,X953="S16",3,X953="E8",4,X953="F4",5,X953="2ND",6,X953="Champions",7)</f>
        <v>0</v>
      </c>
      <c r="X953" t="s">
        <v>90</v>
      </c>
      <c r="Y953" t="s">
        <v>90</v>
      </c>
      <c r="Z953">
        <v>2017</v>
      </c>
    </row>
    <row r="954" spans="1:26" x14ac:dyDescent="0.3">
      <c r="A954" t="s">
        <v>299</v>
      </c>
      <c r="B954" t="s">
        <v>77</v>
      </c>
      <c r="C954">
        <v>32</v>
      </c>
      <c r="D954">
        <v>13</v>
      </c>
      <c r="E954" s="1">
        <f t="shared" si="14"/>
        <v>0.40625</v>
      </c>
      <c r="F954">
        <v>97.2</v>
      </c>
      <c r="G954">
        <v>108.4</v>
      </c>
      <c r="H954">
        <v>0.22209999999999999</v>
      </c>
      <c r="I954">
        <v>49.5</v>
      </c>
      <c r="J954">
        <v>52.8</v>
      </c>
      <c r="K954">
        <v>22</v>
      </c>
      <c r="L954">
        <v>19.5</v>
      </c>
      <c r="M954">
        <v>30.9</v>
      </c>
      <c r="N954">
        <v>27.1</v>
      </c>
      <c r="O954">
        <v>35</v>
      </c>
      <c r="P954">
        <v>33.299999999999997</v>
      </c>
      <c r="Q954">
        <v>49.2</v>
      </c>
      <c r="R954">
        <v>50.5</v>
      </c>
      <c r="S954">
        <v>33.5</v>
      </c>
      <c r="T954">
        <v>37.9</v>
      </c>
      <c r="U954">
        <v>72.7</v>
      </c>
      <c r="V954">
        <v>-15.1</v>
      </c>
      <c r="W954" cm="1">
        <f t="array" ref="W954">_xlfn.IFS(OR(X954="N/A",X954="NA"),0,OR(X954="R64",X954="R68"),1,X954="R32",2,X954="S16",3,X954="E8",4,X954="F4",5,X954="2ND",6,X954="Champions",7)</f>
        <v>0</v>
      </c>
      <c r="X954" t="s">
        <v>90</v>
      </c>
      <c r="Y954" t="s">
        <v>90</v>
      </c>
      <c r="Z954">
        <v>2017</v>
      </c>
    </row>
    <row r="955" spans="1:26" x14ac:dyDescent="0.3">
      <c r="A955" t="s">
        <v>300</v>
      </c>
      <c r="B955" t="s">
        <v>77</v>
      </c>
      <c r="C955">
        <v>30</v>
      </c>
      <c r="D955">
        <v>4</v>
      </c>
      <c r="E955" s="1">
        <f t="shared" si="14"/>
        <v>0.13333333333333333</v>
      </c>
      <c r="F955">
        <v>86.7</v>
      </c>
      <c r="G955">
        <v>111.6</v>
      </c>
      <c r="H955">
        <v>5.1900000000000002E-2</v>
      </c>
      <c r="I955">
        <v>41</v>
      </c>
      <c r="J955">
        <v>52.7</v>
      </c>
      <c r="K955">
        <v>17.399999999999999</v>
      </c>
      <c r="L955">
        <v>20</v>
      </c>
      <c r="M955">
        <v>27.9</v>
      </c>
      <c r="N955">
        <v>33.4</v>
      </c>
      <c r="O955">
        <v>31.8</v>
      </c>
      <c r="P955">
        <v>46.9</v>
      </c>
      <c r="Q955">
        <v>40.1</v>
      </c>
      <c r="R955">
        <v>52.2</v>
      </c>
      <c r="S955">
        <v>28.2</v>
      </c>
      <c r="T955">
        <v>36</v>
      </c>
      <c r="U955">
        <v>68.5</v>
      </c>
      <c r="V955">
        <v>-22.5</v>
      </c>
      <c r="W955" cm="1">
        <f t="array" ref="W955">_xlfn.IFS(OR(X955="N/A",X955="NA"),0,OR(X955="R64",X955="R68"),1,X955="R32",2,X955="S16",3,X955="E8",4,X955="F4",5,X955="2ND",6,X955="Champions",7)</f>
        <v>0</v>
      </c>
      <c r="X955" t="s">
        <v>90</v>
      </c>
      <c r="Y955" t="s">
        <v>90</v>
      </c>
      <c r="Z955">
        <v>2017</v>
      </c>
    </row>
    <row r="956" spans="1:26" x14ac:dyDescent="0.3">
      <c r="A956" t="s">
        <v>301</v>
      </c>
      <c r="B956" t="s">
        <v>77</v>
      </c>
      <c r="C956">
        <v>33</v>
      </c>
      <c r="D956">
        <v>17</v>
      </c>
      <c r="E956" s="1">
        <f t="shared" si="14"/>
        <v>0.51515151515151514</v>
      </c>
      <c r="F956">
        <v>101.5</v>
      </c>
      <c r="G956">
        <v>109.1</v>
      </c>
      <c r="H956">
        <v>0.30270000000000002</v>
      </c>
      <c r="I956">
        <v>52.8</v>
      </c>
      <c r="J956">
        <v>50.4</v>
      </c>
      <c r="K956">
        <v>20.7</v>
      </c>
      <c r="L956">
        <v>18.7</v>
      </c>
      <c r="M956">
        <v>29.7</v>
      </c>
      <c r="N956">
        <v>32.4</v>
      </c>
      <c r="O956">
        <v>29.6</v>
      </c>
      <c r="P956">
        <v>23.9</v>
      </c>
      <c r="Q956">
        <v>50.4</v>
      </c>
      <c r="R956">
        <v>47.3</v>
      </c>
      <c r="S956">
        <v>38.1</v>
      </c>
      <c r="T956">
        <v>36.9</v>
      </c>
      <c r="U956">
        <v>71.400000000000006</v>
      </c>
      <c r="V956">
        <v>-11.9</v>
      </c>
      <c r="W956" cm="1">
        <f t="array" ref="W956">_xlfn.IFS(OR(X956="N/A",X956="NA"),0,OR(X956="R64",X956="R68"),1,X956="R32",2,X956="S16",3,X956="E8",4,X956="F4",5,X956="2ND",6,X956="Champions",7)</f>
        <v>0</v>
      </c>
      <c r="X956" t="s">
        <v>90</v>
      </c>
      <c r="Y956" t="s">
        <v>90</v>
      </c>
      <c r="Z956">
        <v>2017</v>
      </c>
    </row>
    <row r="957" spans="1:26" x14ac:dyDescent="0.3">
      <c r="A957" t="s">
        <v>302</v>
      </c>
      <c r="B957" t="s">
        <v>77</v>
      </c>
      <c r="C957">
        <v>29</v>
      </c>
      <c r="D957">
        <v>16</v>
      </c>
      <c r="E957" s="1">
        <f t="shared" si="14"/>
        <v>0.55172413793103448</v>
      </c>
      <c r="F957">
        <v>99.8</v>
      </c>
      <c r="G957">
        <v>107.6</v>
      </c>
      <c r="H957">
        <v>0.29549999999999998</v>
      </c>
      <c r="I957">
        <v>47.6</v>
      </c>
      <c r="J957">
        <v>47.6</v>
      </c>
      <c r="K957">
        <v>21.4</v>
      </c>
      <c r="L957">
        <v>18.5</v>
      </c>
      <c r="M957">
        <v>40.1</v>
      </c>
      <c r="N957">
        <v>30.9</v>
      </c>
      <c r="O957">
        <v>34.700000000000003</v>
      </c>
      <c r="P957">
        <v>38.9</v>
      </c>
      <c r="Q957">
        <v>47.1</v>
      </c>
      <c r="R957">
        <v>46</v>
      </c>
      <c r="S957">
        <v>32.5</v>
      </c>
      <c r="T957">
        <v>33.5</v>
      </c>
      <c r="U957">
        <v>64.400000000000006</v>
      </c>
      <c r="V957">
        <v>-10.7</v>
      </c>
      <c r="W957" cm="1">
        <f t="array" ref="W957">_xlfn.IFS(OR(X957="N/A",X957="NA"),0,OR(X957="R64",X957="R68"),1,X957="R32",2,X957="S16",3,X957="E8",4,X957="F4",5,X957="2ND",6,X957="Champions",7)</f>
        <v>0</v>
      </c>
      <c r="X957" t="s">
        <v>90</v>
      </c>
      <c r="Y957" t="s">
        <v>90</v>
      </c>
      <c r="Z957">
        <v>2017</v>
      </c>
    </row>
    <row r="958" spans="1:26" x14ac:dyDescent="0.3">
      <c r="A958" t="s">
        <v>294</v>
      </c>
      <c r="B958" t="s">
        <v>77</v>
      </c>
      <c r="C958">
        <v>31</v>
      </c>
      <c r="D958">
        <v>3</v>
      </c>
      <c r="E958" s="1">
        <f t="shared" si="14"/>
        <v>9.6774193548387094E-2</v>
      </c>
      <c r="F958">
        <v>98.3</v>
      </c>
      <c r="G958">
        <v>119.8</v>
      </c>
      <c r="H958">
        <v>9.3600000000000003E-2</v>
      </c>
      <c r="I958">
        <v>47.9</v>
      </c>
      <c r="J958">
        <v>57.6</v>
      </c>
      <c r="K958">
        <v>18.2</v>
      </c>
      <c r="L958">
        <v>17.899999999999999</v>
      </c>
      <c r="M958">
        <v>26.2</v>
      </c>
      <c r="N958">
        <v>34.1</v>
      </c>
      <c r="O958">
        <v>27.8</v>
      </c>
      <c r="P958">
        <v>33</v>
      </c>
      <c r="Q958">
        <v>45.5</v>
      </c>
      <c r="R958">
        <v>55.4</v>
      </c>
      <c r="S958">
        <v>34.4</v>
      </c>
      <c r="T958">
        <v>40.5</v>
      </c>
      <c r="U958">
        <v>71.3</v>
      </c>
      <c r="V958">
        <v>-23</v>
      </c>
      <c r="W958" cm="1">
        <f t="array" ref="W958">_xlfn.IFS(OR(X958="N/A",X958="NA"),0,OR(X958="R64",X958="R68"),1,X958="R32",2,X958="S16",3,X958="E8",4,X958="F4",5,X958="2ND",6,X958="Champions",7)</f>
        <v>0</v>
      </c>
      <c r="X958" t="s">
        <v>90</v>
      </c>
      <c r="Y958" t="s">
        <v>90</v>
      </c>
      <c r="Z958">
        <v>2018</v>
      </c>
    </row>
    <row r="959" spans="1:26" x14ac:dyDescent="0.3">
      <c r="A959" t="s">
        <v>295</v>
      </c>
      <c r="B959" t="s">
        <v>77</v>
      </c>
      <c r="C959">
        <v>32</v>
      </c>
      <c r="D959">
        <v>14</v>
      </c>
      <c r="E959" s="1">
        <f t="shared" si="14"/>
        <v>0.4375</v>
      </c>
      <c r="F959">
        <v>97</v>
      </c>
      <c r="G959">
        <v>109.9</v>
      </c>
      <c r="H959">
        <v>0.19259999999999999</v>
      </c>
      <c r="I959">
        <v>51</v>
      </c>
      <c r="J959">
        <v>51.2</v>
      </c>
      <c r="K959">
        <v>21.8</v>
      </c>
      <c r="L959">
        <v>16.600000000000001</v>
      </c>
      <c r="M959">
        <v>31.1</v>
      </c>
      <c r="N959">
        <v>28.3</v>
      </c>
      <c r="O959">
        <v>32.6</v>
      </c>
      <c r="P959">
        <v>30.1</v>
      </c>
      <c r="Q959">
        <v>51.8</v>
      </c>
      <c r="R959">
        <v>48.9</v>
      </c>
      <c r="S959">
        <v>32.9</v>
      </c>
      <c r="T959">
        <v>36.4</v>
      </c>
      <c r="U959">
        <v>65.900000000000006</v>
      </c>
      <c r="V959">
        <v>-13.8</v>
      </c>
      <c r="W959" cm="1">
        <f t="array" ref="W959">_xlfn.IFS(OR(X959="N/A",X959="NA"),0,OR(X959="R64",X959="R68"),1,X959="R32",2,X959="S16",3,X959="E8",4,X959="F4",5,X959="2ND",6,X959="Champions",7)</f>
        <v>0</v>
      </c>
      <c r="X959" t="s">
        <v>90</v>
      </c>
      <c r="Y959" t="s">
        <v>90</v>
      </c>
      <c r="Z959">
        <v>2018</v>
      </c>
    </row>
    <row r="960" spans="1:26" x14ac:dyDescent="0.3">
      <c r="A960" t="s">
        <v>296</v>
      </c>
      <c r="B960" t="s">
        <v>77</v>
      </c>
      <c r="C960">
        <v>29</v>
      </c>
      <c r="D960">
        <v>13</v>
      </c>
      <c r="E960" s="1">
        <f t="shared" si="14"/>
        <v>0.44827586206896552</v>
      </c>
      <c r="F960">
        <v>101.7</v>
      </c>
      <c r="G960">
        <v>112.7</v>
      </c>
      <c r="H960">
        <v>0.2334</v>
      </c>
      <c r="I960">
        <v>49.8</v>
      </c>
      <c r="J960">
        <v>51.6</v>
      </c>
      <c r="K960">
        <v>19.2</v>
      </c>
      <c r="L960">
        <v>19.3</v>
      </c>
      <c r="M960">
        <v>30.3</v>
      </c>
      <c r="N960">
        <v>35</v>
      </c>
      <c r="O960">
        <v>30.8</v>
      </c>
      <c r="P960">
        <v>35.9</v>
      </c>
      <c r="Q960">
        <v>49.3</v>
      </c>
      <c r="R960">
        <v>50.1</v>
      </c>
      <c r="S960">
        <v>33.9</v>
      </c>
      <c r="T960">
        <v>36</v>
      </c>
      <c r="U960">
        <v>71.7</v>
      </c>
      <c r="V960">
        <v>-13.1</v>
      </c>
      <c r="W960" cm="1">
        <f t="array" ref="W960">_xlfn.IFS(OR(X960="N/A",X960="NA"),0,OR(X960="R64",X960="R68"),1,X960="R32",2,X960="S16",3,X960="E8",4,X960="F4",5,X960="2ND",6,X960="Champions",7)</f>
        <v>0</v>
      </c>
      <c r="X960" t="s">
        <v>90</v>
      </c>
      <c r="Y960" t="s">
        <v>90</v>
      </c>
      <c r="Z960">
        <v>2018</v>
      </c>
    </row>
    <row r="961" spans="1:26" x14ac:dyDescent="0.3">
      <c r="A961" t="s">
        <v>298</v>
      </c>
      <c r="B961" t="s">
        <v>77</v>
      </c>
      <c r="C961">
        <v>30</v>
      </c>
      <c r="D961">
        <v>18</v>
      </c>
      <c r="E961" s="1">
        <f t="shared" si="14"/>
        <v>0.6</v>
      </c>
      <c r="F961">
        <v>102.8</v>
      </c>
      <c r="G961">
        <v>109.5</v>
      </c>
      <c r="H961">
        <v>0.32619999999999999</v>
      </c>
      <c r="I961">
        <v>54.1</v>
      </c>
      <c r="J961">
        <v>51.7</v>
      </c>
      <c r="K961">
        <v>16.2</v>
      </c>
      <c r="L961">
        <v>20.2</v>
      </c>
      <c r="M961">
        <v>20.5</v>
      </c>
      <c r="N961">
        <v>35.4</v>
      </c>
      <c r="O961">
        <v>29.1</v>
      </c>
      <c r="P961">
        <v>27.3</v>
      </c>
      <c r="Q961">
        <v>52.3</v>
      </c>
      <c r="R961">
        <v>51.6</v>
      </c>
      <c r="S961">
        <v>37.299999999999997</v>
      </c>
      <c r="T961">
        <v>34.6</v>
      </c>
      <c r="U961">
        <v>66</v>
      </c>
      <c r="V961">
        <v>-10.1</v>
      </c>
      <c r="W961" cm="1">
        <f t="array" ref="W961">_xlfn.IFS(OR(X961="N/A",X961="NA"),0,OR(X961="R64",X961="R68"),1,X961="R32",2,X961="S16",3,X961="E8",4,X961="F4",5,X961="2ND",6,X961="Champions",7)</f>
        <v>0</v>
      </c>
      <c r="X961" t="s">
        <v>90</v>
      </c>
      <c r="Y961" t="s">
        <v>90</v>
      </c>
      <c r="Z961">
        <v>2018</v>
      </c>
    </row>
    <row r="962" spans="1:26" x14ac:dyDescent="0.3">
      <c r="A962" t="s">
        <v>303</v>
      </c>
      <c r="B962" t="s">
        <v>77</v>
      </c>
      <c r="C962">
        <v>33</v>
      </c>
      <c r="D962">
        <v>16</v>
      </c>
      <c r="E962" s="1">
        <f t="shared" si="14"/>
        <v>0.48484848484848486</v>
      </c>
      <c r="F962">
        <v>93.2</v>
      </c>
      <c r="G962">
        <v>102.1</v>
      </c>
      <c r="H962">
        <v>0.2596</v>
      </c>
      <c r="I962">
        <v>47.4</v>
      </c>
      <c r="J962">
        <v>50.5</v>
      </c>
      <c r="K962">
        <v>20.9</v>
      </c>
      <c r="L962">
        <v>22.3</v>
      </c>
      <c r="M962">
        <v>31.2</v>
      </c>
      <c r="N962">
        <v>31.2</v>
      </c>
      <c r="O962">
        <v>34.299999999999997</v>
      </c>
      <c r="P962">
        <v>36.200000000000003</v>
      </c>
      <c r="Q962">
        <v>45.9</v>
      </c>
      <c r="R962">
        <v>51.1</v>
      </c>
      <c r="S962">
        <v>33.200000000000003</v>
      </c>
      <c r="T962">
        <v>32.799999999999997</v>
      </c>
      <c r="U962">
        <v>70.599999999999994</v>
      </c>
      <c r="V962">
        <v>-11.8</v>
      </c>
      <c r="W962" cm="1">
        <f t="array" ref="W962">_xlfn.IFS(OR(X962="N/A",X962="NA"),0,OR(X962="R64",X962="R68"),1,X962="R32",2,X962="S16",3,X962="E8",4,X962="F4",5,X962="2ND",6,X962="Champions",7)</f>
        <v>0</v>
      </c>
      <c r="X962" t="s">
        <v>90</v>
      </c>
      <c r="Y962" t="s">
        <v>90</v>
      </c>
      <c r="Z962">
        <v>2018</v>
      </c>
    </row>
    <row r="963" spans="1:26" x14ac:dyDescent="0.3">
      <c r="A963" t="s">
        <v>299</v>
      </c>
      <c r="B963" t="s">
        <v>77</v>
      </c>
      <c r="C963">
        <v>30</v>
      </c>
      <c r="D963">
        <v>10</v>
      </c>
      <c r="E963" s="1">
        <f t="shared" ref="E963:E1026" si="15">D963/C963</f>
        <v>0.33333333333333331</v>
      </c>
      <c r="F963">
        <v>95.6</v>
      </c>
      <c r="G963">
        <v>108.4</v>
      </c>
      <c r="H963">
        <v>0.1908</v>
      </c>
      <c r="I963">
        <v>48.5</v>
      </c>
      <c r="J963">
        <v>50.9</v>
      </c>
      <c r="K963">
        <v>21.5</v>
      </c>
      <c r="L963">
        <v>14.6</v>
      </c>
      <c r="M963">
        <v>32.5</v>
      </c>
      <c r="N963">
        <v>22.6</v>
      </c>
      <c r="O963">
        <v>30</v>
      </c>
      <c r="P963">
        <v>33</v>
      </c>
      <c r="Q963">
        <v>50.3</v>
      </c>
      <c r="R963">
        <v>50.9</v>
      </c>
      <c r="S963">
        <v>29.9</v>
      </c>
      <c r="T963">
        <v>33.9</v>
      </c>
      <c r="U963">
        <v>69.599999999999994</v>
      </c>
      <c r="V963">
        <v>-16.899999999999999</v>
      </c>
      <c r="W963" cm="1">
        <f t="array" ref="W963">_xlfn.IFS(OR(X963="N/A",X963="NA"),0,OR(X963="R64",X963="R68"),1,X963="R32",2,X963="S16",3,X963="E8",4,X963="F4",5,X963="2ND",6,X963="Champions",7)</f>
        <v>0</v>
      </c>
      <c r="X963" t="s">
        <v>90</v>
      </c>
      <c r="Y963" t="s">
        <v>90</v>
      </c>
      <c r="Z963">
        <v>2018</v>
      </c>
    </row>
    <row r="964" spans="1:26" x14ac:dyDescent="0.3">
      <c r="A964" t="s">
        <v>300</v>
      </c>
      <c r="B964" t="s">
        <v>77</v>
      </c>
      <c r="C964">
        <v>29</v>
      </c>
      <c r="D964">
        <v>13</v>
      </c>
      <c r="E964" s="1">
        <f t="shared" si="15"/>
        <v>0.44827586206896552</v>
      </c>
      <c r="F964">
        <v>97.6</v>
      </c>
      <c r="G964">
        <v>111</v>
      </c>
      <c r="H964">
        <v>0.18509999999999999</v>
      </c>
      <c r="I964">
        <v>48.7</v>
      </c>
      <c r="J964">
        <v>53.2</v>
      </c>
      <c r="K964">
        <v>17.7</v>
      </c>
      <c r="L964">
        <v>20.9</v>
      </c>
      <c r="M964">
        <v>26.2</v>
      </c>
      <c r="N964">
        <v>31.9</v>
      </c>
      <c r="O964">
        <v>30.4</v>
      </c>
      <c r="P964">
        <v>45.1</v>
      </c>
      <c r="Q964">
        <v>46.4</v>
      </c>
      <c r="R964">
        <v>54.1</v>
      </c>
      <c r="S964">
        <v>34.6</v>
      </c>
      <c r="T964">
        <v>34.1</v>
      </c>
      <c r="U964">
        <v>70.3</v>
      </c>
      <c r="V964">
        <v>-14.6</v>
      </c>
      <c r="W964" cm="1">
        <f t="array" ref="W964">_xlfn.IFS(OR(X964="N/A",X964="NA"),0,OR(X964="R64",X964="R68"),1,X964="R32",2,X964="S16",3,X964="E8",4,X964="F4",5,X964="2ND",6,X964="Champions",7)</f>
        <v>0</v>
      </c>
      <c r="X964" t="s">
        <v>90</v>
      </c>
      <c r="Y964" t="s">
        <v>90</v>
      </c>
      <c r="Z964">
        <v>2018</v>
      </c>
    </row>
    <row r="965" spans="1:26" x14ac:dyDescent="0.3">
      <c r="A965" t="s">
        <v>301</v>
      </c>
      <c r="B965" t="s">
        <v>77</v>
      </c>
      <c r="C965">
        <v>29</v>
      </c>
      <c r="D965">
        <v>18</v>
      </c>
      <c r="E965" s="1">
        <f t="shared" si="15"/>
        <v>0.62068965517241381</v>
      </c>
      <c r="F965">
        <v>104.1</v>
      </c>
      <c r="G965">
        <v>110.2</v>
      </c>
      <c r="H965">
        <v>0.34239999999999998</v>
      </c>
      <c r="I965">
        <v>52.8</v>
      </c>
      <c r="J965">
        <v>53.6</v>
      </c>
      <c r="K965">
        <v>16.5</v>
      </c>
      <c r="L965">
        <v>18.600000000000001</v>
      </c>
      <c r="M965">
        <v>25.7</v>
      </c>
      <c r="N965">
        <v>31.1</v>
      </c>
      <c r="O965">
        <v>33.5</v>
      </c>
      <c r="P965">
        <v>23.4</v>
      </c>
      <c r="Q965">
        <v>51.2</v>
      </c>
      <c r="R965">
        <v>53.8</v>
      </c>
      <c r="S965">
        <v>37</v>
      </c>
      <c r="T965">
        <v>35.5</v>
      </c>
      <c r="U965">
        <v>69.7</v>
      </c>
      <c r="V965">
        <v>-7.7</v>
      </c>
      <c r="W965" cm="1">
        <f t="array" ref="W965">_xlfn.IFS(OR(X965="N/A",X965="NA"),0,OR(X965="R64",X965="R68"),1,X965="R32",2,X965="S16",3,X965="E8",4,X965="F4",5,X965="2ND",6,X965="Champions",7)</f>
        <v>0</v>
      </c>
      <c r="X965" t="s">
        <v>90</v>
      </c>
      <c r="Y965" t="s">
        <v>90</v>
      </c>
      <c r="Z965">
        <v>2018</v>
      </c>
    </row>
    <row r="966" spans="1:26" x14ac:dyDescent="0.3">
      <c r="A966" t="s">
        <v>302</v>
      </c>
      <c r="B966" t="s">
        <v>77</v>
      </c>
      <c r="C966">
        <v>31</v>
      </c>
      <c r="D966">
        <v>23</v>
      </c>
      <c r="E966" s="1">
        <f t="shared" si="15"/>
        <v>0.74193548387096775</v>
      </c>
      <c r="F966">
        <v>101.8</v>
      </c>
      <c r="G966">
        <v>104.6</v>
      </c>
      <c r="H966">
        <v>0.42359999999999998</v>
      </c>
      <c r="I966">
        <v>49.8</v>
      </c>
      <c r="J966">
        <v>49</v>
      </c>
      <c r="K966">
        <v>19.7</v>
      </c>
      <c r="L966">
        <v>20.399999999999999</v>
      </c>
      <c r="M966">
        <v>35.799999999999997</v>
      </c>
      <c r="N966">
        <v>28.6</v>
      </c>
      <c r="O966">
        <v>34.200000000000003</v>
      </c>
      <c r="P966">
        <v>46.7</v>
      </c>
      <c r="Q966">
        <v>47</v>
      </c>
      <c r="R966">
        <v>45.8</v>
      </c>
      <c r="S966">
        <v>36</v>
      </c>
      <c r="T966">
        <v>36.200000000000003</v>
      </c>
      <c r="U966">
        <v>68.8</v>
      </c>
      <c r="V966">
        <v>-5.3</v>
      </c>
      <c r="W966" cm="1">
        <f t="array" ref="W966">_xlfn.IFS(OR(X966="N/A",X966="NA"),0,OR(X966="R64",X966="R68"),1,X966="R32",2,X966="S16",3,X966="E8",4,X966="F4",5,X966="2ND",6,X966="Champions",7)</f>
        <v>0</v>
      </c>
      <c r="X966" t="s">
        <v>90</v>
      </c>
      <c r="Y966" t="s">
        <v>90</v>
      </c>
      <c r="Z966">
        <v>2018</v>
      </c>
    </row>
    <row r="967" spans="1:26" x14ac:dyDescent="0.3">
      <c r="A967" t="s">
        <v>294</v>
      </c>
      <c r="B967" t="s">
        <v>77</v>
      </c>
      <c r="C967">
        <v>30</v>
      </c>
      <c r="D967">
        <v>10</v>
      </c>
      <c r="E967" s="1">
        <f t="shared" si="15"/>
        <v>0.33333333333333331</v>
      </c>
      <c r="F967">
        <v>98.5</v>
      </c>
      <c r="G967">
        <v>114.5</v>
      </c>
      <c r="H967">
        <v>0.15</v>
      </c>
      <c r="I967">
        <v>49</v>
      </c>
      <c r="J967">
        <v>54.9</v>
      </c>
      <c r="K967">
        <v>18.399999999999999</v>
      </c>
      <c r="L967">
        <v>18.600000000000001</v>
      </c>
      <c r="M967">
        <v>26.6</v>
      </c>
      <c r="N967">
        <v>30.2</v>
      </c>
      <c r="O967">
        <v>36.799999999999997</v>
      </c>
      <c r="P967">
        <v>35.4</v>
      </c>
      <c r="Q967">
        <v>49.2</v>
      </c>
      <c r="R967">
        <v>52.8</v>
      </c>
      <c r="S967">
        <v>32.5</v>
      </c>
      <c r="T967">
        <v>38.799999999999997</v>
      </c>
      <c r="U967">
        <v>69.3</v>
      </c>
      <c r="V967">
        <v>-16.3</v>
      </c>
      <c r="W967" cm="1">
        <f t="array" ref="W967">_xlfn.IFS(OR(X967="N/A",X967="NA"),0,OR(X967="R64",X967="R68"),1,X967="R32",2,X967="S16",3,X967="E8",4,X967="F4",5,X967="2ND",6,X967="Champions",7)</f>
        <v>0</v>
      </c>
      <c r="X967" t="s">
        <v>90</v>
      </c>
      <c r="Y967" t="s">
        <v>90</v>
      </c>
      <c r="Z967">
        <v>2019</v>
      </c>
    </row>
    <row r="968" spans="1:26" x14ac:dyDescent="0.3">
      <c r="A968" t="s">
        <v>295</v>
      </c>
      <c r="B968" t="s">
        <v>77</v>
      </c>
      <c r="C968">
        <v>29</v>
      </c>
      <c r="D968">
        <v>11</v>
      </c>
      <c r="E968" s="1">
        <f t="shared" si="15"/>
        <v>0.37931034482758619</v>
      </c>
      <c r="F968">
        <v>95.1</v>
      </c>
      <c r="G968">
        <v>111.6</v>
      </c>
      <c r="H968">
        <v>0.13730000000000001</v>
      </c>
      <c r="I968">
        <v>47</v>
      </c>
      <c r="J968">
        <v>53</v>
      </c>
      <c r="K968">
        <v>19.8</v>
      </c>
      <c r="L968">
        <v>18.100000000000001</v>
      </c>
      <c r="M968">
        <v>29.6</v>
      </c>
      <c r="N968">
        <v>29.9</v>
      </c>
      <c r="O968">
        <v>34.1</v>
      </c>
      <c r="P968">
        <v>37.200000000000003</v>
      </c>
      <c r="Q968">
        <v>45.8</v>
      </c>
      <c r="R968">
        <v>51.5</v>
      </c>
      <c r="S968">
        <v>32.799999999999997</v>
      </c>
      <c r="T968">
        <v>36.6</v>
      </c>
      <c r="U968">
        <v>70.5</v>
      </c>
      <c r="V968">
        <v>-15.3</v>
      </c>
      <c r="W968" cm="1">
        <f t="array" ref="W968">_xlfn.IFS(OR(X968="N/A",X968="NA"),0,OR(X968="R64",X968="R68"),1,X968="R32",2,X968="S16",3,X968="E8",4,X968="F4",5,X968="2ND",6,X968="Champions",7)</f>
        <v>0</v>
      </c>
      <c r="X968" t="s">
        <v>90</v>
      </c>
      <c r="Y968" t="s">
        <v>90</v>
      </c>
      <c r="Z968">
        <v>2019</v>
      </c>
    </row>
    <row r="969" spans="1:26" x14ac:dyDescent="0.3">
      <c r="A969" t="s">
        <v>297</v>
      </c>
      <c r="B969" t="s">
        <v>77</v>
      </c>
      <c r="C969">
        <v>31</v>
      </c>
      <c r="D969">
        <v>16</v>
      </c>
      <c r="E969" s="1">
        <f t="shared" si="15"/>
        <v>0.5161290322580645</v>
      </c>
      <c r="F969">
        <v>97.3</v>
      </c>
      <c r="G969">
        <v>104.9</v>
      </c>
      <c r="H969">
        <v>0.29549999999999998</v>
      </c>
      <c r="I969">
        <v>50.7</v>
      </c>
      <c r="J969">
        <v>48.2</v>
      </c>
      <c r="K969">
        <v>20.100000000000001</v>
      </c>
      <c r="L969">
        <v>18.5</v>
      </c>
      <c r="M969">
        <v>28.3</v>
      </c>
      <c r="N969">
        <v>29.5</v>
      </c>
      <c r="O969">
        <v>34.4</v>
      </c>
      <c r="P969">
        <v>35.4</v>
      </c>
      <c r="Q969">
        <v>50.3</v>
      </c>
      <c r="R969">
        <v>47.7</v>
      </c>
      <c r="S969">
        <v>34.1</v>
      </c>
      <c r="T969">
        <v>32.799999999999997</v>
      </c>
      <c r="U969">
        <v>72.3</v>
      </c>
      <c r="V969">
        <v>-13</v>
      </c>
      <c r="W969" cm="1">
        <f t="array" ref="W969">_xlfn.IFS(OR(X969="N/A",X969="NA"),0,OR(X969="R64",X969="R68"),1,X969="R32",2,X969="S16",3,X969="E8",4,X969="F4",5,X969="2ND",6,X969="Champions",7)</f>
        <v>0</v>
      </c>
      <c r="X969" t="s">
        <v>90</v>
      </c>
      <c r="Y969" t="s">
        <v>90</v>
      </c>
      <c r="Z969">
        <v>2019</v>
      </c>
    </row>
    <row r="970" spans="1:26" x14ac:dyDescent="0.3">
      <c r="A970" t="s">
        <v>298</v>
      </c>
      <c r="B970" t="s">
        <v>77</v>
      </c>
      <c r="C970">
        <v>29</v>
      </c>
      <c r="D970">
        <v>9</v>
      </c>
      <c r="E970" s="1">
        <f t="shared" si="15"/>
        <v>0.31034482758620691</v>
      </c>
      <c r="F970">
        <v>94.6</v>
      </c>
      <c r="G970">
        <v>108.8</v>
      </c>
      <c r="H970">
        <v>0.16789999999999999</v>
      </c>
      <c r="I970">
        <v>47.9</v>
      </c>
      <c r="J970">
        <v>52.1</v>
      </c>
      <c r="K970">
        <v>19</v>
      </c>
      <c r="L970">
        <v>17.8</v>
      </c>
      <c r="M970">
        <v>25.1</v>
      </c>
      <c r="N970">
        <v>31.5</v>
      </c>
      <c r="O970">
        <v>33.9</v>
      </c>
      <c r="P970">
        <v>34.799999999999997</v>
      </c>
      <c r="Q970">
        <v>48.7</v>
      </c>
      <c r="R970">
        <v>51.1</v>
      </c>
      <c r="S970">
        <v>31.2</v>
      </c>
      <c r="T970">
        <v>35.799999999999997</v>
      </c>
      <c r="U970">
        <v>68.7</v>
      </c>
      <c r="V970">
        <v>-16.899999999999999</v>
      </c>
      <c r="W970" cm="1">
        <f t="array" ref="W970">_xlfn.IFS(OR(X970="N/A",X970="NA"),0,OR(X970="R64",X970="R68"),1,X970="R32",2,X970="S16",3,X970="E8",4,X970="F4",5,X970="2ND",6,X970="Champions",7)</f>
        <v>0</v>
      </c>
      <c r="X970" t="s">
        <v>90</v>
      </c>
      <c r="Y970" t="s">
        <v>90</v>
      </c>
      <c r="Z970">
        <v>2019</v>
      </c>
    </row>
    <row r="971" spans="1:26" x14ac:dyDescent="0.3">
      <c r="A971" t="s">
        <v>303</v>
      </c>
      <c r="B971" t="s">
        <v>77</v>
      </c>
      <c r="C971">
        <v>33</v>
      </c>
      <c r="D971">
        <v>18</v>
      </c>
      <c r="E971" s="1">
        <f t="shared" si="15"/>
        <v>0.54545454545454541</v>
      </c>
      <c r="F971">
        <v>95.2</v>
      </c>
      <c r="G971">
        <v>104.5</v>
      </c>
      <c r="H971">
        <v>0.25469999999999998</v>
      </c>
      <c r="I971">
        <v>48.8</v>
      </c>
      <c r="J971">
        <v>52.2</v>
      </c>
      <c r="K971">
        <v>21</v>
      </c>
      <c r="L971">
        <v>22.2</v>
      </c>
      <c r="M971">
        <v>30.1</v>
      </c>
      <c r="N971">
        <v>27.8</v>
      </c>
      <c r="O971">
        <v>32.200000000000003</v>
      </c>
      <c r="P971">
        <v>38.5</v>
      </c>
      <c r="Q971">
        <v>47.3</v>
      </c>
      <c r="R971">
        <v>52.2</v>
      </c>
      <c r="S971">
        <v>34.1</v>
      </c>
      <c r="T971">
        <v>34.700000000000003</v>
      </c>
      <c r="U971">
        <v>67.599999999999994</v>
      </c>
      <c r="V971">
        <v>-11.5</v>
      </c>
      <c r="W971" cm="1">
        <f t="array" ref="W971">_xlfn.IFS(OR(X971="N/A",X971="NA"),0,OR(X971="R64",X971="R68"),1,X971="R32",2,X971="S16",3,X971="E8",4,X971="F4",5,X971="2ND",6,X971="Champions",7)</f>
        <v>0</v>
      </c>
      <c r="X971" t="s">
        <v>90</v>
      </c>
      <c r="Y971" t="s">
        <v>90</v>
      </c>
      <c r="Z971">
        <v>2019</v>
      </c>
    </row>
    <row r="972" spans="1:26" x14ac:dyDescent="0.3">
      <c r="A972" t="s">
        <v>299</v>
      </c>
      <c r="B972" t="s">
        <v>77</v>
      </c>
      <c r="C972">
        <v>31</v>
      </c>
      <c r="D972">
        <v>15</v>
      </c>
      <c r="E972" s="1">
        <f t="shared" si="15"/>
        <v>0.4838709677419355</v>
      </c>
      <c r="F972">
        <v>102.3</v>
      </c>
      <c r="G972">
        <v>110.8</v>
      </c>
      <c r="H972">
        <v>0.28649999999999998</v>
      </c>
      <c r="I972">
        <v>51.7</v>
      </c>
      <c r="J972">
        <v>51.8</v>
      </c>
      <c r="K972">
        <v>19.899999999999999</v>
      </c>
      <c r="L972">
        <v>16.5</v>
      </c>
      <c r="M972">
        <v>31.8</v>
      </c>
      <c r="N972">
        <v>27</v>
      </c>
      <c r="O972">
        <v>38.1</v>
      </c>
      <c r="P972">
        <v>31.3</v>
      </c>
      <c r="Q972">
        <v>51.1</v>
      </c>
      <c r="R972">
        <v>49.3</v>
      </c>
      <c r="S972">
        <v>35.200000000000003</v>
      </c>
      <c r="T972">
        <v>37.299999999999997</v>
      </c>
      <c r="U972">
        <v>73.400000000000006</v>
      </c>
      <c r="V972">
        <v>-13.2</v>
      </c>
      <c r="W972" cm="1">
        <f t="array" ref="W972">_xlfn.IFS(OR(X972="N/A",X972="NA"),0,OR(X972="R64",X972="R68"),1,X972="R32",2,X972="S16",3,X972="E8",4,X972="F4",5,X972="2ND",6,X972="Champions",7)</f>
        <v>0</v>
      </c>
      <c r="X972" t="s">
        <v>90</v>
      </c>
      <c r="Y972" t="s">
        <v>90</v>
      </c>
      <c r="Z972">
        <v>2019</v>
      </c>
    </row>
    <row r="973" spans="1:26" x14ac:dyDescent="0.3">
      <c r="A973" t="s">
        <v>300</v>
      </c>
      <c r="B973" t="s">
        <v>77</v>
      </c>
      <c r="C973">
        <v>31</v>
      </c>
      <c r="D973">
        <v>17</v>
      </c>
      <c r="E973" s="1">
        <f t="shared" si="15"/>
        <v>0.54838709677419351</v>
      </c>
      <c r="F973">
        <v>95.5</v>
      </c>
      <c r="G973">
        <v>104.4</v>
      </c>
      <c r="H973">
        <v>0.2646</v>
      </c>
      <c r="I973">
        <v>48.5</v>
      </c>
      <c r="J973">
        <v>48.9</v>
      </c>
      <c r="K973">
        <v>17.600000000000001</v>
      </c>
      <c r="L973">
        <v>19.2</v>
      </c>
      <c r="M973">
        <v>26.9</v>
      </c>
      <c r="N973">
        <v>28.5</v>
      </c>
      <c r="O973">
        <v>28.6</v>
      </c>
      <c r="P973">
        <v>39.299999999999997</v>
      </c>
      <c r="Q973">
        <v>47.3</v>
      </c>
      <c r="R973">
        <v>49</v>
      </c>
      <c r="S973">
        <v>33.5</v>
      </c>
      <c r="T973">
        <v>32.4</v>
      </c>
      <c r="U973">
        <v>69.599999999999994</v>
      </c>
      <c r="V973">
        <v>-11.7</v>
      </c>
      <c r="W973" cm="1">
        <f t="array" ref="W973">_xlfn.IFS(OR(X973="N/A",X973="NA"),0,OR(X973="R64",X973="R68"),1,X973="R32",2,X973="S16",3,X973="E8",4,X973="F4",5,X973="2ND",6,X973="Champions",7)</f>
        <v>0</v>
      </c>
      <c r="X973" t="s">
        <v>90</v>
      </c>
      <c r="Y973" t="s">
        <v>90</v>
      </c>
      <c r="Z973">
        <v>2019</v>
      </c>
    </row>
    <row r="974" spans="1:26" x14ac:dyDescent="0.3">
      <c r="A974" t="s">
        <v>301</v>
      </c>
      <c r="B974" t="s">
        <v>77</v>
      </c>
      <c r="C974">
        <v>31</v>
      </c>
      <c r="D974">
        <v>18</v>
      </c>
      <c r="E974" s="1">
        <f t="shared" si="15"/>
        <v>0.58064516129032262</v>
      </c>
      <c r="F974">
        <v>104.9</v>
      </c>
      <c r="G974">
        <v>112.3</v>
      </c>
      <c r="H974">
        <v>0.3115</v>
      </c>
      <c r="I974">
        <v>48.8</v>
      </c>
      <c r="J974">
        <v>53.8</v>
      </c>
      <c r="K974">
        <v>17.399999999999999</v>
      </c>
      <c r="L974">
        <v>16.899999999999999</v>
      </c>
      <c r="M974">
        <v>33.4</v>
      </c>
      <c r="N974">
        <v>28.6</v>
      </c>
      <c r="O974">
        <v>35</v>
      </c>
      <c r="P974">
        <v>31.8</v>
      </c>
      <c r="Q974">
        <v>46.5</v>
      </c>
      <c r="R974">
        <v>54.9</v>
      </c>
      <c r="S974">
        <v>35.299999999999997</v>
      </c>
      <c r="T974">
        <v>34.799999999999997</v>
      </c>
      <c r="U974">
        <v>69.599999999999994</v>
      </c>
      <c r="V974">
        <v>-9</v>
      </c>
      <c r="W974" cm="1">
        <f t="array" ref="W974">_xlfn.IFS(OR(X974="N/A",X974="NA"),0,OR(X974="R64",X974="R68"),1,X974="R32",2,X974="S16",3,X974="E8",4,X974="F4",5,X974="2ND",6,X974="Champions",7)</f>
        <v>0</v>
      </c>
      <c r="X974" t="s">
        <v>90</v>
      </c>
      <c r="Y974" t="s">
        <v>90</v>
      </c>
      <c r="Z974">
        <v>2019</v>
      </c>
    </row>
    <row r="975" spans="1:26" x14ac:dyDescent="0.3">
      <c r="A975" t="s">
        <v>302</v>
      </c>
      <c r="B975" t="s">
        <v>77</v>
      </c>
      <c r="C975">
        <v>28</v>
      </c>
      <c r="D975">
        <v>13</v>
      </c>
      <c r="E975" s="1">
        <f t="shared" si="15"/>
        <v>0.4642857142857143</v>
      </c>
      <c r="F975">
        <v>92.8</v>
      </c>
      <c r="G975">
        <v>106.4</v>
      </c>
      <c r="H975">
        <v>0.17150000000000001</v>
      </c>
      <c r="I975">
        <v>44</v>
      </c>
      <c r="J975">
        <v>51.1</v>
      </c>
      <c r="K975">
        <v>20.8</v>
      </c>
      <c r="L975">
        <v>19.8</v>
      </c>
      <c r="M975">
        <v>33.4</v>
      </c>
      <c r="N975">
        <v>28.9</v>
      </c>
      <c r="O975">
        <v>33.799999999999997</v>
      </c>
      <c r="P975">
        <v>46.5</v>
      </c>
      <c r="Q975">
        <v>43.1</v>
      </c>
      <c r="R975">
        <v>49.9</v>
      </c>
      <c r="S975">
        <v>30.1</v>
      </c>
      <c r="T975">
        <v>35.200000000000003</v>
      </c>
      <c r="U975">
        <v>65.099999999999994</v>
      </c>
      <c r="V975">
        <v>-13.5</v>
      </c>
      <c r="W975" cm="1">
        <f t="array" ref="W975">_xlfn.IFS(OR(X975="N/A",X975="NA"),0,OR(X975="R64",X975="R68"),1,X975="R32",2,X975="S16",3,X975="E8",4,X975="F4",5,X975="2ND",6,X975="Champions",7)</f>
        <v>0</v>
      </c>
      <c r="X975" t="s">
        <v>90</v>
      </c>
      <c r="Y975" t="s">
        <v>90</v>
      </c>
      <c r="Z975">
        <v>2019</v>
      </c>
    </row>
    <row r="976" spans="1:26" x14ac:dyDescent="0.3">
      <c r="A976" t="s">
        <v>304</v>
      </c>
      <c r="B976" t="s">
        <v>64</v>
      </c>
      <c r="C976">
        <v>28</v>
      </c>
      <c r="D976">
        <v>6</v>
      </c>
      <c r="E976" s="1">
        <f t="shared" si="15"/>
        <v>0.21428571428571427</v>
      </c>
      <c r="F976">
        <v>93.1</v>
      </c>
      <c r="G976">
        <v>107.1</v>
      </c>
      <c r="H976">
        <v>0.16619999999999999</v>
      </c>
      <c r="I976">
        <v>44.5</v>
      </c>
      <c r="J976">
        <v>54.9</v>
      </c>
      <c r="K976">
        <v>20.8</v>
      </c>
      <c r="L976">
        <v>20.3</v>
      </c>
      <c r="M976">
        <v>31.8</v>
      </c>
      <c r="N976">
        <v>29.2</v>
      </c>
      <c r="O976">
        <v>41.6</v>
      </c>
      <c r="P976">
        <v>38.4</v>
      </c>
      <c r="Q976">
        <v>44.2</v>
      </c>
      <c r="R976">
        <v>53.2</v>
      </c>
      <c r="S976">
        <v>30.1</v>
      </c>
      <c r="T976">
        <v>38.6</v>
      </c>
      <c r="U976">
        <v>67.2</v>
      </c>
      <c r="V976">
        <v>-16.7</v>
      </c>
      <c r="W976" cm="1">
        <f t="array" ref="W976">_xlfn.IFS(OR(X976="N/A",X976="NA"),0,OR(X976="R64",X976="R68"),1,X976="R32",2,X976="S16",3,X976="E8",4,X976="F4",5,X976="2ND",6,X976="Champions",7)</f>
        <v>0</v>
      </c>
      <c r="X976" t="s">
        <v>90</v>
      </c>
      <c r="Y976" t="s">
        <v>90</v>
      </c>
      <c r="Z976">
        <v>2015</v>
      </c>
    </row>
    <row r="977" spans="1:26" x14ac:dyDescent="0.3">
      <c r="A977" t="s">
        <v>305</v>
      </c>
      <c r="B977" t="s">
        <v>64</v>
      </c>
      <c r="C977">
        <v>31</v>
      </c>
      <c r="D977">
        <v>16</v>
      </c>
      <c r="E977" s="1">
        <f t="shared" si="15"/>
        <v>0.5161290322580645</v>
      </c>
      <c r="F977">
        <v>97.7</v>
      </c>
      <c r="G977">
        <v>104.9</v>
      </c>
      <c r="H977">
        <v>0.30430000000000001</v>
      </c>
      <c r="I977">
        <v>51</v>
      </c>
      <c r="J977">
        <v>48.8</v>
      </c>
      <c r="K977">
        <v>19</v>
      </c>
      <c r="L977">
        <v>18.899999999999999</v>
      </c>
      <c r="M977">
        <v>23.4</v>
      </c>
      <c r="N977">
        <v>34.299999999999997</v>
      </c>
      <c r="O977">
        <v>33.4</v>
      </c>
      <c r="P977">
        <v>31.4</v>
      </c>
      <c r="Q977">
        <v>47.8</v>
      </c>
      <c r="R977">
        <v>47.2</v>
      </c>
      <c r="S977">
        <v>37.4</v>
      </c>
      <c r="T977">
        <v>34.4</v>
      </c>
      <c r="U977">
        <v>63.4</v>
      </c>
      <c r="V977">
        <v>-8.1999999999999993</v>
      </c>
      <c r="W977" cm="1">
        <f t="array" ref="W977">_xlfn.IFS(OR(X977="N/A",X977="NA"),0,OR(X977="R64",X977="R68"),1,X977="R32",2,X977="S16",3,X977="E8",4,X977="F4",5,X977="2ND",6,X977="Champions",7)</f>
        <v>0</v>
      </c>
      <c r="X977" t="s">
        <v>90</v>
      </c>
      <c r="Y977" t="s">
        <v>90</v>
      </c>
      <c r="Z977">
        <v>2015</v>
      </c>
    </row>
    <row r="978" spans="1:26" x14ac:dyDescent="0.3">
      <c r="A978" t="s">
        <v>306</v>
      </c>
      <c r="B978" t="s">
        <v>64</v>
      </c>
      <c r="C978">
        <v>31</v>
      </c>
      <c r="D978">
        <v>19</v>
      </c>
      <c r="E978" s="1">
        <f t="shared" si="15"/>
        <v>0.61290322580645162</v>
      </c>
      <c r="F978">
        <v>103.4</v>
      </c>
      <c r="G978">
        <v>101.8</v>
      </c>
      <c r="H978">
        <v>0.54390000000000005</v>
      </c>
      <c r="I978">
        <v>53.9</v>
      </c>
      <c r="J978">
        <v>53.5</v>
      </c>
      <c r="K978">
        <v>17.899999999999999</v>
      </c>
      <c r="L978">
        <v>26.9</v>
      </c>
      <c r="M978">
        <v>21.6</v>
      </c>
      <c r="N978">
        <v>34.799999999999997</v>
      </c>
      <c r="O978">
        <v>32.200000000000003</v>
      </c>
      <c r="P978">
        <v>35</v>
      </c>
      <c r="Q978">
        <v>54.9</v>
      </c>
      <c r="R978">
        <v>49.9</v>
      </c>
      <c r="S978">
        <v>35.1</v>
      </c>
      <c r="T978">
        <v>39.200000000000003</v>
      </c>
      <c r="U978">
        <v>64</v>
      </c>
      <c r="V978">
        <v>-5.5</v>
      </c>
      <c r="W978" cm="1">
        <f t="array" ref="W978">_xlfn.IFS(OR(X978="N/A",X978="NA"),0,OR(X978="R64",X978="R68"),1,X978="R32",2,X978="S16",3,X978="E8",4,X978="F4",5,X978="2ND",6,X978="Champions",7)</f>
        <v>0</v>
      </c>
      <c r="X978" t="s">
        <v>90</v>
      </c>
      <c r="Y978" t="s">
        <v>90</v>
      </c>
      <c r="Z978">
        <v>2015</v>
      </c>
    </row>
    <row r="979" spans="1:26" x14ac:dyDescent="0.3">
      <c r="A979" t="s">
        <v>307</v>
      </c>
      <c r="B979" t="s">
        <v>64</v>
      </c>
      <c r="C979">
        <v>29</v>
      </c>
      <c r="D979">
        <v>10</v>
      </c>
      <c r="E979" s="1">
        <f t="shared" si="15"/>
        <v>0.34482758620689657</v>
      </c>
      <c r="F979">
        <v>92.6</v>
      </c>
      <c r="G979">
        <v>106.1</v>
      </c>
      <c r="H979">
        <v>0.1734</v>
      </c>
      <c r="I979">
        <v>43</v>
      </c>
      <c r="J979">
        <v>51.1</v>
      </c>
      <c r="K979">
        <v>18.5</v>
      </c>
      <c r="L979">
        <v>19.2</v>
      </c>
      <c r="M979">
        <v>28.7</v>
      </c>
      <c r="N979">
        <v>34.5</v>
      </c>
      <c r="O979">
        <v>37.6</v>
      </c>
      <c r="P979">
        <v>39</v>
      </c>
      <c r="Q979">
        <v>42.3</v>
      </c>
      <c r="R979">
        <v>50</v>
      </c>
      <c r="S979">
        <v>29.5</v>
      </c>
      <c r="T979">
        <v>35.700000000000003</v>
      </c>
      <c r="U979">
        <v>63.8</v>
      </c>
      <c r="V979">
        <v>-14.1</v>
      </c>
      <c r="W979" cm="1">
        <f t="array" ref="W979">_xlfn.IFS(OR(X979="N/A",X979="NA"),0,OR(X979="R64",X979="R68"),1,X979="R32",2,X979="S16",3,X979="E8",4,X979="F4",5,X979="2ND",6,X979="Champions",7)</f>
        <v>0</v>
      </c>
      <c r="X979" t="s">
        <v>90</v>
      </c>
      <c r="Y979" t="s">
        <v>90</v>
      </c>
      <c r="Z979">
        <v>2015</v>
      </c>
    </row>
    <row r="980" spans="1:26" x14ac:dyDescent="0.3">
      <c r="A980" t="s">
        <v>308</v>
      </c>
      <c r="B980" t="s">
        <v>64</v>
      </c>
      <c r="C980">
        <v>32</v>
      </c>
      <c r="D980">
        <v>15</v>
      </c>
      <c r="E980" s="1">
        <f t="shared" si="15"/>
        <v>0.46875</v>
      </c>
      <c r="F980">
        <v>102.5</v>
      </c>
      <c r="G980">
        <v>101</v>
      </c>
      <c r="H980">
        <v>0.54079999999999995</v>
      </c>
      <c r="I980">
        <v>49.3</v>
      </c>
      <c r="J980">
        <v>49.1</v>
      </c>
      <c r="K980">
        <v>20.100000000000001</v>
      </c>
      <c r="L980">
        <v>21.2</v>
      </c>
      <c r="M980">
        <v>34.700000000000003</v>
      </c>
      <c r="N980">
        <v>28.2</v>
      </c>
      <c r="O980">
        <v>34.700000000000003</v>
      </c>
      <c r="P980">
        <v>55.2</v>
      </c>
      <c r="Q980">
        <v>48.4</v>
      </c>
      <c r="R980">
        <v>48.4</v>
      </c>
      <c r="S980">
        <v>34</v>
      </c>
      <c r="T980">
        <v>33.700000000000003</v>
      </c>
      <c r="U980">
        <v>65.7</v>
      </c>
      <c r="V980">
        <v>-10.6</v>
      </c>
      <c r="W980" cm="1">
        <f t="array" ref="W980">_xlfn.IFS(OR(X980="N/A",X980="NA"),0,OR(X980="R64",X980="R68"),1,X980="R32",2,X980="S16",3,X980="E8",4,X980="F4",5,X980="2ND",6,X980="Champions",7)</f>
        <v>0</v>
      </c>
      <c r="X980" t="s">
        <v>90</v>
      </c>
      <c r="Y980" t="s">
        <v>90</v>
      </c>
      <c r="Z980">
        <v>2015</v>
      </c>
    </row>
    <row r="981" spans="1:26" x14ac:dyDescent="0.3">
      <c r="A981" t="s">
        <v>309</v>
      </c>
      <c r="B981" t="s">
        <v>64</v>
      </c>
      <c r="C981">
        <v>33</v>
      </c>
      <c r="D981">
        <v>27</v>
      </c>
      <c r="E981" s="1">
        <f t="shared" si="15"/>
        <v>0.81818181818181823</v>
      </c>
      <c r="F981">
        <v>114.1</v>
      </c>
      <c r="G981">
        <v>102.2</v>
      </c>
      <c r="H981">
        <v>0.78</v>
      </c>
      <c r="I981">
        <v>54.3</v>
      </c>
      <c r="J981">
        <v>46.8</v>
      </c>
      <c r="K981">
        <v>17.100000000000001</v>
      </c>
      <c r="L981">
        <v>18.7</v>
      </c>
      <c r="M981">
        <v>35.9</v>
      </c>
      <c r="N981">
        <v>32.5</v>
      </c>
      <c r="O981">
        <v>41.2</v>
      </c>
      <c r="P981">
        <v>36.6</v>
      </c>
      <c r="Q981">
        <v>52.6</v>
      </c>
      <c r="R981">
        <v>44.9</v>
      </c>
      <c r="S981">
        <v>38.299999999999997</v>
      </c>
      <c r="T981">
        <v>33.700000000000003</v>
      </c>
      <c r="U981">
        <v>67</v>
      </c>
      <c r="V981">
        <v>0</v>
      </c>
      <c r="W981" cm="1">
        <f t="array" ref="W981">_xlfn.IFS(OR(X981="N/A",X981="NA"),0,OR(X981="R64",X981="R68"),1,X981="R32",2,X981="S16",3,X981="E8",4,X981="F4",5,X981="2ND",6,X981="Champions",7)</f>
        <v>0</v>
      </c>
      <c r="X981" t="s">
        <v>90</v>
      </c>
      <c r="Y981" t="s">
        <v>90</v>
      </c>
      <c r="Z981">
        <v>2015</v>
      </c>
    </row>
    <row r="982" spans="1:26" x14ac:dyDescent="0.3">
      <c r="A982" t="s">
        <v>310</v>
      </c>
      <c r="B982" t="s">
        <v>64</v>
      </c>
      <c r="C982">
        <v>26</v>
      </c>
      <c r="D982">
        <v>10</v>
      </c>
      <c r="E982" s="1">
        <f t="shared" si="15"/>
        <v>0.38461538461538464</v>
      </c>
      <c r="F982">
        <v>95.3</v>
      </c>
      <c r="G982">
        <v>103.1</v>
      </c>
      <c r="H982">
        <v>0.28749999999999998</v>
      </c>
      <c r="I982">
        <v>48.7</v>
      </c>
      <c r="J982">
        <v>49.3</v>
      </c>
      <c r="K982">
        <v>20.3</v>
      </c>
      <c r="L982">
        <v>19.8</v>
      </c>
      <c r="M982">
        <v>28.8</v>
      </c>
      <c r="N982">
        <v>31.9</v>
      </c>
      <c r="O982">
        <v>37.4</v>
      </c>
      <c r="P982">
        <v>37</v>
      </c>
      <c r="Q982">
        <v>45.3</v>
      </c>
      <c r="R982">
        <v>46.9</v>
      </c>
      <c r="S982">
        <v>36.9</v>
      </c>
      <c r="T982">
        <v>36.1</v>
      </c>
      <c r="U982">
        <v>66.599999999999994</v>
      </c>
      <c r="V982">
        <v>-11.8</v>
      </c>
      <c r="W982" cm="1">
        <f t="array" ref="W982">_xlfn.IFS(OR(X982="N/A",X982="NA"),0,OR(X982="R64",X982="R68"),1,X982="R32",2,X982="S16",3,X982="E8",4,X982="F4",5,X982="2ND",6,X982="Champions",7)</f>
        <v>0</v>
      </c>
      <c r="X982" t="s">
        <v>90</v>
      </c>
      <c r="Y982" t="s">
        <v>90</v>
      </c>
      <c r="Z982">
        <v>2015</v>
      </c>
    </row>
    <row r="983" spans="1:26" x14ac:dyDescent="0.3">
      <c r="A983" t="s">
        <v>311</v>
      </c>
      <c r="B983" t="s">
        <v>64</v>
      </c>
      <c r="C983">
        <v>28</v>
      </c>
      <c r="D983">
        <v>11</v>
      </c>
      <c r="E983" s="1">
        <f t="shared" si="15"/>
        <v>0.39285714285714285</v>
      </c>
      <c r="F983">
        <v>101.8</v>
      </c>
      <c r="G983">
        <v>105.7</v>
      </c>
      <c r="H983">
        <v>0.39460000000000001</v>
      </c>
      <c r="I983">
        <v>48.9</v>
      </c>
      <c r="J983">
        <v>50.2</v>
      </c>
      <c r="K983">
        <v>19.2</v>
      </c>
      <c r="L983">
        <v>19.3</v>
      </c>
      <c r="M983">
        <v>32.200000000000003</v>
      </c>
      <c r="N983">
        <v>31.6</v>
      </c>
      <c r="O983">
        <v>36.4</v>
      </c>
      <c r="P983">
        <v>41.8</v>
      </c>
      <c r="Q983">
        <v>48.1</v>
      </c>
      <c r="R983">
        <v>46.2</v>
      </c>
      <c r="S983">
        <v>33.700000000000003</v>
      </c>
      <c r="T983">
        <v>39.200000000000003</v>
      </c>
      <c r="U983">
        <v>66.2</v>
      </c>
      <c r="V983">
        <v>-12.2</v>
      </c>
      <c r="W983" cm="1">
        <f t="array" ref="W983">_xlfn.IFS(OR(X983="N/A",X983="NA"),0,OR(X983="R64",X983="R68"),1,X983="R32",2,X983="S16",3,X983="E8",4,X983="F4",5,X983="2ND",6,X983="Champions",7)</f>
        <v>0</v>
      </c>
      <c r="X983" t="s">
        <v>90</v>
      </c>
      <c r="Y983" t="s">
        <v>90</v>
      </c>
      <c r="Z983">
        <v>2015</v>
      </c>
    </row>
    <row r="984" spans="1:26" x14ac:dyDescent="0.3">
      <c r="A984" t="s">
        <v>312</v>
      </c>
      <c r="B984" t="s">
        <v>64</v>
      </c>
      <c r="C984">
        <v>32</v>
      </c>
      <c r="D984">
        <v>19</v>
      </c>
      <c r="E984" s="1">
        <f t="shared" si="15"/>
        <v>0.59375</v>
      </c>
      <c r="F984">
        <v>106.3</v>
      </c>
      <c r="G984">
        <v>106.8</v>
      </c>
      <c r="H984">
        <v>0.48730000000000001</v>
      </c>
      <c r="I984">
        <v>53.4</v>
      </c>
      <c r="J984">
        <v>50.8</v>
      </c>
      <c r="K984">
        <v>18.600000000000001</v>
      </c>
      <c r="L984">
        <v>15.4</v>
      </c>
      <c r="M984">
        <v>30</v>
      </c>
      <c r="N984">
        <v>25.8</v>
      </c>
      <c r="O984">
        <v>31.4</v>
      </c>
      <c r="P984">
        <v>28.8</v>
      </c>
      <c r="Q984">
        <v>50</v>
      </c>
      <c r="R984">
        <v>49.4</v>
      </c>
      <c r="S984">
        <v>39.4</v>
      </c>
      <c r="T984">
        <v>35.4</v>
      </c>
      <c r="U984">
        <v>62.5</v>
      </c>
      <c r="V984">
        <v>-6.8</v>
      </c>
      <c r="W984" cm="1">
        <f t="array" ref="W984">_xlfn.IFS(OR(X984="N/A",X984="NA"),0,OR(X984="R64",X984="R68"),1,X984="R32",2,X984="S16",3,X984="E8",4,X984="F4",5,X984="2ND",6,X984="Champions",7)</f>
        <v>0</v>
      </c>
      <c r="X984" t="s">
        <v>90</v>
      </c>
      <c r="Y984" t="s">
        <v>90</v>
      </c>
      <c r="Z984">
        <v>2015</v>
      </c>
    </row>
    <row r="985" spans="1:26" x14ac:dyDescent="0.3">
      <c r="A985" t="s">
        <v>313</v>
      </c>
      <c r="B985" t="s">
        <v>64</v>
      </c>
      <c r="C985">
        <v>29</v>
      </c>
      <c r="D985">
        <v>3</v>
      </c>
      <c r="E985" s="1">
        <f t="shared" si="15"/>
        <v>0.10344827586206896</v>
      </c>
      <c r="F985">
        <v>87.6</v>
      </c>
      <c r="G985">
        <v>106.1</v>
      </c>
      <c r="H985">
        <v>9.9500000000000005E-2</v>
      </c>
      <c r="I985">
        <v>43.9</v>
      </c>
      <c r="J985">
        <v>50.4</v>
      </c>
      <c r="K985">
        <v>22.1</v>
      </c>
      <c r="L985">
        <v>18.3</v>
      </c>
      <c r="M985">
        <v>26.5</v>
      </c>
      <c r="N985">
        <v>32.799999999999997</v>
      </c>
      <c r="O985">
        <v>40.4</v>
      </c>
      <c r="P985">
        <v>42</v>
      </c>
      <c r="Q985">
        <v>40</v>
      </c>
      <c r="R985">
        <v>51.5</v>
      </c>
      <c r="S985">
        <v>34.799999999999997</v>
      </c>
      <c r="T985">
        <v>32.700000000000003</v>
      </c>
      <c r="U985">
        <v>64</v>
      </c>
      <c r="V985">
        <v>-19.8</v>
      </c>
      <c r="W985" cm="1">
        <f t="array" ref="W985">_xlfn.IFS(OR(X985="N/A",X985="NA"),0,OR(X985="R64",X985="R68"),1,X985="R32",2,X985="S16",3,X985="E8",4,X985="F4",5,X985="2ND",6,X985="Champions",7)</f>
        <v>0</v>
      </c>
      <c r="X985" t="s">
        <v>90</v>
      </c>
      <c r="Y985" t="s">
        <v>90</v>
      </c>
      <c r="Z985">
        <v>2015</v>
      </c>
    </row>
    <row r="986" spans="1:26" x14ac:dyDescent="0.3">
      <c r="A986" t="s">
        <v>314</v>
      </c>
      <c r="B986" t="s">
        <v>64</v>
      </c>
      <c r="C986">
        <v>28</v>
      </c>
      <c r="D986">
        <v>10</v>
      </c>
      <c r="E986" s="1">
        <f t="shared" si="15"/>
        <v>0.35714285714285715</v>
      </c>
      <c r="F986">
        <v>101.3</v>
      </c>
      <c r="G986">
        <v>109.3</v>
      </c>
      <c r="H986">
        <v>0.2959</v>
      </c>
      <c r="I986">
        <v>48.8</v>
      </c>
      <c r="J986">
        <v>53.1</v>
      </c>
      <c r="K986">
        <v>20.5</v>
      </c>
      <c r="L986">
        <v>18.7</v>
      </c>
      <c r="M986">
        <v>36.4</v>
      </c>
      <c r="N986">
        <v>29.2</v>
      </c>
      <c r="O986">
        <v>34.799999999999997</v>
      </c>
      <c r="P986">
        <v>42.7</v>
      </c>
      <c r="Q986">
        <v>49.1</v>
      </c>
      <c r="R986">
        <v>52</v>
      </c>
      <c r="S986">
        <v>32.200000000000003</v>
      </c>
      <c r="T986">
        <v>36.799999999999997</v>
      </c>
      <c r="U986">
        <v>66.599999999999994</v>
      </c>
      <c r="V986">
        <v>-13.4</v>
      </c>
      <c r="W986" cm="1">
        <f t="array" ref="W986">_xlfn.IFS(OR(X986="N/A",X986="NA"),0,OR(X986="R64",X986="R68"),1,X986="R32",2,X986="S16",3,X986="E8",4,X986="F4",5,X986="2ND",6,X986="Champions",7)</f>
        <v>0</v>
      </c>
      <c r="X986" t="s">
        <v>90</v>
      </c>
      <c r="Y986" t="s">
        <v>90</v>
      </c>
      <c r="Z986">
        <v>2015</v>
      </c>
    </row>
    <row r="987" spans="1:26" x14ac:dyDescent="0.3">
      <c r="A987" t="s">
        <v>315</v>
      </c>
      <c r="B987" t="s">
        <v>64</v>
      </c>
      <c r="C987">
        <v>31</v>
      </c>
      <c r="D987">
        <v>19</v>
      </c>
      <c r="E987" s="1">
        <f t="shared" si="15"/>
        <v>0.61290322580645162</v>
      </c>
      <c r="F987">
        <v>113.4</v>
      </c>
      <c r="G987">
        <v>109.2</v>
      </c>
      <c r="H987">
        <v>0.60729999999999995</v>
      </c>
      <c r="I987">
        <v>58.6</v>
      </c>
      <c r="J987">
        <v>50.8</v>
      </c>
      <c r="K987">
        <v>19.3</v>
      </c>
      <c r="L987">
        <v>16.5</v>
      </c>
      <c r="M987">
        <v>26.4</v>
      </c>
      <c r="N987">
        <v>30.9</v>
      </c>
      <c r="O987">
        <v>34.5</v>
      </c>
      <c r="P987">
        <v>37.1</v>
      </c>
      <c r="Q987">
        <v>62.6</v>
      </c>
      <c r="R987">
        <v>49.5</v>
      </c>
      <c r="S987">
        <v>36.4</v>
      </c>
      <c r="T987">
        <v>35.4</v>
      </c>
      <c r="U987">
        <v>72.7</v>
      </c>
      <c r="V987">
        <v>-4.9000000000000004</v>
      </c>
      <c r="W987" cm="1">
        <f t="array" ref="W987">_xlfn.IFS(OR(X987="N/A",X987="NA"),0,OR(X987="R64",X987="R68"),1,X987="R32",2,X987="S16",3,X987="E8",4,X987="F4",5,X987="2ND",6,X987="Champions",7)</f>
        <v>0</v>
      </c>
      <c r="X987" t="s">
        <v>90</v>
      </c>
      <c r="Y987" t="s">
        <v>90</v>
      </c>
      <c r="Z987">
        <v>2016</v>
      </c>
    </row>
    <row r="988" spans="1:26" x14ac:dyDescent="0.3">
      <c r="A988" t="s">
        <v>305</v>
      </c>
      <c r="B988" t="s">
        <v>64</v>
      </c>
      <c r="C988">
        <v>28</v>
      </c>
      <c r="D988">
        <v>11</v>
      </c>
      <c r="E988" s="1">
        <f t="shared" si="15"/>
        <v>0.39285714285714285</v>
      </c>
      <c r="F988">
        <v>99.3</v>
      </c>
      <c r="G988">
        <v>108.5</v>
      </c>
      <c r="H988">
        <v>0.26650000000000001</v>
      </c>
      <c r="I988">
        <v>49.9</v>
      </c>
      <c r="J988">
        <v>51.4</v>
      </c>
      <c r="K988">
        <v>18</v>
      </c>
      <c r="L988">
        <v>19.5</v>
      </c>
      <c r="M988">
        <v>26.8</v>
      </c>
      <c r="N988">
        <v>34.700000000000003</v>
      </c>
      <c r="O988">
        <v>34.4</v>
      </c>
      <c r="P988">
        <v>40.5</v>
      </c>
      <c r="Q988">
        <v>48.8</v>
      </c>
      <c r="R988">
        <v>52</v>
      </c>
      <c r="S988">
        <v>34.4</v>
      </c>
      <c r="T988">
        <v>33.5</v>
      </c>
      <c r="U988">
        <v>67.8</v>
      </c>
      <c r="V988">
        <v>-12.3</v>
      </c>
      <c r="W988" cm="1">
        <f t="array" ref="W988">_xlfn.IFS(OR(X988="N/A",X988="NA"),0,OR(X988="R64",X988="R68"),1,X988="R32",2,X988="S16",3,X988="E8",4,X988="F4",5,X988="2ND",6,X988="Champions",7)</f>
        <v>0</v>
      </c>
      <c r="X988" t="s">
        <v>90</v>
      </c>
      <c r="Y988" t="s">
        <v>90</v>
      </c>
      <c r="Z988">
        <v>2016</v>
      </c>
    </row>
    <row r="989" spans="1:26" x14ac:dyDescent="0.3">
      <c r="A989" t="s">
        <v>306</v>
      </c>
      <c r="B989" t="s">
        <v>64</v>
      </c>
      <c r="C989">
        <v>30</v>
      </c>
      <c r="D989">
        <v>14</v>
      </c>
      <c r="E989" s="1">
        <f t="shared" si="15"/>
        <v>0.46666666666666667</v>
      </c>
      <c r="F989">
        <v>105.7</v>
      </c>
      <c r="G989">
        <v>109.2</v>
      </c>
      <c r="H989">
        <v>0.40670000000000001</v>
      </c>
      <c r="I989">
        <v>56</v>
      </c>
      <c r="J989">
        <v>53.1</v>
      </c>
      <c r="K989">
        <v>20.3</v>
      </c>
      <c r="L989">
        <v>20.3</v>
      </c>
      <c r="M989">
        <v>27</v>
      </c>
      <c r="N989">
        <v>34.200000000000003</v>
      </c>
      <c r="O989">
        <v>40.299999999999997</v>
      </c>
      <c r="P989">
        <v>42.3</v>
      </c>
      <c r="Q989">
        <v>54.2</v>
      </c>
      <c r="R989">
        <v>51.3</v>
      </c>
      <c r="S989">
        <v>39.5</v>
      </c>
      <c r="T989">
        <v>37.6</v>
      </c>
      <c r="U989">
        <v>73.2</v>
      </c>
      <c r="V989">
        <v>-10.5</v>
      </c>
      <c r="W989" cm="1">
        <f t="array" ref="W989">_xlfn.IFS(OR(X989="N/A",X989="NA"),0,OR(X989="R64",X989="R68"),1,X989="R32",2,X989="S16",3,X989="E8",4,X989="F4",5,X989="2ND",6,X989="Champions",7)</f>
        <v>0</v>
      </c>
      <c r="X989" t="s">
        <v>90</v>
      </c>
      <c r="Y989" t="s">
        <v>90</v>
      </c>
      <c r="Z989">
        <v>2016</v>
      </c>
    </row>
    <row r="990" spans="1:26" x14ac:dyDescent="0.3">
      <c r="A990" t="s">
        <v>307</v>
      </c>
      <c r="B990" t="s">
        <v>64</v>
      </c>
      <c r="C990">
        <v>29</v>
      </c>
      <c r="D990">
        <v>7</v>
      </c>
      <c r="E990" s="1">
        <f t="shared" si="15"/>
        <v>0.2413793103448276</v>
      </c>
      <c r="F990">
        <v>96.9</v>
      </c>
      <c r="G990">
        <v>108.7</v>
      </c>
      <c r="H990">
        <v>0.20979999999999999</v>
      </c>
      <c r="I990">
        <v>46.6</v>
      </c>
      <c r="J990">
        <v>52</v>
      </c>
      <c r="K990">
        <v>16.3</v>
      </c>
      <c r="L990">
        <v>18.600000000000001</v>
      </c>
      <c r="M990">
        <v>27</v>
      </c>
      <c r="N990">
        <v>34.1</v>
      </c>
      <c r="O990">
        <v>30.9</v>
      </c>
      <c r="P990">
        <v>42.6</v>
      </c>
      <c r="Q990">
        <v>43.2</v>
      </c>
      <c r="R990">
        <v>53</v>
      </c>
      <c r="S990">
        <v>34.5</v>
      </c>
      <c r="T990">
        <v>33.299999999999997</v>
      </c>
      <c r="U990">
        <v>66</v>
      </c>
      <c r="V990">
        <v>-18</v>
      </c>
      <c r="W990" cm="1">
        <f t="array" ref="W990">_xlfn.IFS(OR(X990="N/A",X990="NA"),0,OR(X990="R64",X990="R68"),1,X990="R32",2,X990="S16",3,X990="E8",4,X990="F4",5,X990="2ND",6,X990="Champions",7)</f>
        <v>0</v>
      </c>
      <c r="X990" t="s">
        <v>90</v>
      </c>
      <c r="Y990" t="s">
        <v>90</v>
      </c>
      <c r="Z990">
        <v>2016</v>
      </c>
    </row>
    <row r="991" spans="1:26" x14ac:dyDescent="0.3">
      <c r="A991" t="s">
        <v>308</v>
      </c>
      <c r="B991" t="s">
        <v>64</v>
      </c>
      <c r="C991">
        <v>35</v>
      </c>
      <c r="D991">
        <v>21</v>
      </c>
      <c r="E991" s="1">
        <f t="shared" si="15"/>
        <v>0.6</v>
      </c>
      <c r="F991">
        <v>105</v>
      </c>
      <c r="G991">
        <v>103.2</v>
      </c>
      <c r="H991">
        <v>0.5514</v>
      </c>
      <c r="I991">
        <v>48</v>
      </c>
      <c r="J991">
        <v>50.6</v>
      </c>
      <c r="K991">
        <v>18.600000000000001</v>
      </c>
      <c r="L991">
        <v>21.4</v>
      </c>
      <c r="M991">
        <v>38.6</v>
      </c>
      <c r="N991">
        <v>29</v>
      </c>
      <c r="O991">
        <v>35.299999999999997</v>
      </c>
      <c r="P991">
        <v>53.7</v>
      </c>
      <c r="Q991">
        <v>45.8</v>
      </c>
      <c r="R991">
        <v>49</v>
      </c>
      <c r="S991">
        <v>36.200000000000003</v>
      </c>
      <c r="T991">
        <v>35.700000000000003</v>
      </c>
      <c r="U991">
        <v>66.3</v>
      </c>
      <c r="V991">
        <v>-6.4</v>
      </c>
      <c r="W991" cm="1">
        <f t="array" ref="W991">_xlfn.IFS(OR(X991="N/A",X991="NA"),0,OR(X991="R64",X991="R68"),1,X991="R32",2,X991="S16",3,X991="E8",4,X991="F4",5,X991="2ND",6,X991="Champions",7)</f>
        <v>0</v>
      </c>
      <c r="X991" t="s">
        <v>90</v>
      </c>
      <c r="Y991" t="s">
        <v>90</v>
      </c>
      <c r="Z991">
        <v>2016</v>
      </c>
    </row>
    <row r="992" spans="1:26" x14ac:dyDescent="0.3">
      <c r="A992" t="s">
        <v>309</v>
      </c>
      <c r="B992" t="s">
        <v>64</v>
      </c>
      <c r="C992">
        <v>29</v>
      </c>
      <c r="D992">
        <v>15</v>
      </c>
      <c r="E992" s="1">
        <f t="shared" si="15"/>
        <v>0.51724137931034486</v>
      </c>
      <c r="F992">
        <v>106.8</v>
      </c>
      <c r="G992">
        <v>105.1</v>
      </c>
      <c r="H992">
        <v>0.54549999999999998</v>
      </c>
      <c r="I992">
        <v>51.6</v>
      </c>
      <c r="J992">
        <v>52.2</v>
      </c>
      <c r="K992">
        <v>17.8</v>
      </c>
      <c r="L992">
        <v>19.2</v>
      </c>
      <c r="M992">
        <v>28.7</v>
      </c>
      <c r="N992">
        <v>26.2</v>
      </c>
      <c r="O992">
        <v>34.1</v>
      </c>
      <c r="P992">
        <v>40.799999999999997</v>
      </c>
      <c r="Q992">
        <v>50.1</v>
      </c>
      <c r="R992">
        <v>51.1</v>
      </c>
      <c r="S992">
        <v>36.1</v>
      </c>
      <c r="T992">
        <v>36.1</v>
      </c>
      <c r="U992">
        <v>65.3</v>
      </c>
      <c r="V992">
        <v>-9</v>
      </c>
      <c r="W992" cm="1">
        <f t="array" ref="W992">_xlfn.IFS(OR(X992="N/A",X992="NA"),0,OR(X992="R64",X992="R68"),1,X992="R32",2,X992="S16",3,X992="E8",4,X992="F4",5,X992="2ND",6,X992="Champions",7)</f>
        <v>0</v>
      </c>
      <c r="X992" t="s">
        <v>90</v>
      </c>
      <c r="Y992" t="s">
        <v>90</v>
      </c>
      <c r="Z992">
        <v>2016</v>
      </c>
    </row>
    <row r="993" spans="1:26" x14ac:dyDescent="0.3">
      <c r="A993" t="s">
        <v>310</v>
      </c>
      <c r="B993" t="s">
        <v>64</v>
      </c>
      <c r="C993">
        <v>28</v>
      </c>
      <c r="D993">
        <v>6</v>
      </c>
      <c r="E993" s="1">
        <f t="shared" si="15"/>
        <v>0.21428571428571427</v>
      </c>
      <c r="F993">
        <v>94.6</v>
      </c>
      <c r="G993">
        <v>108.3</v>
      </c>
      <c r="H993">
        <v>0.17330000000000001</v>
      </c>
      <c r="I993">
        <v>44.8</v>
      </c>
      <c r="J993">
        <v>51.8</v>
      </c>
      <c r="K993">
        <v>19.7</v>
      </c>
      <c r="L993">
        <v>17.600000000000001</v>
      </c>
      <c r="M993">
        <v>32.4</v>
      </c>
      <c r="N993">
        <v>29.3</v>
      </c>
      <c r="O993">
        <v>36.9</v>
      </c>
      <c r="P993">
        <v>43.9</v>
      </c>
      <c r="Q993">
        <v>44.4</v>
      </c>
      <c r="R993">
        <v>50</v>
      </c>
      <c r="S993">
        <v>30.4</v>
      </c>
      <c r="T993">
        <v>37.200000000000003</v>
      </c>
      <c r="U993">
        <v>67.3</v>
      </c>
      <c r="V993">
        <v>-16.7</v>
      </c>
      <c r="W993" cm="1">
        <f t="array" ref="W993">_xlfn.IFS(OR(X993="N/A",X993="NA"),0,OR(X993="R64",X993="R68"),1,X993="R32",2,X993="S16",3,X993="E8",4,X993="F4",5,X993="2ND",6,X993="Champions",7)</f>
        <v>0</v>
      </c>
      <c r="X993" t="s">
        <v>90</v>
      </c>
      <c r="Y993" t="s">
        <v>90</v>
      </c>
      <c r="Z993">
        <v>2016</v>
      </c>
    </row>
    <row r="994" spans="1:26" x14ac:dyDescent="0.3">
      <c r="A994" t="s">
        <v>311</v>
      </c>
      <c r="B994" t="s">
        <v>64</v>
      </c>
      <c r="C994">
        <v>27</v>
      </c>
      <c r="D994">
        <v>3</v>
      </c>
      <c r="E994" s="1">
        <f t="shared" si="15"/>
        <v>0.1111111111111111</v>
      </c>
      <c r="F994">
        <v>91</v>
      </c>
      <c r="G994">
        <v>108.9</v>
      </c>
      <c r="H994">
        <v>0.11260000000000001</v>
      </c>
      <c r="I994">
        <v>44.1</v>
      </c>
      <c r="J994">
        <v>54</v>
      </c>
      <c r="K994">
        <v>19.8</v>
      </c>
      <c r="L994">
        <v>18.5</v>
      </c>
      <c r="M994">
        <v>28.5</v>
      </c>
      <c r="N994">
        <v>29.6</v>
      </c>
      <c r="O994">
        <v>35.700000000000003</v>
      </c>
      <c r="P994">
        <v>31.9</v>
      </c>
      <c r="Q994">
        <v>44.6</v>
      </c>
      <c r="R994">
        <v>55.3</v>
      </c>
      <c r="S994">
        <v>28.8</v>
      </c>
      <c r="T994">
        <v>34.700000000000003</v>
      </c>
      <c r="U994">
        <v>71.900000000000006</v>
      </c>
      <c r="V994">
        <v>-19.2</v>
      </c>
      <c r="W994" cm="1">
        <f t="array" ref="W994">_xlfn.IFS(OR(X994="N/A",X994="NA"),0,OR(X994="R64",X994="R68"),1,X994="R32",2,X994="S16",3,X994="E8",4,X994="F4",5,X994="2ND",6,X994="Champions",7)</f>
        <v>0</v>
      </c>
      <c r="X994" t="s">
        <v>90</v>
      </c>
      <c r="Y994" t="s">
        <v>90</v>
      </c>
      <c r="Z994">
        <v>2016</v>
      </c>
    </row>
    <row r="995" spans="1:26" x14ac:dyDescent="0.3">
      <c r="A995" t="s">
        <v>312</v>
      </c>
      <c r="B995" t="s">
        <v>64</v>
      </c>
      <c r="C995">
        <v>33</v>
      </c>
      <c r="D995">
        <v>18</v>
      </c>
      <c r="E995" s="1">
        <f t="shared" si="15"/>
        <v>0.54545454545454541</v>
      </c>
      <c r="F995">
        <v>103.3</v>
      </c>
      <c r="G995">
        <v>108.7</v>
      </c>
      <c r="H995">
        <v>0.3569</v>
      </c>
      <c r="I995">
        <v>50.5</v>
      </c>
      <c r="J995">
        <v>50.8</v>
      </c>
      <c r="K995">
        <v>18.2</v>
      </c>
      <c r="L995">
        <v>17</v>
      </c>
      <c r="M995">
        <v>29.5</v>
      </c>
      <c r="N995">
        <v>29.4</v>
      </c>
      <c r="O995">
        <v>35.6</v>
      </c>
      <c r="P995">
        <v>30</v>
      </c>
      <c r="Q995">
        <v>49.8</v>
      </c>
      <c r="R995">
        <v>50.8</v>
      </c>
      <c r="S995">
        <v>34.4</v>
      </c>
      <c r="T995">
        <v>33.799999999999997</v>
      </c>
      <c r="U995">
        <v>67.5</v>
      </c>
      <c r="V995">
        <v>-9</v>
      </c>
      <c r="W995" cm="1">
        <f t="array" ref="W995">_xlfn.IFS(OR(X995="N/A",X995="NA"),0,OR(X995="R64",X995="R68"),1,X995="R32",2,X995="S16",3,X995="E8",4,X995="F4",5,X995="2ND",6,X995="Champions",7)</f>
        <v>0</v>
      </c>
      <c r="X995" t="s">
        <v>90</v>
      </c>
      <c r="Y995" t="s">
        <v>90</v>
      </c>
      <c r="Z995">
        <v>2016</v>
      </c>
    </row>
    <row r="996" spans="1:26" x14ac:dyDescent="0.3">
      <c r="A996" t="s">
        <v>313</v>
      </c>
      <c r="B996" t="s">
        <v>64</v>
      </c>
      <c r="C996">
        <v>29</v>
      </c>
      <c r="D996">
        <v>18</v>
      </c>
      <c r="E996" s="1">
        <f t="shared" si="15"/>
        <v>0.62068965517241381</v>
      </c>
      <c r="F996">
        <v>99.8</v>
      </c>
      <c r="G996">
        <v>100</v>
      </c>
      <c r="H996">
        <v>0.49320000000000003</v>
      </c>
      <c r="I996">
        <v>50.4</v>
      </c>
      <c r="J996">
        <v>49.5</v>
      </c>
      <c r="K996">
        <v>19.2</v>
      </c>
      <c r="L996">
        <v>21.6</v>
      </c>
      <c r="M996">
        <v>31.4</v>
      </c>
      <c r="N996">
        <v>29</v>
      </c>
      <c r="O996">
        <v>41.5</v>
      </c>
      <c r="P996">
        <v>42.7</v>
      </c>
      <c r="Q996">
        <v>50</v>
      </c>
      <c r="R996">
        <v>45.4</v>
      </c>
      <c r="S996">
        <v>34.1</v>
      </c>
      <c r="T996">
        <v>36.799999999999997</v>
      </c>
      <c r="U996">
        <v>68.8</v>
      </c>
      <c r="V996">
        <v>-6</v>
      </c>
      <c r="W996" cm="1">
        <f t="array" ref="W996">_xlfn.IFS(OR(X996="N/A",X996="NA"),0,OR(X996="R64",X996="R68"),1,X996="R32",2,X996="S16",3,X996="E8",4,X996="F4",5,X996="2ND",6,X996="Champions",7)</f>
        <v>0</v>
      </c>
      <c r="X996" t="s">
        <v>90</v>
      </c>
      <c r="Y996" t="s">
        <v>90</v>
      </c>
      <c r="Z996">
        <v>2016</v>
      </c>
    </row>
    <row r="997" spans="1:26" x14ac:dyDescent="0.3">
      <c r="A997" t="s">
        <v>314</v>
      </c>
      <c r="B997" t="s">
        <v>64</v>
      </c>
      <c r="C997">
        <v>29</v>
      </c>
      <c r="D997">
        <v>17</v>
      </c>
      <c r="E997" s="1">
        <f t="shared" si="15"/>
        <v>0.58620689655172409</v>
      </c>
      <c r="F997">
        <v>106.6</v>
      </c>
      <c r="G997">
        <v>111.2</v>
      </c>
      <c r="H997">
        <v>0.38069999999999998</v>
      </c>
      <c r="I997">
        <v>52.4</v>
      </c>
      <c r="J997">
        <v>50.6</v>
      </c>
      <c r="K997">
        <v>17.8</v>
      </c>
      <c r="L997">
        <v>16</v>
      </c>
      <c r="M997">
        <v>27.6</v>
      </c>
      <c r="N997">
        <v>31.9</v>
      </c>
      <c r="O997">
        <v>44</v>
      </c>
      <c r="P997">
        <v>32.799999999999997</v>
      </c>
      <c r="Q997">
        <v>51.3</v>
      </c>
      <c r="R997">
        <v>48.5</v>
      </c>
      <c r="S997">
        <v>35.9</v>
      </c>
      <c r="T997">
        <v>36.4</v>
      </c>
      <c r="U997">
        <v>70.099999999999994</v>
      </c>
      <c r="V997">
        <v>-6</v>
      </c>
      <c r="W997" cm="1">
        <f t="array" ref="W997">_xlfn.IFS(OR(X997="N/A",X997="NA"),0,OR(X997="R64",X997="R68"),1,X997="R32",2,X997="S16",3,X997="E8",4,X997="F4",5,X997="2ND",6,X997="Champions",7)</f>
        <v>0</v>
      </c>
      <c r="X997" t="s">
        <v>90</v>
      </c>
      <c r="Y997" t="s">
        <v>90</v>
      </c>
      <c r="Z997">
        <v>2016</v>
      </c>
    </row>
    <row r="998" spans="1:26" x14ac:dyDescent="0.3">
      <c r="A998" t="s">
        <v>304</v>
      </c>
      <c r="B998" t="s">
        <v>64</v>
      </c>
      <c r="C998">
        <v>28</v>
      </c>
      <c r="D998">
        <v>11</v>
      </c>
      <c r="E998" s="1">
        <f t="shared" si="15"/>
        <v>0.39285714285714285</v>
      </c>
      <c r="F998">
        <v>104.5</v>
      </c>
      <c r="G998">
        <v>116.9</v>
      </c>
      <c r="H998">
        <v>0.21690000000000001</v>
      </c>
      <c r="I998">
        <v>52.4</v>
      </c>
      <c r="J998">
        <v>56.4</v>
      </c>
      <c r="K998">
        <v>17.3</v>
      </c>
      <c r="L998">
        <v>17.600000000000001</v>
      </c>
      <c r="M998">
        <v>24.2</v>
      </c>
      <c r="N998">
        <v>35.799999999999997</v>
      </c>
      <c r="O998">
        <v>41</v>
      </c>
      <c r="P998">
        <v>29.5</v>
      </c>
      <c r="Q998">
        <v>52.2</v>
      </c>
      <c r="R998">
        <v>56.9</v>
      </c>
      <c r="S998">
        <v>35.200000000000003</v>
      </c>
      <c r="T998">
        <v>37</v>
      </c>
      <c r="U998">
        <v>71.3</v>
      </c>
      <c r="V998">
        <v>-13.8</v>
      </c>
      <c r="W998" cm="1">
        <f t="array" ref="W998">_xlfn.IFS(OR(X998="N/A",X998="NA"),0,OR(X998="R64",X998="R68"),1,X998="R32",2,X998="S16",3,X998="E8",4,X998="F4",5,X998="2ND",6,X998="Champions",7)</f>
        <v>0</v>
      </c>
      <c r="X998" t="s">
        <v>90</v>
      </c>
      <c r="Y998" t="s">
        <v>90</v>
      </c>
      <c r="Z998">
        <v>2017</v>
      </c>
    </row>
    <row r="999" spans="1:26" x14ac:dyDescent="0.3">
      <c r="A999" t="s">
        <v>315</v>
      </c>
      <c r="B999" t="s">
        <v>64</v>
      </c>
      <c r="C999">
        <v>29</v>
      </c>
      <c r="D999">
        <v>23</v>
      </c>
      <c r="E999" s="1">
        <f t="shared" si="15"/>
        <v>0.7931034482758621</v>
      </c>
      <c r="F999">
        <v>108.8</v>
      </c>
      <c r="G999">
        <v>103.3</v>
      </c>
      <c r="H999">
        <v>0.64549999999999996</v>
      </c>
      <c r="I999">
        <v>55.7</v>
      </c>
      <c r="J999">
        <v>48.3</v>
      </c>
      <c r="K999">
        <v>18.399999999999999</v>
      </c>
      <c r="L999">
        <v>16</v>
      </c>
      <c r="M999">
        <v>25.6</v>
      </c>
      <c r="N999">
        <v>25</v>
      </c>
      <c r="O999">
        <v>29.4</v>
      </c>
      <c r="P999">
        <v>31.9</v>
      </c>
      <c r="Q999">
        <v>60.9</v>
      </c>
      <c r="R999">
        <v>48.6</v>
      </c>
      <c r="S999">
        <v>34.1</v>
      </c>
      <c r="T999">
        <v>31.8</v>
      </c>
      <c r="U999">
        <v>69.5</v>
      </c>
      <c r="V999">
        <v>-0.7</v>
      </c>
      <c r="W999" cm="1">
        <f t="array" ref="W999">_xlfn.IFS(OR(X999="N/A",X999="NA"),0,OR(X999="R64",X999="R68"),1,X999="R32",2,X999="S16",3,X999="E8",4,X999="F4",5,X999="2ND",6,X999="Champions",7)</f>
        <v>0</v>
      </c>
      <c r="X999" t="s">
        <v>90</v>
      </c>
      <c r="Y999" t="s">
        <v>90</v>
      </c>
      <c r="Z999">
        <v>2017</v>
      </c>
    </row>
    <row r="1000" spans="1:26" x14ac:dyDescent="0.3">
      <c r="A1000" t="s">
        <v>305</v>
      </c>
      <c r="B1000" t="s">
        <v>64</v>
      </c>
      <c r="C1000">
        <v>27</v>
      </c>
      <c r="D1000">
        <v>14</v>
      </c>
      <c r="E1000" s="1">
        <f t="shared" si="15"/>
        <v>0.51851851851851849</v>
      </c>
      <c r="F1000">
        <v>99.7</v>
      </c>
      <c r="G1000">
        <v>103.7</v>
      </c>
      <c r="H1000">
        <v>0.38700000000000001</v>
      </c>
      <c r="I1000">
        <v>47.8</v>
      </c>
      <c r="J1000">
        <v>49.7</v>
      </c>
      <c r="K1000">
        <v>17.5</v>
      </c>
      <c r="L1000">
        <v>21</v>
      </c>
      <c r="M1000">
        <v>29.5</v>
      </c>
      <c r="N1000">
        <v>32.4</v>
      </c>
      <c r="O1000">
        <v>26.9</v>
      </c>
      <c r="P1000">
        <v>39.299999999999997</v>
      </c>
      <c r="Q1000">
        <v>43.5</v>
      </c>
      <c r="R1000">
        <v>47.6</v>
      </c>
      <c r="S1000">
        <v>36.6</v>
      </c>
      <c r="T1000">
        <v>35.9</v>
      </c>
      <c r="U1000">
        <v>70.099999999999994</v>
      </c>
      <c r="V1000">
        <v>-11.5</v>
      </c>
      <c r="W1000" cm="1">
        <f t="array" ref="W1000">_xlfn.IFS(OR(X1000="N/A",X1000="NA"),0,OR(X1000="R64",X1000="R68"),1,X1000="R32",2,X1000="S16",3,X1000="E8",4,X1000="F4",5,X1000="2ND",6,X1000="Champions",7)</f>
        <v>0</v>
      </c>
      <c r="X1000" t="s">
        <v>90</v>
      </c>
      <c r="Y1000" t="s">
        <v>90</v>
      </c>
      <c r="Z1000">
        <v>2017</v>
      </c>
    </row>
    <row r="1001" spans="1:26" x14ac:dyDescent="0.3">
      <c r="A1001" t="s">
        <v>306</v>
      </c>
      <c r="B1001" t="s">
        <v>64</v>
      </c>
      <c r="C1001">
        <v>29</v>
      </c>
      <c r="D1001">
        <v>12</v>
      </c>
      <c r="E1001" s="1">
        <f t="shared" si="15"/>
        <v>0.41379310344827586</v>
      </c>
      <c r="F1001">
        <v>98.2</v>
      </c>
      <c r="G1001">
        <v>106.4</v>
      </c>
      <c r="H1001">
        <v>0.28439999999999999</v>
      </c>
      <c r="I1001">
        <v>49.4</v>
      </c>
      <c r="J1001">
        <v>51.4</v>
      </c>
      <c r="K1001">
        <v>19.8</v>
      </c>
      <c r="L1001">
        <v>19.2</v>
      </c>
      <c r="M1001">
        <v>25.2</v>
      </c>
      <c r="N1001">
        <v>32.9</v>
      </c>
      <c r="O1001">
        <v>37.4</v>
      </c>
      <c r="P1001">
        <v>40.5</v>
      </c>
      <c r="Q1001">
        <v>50.1</v>
      </c>
      <c r="R1001">
        <v>49.8</v>
      </c>
      <c r="S1001">
        <v>32.299999999999997</v>
      </c>
      <c r="T1001">
        <v>36.200000000000003</v>
      </c>
      <c r="U1001">
        <v>69.099999999999994</v>
      </c>
      <c r="V1001">
        <v>-13.3</v>
      </c>
      <c r="W1001" cm="1">
        <f t="array" ref="W1001">_xlfn.IFS(OR(X1001="N/A",X1001="NA"),0,OR(X1001="R64",X1001="R68"),1,X1001="R32",2,X1001="S16",3,X1001="E8",4,X1001="F4",5,X1001="2ND",6,X1001="Champions",7)</f>
        <v>0</v>
      </c>
      <c r="X1001" t="s">
        <v>90</v>
      </c>
      <c r="Y1001" t="s">
        <v>90</v>
      </c>
      <c r="Z1001">
        <v>2017</v>
      </c>
    </row>
    <row r="1002" spans="1:26" x14ac:dyDescent="0.3">
      <c r="A1002" t="s">
        <v>308</v>
      </c>
      <c r="B1002" t="s">
        <v>64</v>
      </c>
      <c r="C1002">
        <v>28</v>
      </c>
      <c r="D1002">
        <v>14</v>
      </c>
      <c r="E1002" s="1">
        <f t="shared" si="15"/>
        <v>0.5</v>
      </c>
      <c r="F1002">
        <v>105.2</v>
      </c>
      <c r="G1002">
        <v>108.3</v>
      </c>
      <c r="H1002">
        <v>0.41789999999999999</v>
      </c>
      <c r="I1002">
        <v>51</v>
      </c>
      <c r="J1002">
        <v>55.1</v>
      </c>
      <c r="K1002">
        <v>18.5</v>
      </c>
      <c r="L1002">
        <v>19.399999999999999</v>
      </c>
      <c r="M1002">
        <v>35.200000000000003</v>
      </c>
      <c r="N1002">
        <v>28.1</v>
      </c>
      <c r="O1002">
        <v>28.8</v>
      </c>
      <c r="P1002">
        <v>42.1</v>
      </c>
      <c r="Q1002">
        <v>48</v>
      </c>
      <c r="R1002">
        <v>51.8</v>
      </c>
      <c r="S1002">
        <v>38.700000000000003</v>
      </c>
      <c r="T1002">
        <v>40.200000000000003</v>
      </c>
      <c r="U1002">
        <v>69.8</v>
      </c>
      <c r="V1002">
        <v>-10.3</v>
      </c>
      <c r="W1002" cm="1">
        <f t="array" ref="W1002">_xlfn.IFS(OR(X1002="N/A",X1002="NA"),0,OR(X1002="R64",X1002="R68"),1,X1002="R32",2,X1002="S16",3,X1002="E8",4,X1002="F4",5,X1002="2ND",6,X1002="Champions",7)</f>
        <v>0</v>
      </c>
      <c r="X1002" t="s">
        <v>90</v>
      </c>
      <c r="Y1002" t="s">
        <v>90</v>
      </c>
      <c r="Z1002">
        <v>2017</v>
      </c>
    </row>
    <row r="1003" spans="1:26" x14ac:dyDescent="0.3">
      <c r="A1003" t="s">
        <v>309</v>
      </c>
      <c r="B1003" t="s">
        <v>64</v>
      </c>
      <c r="C1003">
        <v>31</v>
      </c>
      <c r="D1003">
        <v>16</v>
      </c>
      <c r="E1003" s="1">
        <f t="shared" si="15"/>
        <v>0.5161290322580645</v>
      </c>
      <c r="F1003">
        <v>105.4</v>
      </c>
      <c r="G1003">
        <v>110</v>
      </c>
      <c r="H1003">
        <v>0.38030000000000003</v>
      </c>
      <c r="I1003">
        <v>50.8</v>
      </c>
      <c r="J1003">
        <v>52.1</v>
      </c>
      <c r="K1003">
        <v>16.899999999999999</v>
      </c>
      <c r="L1003">
        <v>17.899999999999999</v>
      </c>
      <c r="M1003">
        <v>31.8</v>
      </c>
      <c r="N1003">
        <v>29.6</v>
      </c>
      <c r="O1003">
        <v>34.9</v>
      </c>
      <c r="P1003">
        <v>38.5</v>
      </c>
      <c r="Q1003">
        <v>48.5</v>
      </c>
      <c r="R1003">
        <v>51</v>
      </c>
      <c r="S1003">
        <v>36.1</v>
      </c>
      <c r="T1003">
        <v>35.9</v>
      </c>
      <c r="U1003">
        <v>70</v>
      </c>
      <c r="V1003">
        <v>-12</v>
      </c>
      <c r="W1003" cm="1">
        <f t="array" ref="W1003">_xlfn.IFS(OR(X1003="N/A",X1003="NA"),0,OR(X1003="R64",X1003="R68"),1,X1003="R32",2,X1003="S16",3,X1003="E8",4,X1003="F4",5,X1003="2ND",6,X1003="Champions",7)</f>
        <v>0</v>
      </c>
      <c r="X1003" t="s">
        <v>90</v>
      </c>
      <c r="Y1003" t="s">
        <v>90</v>
      </c>
      <c r="Z1003">
        <v>2017</v>
      </c>
    </row>
    <row r="1004" spans="1:26" x14ac:dyDescent="0.3">
      <c r="A1004" t="s">
        <v>310</v>
      </c>
      <c r="B1004" t="s">
        <v>64</v>
      </c>
      <c r="C1004">
        <v>28</v>
      </c>
      <c r="D1004">
        <v>6</v>
      </c>
      <c r="E1004" s="1">
        <f t="shared" si="15"/>
        <v>0.21428571428571427</v>
      </c>
      <c r="F1004">
        <v>94.6</v>
      </c>
      <c r="G1004">
        <v>108.7</v>
      </c>
      <c r="H1004">
        <v>0.16800000000000001</v>
      </c>
      <c r="I1004">
        <v>45</v>
      </c>
      <c r="J1004">
        <v>52.7</v>
      </c>
      <c r="K1004">
        <v>20.3</v>
      </c>
      <c r="L1004">
        <v>18.3</v>
      </c>
      <c r="M1004">
        <v>31.6</v>
      </c>
      <c r="N1004">
        <v>28.5</v>
      </c>
      <c r="O1004">
        <v>45.7</v>
      </c>
      <c r="P1004">
        <v>44.9</v>
      </c>
      <c r="Q1004">
        <v>45.5</v>
      </c>
      <c r="R1004">
        <v>54</v>
      </c>
      <c r="S1004">
        <v>29.2</v>
      </c>
      <c r="T1004">
        <v>33.200000000000003</v>
      </c>
      <c r="U1004">
        <v>70.900000000000006</v>
      </c>
      <c r="V1004">
        <v>-18</v>
      </c>
      <c r="W1004" cm="1">
        <f t="array" ref="W1004">_xlfn.IFS(OR(X1004="N/A",X1004="NA"),0,OR(X1004="R64",X1004="R68"),1,X1004="R32",2,X1004="S16",3,X1004="E8",4,X1004="F4",5,X1004="2ND",6,X1004="Champions",7)</f>
        <v>0</v>
      </c>
      <c r="X1004" t="s">
        <v>90</v>
      </c>
      <c r="Y1004" t="s">
        <v>90</v>
      </c>
      <c r="Z1004">
        <v>2017</v>
      </c>
    </row>
    <row r="1005" spans="1:26" x14ac:dyDescent="0.3">
      <c r="A1005" t="s">
        <v>311</v>
      </c>
      <c r="B1005" t="s">
        <v>64</v>
      </c>
      <c r="C1005">
        <v>31</v>
      </c>
      <c r="D1005">
        <v>15</v>
      </c>
      <c r="E1005" s="1">
        <f t="shared" si="15"/>
        <v>0.4838709677419355</v>
      </c>
      <c r="F1005">
        <v>101.7</v>
      </c>
      <c r="G1005">
        <v>108.7</v>
      </c>
      <c r="H1005">
        <v>0.31609999999999999</v>
      </c>
      <c r="I1005">
        <v>51.4</v>
      </c>
      <c r="J1005">
        <v>55.3</v>
      </c>
      <c r="K1005">
        <v>17.600000000000001</v>
      </c>
      <c r="L1005">
        <v>21.9</v>
      </c>
      <c r="M1005">
        <v>24.7</v>
      </c>
      <c r="N1005">
        <v>30.1</v>
      </c>
      <c r="O1005">
        <v>35.1</v>
      </c>
      <c r="P1005">
        <v>39</v>
      </c>
      <c r="Q1005">
        <v>49</v>
      </c>
      <c r="R1005">
        <v>55.3</v>
      </c>
      <c r="S1005">
        <v>36.799999999999997</v>
      </c>
      <c r="T1005">
        <v>36.9</v>
      </c>
      <c r="U1005">
        <v>69.8</v>
      </c>
      <c r="V1005">
        <v>-13</v>
      </c>
      <c r="W1005" cm="1">
        <f t="array" ref="W1005">_xlfn.IFS(OR(X1005="N/A",X1005="NA"),0,OR(X1005="R64",X1005="R68"),1,X1005="R32",2,X1005="S16",3,X1005="E8",4,X1005="F4",5,X1005="2ND",6,X1005="Champions",7)</f>
        <v>0</v>
      </c>
      <c r="X1005" t="s">
        <v>90</v>
      </c>
      <c r="Y1005" t="s">
        <v>90</v>
      </c>
      <c r="Z1005">
        <v>2017</v>
      </c>
    </row>
    <row r="1006" spans="1:26" x14ac:dyDescent="0.3">
      <c r="A1006" t="s">
        <v>312</v>
      </c>
      <c r="B1006" t="s">
        <v>64</v>
      </c>
      <c r="C1006">
        <v>33</v>
      </c>
      <c r="D1006">
        <v>22</v>
      </c>
      <c r="E1006" s="1">
        <f t="shared" si="15"/>
        <v>0.66666666666666663</v>
      </c>
      <c r="F1006">
        <v>105.2</v>
      </c>
      <c r="G1006">
        <v>110.3</v>
      </c>
      <c r="H1006">
        <v>0.36799999999999999</v>
      </c>
      <c r="I1006">
        <v>52.7</v>
      </c>
      <c r="J1006">
        <v>52.6</v>
      </c>
      <c r="K1006">
        <v>21.6</v>
      </c>
      <c r="L1006">
        <v>19</v>
      </c>
      <c r="M1006">
        <v>37.4</v>
      </c>
      <c r="N1006">
        <v>32.4</v>
      </c>
      <c r="O1006">
        <v>34.299999999999997</v>
      </c>
      <c r="P1006">
        <v>31.1</v>
      </c>
      <c r="Q1006">
        <v>53.2</v>
      </c>
      <c r="R1006">
        <v>52.8</v>
      </c>
      <c r="S1006">
        <v>34.700000000000003</v>
      </c>
      <c r="T1006">
        <v>35</v>
      </c>
      <c r="U1006">
        <v>69.2</v>
      </c>
      <c r="V1006">
        <v>-6.7</v>
      </c>
      <c r="W1006" cm="1">
        <f t="array" ref="W1006">_xlfn.IFS(OR(X1006="N/A",X1006="NA"),0,OR(X1006="R64",X1006="R68"),1,X1006="R32",2,X1006="S16",3,X1006="E8",4,X1006="F4",5,X1006="2ND",6,X1006="Champions",7)</f>
        <v>0</v>
      </c>
      <c r="X1006" t="s">
        <v>90</v>
      </c>
      <c r="Y1006" t="s">
        <v>90</v>
      </c>
      <c r="Z1006">
        <v>2017</v>
      </c>
    </row>
    <row r="1007" spans="1:26" x14ac:dyDescent="0.3">
      <c r="A1007" t="s">
        <v>313</v>
      </c>
      <c r="B1007" t="s">
        <v>64</v>
      </c>
      <c r="C1007">
        <v>28</v>
      </c>
      <c r="D1007">
        <v>17</v>
      </c>
      <c r="E1007" s="1">
        <f t="shared" si="15"/>
        <v>0.6071428571428571</v>
      </c>
      <c r="F1007">
        <v>99.3</v>
      </c>
      <c r="G1007">
        <v>98.2</v>
      </c>
      <c r="H1007">
        <v>0.53259999999999996</v>
      </c>
      <c r="I1007">
        <v>48.7</v>
      </c>
      <c r="J1007">
        <v>48.5</v>
      </c>
      <c r="K1007">
        <v>21.7</v>
      </c>
      <c r="L1007">
        <v>21.4</v>
      </c>
      <c r="M1007">
        <v>34.200000000000003</v>
      </c>
      <c r="N1007">
        <v>28</v>
      </c>
      <c r="O1007">
        <v>39.5</v>
      </c>
      <c r="P1007">
        <v>48.7</v>
      </c>
      <c r="Q1007">
        <v>48.3</v>
      </c>
      <c r="R1007">
        <v>45.4</v>
      </c>
      <c r="S1007">
        <v>33.1</v>
      </c>
      <c r="T1007">
        <v>35</v>
      </c>
      <c r="U1007">
        <v>68.5</v>
      </c>
      <c r="V1007">
        <v>-7.2</v>
      </c>
      <c r="W1007" cm="1">
        <f t="array" ref="W1007">_xlfn.IFS(OR(X1007="N/A",X1007="NA"),0,OR(X1007="R64",X1007="R68"),1,X1007="R32",2,X1007="S16",3,X1007="E8",4,X1007="F4",5,X1007="2ND",6,X1007="Champions",7)</f>
        <v>0</v>
      </c>
      <c r="X1007" t="s">
        <v>90</v>
      </c>
      <c r="Y1007" t="s">
        <v>90</v>
      </c>
      <c r="Z1007">
        <v>2017</v>
      </c>
    </row>
    <row r="1008" spans="1:26" x14ac:dyDescent="0.3">
      <c r="A1008" t="s">
        <v>314</v>
      </c>
      <c r="B1008" t="s">
        <v>64</v>
      </c>
      <c r="C1008">
        <v>30</v>
      </c>
      <c r="D1008">
        <v>12</v>
      </c>
      <c r="E1008" s="1">
        <f t="shared" si="15"/>
        <v>0.4</v>
      </c>
      <c r="F1008">
        <v>97.6</v>
      </c>
      <c r="G1008">
        <v>107</v>
      </c>
      <c r="H1008">
        <v>0.25679999999999997</v>
      </c>
      <c r="I1008">
        <v>48.1</v>
      </c>
      <c r="J1008">
        <v>51.5</v>
      </c>
      <c r="K1008">
        <v>19.2</v>
      </c>
      <c r="L1008">
        <v>20.399999999999999</v>
      </c>
      <c r="M1008">
        <v>29</v>
      </c>
      <c r="N1008">
        <v>30.1</v>
      </c>
      <c r="O1008">
        <v>38.5</v>
      </c>
      <c r="P1008">
        <v>39.700000000000003</v>
      </c>
      <c r="Q1008">
        <v>47.7</v>
      </c>
      <c r="R1008">
        <v>51.1</v>
      </c>
      <c r="S1008">
        <v>32.5</v>
      </c>
      <c r="T1008">
        <v>34.700000000000003</v>
      </c>
      <c r="U1008">
        <v>69.7</v>
      </c>
      <c r="V1008">
        <v>-14.6</v>
      </c>
      <c r="W1008" cm="1">
        <f t="array" ref="W1008">_xlfn.IFS(OR(X1008="N/A",X1008="NA"),0,OR(X1008="R64",X1008="R68"),1,X1008="R32",2,X1008="S16",3,X1008="E8",4,X1008="F4",5,X1008="2ND",6,X1008="Champions",7)</f>
        <v>0</v>
      </c>
      <c r="X1008" t="s">
        <v>90</v>
      </c>
      <c r="Y1008" t="s">
        <v>90</v>
      </c>
      <c r="Z1008">
        <v>2017</v>
      </c>
    </row>
    <row r="1009" spans="1:26" x14ac:dyDescent="0.3">
      <c r="A1009" t="s">
        <v>304</v>
      </c>
      <c r="B1009" t="s">
        <v>64</v>
      </c>
      <c r="C1009">
        <v>32</v>
      </c>
      <c r="D1009">
        <v>19</v>
      </c>
      <c r="E1009" s="1">
        <f t="shared" si="15"/>
        <v>0.59375</v>
      </c>
      <c r="F1009">
        <v>104.7</v>
      </c>
      <c r="G1009">
        <v>105.6</v>
      </c>
      <c r="H1009">
        <v>0.47339999999999999</v>
      </c>
      <c r="I1009">
        <v>49.9</v>
      </c>
      <c r="J1009">
        <v>54</v>
      </c>
      <c r="K1009">
        <v>19.8</v>
      </c>
      <c r="L1009">
        <v>22.1</v>
      </c>
      <c r="M1009">
        <v>34.700000000000003</v>
      </c>
      <c r="N1009">
        <v>28.9</v>
      </c>
      <c r="O1009">
        <v>35.9</v>
      </c>
      <c r="P1009">
        <v>39.9</v>
      </c>
      <c r="Q1009">
        <v>49</v>
      </c>
      <c r="R1009">
        <v>53</v>
      </c>
      <c r="S1009">
        <v>34.799999999999997</v>
      </c>
      <c r="T1009">
        <v>37.1</v>
      </c>
      <c r="U1009">
        <v>70.2</v>
      </c>
      <c r="V1009">
        <v>-7.5</v>
      </c>
      <c r="W1009" cm="1">
        <f t="array" ref="W1009">_xlfn.IFS(OR(X1009="N/A",X1009="NA"),0,OR(X1009="R64",X1009="R68"),1,X1009="R32",2,X1009="S16",3,X1009="E8",4,X1009="F4",5,X1009="2ND",6,X1009="Champions",7)</f>
        <v>0</v>
      </c>
      <c r="X1009" t="s">
        <v>90</v>
      </c>
      <c r="Y1009" t="s">
        <v>90</v>
      </c>
      <c r="Z1009">
        <v>2018</v>
      </c>
    </row>
    <row r="1010" spans="1:26" x14ac:dyDescent="0.3">
      <c r="A1010" t="s">
        <v>315</v>
      </c>
      <c r="B1010" t="s">
        <v>64</v>
      </c>
      <c r="C1010">
        <v>33</v>
      </c>
      <c r="D1010">
        <v>24</v>
      </c>
      <c r="E1010" s="1">
        <f t="shared" si="15"/>
        <v>0.72727272727272729</v>
      </c>
      <c r="F1010">
        <v>112.3</v>
      </c>
      <c r="G1010">
        <v>103.4</v>
      </c>
      <c r="H1010">
        <v>0.72170000000000001</v>
      </c>
      <c r="I1010">
        <v>58.8</v>
      </c>
      <c r="J1010">
        <v>48.9</v>
      </c>
      <c r="K1010">
        <v>18.100000000000001</v>
      </c>
      <c r="L1010">
        <v>16.899999999999999</v>
      </c>
      <c r="M1010">
        <v>25.2</v>
      </c>
      <c r="N1010">
        <v>25.7</v>
      </c>
      <c r="O1010">
        <v>27.9</v>
      </c>
      <c r="P1010">
        <v>26.8</v>
      </c>
      <c r="Q1010">
        <v>61.7</v>
      </c>
      <c r="R1010">
        <v>48.1</v>
      </c>
      <c r="S1010">
        <v>37.6</v>
      </c>
      <c r="T1010">
        <v>33.5</v>
      </c>
      <c r="U1010">
        <v>68.3</v>
      </c>
      <c r="V1010">
        <v>-2.7</v>
      </c>
      <c r="W1010" cm="1">
        <f t="array" ref="W1010">_xlfn.IFS(OR(X1010="N/A",X1010="NA"),0,OR(X1010="R64",X1010="R68"),1,X1010="R32",2,X1010="S16",3,X1010="E8",4,X1010="F4",5,X1010="2ND",6,X1010="Champions",7)</f>
        <v>0</v>
      </c>
      <c r="X1010" t="s">
        <v>90</v>
      </c>
      <c r="Y1010" t="s">
        <v>90</v>
      </c>
      <c r="Z1010">
        <v>2018</v>
      </c>
    </row>
    <row r="1011" spans="1:26" x14ac:dyDescent="0.3">
      <c r="A1011" t="s">
        <v>305</v>
      </c>
      <c r="B1011" t="s">
        <v>64</v>
      </c>
      <c r="C1011">
        <v>29</v>
      </c>
      <c r="D1011">
        <v>12</v>
      </c>
      <c r="E1011" s="1">
        <f t="shared" si="15"/>
        <v>0.41379310344827586</v>
      </c>
      <c r="F1011">
        <v>99.4</v>
      </c>
      <c r="G1011">
        <v>106.1</v>
      </c>
      <c r="H1011">
        <v>0.31909999999999999</v>
      </c>
      <c r="I1011">
        <v>47.7</v>
      </c>
      <c r="J1011">
        <v>52</v>
      </c>
      <c r="K1011">
        <v>20.399999999999999</v>
      </c>
      <c r="L1011">
        <v>19.3</v>
      </c>
      <c r="M1011">
        <v>29.9</v>
      </c>
      <c r="N1011">
        <v>29.9</v>
      </c>
      <c r="O1011">
        <v>32.200000000000003</v>
      </c>
      <c r="P1011">
        <v>33.4</v>
      </c>
      <c r="Q1011">
        <v>44.6</v>
      </c>
      <c r="R1011">
        <v>48.5</v>
      </c>
      <c r="S1011">
        <v>35.299999999999997</v>
      </c>
      <c r="T1011">
        <v>38.5</v>
      </c>
      <c r="U1011">
        <v>66.8</v>
      </c>
      <c r="V1011">
        <v>-13.2</v>
      </c>
      <c r="W1011" cm="1">
        <f t="array" ref="W1011">_xlfn.IFS(OR(X1011="N/A",X1011="NA"),0,OR(X1011="R64",X1011="R68"),1,X1011="R32",2,X1011="S16",3,X1011="E8",4,X1011="F4",5,X1011="2ND",6,X1011="Champions",7)</f>
        <v>0</v>
      </c>
      <c r="X1011" t="s">
        <v>90</v>
      </c>
      <c r="Y1011" t="s">
        <v>90</v>
      </c>
      <c r="Z1011">
        <v>2018</v>
      </c>
    </row>
    <row r="1012" spans="1:26" x14ac:dyDescent="0.3">
      <c r="A1012" t="s">
        <v>306</v>
      </c>
      <c r="B1012" t="s">
        <v>64</v>
      </c>
      <c r="C1012">
        <v>29</v>
      </c>
      <c r="D1012">
        <v>11</v>
      </c>
      <c r="E1012" s="1">
        <f t="shared" si="15"/>
        <v>0.37931034482758619</v>
      </c>
      <c r="F1012">
        <v>101.1</v>
      </c>
      <c r="G1012">
        <v>112.2</v>
      </c>
      <c r="H1012">
        <v>0.23150000000000001</v>
      </c>
      <c r="I1012">
        <v>49.8</v>
      </c>
      <c r="J1012">
        <v>55.3</v>
      </c>
      <c r="K1012">
        <v>19.100000000000001</v>
      </c>
      <c r="L1012">
        <v>19.100000000000001</v>
      </c>
      <c r="M1012">
        <v>27.1</v>
      </c>
      <c r="N1012">
        <v>31.9</v>
      </c>
      <c r="O1012">
        <v>33.4</v>
      </c>
      <c r="P1012">
        <v>35</v>
      </c>
      <c r="Q1012">
        <v>48.2</v>
      </c>
      <c r="R1012">
        <v>52.9</v>
      </c>
      <c r="S1012">
        <v>35.1</v>
      </c>
      <c r="T1012">
        <v>39.799999999999997</v>
      </c>
      <c r="U1012">
        <v>69.400000000000006</v>
      </c>
      <c r="V1012">
        <v>-14.3</v>
      </c>
      <c r="W1012" cm="1">
        <f t="array" ref="W1012">_xlfn.IFS(OR(X1012="N/A",X1012="NA"),0,OR(X1012="R64",X1012="R68"),1,X1012="R32",2,X1012="S16",3,X1012="E8",4,X1012="F4",5,X1012="2ND",6,X1012="Champions",7)</f>
        <v>0</v>
      </c>
      <c r="X1012" t="s">
        <v>90</v>
      </c>
      <c r="Y1012" t="s">
        <v>90</v>
      </c>
      <c r="Z1012">
        <v>2018</v>
      </c>
    </row>
    <row r="1013" spans="1:26" x14ac:dyDescent="0.3">
      <c r="A1013" t="s">
        <v>307</v>
      </c>
      <c r="B1013" t="s">
        <v>64</v>
      </c>
      <c r="C1013">
        <v>35</v>
      </c>
      <c r="D1013">
        <v>23</v>
      </c>
      <c r="E1013" s="1">
        <f t="shared" si="15"/>
        <v>0.65714285714285714</v>
      </c>
      <c r="F1013">
        <v>100.7</v>
      </c>
      <c r="G1013">
        <v>99.9</v>
      </c>
      <c r="H1013">
        <v>0.52170000000000005</v>
      </c>
      <c r="I1013">
        <v>50.2</v>
      </c>
      <c r="J1013">
        <v>48.4</v>
      </c>
      <c r="K1013">
        <v>19.2</v>
      </c>
      <c r="L1013">
        <v>19.3</v>
      </c>
      <c r="M1013">
        <v>33.4</v>
      </c>
      <c r="N1013">
        <v>26.2</v>
      </c>
      <c r="O1013">
        <v>30.4</v>
      </c>
      <c r="P1013">
        <v>32.4</v>
      </c>
      <c r="Q1013">
        <v>51.3</v>
      </c>
      <c r="R1013">
        <v>47.3</v>
      </c>
      <c r="S1013">
        <v>31.8</v>
      </c>
      <c r="T1013">
        <v>33.299999999999997</v>
      </c>
      <c r="U1013">
        <v>67.2</v>
      </c>
      <c r="V1013">
        <v>-6.7</v>
      </c>
      <c r="W1013" cm="1">
        <f t="array" ref="W1013">_xlfn.IFS(OR(X1013="N/A",X1013="NA"),0,OR(X1013="R64",X1013="R68"),1,X1013="R32",2,X1013="S16",3,X1013="E8",4,X1013="F4",5,X1013="2ND",6,X1013="Champions",7)</f>
        <v>0</v>
      </c>
      <c r="X1013" t="s">
        <v>90</v>
      </c>
      <c r="Y1013" t="s">
        <v>90</v>
      </c>
      <c r="Z1013">
        <v>2018</v>
      </c>
    </row>
    <row r="1014" spans="1:26" x14ac:dyDescent="0.3">
      <c r="A1014" t="s">
        <v>308</v>
      </c>
      <c r="B1014" t="s">
        <v>64</v>
      </c>
      <c r="C1014">
        <v>27</v>
      </c>
      <c r="D1014">
        <v>8</v>
      </c>
      <c r="E1014" s="1">
        <f t="shared" si="15"/>
        <v>0.29629629629629628</v>
      </c>
      <c r="F1014">
        <v>98</v>
      </c>
      <c r="G1014">
        <v>109.2</v>
      </c>
      <c r="H1014">
        <v>0.2243</v>
      </c>
      <c r="I1014">
        <v>48.2</v>
      </c>
      <c r="J1014">
        <v>55.2</v>
      </c>
      <c r="K1014">
        <v>22.1</v>
      </c>
      <c r="L1014">
        <v>19.899999999999999</v>
      </c>
      <c r="M1014">
        <v>31</v>
      </c>
      <c r="N1014">
        <v>29.9</v>
      </c>
      <c r="O1014">
        <v>36.700000000000003</v>
      </c>
      <c r="P1014">
        <v>40.9</v>
      </c>
      <c r="Q1014">
        <v>48.5</v>
      </c>
      <c r="R1014">
        <v>56</v>
      </c>
      <c r="S1014">
        <v>31.8</v>
      </c>
      <c r="T1014">
        <v>36</v>
      </c>
      <c r="U1014">
        <v>69.900000000000006</v>
      </c>
      <c r="V1014">
        <v>-14.7</v>
      </c>
      <c r="W1014" cm="1">
        <f t="array" ref="W1014">_xlfn.IFS(OR(X1014="N/A",X1014="NA"),0,OR(X1014="R64",X1014="R68"),1,X1014="R32",2,X1014="S16",3,X1014="E8",4,X1014="F4",5,X1014="2ND",6,X1014="Champions",7)</f>
        <v>0</v>
      </c>
      <c r="X1014" t="s">
        <v>90</v>
      </c>
      <c r="Y1014" t="s">
        <v>90</v>
      </c>
      <c r="Z1014">
        <v>2018</v>
      </c>
    </row>
    <row r="1015" spans="1:26" x14ac:dyDescent="0.3">
      <c r="A1015" t="s">
        <v>310</v>
      </c>
      <c r="B1015" t="s">
        <v>64</v>
      </c>
      <c r="C1015">
        <v>30</v>
      </c>
      <c r="D1015">
        <v>9</v>
      </c>
      <c r="E1015" s="1">
        <f t="shared" si="15"/>
        <v>0.3</v>
      </c>
      <c r="F1015">
        <v>98.8</v>
      </c>
      <c r="G1015">
        <v>111.3</v>
      </c>
      <c r="H1015">
        <v>0.2029</v>
      </c>
      <c r="I1015">
        <v>47.8</v>
      </c>
      <c r="J1015">
        <v>54.1</v>
      </c>
      <c r="K1015">
        <v>19.399999999999999</v>
      </c>
      <c r="L1015">
        <v>17.5</v>
      </c>
      <c r="M1015">
        <v>29.3</v>
      </c>
      <c r="N1015">
        <v>29.4</v>
      </c>
      <c r="O1015">
        <v>33</v>
      </c>
      <c r="P1015">
        <v>45.9</v>
      </c>
      <c r="Q1015">
        <v>47.2</v>
      </c>
      <c r="R1015">
        <v>53.5</v>
      </c>
      <c r="S1015">
        <v>32.4</v>
      </c>
      <c r="T1015">
        <v>36.799999999999997</v>
      </c>
      <c r="U1015">
        <v>70.5</v>
      </c>
      <c r="V1015">
        <v>-15.3</v>
      </c>
      <c r="W1015" cm="1">
        <f t="array" ref="W1015">_xlfn.IFS(OR(X1015="N/A",X1015="NA"),0,OR(X1015="R64",X1015="R68"),1,X1015="R32",2,X1015="S16",3,X1015="E8",4,X1015="F4",5,X1015="2ND",6,X1015="Champions",7)</f>
        <v>0</v>
      </c>
      <c r="X1015" t="s">
        <v>90</v>
      </c>
      <c r="Y1015" t="s">
        <v>90</v>
      </c>
      <c r="Z1015">
        <v>2018</v>
      </c>
    </row>
    <row r="1016" spans="1:26" x14ac:dyDescent="0.3">
      <c r="A1016" t="s">
        <v>311</v>
      </c>
      <c r="B1016" t="s">
        <v>64</v>
      </c>
      <c r="C1016">
        <v>29</v>
      </c>
      <c r="D1016">
        <v>14</v>
      </c>
      <c r="E1016" s="1">
        <f t="shared" si="15"/>
        <v>0.48275862068965519</v>
      </c>
      <c r="F1016">
        <v>107.2</v>
      </c>
      <c r="G1016">
        <v>115.6</v>
      </c>
      <c r="H1016">
        <v>0.29430000000000001</v>
      </c>
      <c r="I1016">
        <v>54.3</v>
      </c>
      <c r="J1016">
        <v>55.2</v>
      </c>
      <c r="K1016">
        <v>18.100000000000001</v>
      </c>
      <c r="L1016">
        <v>17.2</v>
      </c>
      <c r="M1016">
        <v>26.2</v>
      </c>
      <c r="N1016">
        <v>29.3</v>
      </c>
      <c r="O1016">
        <v>37.700000000000003</v>
      </c>
      <c r="P1016">
        <v>34.5</v>
      </c>
      <c r="Q1016">
        <v>50.7</v>
      </c>
      <c r="R1016">
        <v>54.1</v>
      </c>
      <c r="S1016">
        <v>39.299999999999997</v>
      </c>
      <c r="T1016">
        <v>37.9</v>
      </c>
      <c r="U1016">
        <v>70.2</v>
      </c>
      <c r="V1016">
        <v>-12.3</v>
      </c>
      <c r="W1016" cm="1">
        <f t="array" ref="W1016">_xlfn.IFS(OR(X1016="N/A",X1016="NA"),0,OR(X1016="R64",X1016="R68"),1,X1016="R32",2,X1016="S16",3,X1016="E8",4,X1016="F4",5,X1016="2ND",6,X1016="Champions",7)</f>
        <v>0</v>
      </c>
      <c r="X1016" t="s">
        <v>90</v>
      </c>
      <c r="Y1016" t="s">
        <v>90</v>
      </c>
      <c r="Z1016">
        <v>2018</v>
      </c>
    </row>
    <row r="1017" spans="1:26" x14ac:dyDescent="0.3">
      <c r="A1017" t="s">
        <v>312</v>
      </c>
      <c r="B1017" t="s">
        <v>64</v>
      </c>
      <c r="C1017">
        <v>29</v>
      </c>
      <c r="D1017">
        <v>10</v>
      </c>
      <c r="E1017" s="1">
        <f t="shared" si="15"/>
        <v>0.34482758620689657</v>
      </c>
      <c r="F1017">
        <v>94.3</v>
      </c>
      <c r="G1017">
        <v>105.6</v>
      </c>
      <c r="H1017">
        <v>0.21490000000000001</v>
      </c>
      <c r="I1017">
        <v>49.8</v>
      </c>
      <c r="J1017">
        <v>50.7</v>
      </c>
      <c r="K1017">
        <v>21.6</v>
      </c>
      <c r="L1017">
        <v>19</v>
      </c>
      <c r="M1017">
        <v>28.5</v>
      </c>
      <c r="N1017">
        <v>32</v>
      </c>
      <c r="O1017">
        <v>24.1</v>
      </c>
      <c r="P1017">
        <v>34.1</v>
      </c>
      <c r="Q1017">
        <v>50.7</v>
      </c>
      <c r="R1017">
        <v>48.9</v>
      </c>
      <c r="S1017">
        <v>32.200000000000003</v>
      </c>
      <c r="T1017">
        <v>35.1</v>
      </c>
      <c r="U1017">
        <v>67.400000000000006</v>
      </c>
      <c r="V1017">
        <v>-15.9</v>
      </c>
      <c r="W1017" cm="1">
        <f t="array" ref="W1017">_xlfn.IFS(OR(X1017="N/A",X1017="NA"),0,OR(X1017="R64",X1017="R68"),1,X1017="R32",2,X1017="S16",3,X1017="E8",4,X1017="F4",5,X1017="2ND",6,X1017="Champions",7)</f>
        <v>0</v>
      </c>
      <c r="X1017" t="s">
        <v>90</v>
      </c>
      <c r="Y1017" t="s">
        <v>90</v>
      </c>
      <c r="Z1017">
        <v>2018</v>
      </c>
    </row>
    <row r="1018" spans="1:26" x14ac:dyDescent="0.3">
      <c r="A1018" t="s">
        <v>313</v>
      </c>
      <c r="B1018" t="s">
        <v>64</v>
      </c>
      <c r="C1018">
        <v>28</v>
      </c>
      <c r="D1018">
        <v>15</v>
      </c>
      <c r="E1018" s="1">
        <f t="shared" si="15"/>
        <v>0.5357142857142857</v>
      </c>
      <c r="F1018">
        <v>96.3</v>
      </c>
      <c r="G1018">
        <v>101</v>
      </c>
      <c r="H1018">
        <v>0.36730000000000002</v>
      </c>
      <c r="I1018">
        <v>49.3</v>
      </c>
      <c r="J1018">
        <v>52.7</v>
      </c>
      <c r="K1018">
        <v>21.9</v>
      </c>
      <c r="L1018">
        <v>23.3</v>
      </c>
      <c r="M1018">
        <v>25.5</v>
      </c>
      <c r="N1018">
        <v>27.7</v>
      </c>
      <c r="O1018">
        <v>37.799999999999997</v>
      </c>
      <c r="P1018">
        <v>35.4</v>
      </c>
      <c r="Q1018">
        <v>48.1</v>
      </c>
      <c r="R1018">
        <v>51.3</v>
      </c>
      <c r="S1018">
        <v>33.9</v>
      </c>
      <c r="T1018">
        <v>36.1</v>
      </c>
      <c r="U1018">
        <v>66.7</v>
      </c>
      <c r="V1018">
        <v>-9.5</v>
      </c>
      <c r="W1018" cm="1">
        <f t="array" ref="W1018">_xlfn.IFS(OR(X1018="N/A",X1018="NA"),0,OR(X1018="R64",X1018="R68"),1,X1018="R32",2,X1018="S16",3,X1018="E8",4,X1018="F4",5,X1018="2ND",6,X1018="Champions",7)</f>
        <v>0</v>
      </c>
      <c r="X1018" t="s">
        <v>90</v>
      </c>
      <c r="Y1018" t="s">
        <v>90</v>
      </c>
      <c r="Z1018">
        <v>2018</v>
      </c>
    </row>
    <row r="1019" spans="1:26" x14ac:dyDescent="0.3">
      <c r="A1019" t="s">
        <v>314</v>
      </c>
      <c r="B1019" t="s">
        <v>64</v>
      </c>
      <c r="C1019">
        <v>31</v>
      </c>
      <c r="D1019">
        <v>19</v>
      </c>
      <c r="E1019" s="1">
        <f t="shared" si="15"/>
        <v>0.61290322580645162</v>
      </c>
      <c r="F1019">
        <v>97.4</v>
      </c>
      <c r="G1019">
        <v>102.6</v>
      </c>
      <c r="H1019">
        <v>0.35580000000000001</v>
      </c>
      <c r="I1019">
        <v>49</v>
      </c>
      <c r="J1019">
        <v>51</v>
      </c>
      <c r="K1019">
        <v>19.8</v>
      </c>
      <c r="L1019">
        <v>20.3</v>
      </c>
      <c r="M1019">
        <v>28.2</v>
      </c>
      <c r="N1019">
        <v>30.1</v>
      </c>
      <c r="O1019">
        <v>37.700000000000003</v>
      </c>
      <c r="P1019">
        <v>36.6</v>
      </c>
      <c r="Q1019">
        <v>47.5</v>
      </c>
      <c r="R1019">
        <v>51.6</v>
      </c>
      <c r="S1019">
        <v>34.5</v>
      </c>
      <c r="T1019">
        <v>33.4</v>
      </c>
      <c r="U1019">
        <v>72</v>
      </c>
      <c r="V1019">
        <v>-7.9</v>
      </c>
      <c r="W1019" cm="1">
        <f t="array" ref="W1019">_xlfn.IFS(OR(X1019="N/A",X1019="NA"),0,OR(X1019="R64",X1019="R68"),1,X1019="R32",2,X1019="S16",3,X1019="E8",4,X1019="F4",5,X1019="2ND",6,X1019="Champions",7)</f>
        <v>0</v>
      </c>
      <c r="X1019" t="s">
        <v>90</v>
      </c>
      <c r="Y1019" t="s">
        <v>90</v>
      </c>
      <c r="Z1019">
        <v>2018</v>
      </c>
    </row>
    <row r="1020" spans="1:26" x14ac:dyDescent="0.3">
      <c r="A1020" t="s">
        <v>304</v>
      </c>
      <c r="B1020" t="s">
        <v>64</v>
      </c>
      <c r="C1020">
        <v>31</v>
      </c>
      <c r="D1020">
        <v>22</v>
      </c>
      <c r="E1020" s="1">
        <f t="shared" si="15"/>
        <v>0.70967741935483875</v>
      </c>
      <c r="F1020">
        <v>110.3</v>
      </c>
      <c r="G1020">
        <v>105.7</v>
      </c>
      <c r="H1020">
        <v>0.62180000000000002</v>
      </c>
      <c r="I1020">
        <v>52.9</v>
      </c>
      <c r="J1020">
        <v>52.5</v>
      </c>
      <c r="K1020">
        <v>16.600000000000001</v>
      </c>
      <c r="L1020">
        <v>20.8</v>
      </c>
      <c r="M1020">
        <v>32.299999999999997</v>
      </c>
      <c r="N1020">
        <v>30</v>
      </c>
      <c r="O1020">
        <v>34.700000000000003</v>
      </c>
      <c r="P1020">
        <v>34.200000000000003</v>
      </c>
      <c r="Q1020">
        <v>51.1</v>
      </c>
      <c r="R1020">
        <v>53.5</v>
      </c>
      <c r="S1020">
        <v>37.5</v>
      </c>
      <c r="T1020">
        <v>34</v>
      </c>
      <c r="U1020">
        <v>70.400000000000006</v>
      </c>
      <c r="V1020">
        <v>-4.9000000000000004</v>
      </c>
      <c r="W1020" cm="1">
        <f t="array" ref="W1020">_xlfn.IFS(OR(X1020="N/A",X1020="NA"),0,OR(X1020="R64",X1020="R68"),1,X1020="R32",2,X1020="S16",3,X1020="E8",4,X1020="F4",5,X1020="2ND",6,X1020="Champions",7)</f>
        <v>0</v>
      </c>
      <c r="X1020" t="s">
        <v>90</v>
      </c>
      <c r="Y1020" t="s">
        <v>90</v>
      </c>
      <c r="Z1020">
        <v>2019</v>
      </c>
    </row>
    <row r="1021" spans="1:26" x14ac:dyDescent="0.3">
      <c r="A1021" t="s">
        <v>305</v>
      </c>
      <c r="B1021" t="s">
        <v>64</v>
      </c>
      <c r="C1021">
        <v>31</v>
      </c>
      <c r="D1021">
        <v>14</v>
      </c>
      <c r="E1021" s="1">
        <f t="shared" si="15"/>
        <v>0.45161290322580644</v>
      </c>
      <c r="F1021">
        <v>99.4</v>
      </c>
      <c r="G1021">
        <v>110.6</v>
      </c>
      <c r="H1021">
        <v>0.22509999999999999</v>
      </c>
      <c r="I1021">
        <v>49.6</v>
      </c>
      <c r="J1021">
        <v>53.6</v>
      </c>
      <c r="K1021">
        <v>18.8</v>
      </c>
      <c r="L1021">
        <v>18.399999999999999</v>
      </c>
      <c r="M1021">
        <v>29.2</v>
      </c>
      <c r="N1021">
        <v>30.5</v>
      </c>
      <c r="O1021">
        <v>28.7</v>
      </c>
      <c r="P1021">
        <v>33.1</v>
      </c>
      <c r="Q1021">
        <v>46.7</v>
      </c>
      <c r="R1021">
        <v>50.3</v>
      </c>
      <c r="S1021">
        <v>36.200000000000003</v>
      </c>
      <c r="T1021">
        <v>39</v>
      </c>
      <c r="U1021">
        <v>68.3</v>
      </c>
      <c r="V1021">
        <v>-12.1</v>
      </c>
      <c r="W1021" cm="1">
        <f t="array" ref="W1021">_xlfn.IFS(OR(X1021="N/A",X1021="NA"),0,OR(X1021="R64",X1021="R68"),1,X1021="R32",2,X1021="S16",3,X1021="E8",4,X1021="F4",5,X1021="2ND",6,X1021="Champions",7)</f>
        <v>0</v>
      </c>
      <c r="X1021" t="s">
        <v>90</v>
      </c>
      <c r="Y1021" t="s">
        <v>90</v>
      </c>
      <c r="Z1021">
        <v>2019</v>
      </c>
    </row>
    <row r="1022" spans="1:26" x14ac:dyDescent="0.3">
      <c r="A1022" t="s">
        <v>306</v>
      </c>
      <c r="B1022" t="s">
        <v>64</v>
      </c>
      <c r="C1022">
        <v>29</v>
      </c>
      <c r="D1022">
        <v>13</v>
      </c>
      <c r="E1022" s="1">
        <f t="shared" si="15"/>
        <v>0.44827586206896552</v>
      </c>
      <c r="F1022">
        <v>98.7</v>
      </c>
      <c r="G1022">
        <v>105.1</v>
      </c>
      <c r="H1022">
        <v>0.32819999999999999</v>
      </c>
      <c r="I1022">
        <v>47.8</v>
      </c>
      <c r="J1022">
        <v>53.2</v>
      </c>
      <c r="K1022">
        <v>18.2</v>
      </c>
      <c r="L1022">
        <v>21.5</v>
      </c>
      <c r="M1022">
        <v>27.3</v>
      </c>
      <c r="N1022">
        <v>31.1</v>
      </c>
      <c r="O1022">
        <v>32.6</v>
      </c>
      <c r="P1022">
        <v>39.700000000000003</v>
      </c>
      <c r="Q1022">
        <v>47.7</v>
      </c>
      <c r="R1022">
        <v>54.4</v>
      </c>
      <c r="S1022">
        <v>32</v>
      </c>
      <c r="T1022">
        <v>34</v>
      </c>
      <c r="U1022">
        <v>78.599999999999994</v>
      </c>
      <c r="V1022">
        <v>-11.3</v>
      </c>
      <c r="W1022" cm="1">
        <f t="array" ref="W1022">_xlfn.IFS(OR(X1022="N/A",X1022="NA"),0,OR(X1022="R64",X1022="R68"),1,X1022="R32",2,X1022="S16",3,X1022="E8",4,X1022="F4",5,X1022="2ND",6,X1022="Champions",7)</f>
        <v>0</v>
      </c>
      <c r="X1022" t="s">
        <v>90</v>
      </c>
      <c r="Y1022" t="s">
        <v>90</v>
      </c>
      <c r="Z1022">
        <v>2019</v>
      </c>
    </row>
    <row r="1023" spans="1:26" x14ac:dyDescent="0.3">
      <c r="A1023" t="s">
        <v>307</v>
      </c>
      <c r="B1023" t="s">
        <v>64</v>
      </c>
      <c r="C1023">
        <v>31</v>
      </c>
      <c r="D1023">
        <v>24</v>
      </c>
      <c r="E1023" s="1">
        <f t="shared" si="15"/>
        <v>0.77419354838709675</v>
      </c>
      <c r="F1023">
        <v>103.6</v>
      </c>
      <c r="G1023">
        <v>99.5</v>
      </c>
      <c r="H1023">
        <v>0.61650000000000005</v>
      </c>
      <c r="I1023">
        <v>50.5</v>
      </c>
      <c r="J1023">
        <v>48.7</v>
      </c>
      <c r="K1023">
        <v>18.8</v>
      </c>
      <c r="L1023">
        <v>20.399999999999999</v>
      </c>
      <c r="M1023">
        <v>33</v>
      </c>
      <c r="N1023">
        <v>25.6</v>
      </c>
      <c r="O1023">
        <v>30.2</v>
      </c>
      <c r="P1023">
        <v>30.1</v>
      </c>
      <c r="Q1023">
        <v>52.3</v>
      </c>
      <c r="R1023">
        <v>47.7</v>
      </c>
      <c r="S1023">
        <v>31</v>
      </c>
      <c r="T1023">
        <v>33.299999999999997</v>
      </c>
      <c r="U1023">
        <v>69.099999999999994</v>
      </c>
      <c r="V1023">
        <v>-3.2</v>
      </c>
      <c r="W1023" cm="1">
        <f t="array" ref="W1023">_xlfn.IFS(OR(X1023="N/A",X1023="NA"),0,OR(X1023="R64",X1023="R68"),1,X1023="R32",2,X1023="S16",3,X1023="E8",4,X1023="F4",5,X1023="2ND",6,X1023="Champions",7)</f>
        <v>0</v>
      </c>
      <c r="X1023" t="s">
        <v>90</v>
      </c>
      <c r="Y1023" t="s">
        <v>90</v>
      </c>
      <c r="Z1023">
        <v>2019</v>
      </c>
    </row>
    <row r="1024" spans="1:26" x14ac:dyDescent="0.3">
      <c r="A1024" t="s">
        <v>308</v>
      </c>
      <c r="B1024" t="s">
        <v>64</v>
      </c>
      <c r="C1024">
        <v>31</v>
      </c>
      <c r="D1024">
        <v>13</v>
      </c>
      <c r="E1024" s="1">
        <f t="shared" si="15"/>
        <v>0.41935483870967744</v>
      </c>
      <c r="F1024">
        <v>101.1</v>
      </c>
      <c r="G1024">
        <v>109.2</v>
      </c>
      <c r="H1024">
        <v>0.2913</v>
      </c>
      <c r="I1024">
        <v>48.4</v>
      </c>
      <c r="J1024">
        <v>52.5</v>
      </c>
      <c r="K1024">
        <v>17.2</v>
      </c>
      <c r="L1024">
        <v>17.7</v>
      </c>
      <c r="M1024">
        <v>27.8</v>
      </c>
      <c r="N1024">
        <v>31.6</v>
      </c>
      <c r="O1024">
        <v>33.9</v>
      </c>
      <c r="P1024">
        <v>28.4</v>
      </c>
      <c r="Q1024">
        <v>47.1</v>
      </c>
      <c r="R1024">
        <v>51.3</v>
      </c>
      <c r="S1024">
        <v>33.6</v>
      </c>
      <c r="T1024">
        <v>36.4</v>
      </c>
      <c r="U1024">
        <v>68.8</v>
      </c>
      <c r="V1024">
        <v>-12.6</v>
      </c>
      <c r="W1024" cm="1">
        <f t="array" ref="W1024">_xlfn.IFS(OR(X1024="N/A",X1024="NA"),0,OR(X1024="R64",X1024="R68"),1,X1024="R32",2,X1024="S16",3,X1024="E8",4,X1024="F4",5,X1024="2ND",6,X1024="Champions",7)</f>
        <v>0</v>
      </c>
      <c r="X1024" t="s">
        <v>90</v>
      </c>
      <c r="Y1024" t="s">
        <v>90</v>
      </c>
      <c r="Z1024">
        <v>2019</v>
      </c>
    </row>
    <row r="1025" spans="1:26" x14ac:dyDescent="0.3">
      <c r="A1025" t="s">
        <v>310</v>
      </c>
      <c r="B1025" t="s">
        <v>64</v>
      </c>
      <c r="C1025">
        <v>29</v>
      </c>
      <c r="D1025">
        <v>10</v>
      </c>
      <c r="E1025" s="1">
        <f t="shared" si="15"/>
        <v>0.34482758620689657</v>
      </c>
      <c r="F1025">
        <v>95.7</v>
      </c>
      <c r="G1025">
        <v>112.1</v>
      </c>
      <c r="H1025">
        <v>0.13950000000000001</v>
      </c>
      <c r="I1025">
        <v>46.8</v>
      </c>
      <c r="J1025">
        <v>56.6</v>
      </c>
      <c r="K1025">
        <v>18.7</v>
      </c>
      <c r="L1025">
        <v>18.899999999999999</v>
      </c>
      <c r="M1025">
        <v>28.5</v>
      </c>
      <c r="N1025">
        <v>28.5</v>
      </c>
      <c r="O1025">
        <v>34.6</v>
      </c>
      <c r="P1025">
        <v>39.299999999999997</v>
      </c>
      <c r="Q1025">
        <v>47.6</v>
      </c>
      <c r="R1025">
        <v>56.8</v>
      </c>
      <c r="S1025">
        <v>30.3</v>
      </c>
      <c r="T1025">
        <v>37.5</v>
      </c>
      <c r="U1025">
        <v>70.8</v>
      </c>
      <c r="V1025">
        <v>-16.3</v>
      </c>
      <c r="W1025" cm="1">
        <f t="array" ref="W1025">_xlfn.IFS(OR(X1025="N/A",X1025="NA"),0,OR(X1025="R64",X1025="R68"),1,X1025="R32",2,X1025="S16",3,X1025="E8",4,X1025="F4",5,X1025="2ND",6,X1025="Champions",7)</f>
        <v>0</v>
      </c>
      <c r="X1025" t="s">
        <v>90</v>
      </c>
      <c r="Y1025" t="s">
        <v>90</v>
      </c>
      <c r="Z1025">
        <v>2019</v>
      </c>
    </row>
    <row r="1026" spans="1:26" x14ac:dyDescent="0.3">
      <c r="A1026" t="s">
        <v>311</v>
      </c>
      <c r="B1026" t="s">
        <v>64</v>
      </c>
      <c r="C1026">
        <v>29</v>
      </c>
      <c r="D1026">
        <v>10</v>
      </c>
      <c r="E1026" s="1">
        <f t="shared" si="15"/>
        <v>0.34482758620689657</v>
      </c>
      <c r="F1026">
        <v>96.5</v>
      </c>
      <c r="G1026">
        <v>110.3</v>
      </c>
      <c r="H1026">
        <v>0.17710000000000001</v>
      </c>
      <c r="I1026">
        <v>50.4</v>
      </c>
      <c r="J1026">
        <v>52.7</v>
      </c>
      <c r="K1026">
        <v>20.2</v>
      </c>
      <c r="L1026">
        <v>17.399999999999999</v>
      </c>
      <c r="M1026">
        <v>25.6</v>
      </c>
      <c r="N1026">
        <v>28.3</v>
      </c>
      <c r="O1026">
        <v>29.1</v>
      </c>
      <c r="P1026">
        <v>33.5</v>
      </c>
      <c r="Q1026">
        <v>47.4</v>
      </c>
      <c r="R1026">
        <v>55.7</v>
      </c>
      <c r="S1026">
        <v>36.6</v>
      </c>
      <c r="T1026">
        <v>32.299999999999997</v>
      </c>
      <c r="U1026">
        <v>69.2</v>
      </c>
      <c r="V1026">
        <v>-15.4</v>
      </c>
      <c r="W1026" cm="1">
        <f t="array" ref="W1026">_xlfn.IFS(OR(X1026="N/A",X1026="NA"),0,OR(X1026="R64",X1026="R68"),1,X1026="R32",2,X1026="S16",3,X1026="E8",4,X1026="F4",5,X1026="2ND",6,X1026="Champions",7)</f>
        <v>0</v>
      </c>
      <c r="X1026" t="s">
        <v>90</v>
      </c>
      <c r="Y1026" t="s">
        <v>90</v>
      </c>
      <c r="Z1026">
        <v>2019</v>
      </c>
    </row>
    <row r="1027" spans="1:26" x14ac:dyDescent="0.3">
      <c r="A1027" t="s">
        <v>312</v>
      </c>
      <c r="B1027" t="s">
        <v>64</v>
      </c>
      <c r="C1027">
        <v>29</v>
      </c>
      <c r="D1027">
        <v>12</v>
      </c>
      <c r="E1027" s="1">
        <f t="shared" ref="E1027:E1090" si="16">D1027/C1027</f>
        <v>0.41379310344827586</v>
      </c>
      <c r="F1027">
        <v>104.6</v>
      </c>
      <c r="G1027">
        <v>114.3</v>
      </c>
      <c r="H1027">
        <v>0.26490000000000002</v>
      </c>
      <c r="I1027">
        <v>50.4</v>
      </c>
      <c r="J1027">
        <v>57.1</v>
      </c>
      <c r="K1027">
        <v>18.8</v>
      </c>
      <c r="L1027">
        <v>19.3</v>
      </c>
      <c r="M1027">
        <v>31.5</v>
      </c>
      <c r="N1027">
        <v>34.700000000000003</v>
      </c>
      <c r="O1027">
        <v>26.4</v>
      </c>
      <c r="P1027">
        <v>27.2</v>
      </c>
      <c r="Q1027">
        <v>49.9</v>
      </c>
      <c r="R1027">
        <v>56.7</v>
      </c>
      <c r="S1027">
        <v>34.1</v>
      </c>
      <c r="T1027">
        <v>38.5</v>
      </c>
      <c r="U1027">
        <v>69.7</v>
      </c>
      <c r="V1027">
        <v>-13.3</v>
      </c>
      <c r="W1027" cm="1">
        <f t="array" ref="W1027">_xlfn.IFS(OR(X1027="N/A",X1027="NA"),0,OR(X1027="R64",X1027="R68"),1,X1027="R32",2,X1027="S16",3,X1027="E8",4,X1027="F4",5,X1027="2ND",6,X1027="Champions",7)</f>
        <v>0</v>
      </c>
      <c r="X1027" t="s">
        <v>90</v>
      </c>
      <c r="Y1027" t="s">
        <v>90</v>
      </c>
      <c r="Z1027">
        <v>2019</v>
      </c>
    </row>
    <row r="1028" spans="1:26" x14ac:dyDescent="0.3">
      <c r="A1028" t="s">
        <v>313</v>
      </c>
      <c r="B1028" t="s">
        <v>64</v>
      </c>
      <c r="C1028">
        <v>28</v>
      </c>
      <c r="D1028">
        <v>9</v>
      </c>
      <c r="E1028" s="1">
        <f t="shared" si="16"/>
        <v>0.32142857142857145</v>
      </c>
      <c r="F1028">
        <v>97.4</v>
      </c>
      <c r="G1028">
        <v>109</v>
      </c>
      <c r="H1028">
        <v>0.2142</v>
      </c>
      <c r="I1028">
        <v>49.1</v>
      </c>
      <c r="J1028">
        <v>54.3</v>
      </c>
      <c r="K1028">
        <v>22.7</v>
      </c>
      <c r="L1028">
        <v>20.3</v>
      </c>
      <c r="M1028">
        <v>28.7</v>
      </c>
      <c r="N1028">
        <v>28.4</v>
      </c>
      <c r="O1028">
        <v>36.200000000000003</v>
      </c>
      <c r="P1028">
        <v>54</v>
      </c>
      <c r="Q1028">
        <v>49.3</v>
      </c>
      <c r="R1028">
        <v>52.6</v>
      </c>
      <c r="S1028">
        <v>32.6</v>
      </c>
      <c r="T1028">
        <v>38.4</v>
      </c>
      <c r="U1028">
        <v>71</v>
      </c>
      <c r="V1028">
        <v>-14.3</v>
      </c>
      <c r="W1028" cm="1">
        <f t="array" ref="W1028">_xlfn.IFS(OR(X1028="N/A",X1028="NA"),0,OR(X1028="R64",X1028="R68"),1,X1028="R32",2,X1028="S16",3,X1028="E8",4,X1028="F4",5,X1028="2ND",6,X1028="Champions",7)</f>
        <v>0</v>
      </c>
      <c r="X1028" t="s">
        <v>90</v>
      </c>
      <c r="Y1028" t="s">
        <v>90</v>
      </c>
      <c r="Z1028">
        <v>2019</v>
      </c>
    </row>
    <row r="1029" spans="1:26" x14ac:dyDescent="0.3">
      <c r="A1029" t="s">
        <v>314</v>
      </c>
      <c r="B1029" t="s">
        <v>64</v>
      </c>
      <c r="C1029">
        <v>29</v>
      </c>
      <c r="D1029">
        <v>8</v>
      </c>
      <c r="E1029" s="1">
        <f t="shared" si="16"/>
        <v>0.27586206896551724</v>
      </c>
      <c r="F1029">
        <v>88.4</v>
      </c>
      <c r="G1029">
        <v>104</v>
      </c>
      <c r="H1029">
        <v>0.13439999999999999</v>
      </c>
      <c r="I1029">
        <v>46.1</v>
      </c>
      <c r="J1029">
        <v>51.1</v>
      </c>
      <c r="K1029">
        <v>22.8</v>
      </c>
      <c r="L1029">
        <v>19.2</v>
      </c>
      <c r="M1029">
        <v>27.9</v>
      </c>
      <c r="N1029">
        <v>32.9</v>
      </c>
      <c r="O1029">
        <v>36.299999999999997</v>
      </c>
      <c r="P1029">
        <v>33.200000000000003</v>
      </c>
      <c r="Q1029">
        <v>43.9</v>
      </c>
      <c r="R1029">
        <v>51.1</v>
      </c>
      <c r="S1029">
        <v>33.6</v>
      </c>
      <c r="T1029">
        <v>34.1</v>
      </c>
      <c r="U1029">
        <v>69.7</v>
      </c>
      <c r="V1029">
        <v>-16.399999999999999</v>
      </c>
      <c r="W1029" cm="1">
        <f t="array" ref="W1029">_xlfn.IFS(OR(X1029="N/A",X1029="NA"),0,OR(X1029="R64",X1029="R68"),1,X1029="R32",2,X1029="S16",3,X1029="E8",4,X1029="F4",5,X1029="2ND",6,X1029="Champions",7)</f>
        <v>0</v>
      </c>
      <c r="X1029" t="s">
        <v>90</v>
      </c>
      <c r="Y1029" t="s">
        <v>90</v>
      </c>
      <c r="Z1029">
        <v>2019</v>
      </c>
    </row>
    <row r="1030" spans="1:26" x14ac:dyDescent="0.3">
      <c r="A1030" t="s">
        <v>316</v>
      </c>
      <c r="B1030" t="s">
        <v>38</v>
      </c>
      <c r="C1030">
        <v>34</v>
      </c>
      <c r="D1030">
        <v>18</v>
      </c>
      <c r="E1030" s="1">
        <f t="shared" si="16"/>
        <v>0.52941176470588236</v>
      </c>
      <c r="F1030">
        <v>107.9</v>
      </c>
      <c r="G1030">
        <v>97.1</v>
      </c>
      <c r="H1030">
        <v>0.77110000000000001</v>
      </c>
      <c r="I1030">
        <v>50.9</v>
      </c>
      <c r="J1030">
        <v>50.2</v>
      </c>
      <c r="K1030">
        <v>20.7</v>
      </c>
      <c r="L1030">
        <v>19.100000000000001</v>
      </c>
      <c r="M1030">
        <v>31.8</v>
      </c>
      <c r="N1030">
        <v>25.1</v>
      </c>
      <c r="O1030">
        <v>42.1</v>
      </c>
      <c r="P1030">
        <v>34.1</v>
      </c>
      <c r="Q1030">
        <v>49.9</v>
      </c>
      <c r="R1030">
        <v>48.6</v>
      </c>
      <c r="S1030">
        <v>35</v>
      </c>
      <c r="T1030">
        <v>36.200000000000003</v>
      </c>
      <c r="U1030">
        <v>66.3</v>
      </c>
      <c r="V1030">
        <v>-3.8</v>
      </c>
      <c r="W1030" cm="1">
        <f t="array" ref="W1030">_xlfn.IFS(OR(X1030="N/A",X1030="NA"),0,OR(X1030="R64",X1030="R68"),1,X1030="R32",2,X1030="S16",3,X1030="E8",4,X1030="F4",5,X1030="2ND",6,X1030="Champions",7)</f>
        <v>0</v>
      </c>
      <c r="X1030" t="s">
        <v>90</v>
      </c>
      <c r="Y1030" t="s">
        <v>90</v>
      </c>
      <c r="Z1030">
        <v>2015</v>
      </c>
    </row>
    <row r="1031" spans="1:26" x14ac:dyDescent="0.3">
      <c r="A1031" t="s">
        <v>317</v>
      </c>
      <c r="B1031" t="s">
        <v>38</v>
      </c>
      <c r="C1031">
        <v>33</v>
      </c>
      <c r="D1031">
        <v>18</v>
      </c>
      <c r="E1031" s="1">
        <f t="shared" si="16"/>
        <v>0.54545454545454541</v>
      </c>
      <c r="F1031">
        <v>102.6</v>
      </c>
      <c r="G1031">
        <v>97</v>
      </c>
      <c r="H1031">
        <v>0.65580000000000005</v>
      </c>
      <c r="I1031">
        <v>48.9</v>
      </c>
      <c r="J1031">
        <v>46.8</v>
      </c>
      <c r="K1031">
        <v>16.600000000000001</v>
      </c>
      <c r="L1031">
        <v>14.3</v>
      </c>
      <c r="M1031">
        <v>26</v>
      </c>
      <c r="N1031">
        <v>25.1</v>
      </c>
      <c r="O1031">
        <v>30.3</v>
      </c>
      <c r="P1031">
        <v>38.799999999999997</v>
      </c>
      <c r="Q1031">
        <v>47</v>
      </c>
      <c r="R1031">
        <v>45.6</v>
      </c>
      <c r="S1031">
        <v>35.9</v>
      </c>
      <c r="T1031">
        <v>33.4</v>
      </c>
      <c r="U1031">
        <v>66.099999999999994</v>
      </c>
      <c r="V1031">
        <v>-3.4</v>
      </c>
      <c r="W1031" cm="1">
        <f t="array" ref="W1031">_xlfn.IFS(OR(X1031="N/A",X1031="NA"),0,OR(X1031="R64",X1031="R68"),1,X1031="R32",2,X1031="S16",3,X1031="E8",4,X1031="F4",5,X1031="2ND",6,X1031="Champions",7)</f>
        <v>0</v>
      </c>
      <c r="X1031" t="s">
        <v>90</v>
      </c>
      <c r="Y1031" t="s">
        <v>90</v>
      </c>
      <c r="Z1031">
        <v>2015</v>
      </c>
    </row>
    <row r="1032" spans="1:26" x14ac:dyDescent="0.3">
      <c r="A1032" t="s">
        <v>318</v>
      </c>
      <c r="B1032" t="s">
        <v>38</v>
      </c>
      <c r="C1032">
        <v>34</v>
      </c>
      <c r="D1032">
        <v>16</v>
      </c>
      <c r="E1032" s="1">
        <f t="shared" si="16"/>
        <v>0.47058823529411764</v>
      </c>
      <c r="F1032">
        <v>105.9</v>
      </c>
      <c r="G1032">
        <v>99</v>
      </c>
      <c r="H1032">
        <v>0.68610000000000004</v>
      </c>
      <c r="I1032">
        <v>48.4</v>
      </c>
      <c r="J1032">
        <v>48.9</v>
      </c>
      <c r="K1032">
        <v>19.899999999999999</v>
      </c>
      <c r="L1032">
        <v>16.899999999999999</v>
      </c>
      <c r="M1032">
        <v>34.4</v>
      </c>
      <c r="N1032">
        <v>27.9</v>
      </c>
      <c r="O1032">
        <v>40.799999999999997</v>
      </c>
      <c r="P1032">
        <v>33.9</v>
      </c>
      <c r="Q1032">
        <v>47.7</v>
      </c>
      <c r="R1032">
        <v>46.5</v>
      </c>
      <c r="S1032">
        <v>33.5</v>
      </c>
      <c r="T1032">
        <v>35.299999999999997</v>
      </c>
      <c r="U1032">
        <v>65.099999999999994</v>
      </c>
      <c r="V1032">
        <v>-5.6</v>
      </c>
      <c r="W1032" cm="1">
        <f t="array" ref="W1032">_xlfn.IFS(OR(X1032="N/A",X1032="NA"),0,OR(X1032="R64",X1032="R68"),1,X1032="R32",2,X1032="S16",3,X1032="E8",4,X1032="F4",5,X1032="2ND",6,X1032="Champions",7)</f>
        <v>0</v>
      </c>
      <c r="X1032" t="s">
        <v>90</v>
      </c>
      <c r="Y1032" t="s">
        <v>90</v>
      </c>
      <c r="Z1032">
        <v>2015</v>
      </c>
    </row>
    <row r="1033" spans="1:26" x14ac:dyDescent="0.3">
      <c r="A1033" t="s">
        <v>319</v>
      </c>
      <c r="B1033" t="s">
        <v>38</v>
      </c>
      <c r="C1033">
        <v>30</v>
      </c>
      <c r="D1033">
        <v>16</v>
      </c>
      <c r="E1033" s="1">
        <f t="shared" si="16"/>
        <v>0.53333333333333333</v>
      </c>
      <c r="F1033">
        <v>98.2</v>
      </c>
      <c r="G1033">
        <v>91.1</v>
      </c>
      <c r="H1033">
        <v>0.70230000000000004</v>
      </c>
      <c r="I1033">
        <v>46.6</v>
      </c>
      <c r="J1033">
        <v>44.7</v>
      </c>
      <c r="K1033">
        <v>19.100000000000001</v>
      </c>
      <c r="L1033">
        <v>23.7</v>
      </c>
      <c r="M1033">
        <v>28.5</v>
      </c>
      <c r="N1033">
        <v>32.799999999999997</v>
      </c>
      <c r="O1033">
        <v>36.799999999999997</v>
      </c>
      <c r="P1033">
        <v>44.3</v>
      </c>
      <c r="Q1033">
        <v>46</v>
      </c>
      <c r="R1033">
        <v>44.4</v>
      </c>
      <c r="S1033">
        <v>32</v>
      </c>
      <c r="T1033">
        <v>30</v>
      </c>
      <c r="U1033">
        <v>60.9</v>
      </c>
      <c r="V1033">
        <v>-4</v>
      </c>
      <c r="W1033" cm="1">
        <f t="array" ref="W1033">_xlfn.IFS(OR(X1033="N/A",X1033="NA"),0,OR(X1033="R64",X1033="R68"),1,X1033="R32",2,X1033="S16",3,X1033="E8",4,X1033="F4",5,X1033="2ND",6,X1033="Champions",7)</f>
        <v>0</v>
      </c>
      <c r="X1033" t="s">
        <v>90</v>
      </c>
      <c r="Y1033" t="s">
        <v>90</v>
      </c>
      <c r="Z1033">
        <v>2015</v>
      </c>
    </row>
    <row r="1034" spans="1:26" x14ac:dyDescent="0.3">
      <c r="A1034" t="s">
        <v>320</v>
      </c>
      <c r="B1034" t="s">
        <v>38</v>
      </c>
      <c r="C1034">
        <v>37</v>
      </c>
      <c r="D1034">
        <v>24</v>
      </c>
      <c r="E1034" s="1">
        <f t="shared" si="16"/>
        <v>0.64864864864864868</v>
      </c>
      <c r="F1034">
        <v>112.2</v>
      </c>
      <c r="G1034">
        <v>97.2</v>
      </c>
      <c r="H1034">
        <v>0.83940000000000003</v>
      </c>
      <c r="I1034">
        <v>49.3</v>
      </c>
      <c r="J1034">
        <v>48.4</v>
      </c>
      <c r="K1034">
        <v>16.2</v>
      </c>
      <c r="L1034">
        <v>17.2</v>
      </c>
      <c r="M1034">
        <v>33.6</v>
      </c>
      <c r="N1034">
        <v>27.8</v>
      </c>
      <c r="O1034">
        <v>40.5</v>
      </c>
      <c r="P1034">
        <v>36.5</v>
      </c>
      <c r="Q1034">
        <v>46</v>
      </c>
      <c r="R1034">
        <v>44.7</v>
      </c>
      <c r="S1034">
        <v>37.700000000000003</v>
      </c>
      <c r="T1034">
        <v>37.4</v>
      </c>
      <c r="U1034">
        <v>65.400000000000006</v>
      </c>
      <c r="V1034">
        <v>-1.1000000000000001</v>
      </c>
      <c r="W1034" cm="1">
        <f t="array" ref="W1034">_xlfn.IFS(OR(X1034="N/A",X1034="NA"),0,OR(X1034="R64",X1034="R68"),1,X1034="R32",2,X1034="S16",3,X1034="E8",4,X1034="F4",5,X1034="2ND",6,X1034="Champions",7)</f>
        <v>0</v>
      </c>
      <c r="X1034" t="s">
        <v>90</v>
      </c>
      <c r="Y1034" t="s">
        <v>90</v>
      </c>
      <c r="Z1034">
        <v>2015</v>
      </c>
    </row>
    <row r="1035" spans="1:26" x14ac:dyDescent="0.3">
      <c r="A1035" t="s">
        <v>321</v>
      </c>
      <c r="B1035" t="s">
        <v>38</v>
      </c>
      <c r="C1035">
        <v>32</v>
      </c>
      <c r="D1035">
        <v>12</v>
      </c>
      <c r="E1035" s="1">
        <f t="shared" si="16"/>
        <v>0.375</v>
      </c>
      <c r="F1035">
        <v>99</v>
      </c>
      <c r="G1035">
        <v>97.8</v>
      </c>
      <c r="H1035">
        <v>0.53559999999999997</v>
      </c>
      <c r="I1035">
        <v>46.8</v>
      </c>
      <c r="J1035">
        <v>48</v>
      </c>
      <c r="K1035">
        <v>20</v>
      </c>
      <c r="L1035">
        <v>19.100000000000001</v>
      </c>
      <c r="M1035">
        <v>31.5</v>
      </c>
      <c r="N1035">
        <v>34.299999999999997</v>
      </c>
      <c r="O1035">
        <v>33.799999999999997</v>
      </c>
      <c r="P1035">
        <v>31.2</v>
      </c>
      <c r="Q1035">
        <v>45.8</v>
      </c>
      <c r="R1035">
        <v>47.2</v>
      </c>
      <c r="S1035">
        <v>32.9</v>
      </c>
      <c r="T1035">
        <v>32.9</v>
      </c>
      <c r="U1035">
        <v>68.599999999999994</v>
      </c>
      <c r="V1035">
        <v>-8.9</v>
      </c>
      <c r="W1035" cm="1">
        <f t="array" ref="W1035">_xlfn.IFS(OR(X1035="N/A",X1035="NA"),0,OR(X1035="R64",X1035="R68"),1,X1035="R32",2,X1035="S16",3,X1035="E8",4,X1035="F4",5,X1035="2ND",6,X1035="Champions",7)</f>
        <v>0</v>
      </c>
      <c r="X1035" t="s">
        <v>90</v>
      </c>
      <c r="Y1035" t="s">
        <v>90</v>
      </c>
      <c r="Z1035">
        <v>2015</v>
      </c>
    </row>
    <row r="1036" spans="1:26" x14ac:dyDescent="0.3">
      <c r="A1036" t="s">
        <v>322</v>
      </c>
      <c r="B1036" t="s">
        <v>38</v>
      </c>
      <c r="C1036">
        <v>31</v>
      </c>
      <c r="D1036">
        <v>16</v>
      </c>
      <c r="E1036" s="1">
        <f t="shared" si="16"/>
        <v>0.5161290322580645</v>
      </c>
      <c r="F1036">
        <v>107.1</v>
      </c>
      <c r="G1036">
        <v>102</v>
      </c>
      <c r="H1036">
        <v>0.63549999999999995</v>
      </c>
      <c r="I1036">
        <v>49.3</v>
      </c>
      <c r="J1036">
        <v>47.1</v>
      </c>
      <c r="K1036">
        <v>17.5</v>
      </c>
      <c r="L1036">
        <v>16.8</v>
      </c>
      <c r="M1036">
        <v>31.4</v>
      </c>
      <c r="N1036">
        <v>33.200000000000003</v>
      </c>
      <c r="O1036">
        <v>33.9</v>
      </c>
      <c r="P1036">
        <v>31.7</v>
      </c>
      <c r="Q1036">
        <v>48.9</v>
      </c>
      <c r="R1036">
        <v>46</v>
      </c>
      <c r="S1036">
        <v>33.4</v>
      </c>
      <c r="T1036">
        <v>33</v>
      </c>
      <c r="U1036">
        <v>66</v>
      </c>
      <c r="V1036">
        <v>-4.5999999999999996</v>
      </c>
      <c r="W1036" cm="1">
        <f t="array" ref="W1036">_xlfn.IFS(OR(X1036="N/A",X1036="NA"),0,OR(X1036="R64",X1036="R68"),1,X1036="R32",2,X1036="S16",3,X1036="E8",4,X1036="F4",5,X1036="2ND",6,X1036="Champions",7)</f>
        <v>0</v>
      </c>
      <c r="X1036" t="s">
        <v>90</v>
      </c>
      <c r="Y1036" t="s">
        <v>90</v>
      </c>
      <c r="Z1036">
        <v>2015</v>
      </c>
    </row>
    <row r="1037" spans="1:26" x14ac:dyDescent="0.3">
      <c r="A1037" t="s">
        <v>323</v>
      </c>
      <c r="B1037" t="s">
        <v>38</v>
      </c>
      <c r="C1037">
        <v>31</v>
      </c>
      <c r="D1037">
        <v>13</v>
      </c>
      <c r="E1037" s="1">
        <f t="shared" si="16"/>
        <v>0.41935483870967744</v>
      </c>
      <c r="F1037">
        <v>107.4</v>
      </c>
      <c r="G1037">
        <v>107.4</v>
      </c>
      <c r="H1037">
        <v>0.502</v>
      </c>
      <c r="I1037">
        <v>49.6</v>
      </c>
      <c r="J1037">
        <v>52.4</v>
      </c>
      <c r="K1037">
        <v>17.3</v>
      </c>
      <c r="L1037">
        <v>14.1</v>
      </c>
      <c r="M1037">
        <v>26.4</v>
      </c>
      <c r="N1037">
        <v>30.3</v>
      </c>
      <c r="O1037">
        <v>39.700000000000003</v>
      </c>
      <c r="P1037">
        <v>34.1</v>
      </c>
      <c r="Q1037">
        <v>48.7</v>
      </c>
      <c r="R1037">
        <v>50.8</v>
      </c>
      <c r="S1037">
        <v>34.200000000000003</v>
      </c>
      <c r="T1037">
        <v>37.4</v>
      </c>
      <c r="U1037">
        <v>67.8</v>
      </c>
      <c r="V1037">
        <v>-6.8</v>
      </c>
      <c r="W1037" cm="1">
        <f t="array" ref="W1037">_xlfn.IFS(OR(X1037="N/A",X1037="NA"),0,OR(X1037="R64",X1037="R68"),1,X1037="R32",2,X1037="S16",3,X1037="E8",4,X1037="F4",5,X1037="2ND",6,X1037="Champions",7)</f>
        <v>0</v>
      </c>
      <c r="X1037" t="s">
        <v>90</v>
      </c>
      <c r="Y1037" t="s">
        <v>90</v>
      </c>
      <c r="Z1037">
        <v>2015</v>
      </c>
    </row>
    <row r="1038" spans="1:26" x14ac:dyDescent="0.3">
      <c r="A1038" t="s">
        <v>316</v>
      </c>
      <c r="B1038" t="s">
        <v>38</v>
      </c>
      <c r="C1038">
        <v>32</v>
      </c>
      <c r="D1038">
        <v>15</v>
      </c>
      <c r="E1038" s="1">
        <f t="shared" si="16"/>
        <v>0.46875</v>
      </c>
      <c r="F1038">
        <v>108.3</v>
      </c>
      <c r="G1038">
        <v>100</v>
      </c>
      <c r="H1038">
        <v>0.71309999999999996</v>
      </c>
      <c r="I1038">
        <v>48.1</v>
      </c>
      <c r="J1038">
        <v>52</v>
      </c>
      <c r="K1038">
        <v>17.100000000000001</v>
      </c>
      <c r="L1038">
        <v>18.3</v>
      </c>
      <c r="M1038">
        <v>31.5</v>
      </c>
      <c r="N1038">
        <v>27.8</v>
      </c>
      <c r="O1038">
        <v>37.799999999999997</v>
      </c>
      <c r="P1038">
        <v>38.1</v>
      </c>
      <c r="Q1038">
        <v>46.6</v>
      </c>
      <c r="R1038">
        <v>51.4</v>
      </c>
      <c r="S1038">
        <v>33.6</v>
      </c>
      <c r="T1038">
        <v>35.4</v>
      </c>
      <c r="U1038">
        <v>68.900000000000006</v>
      </c>
      <c r="V1038">
        <v>-4.2</v>
      </c>
      <c r="W1038" cm="1">
        <f t="array" ref="W1038">_xlfn.IFS(OR(X1038="N/A",X1038="NA"),0,OR(X1038="R64",X1038="R68"),1,X1038="R32",2,X1038="S16",3,X1038="E8",4,X1038="F4",5,X1038="2ND",6,X1038="Champions",7)</f>
        <v>0</v>
      </c>
      <c r="X1038" t="s">
        <v>90</v>
      </c>
      <c r="Y1038" t="s">
        <v>90</v>
      </c>
      <c r="Z1038">
        <v>2016</v>
      </c>
    </row>
    <row r="1039" spans="1:26" x14ac:dyDescent="0.3">
      <c r="A1039" t="s">
        <v>320</v>
      </c>
      <c r="B1039" t="s">
        <v>38</v>
      </c>
      <c r="C1039">
        <v>29</v>
      </c>
      <c r="D1039">
        <v>14</v>
      </c>
      <c r="E1039" s="1">
        <f t="shared" si="16"/>
        <v>0.48275862068965519</v>
      </c>
      <c r="F1039">
        <v>106.7</v>
      </c>
      <c r="G1039">
        <v>99.9</v>
      </c>
      <c r="H1039">
        <v>0.68</v>
      </c>
      <c r="I1039">
        <v>47.5</v>
      </c>
      <c r="J1039">
        <v>52</v>
      </c>
      <c r="K1039">
        <v>17.5</v>
      </c>
      <c r="L1039">
        <v>19.8</v>
      </c>
      <c r="M1039">
        <v>30.8</v>
      </c>
      <c r="N1039">
        <v>32.1</v>
      </c>
      <c r="O1039">
        <v>45.3</v>
      </c>
      <c r="P1039">
        <v>39.9</v>
      </c>
      <c r="Q1039">
        <v>47.4</v>
      </c>
      <c r="R1039">
        <v>49.9</v>
      </c>
      <c r="S1039">
        <v>31.8</v>
      </c>
      <c r="T1039">
        <v>36.9</v>
      </c>
      <c r="U1039">
        <v>66.7</v>
      </c>
      <c r="V1039">
        <v>-2.6</v>
      </c>
      <c r="W1039" cm="1">
        <f t="array" ref="W1039">_xlfn.IFS(OR(X1039="N/A",X1039="NA"),0,OR(X1039="R64",X1039="R68"),1,X1039="R32",2,X1039="S16",3,X1039="E8",4,X1039="F4",5,X1039="2ND",6,X1039="Champions",7)</f>
        <v>0</v>
      </c>
      <c r="X1039" t="s">
        <v>90</v>
      </c>
      <c r="Y1039" t="s">
        <v>90</v>
      </c>
      <c r="Z1039">
        <v>2016</v>
      </c>
    </row>
    <row r="1040" spans="1:26" x14ac:dyDescent="0.3">
      <c r="A1040" t="s">
        <v>324</v>
      </c>
      <c r="B1040" t="s">
        <v>38</v>
      </c>
      <c r="C1040">
        <v>32</v>
      </c>
      <c r="D1040">
        <v>15</v>
      </c>
      <c r="E1040" s="1">
        <f t="shared" si="16"/>
        <v>0.46875</v>
      </c>
      <c r="F1040">
        <v>111.6</v>
      </c>
      <c r="G1040">
        <v>99.7</v>
      </c>
      <c r="H1040">
        <v>0.7843</v>
      </c>
      <c r="I1040">
        <v>50.3</v>
      </c>
      <c r="J1040">
        <v>49.7</v>
      </c>
      <c r="K1040">
        <v>16.899999999999999</v>
      </c>
      <c r="L1040">
        <v>16.100000000000001</v>
      </c>
      <c r="M1040">
        <v>32.799999999999997</v>
      </c>
      <c r="N1040">
        <v>30.4</v>
      </c>
      <c r="O1040">
        <v>32.299999999999997</v>
      </c>
      <c r="P1040">
        <v>33.9</v>
      </c>
      <c r="Q1040">
        <v>48.8</v>
      </c>
      <c r="R1040">
        <v>47.6</v>
      </c>
      <c r="S1040">
        <v>36.299999999999997</v>
      </c>
      <c r="T1040">
        <v>35.4</v>
      </c>
      <c r="U1040">
        <v>70.400000000000006</v>
      </c>
      <c r="V1040">
        <v>-3.9</v>
      </c>
      <c r="W1040" cm="1">
        <f t="array" ref="W1040">_xlfn.IFS(OR(X1040="N/A",X1040="NA"),0,OR(X1040="R64",X1040="R68"),1,X1040="R32",2,X1040="S16",3,X1040="E8",4,X1040="F4",5,X1040="2ND",6,X1040="Champions",7)</f>
        <v>0</v>
      </c>
      <c r="X1040" t="s">
        <v>90</v>
      </c>
      <c r="Y1040" t="s">
        <v>90</v>
      </c>
      <c r="Z1040">
        <v>2016</v>
      </c>
    </row>
    <row r="1041" spans="1:26" x14ac:dyDescent="0.3">
      <c r="A1041" t="s">
        <v>322</v>
      </c>
      <c r="B1041" t="s">
        <v>38</v>
      </c>
      <c r="C1041">
        <v>34</v>
      </c>
      <c r="D1041">
        <v>19</v>
      </c>
      <c r="E1041" s="1">
        <f t="shared" si="16"/>
        <v>0.55882352941176472</v>
      </c>
      <c r="F1041">
        <v>110.1</v>
      </c>
      <c r="G1041">
        <v>98.1</v>
      </c>
      <c r="H1041">
        <v>0.79049999999999998</v>
      </c>
      <c r="I1041">
        <v>48.1</v>
      </c>
      <c r="J1041">
        <v>47.9</v>
      </c>
      <c r="K1041">
        <v>17.399999999999999</v>
      </c>
      <c r="L1041">
        <v>20.5</v>
      </c>
      <c r="M1041">
        <v>33.4</v>
      </c>
      <c r="N1041">
        <v>35.700000000000003</v>
      </c>
      <c r="O1041">
        <v>41.2</v>
      </c>
      <c r="P1041">
        <v>44.6</v>
      </c>
      <c r="Q1041">
        <v>47.3</v>
      </c>
      <c r="R1041">
        <v>47.2</v>
      </c>
      <c r="S1041">
        <v>33.1</v>
      </c>
      <c r="T1041">
        <v>33.1</v>
      </c>
      <c r="U1041">
        <v>78.2</v>
      </c>
      <c r="V1041">
        <v>-2.2000000000000002</v>
      </c>
      <c r="W1041" cm="1">
        <f t="array" ref="W1041">_xlfn.IFS(OR(X1041="N/A",X1041="NA"),0,OR(X1041="R64",X1041="R68"),1,X1041="R32",2,X1041="S16",3,X1041="E8",4,X1041="F4",5,X1041="2ND",6,X1041="Champions",7)</f>
        <v>0</v>
      </c>
      <c r="X1041" t="s">
        <v>90</v>
      </c>
      <c r="Y1041" t="s">
        <v>90</v>
      </c>
      <c r="Z1041">
        <v>2016</v>
      </c>
    </row>
    <row r="1042" spans="1:26" x14ac:dyDescent="0.3">
      <c r="A1042" t="s">
        <v>323</v>
      </c>
      <c r="B1042" t="s">
        <v>38</v>
      </c>
      <c r="C1042">
        <v>30</v>
      </c>
      <c r="D1042">
        <v>8</v>
      </c>
      <c r="E1042" s="1">
        <f t="shared" si="16"/>
        <v>0.26666666666666666</v>
      </c>
      <c r="F1042">
        <v>101.1</v>
      </c>
      <c r="G1042">
        <v>104</v>
      </c>
      <c r="H1042">
        <v>0.41849999999999998</v>
      </c>
      <c r="I1042">
        <v>50.7</v>
      </c>
      <c r="J1042">
        <v>49.9</v>
      </c>
      <c r="K1042">
        <v>19.7</v>
      </c>
      <c r="L1042">
        <v>14.7</v>
      </c>
      <c r="M1042">
        <v>23.9</v>
      </c>
      <c r="N1042">
        <v>29.6</v>
      </c>
      <c r="O1042">
        <v>31.1</v>
      </c>
      <c r="P1042">
        <v>37.5</v>
      </c>
      <c r="Q1042">
        <v>50.3</v>
      </c>
      <c r="R1042">
        <v>48.2</v>
      </c>
      <c r="S1042">
        <v>34.6</v>
      </c>
      <c r="T1042">
        <v>35.9</v>
      </c>
      <c r="U1042">
        <v>69.7</v>
      </c>
      <c r="V1042">
        <v>-10.4</v>
      </c>
      <c r="W1042" cm="1">
        <f t="array" ref="W1042">_xlfn.IFS(OR(X1042="N/A",X1042="NA"),0,OR(X1042="R64",X1042="R68"),1,X1042="R32",2,X1042="S16",3,X1042="E8",4,X1042="F4",5,X1042="2ND",6,X1042="Champions",7)</f>
        <v>0</v>
      </c>
      <c r="X1042" t="s">
        <v>90</v>
      </c>
      <c r="Y1042" t="s">
        <v>90</v>
      </c>
      <c r="Z1042">
        <v>2016</v>
      </c>
    </row>
    <row r="1043" spans="1:26" x14ac:dyDescent="0.3">
      <c r="A1043" t="s">
        <v>316</v>
      </c>
      <c r="B1043" t="s">
        <v>38</v>
      </c>
      <c r="C1043">
        <v>33</v>
      </c>
      <c r="D1043">
        <v>15</v>
      </c>
      <c r="E1043" s="1">
        <f t="shared" si="16"/>
        <v>0.45454545454545453</v>
      </c>
      <c r="F1043">
        <v>110.9</v>
      </c>
      <c r="G1043">
        <v>107</v>
      </c>
      <c r="H1043">
        <v>0.60070000000000001</v>
      </c>
      <c r="I1043">
        <v>51.4</v>
      </c>
      <c r="J1043">
        <v>55.4</v>
      </c>
      <c r="K1043">
        <v>14.3</v>
      </c>
      <c r="L1043">
        <v>18.3</v>
      </c>
      <c r="M1043">
        <v>24.4</v>
      </c>
      <c r="N1043">
        <v>32.200000000000003</v>
      </c>
      <c r="O1043">
        <v>31.9</v>
      </c>
      <c r="P1043">
        <v>29.9</v>
      </c>
      <c r="Q1043">
        <v>48.7</v>
      </c>
      <c r="R1043">
        <v>55.9</v>
      </c>
      <c r="S1043">
        <v>36.6</v>
      </c>
      <c r="T1043">
        <v>36.4</v>
      </c>
      <c r="U1043">
        <v>71.7</v>
      </c>
      <c r="V1043">
        <v>-6.3</v>
      </c>
      <c r="W1043" cm="1">
        <f t="array" ref="W1043">_xlfn.IFS(OR(X1043="N/A",X1043="NA"),0,OR(X1043="R64",X1043="R68"),1,X1043="R32",2,X1043="S16",3,X1043="E8",4,X1043="F4",5,X1043="2ND",6,X1043="Champions",7)</f>
        <v>0</v>
      </c>
      <c r="X1043" t="s">
        <v>90</v>
      </c>
      <c r="Y1043" t="s">
        <v>90</v>
      </c>
      <c r="Z1043">
        <v>2017</v>
      </c>
    </row>
    <row r="1044" spans="1:26" x14ac:dyDescent="0.3">
      <c r="A1044" t="s">
        <v>317</v>
      </c>
      <c r="B1044" t="s">
        <v>38</v>
      </c>
      <c r="C1044">
        <v>34</v>
      </c>
      <c r="D1044">
        <v>21</v>
      </c>
      <c r="E1044" s="1">
        <f t="shared" si="16"/>
        <v>0.61764705882352944</v>
      </c>
      <c r="F1044">
        <v>103.5</v>
      </c>
      <c r="G1044">
        <v>92.5</v>
      </c>
      <c r="H1044">
        <v>0.7833</v>
      </c>
      <c r="I1044">
        <v>48.1</v>
      </c>
      <c r="J1044">
        <v>45.3</v>
      </c>
      <c r="K1044">
        <v>18.7</v>
      </c>
      <c r="L1044">
        <v>16.600000000000001</v>
      </c>
      <c r="M1044">
        <v>32.9</v>
      </c>
      <c r="N1044">
        <v>24</v>
      </c>
      <c r="O1044">
        <v>37.700000000000003</v>
      </c>
      <c r="P1044">
        <v>34.1</v>
      </c>
      <c r="Q1044">
        <v>46.6</v>
      </c>
      <c r="R1044">
        <v>43.4</v>
      </c>
      <c r="S1044">
        <v>34</v>
      </c>
      <c r="T1044">
        <v>32.799999999999997</v>
      </c>
      <c r="U1044">
        <v>67</v>
      </c>
      <c r="V1044">
        <v>-0.9</v>
      </c>
      <c r="W1044" cm="1">
        <f t="array" ref="W1044">_xlfn.IFS(OR(X1044="N/A",X1044="NA"),0,OR(X1044="R64",X1044="R68"),1,X1044="R32",2,X1044="S16",3,X1044="E8",4,X1044="F4",5,X1044="2ND",6,X1044="Champions",7)</f>
        <v>0</v>
      </c>
      <c r="X1044" t="s">
        <v>90</v>
      </c>
      <c r="Y1044" t="s">
        <v>90</v>
      </c>
      <c r="Z1044">
        <v>2017</v>
      </c>
    </row>
    <row r="1045" spans="1:26" x14ac:dyDescent="0.3">
      <c r="A1045" t="s">
        <v>318</v>
      </c>
      <c r="B1045" t="s">
        <v>38</v>
      </c>
      <c r="C1045">
        <v>33</v>
      </c>
      <c r="D1045">
        <v>19</v>
      </c>
      <c r="E1045" s="1">
        <f t="shared" si="16"/>
        <v>0.5757575757575758</v>
      </c>
      <c r="F1045">
        <v>111.5</v>
      </c>
      <c r="G1045">
        <v>102.2</v>
      </c>
      <c r="H1045">
        <v>0.73170000000000002</v>
      </c>
      <c r="I1045">
        <v>50.9</v>
      </c>
      <c r="J1045">
        <v>50.3</v>
      </c>
      <c r="K1045">
        <v>17.399999999999999</v>
      </c>
      <c r="L1045">
        <v>17.2</v>
      </c>
      <c r="M1045">
        <v>33</v>
      </c>
      <c r="N1045">
        <v>28.3</v>
      </c>
      <c r="O1045">
        <v>37.5</v>
      </c>
      <c r="P1045">
        <v>33.9</v>
      </c>
      <c r="Q1045">
        <v>49.9</v>
      </c>
      <c r="R1045">
        <v>47.3</v>
      </c>
      <c r="S1045">
        <v>35.1</v>
      </c>
      <c r="T1045">
        <v>36.799999999999997</v>
      </c>
      <c r="U1045">
        <v>69.3</v>
      </c>
      <c r="V1045">
        <v>-3.8</v>
      </c>
      <c r="W1045" cm="1">
        <f t="array" ref="W1045">_xlfn.IFS(OR(X1045="N/A",X1045="NA"),0,OR(X1045="R64",X1045="R68"),1,X1045="R32",2,X1045="S16",3,X1045="E8",4,X1045="F4",5,X1045="2ND",6,X1045="Champions",7)</f>
        <v>0</v>
      </c>
      <c r="X1045" t="s">
        <v>90</v>
      </c>
      <c r="Y1045" t="s">
        <v>90</v>
      </c>
      <c r="Z1045">
        <v>2017</v>
      </c>
    </row>
    <row r="1046" spans="1:26" x14ac:dyDescent="0.3">
      <c r="A1046" t="s">
        <v>319</v>
      </c>
      <c r="B1046" t="s">
        <v>38</v>
      </c>
      <c r="C1046">
        <v>31</v>
      </c>
      <c r="D1046">
        <v>5</v>
      </c>
      <c r="E1046" s="1">
        <f t="shared" si="16"/>
        <v>0.16129032258064516</v>
      </c>
      <c r="F1046">
        <v>96.1</v>
      </c>
      <c r="G1046">
        <v>104.2</v>
      </c>
      <c r="H1046">
        <v>0.28420000000000001</v>
      </c>
      <c r="I1046">
        <v>48.2</v>
      </c>
      <c r="J1046">
        <v>51.3</v>
      </c>
      <c r="K1046">
        <v>23</v>
      </c>
      <c r="L1046">
        <v>17.5</v>
      </c>
      <c r="M1046">
        <v>26.9</v>
      </c>
      <c r="N1046">
        <v>32.299999999999997</v>
      </c>
      <c r="O1046">
        <v>34.299999999999997</v>
      </c>
      <c r="P1046">
        <v>39.6</v>
      </c>
      <c r="Q1046">
        <v>46.3</v>
      </c>
      <c r="R1046">
        <v>50</v>
      </c>
      <c r="S1046">
        <v>34.6</v>
      </c>
      <c r="T1046">
        <v>35.700000000000003</v>
      </c>
      <c r="U1046">
        <v>66.3</v>
      </c>
      <c r="V1046">
        <v>-16.7</v>
      </c>
      <c r="W1046" cm="1">
        <f t="array" ref="W1046">_xlfn.IFS(OR(X1046="N/A",X1046="NA"),0,OR(X1046="R64",X1046="R68"),1,X1046="R32",2,X1046="S16",3,X1046="E8",4,X1046="F4",5,X1046="2ND",6,X1046="Champions",7)</f>
        <v>0</v>
      </c>
      <c r="X1046" t="s">
        <v>90</v>
      </c>
      <c r="Y1046" t="s">
        <v>90</v>
      </c>
      <c r="Z1046">
        <v>2017</v>
      </c>
    </row>
    <row r="1047" spans="1:26" x14ac:dyDescent="0.3">
      <c r="A1047" t="s">
        <v>320</v>
      </c>
      <c r="B1047" t="s">
        <v>38</v>
      </c>
      <c r="C1047">
        <v>30</v>
      </c>
      <c r="D1047">
        <v>14</v>
      </c>
      <c r="E1047" s="1">
        <f t="shared" si="16"/>
        <v>0.46666666666666667</v>
      </c>
      <c r="F1047">
        <v>104</v>
      </c>
      <c r="G1047">
        <v>98.1</v>
      </c>
      <c r="H1047">
        <v>0.66300000000000003</v>
      </c>
      <c r="I1047">
        <v>48.3</v>
      </c>
      <c r="J1047">
        <v>52.7</v>
      </c>
      <c r="K1047">
        <v>18.600000000000001</v>
      </c>
      <c r="L1047">
        <v>20.6</v>
      </c>
      <c r="M1047">
        <v>29.6</v>
      </c>
      <c r="N1047">
        <v>27.2</v>
      </c>
      <c r="O1047">
        <v>37.299999999999997</v>
      </c>
      <c r="P1047">
        <v>38.200000000000003</v>
      </c>
      <c r="Q1047">
        <v>48.2</v>
      </c>
      <c r="R1047">
        <v>49.1</v>
      </c>
      <c r="S1047">
        <v>32.299999999999997</v>
      </c>
      <c r="T1047">
        <v>38.799999999999997</v>
      </c>
      <c r="U1047">
        <v>69.8</v>
      </c>
      <c r="V1047">
        <v>-5.2</v>
      </c>
      <c r="W1047" cm="1">
        <f t="array" ref="W1047">_xlfn.IFS(OR(X1047="N/A",X1047="NA"),0,OR(X1047="R64",X1047="R68"),1,X1047="R32",2,X1047="S16",3,X1047="E8",4,X1047="F4",5,X1047="2ND",6,X1047="Champions",7)</f>
        <v>0</v>
      </c>
      <c r="X1047" t="s">
        <v>90</v>
      </c>
      <c r="Y1047" t="s">
        <v>90</v>
      </c>
      <c r="Z1047">
        <v>2017</v>
      </c>
    </row>
    <row r="1048" spans="1:26" x14ac:dyDescent="0.3">
      <c r="A1048" t="s">
        <v>325</v>
      </c>
      <c r="B1048" t="s">
        <v>38</v>
      </c>
      <c r="C1048">
        <v>30</v>
      </c>
      <c r="D1048">
        <v>20</v>
      </c>
      <c r="E1048" s="1">
        <f t="shared" si="16"/>
        <v>0.66666666666666663</v>
      </c>
      <c r="F1048">
        <v>112.4</v>
      </c>
      <c r="G1048">
        <v>98.8</v>
      </c>
      <c r="H1048">
        <v>0.81630000000000003</v>
      </c>
      <c r="I1048">
        <v>56.2</v>
      </c>
      <c r="J1048">
        <v>49.1</v>
      </c>
      <c r="K1048">
        <v>19.2</v>
      </c>
      <c r="L1048">
        <v>17</v>
      </c>
      <c r="M1048">
        <v>30.9</v>
      </c>
      <c r="N1048">
        <v>24.5</v>
      </c>
      <c r="O1048">
        <v>33.1</v>
      </c>
      <c r="P1048">
        <v>31.2</v>
      </c>
      <c r="Q1048">
        <v>57.4</v>
      </c>
      <c r="R1048">
        <v>46.9</v>
      </c>
      <c r="S1048">
        <v>36</v>
      </c>
      <c r="T1048">
        <v>35.6</v>
      </c>
      <c r="U1048">
        <v>69.8</v>
      </c>
      <c r="V1048">
        <v>-2.2999999999999998</v>
      </c>
      <c r="W1048" cm="1">
        <f t="array" ref="W1048">_xlfn.IFS(OR(X1048="N/A",X1048="NA"),0,OR(X1048="R64",X1048="R68"),1,X1048="R32",2,X1048="S16",3,X1048="E8",4,X1048="F4",5,X1048="2ND",6,X1048="Champions",7)</f>
        <v>0</v>
      </c>
      <c r="X1048" t="s">
        <v>90</v>
      </c>
      <c r="Y1048" t="s">
        <v>90</v>
      </c>
      <c r="Z1048">
        <v>2017</v>
      </c>
    </row>
    <row r="1049" spans="1:26" x14ac:dyDescent="0.3">
      <c r="A1049" t="s">
        <v>322</v>
      </c>
      <c r="B1049" t="s">
        <v>38</v>
      </c>
      <c r="C1049">
        <v>31</v>
      </c>
      <c r="D1049">
        <v>9</v>
      </c>
      <c r="E1049" s="1">
        <f t="shared" si="16"/>
        <v>0.29032258064516131</v>
      </c>
      <c r="F1049">
        <v>105.9</v>
      </c>
      <c r="G1049">
        <v>105.4</v>
      </c>
      <c r="H1049">
        <v>0.5131</v>
      </c>
      <c r="I1049">
        <v>50.6</v>
      </c>
      <c r="J1049">
        <v>52.8</v>
      </c>
      <c r="K1049">
        <v>18.8</v>
      </c>
      <c r="L1049">
        <v>16.399999999999999</v>
      </c>
      <c r="M1049">
        <v>34.9</v>
      </c>
      <c r="N1049">
        <v>31.4</v>
      </c>
      <c r="O1049">
        <v>30.8</v>
      </c>
      <c r="P1049">
        <v>34.700000000000003</v>
      </c>
      <c r="Q1049">
        <v>49.4</v>
      </c>
      <c r="R1049">
        <v>49.6</v>
      </c>
      <c r="S1049">
        <v>35.4</v>
      </c>
      <c r="T1049">
        <v>39.9</v>
      </c>
      <c r="U1049">
        <v>72.599999999999994</v>
      </c>
      <c r="V1049">
        <v>-10.9</v>
      </c>
      <c r="W1049" cm="1">
        <f t="array" ref="W1049">_xlfn.IFS(OR(X1049="N/A",X1049="NA"),0,OR(X1049="R64",X1049="R68"),1,X1049="R32",2,X1049="S16",3,X1049="E8",4,X1049="F4",5,X1049="2ND",6,X1049="Champions",7)</f>
        <v>0</v>
      </c>
      <c r="X1049" t="s">
        <v>90</v>
      </c>
      <c r="Y1049" t="s">
        <v>90</v>
      </c>
      <c r="Z1049">
        <v>2017</v>
      </c>
    </row>
    <row r="1050" spans="1:26" x14ac:dyDescent="0.3">
      <c r="A1050" t="s">
        <v>323</v>
      </c>
      <c r="B1050" t="s">
        <v>38</v>
      </c>
      <c r="C1050">
        <v>30</v>
      </c>
      <c r="D1050">
        <v>13</v>
      </c>
      <c r="E1050" s="1">
        <f t="shared" si="16"/>
        <v>0.43333333333333335</v>
      </c>
      <c r="F1050">
        <v>103.8</v>
      </c>
      <c r="G1050">
        <v>104.1</v>
      </c>
      <c r="H1050">
        <v>0.4924</v>
      </c>
      <c r="I1050">
        <v>52</v>
      </c>
      <c r="J1050">
        <v>52.8</v>
      </c>
      <c r="K1050">
        <v>18.100000000000001</v>
      </c>
      <c r="L1050">
        <v>14.7</v>
      </c>
      <c r="M1050">
        <v>20</v>
      </c>
      <c r="N1050">
        <v>28.5</v>
      </c>
      <c r="O1050">
        <v>27.2</v>
      </c>
      <c r="P1050">
        <v>27.9</v>
      </c>
      <c r="Q1050">
        <v>50.6</v>
      </c>
      <c r="R1050">
        <v>52.6</v>
      </c>
      <c r="S1050">
        <v>36.6</v>
      </c>
      <c r="T1050">
        <v>35.4</v>
      </c>
      <c r="U1050">
        <v>69</v>
      </c>
      <c r="V1050">
        <v>-7.9</v>
      </c>
      <c r="W1050" cm="1">
        <f t="array" ref="W1050">_xlfn.IFS(OR(X1050="N/A",X1050="NA"),0,OR(X1050="R64",X1050="R68"),1,X1050="R32",2,X1050="S16",3,X1050="E8",4,X1050="F4",5,X1050="2ND",6,X1050="Champions",7)</f>
        <v>0</v>
      </c>
      <c r="X1050" t="s">
        <v>90</v>
      </c>
      <c r="Y1050" t="s">
        <v>90</v>
      </c>
      <c r="Z1050">
        <v>2017</v>
      </c>
    </row>
    <row r="1051" spans="1:26" x14ac:dyDescent="0.3">
      <c r="A1051" t="s">
        <v>317</v>
      </c>
      <c r="B1051" t="s">
        <v>38</v>
      </c>
      <c r="C1051">
        <v>31</v>
      </c>
      <c r="D1051">
        <v>8</v>
      </c>
      <c r="E1051" s="1">
        <f t="shared" si="16"/>
        <v>0.25806451612903225</v>
      </c>
      <c r="F1051">
        <v>97.1</v>
      </c>
      <c r="G1051">
        <v>103.2</v>
      </c>
      <c r="H1051">
        <v>0.3301</v>
      </c>
      <c r="I1051">
        <v>44.5</v>
      </c>
      <c r="J1051">
        <v>54.5</v>
      </c>
      <c r="K1051">
        <v>20.8</v>
      </c>
      <c r="L1051">
        <v>19.7</v>
      </c>
      <c r="M1051">
        <v>34.799999999999997</v>
      </c>
      <c r="N1051">
        <v>30.6</v>
      </c>
      <c r="O1051">
        <v>38.1</v>
      </c>
      <c r="P1051">
        <v>38.4</v>
      </c>
      <c r="Q1051">
        <v>45.1</v>
      </c>
      <c r="R1051">
        <v>51.6</v>
      </c>
      <c r="S1051">
        <v>28.6</v>
      </c>
      <c r="T1051">
        <v>39.4</v>
      </c>
      <c r="U1051">
        <v>69.900000000000006</v>
      </c>
      <c r="V1051">
        <v>-13.3</v>
      </c>
      <c r="W1051" cm="1">
        <f t="array" ref="W1051">_xlfn.IFS(OR(X1051="N/A",X1051="NA"),0,OR(X1051="R64",X1051="R68"),1,X1051="R32",2,X1051="S16",3,X1051="E8",4,X1051="F4",5,X1051="2ND",6,X1051="Champions",7)</f>
        <v>0</v>
      </c>
      <c r="X1051" t="s">
        <v>90</v>
      </c>
      <c r="Y1051" t="s">
        <v>90</v>
      </c>
      <c r="Z1051">
        <v>2018</v>
      </c>
    </row>
    <row r="1052" spans="1:26" x14ac:dyDescent="0.3">
      <c r="A1052" t="s">
        <v>318</v>
      </c>
      <c r="B1052" t="s">
        <v>38</v>
      </c>
      <c r="C1052">
        <v>32</v>
      </c>
      <c r="D1052">
        <v>17</v>
      </c>
      <c r="E1052" s="1">
        <f t="shared" si="16"/>
        <v>0.53125</v>
      </c>
      <c r="F1052">
        <v>104.8</v>
      </c>
      <c r="G1052">
        <v>99</v>
      </c>
      <c r="H1052">
        <v>0.65880000000000005</v>
      </c>
      <c r="I1052">
        <v>50.6</v>
      </c>
      <c r="J1052">
        <v>49.3</v>
      </c>
      <c r="K1052">
        <v>20</v>
      </c>
      <c r="L1052">
        <v>15.1</v>
      </c>
      <c r="M1052">
        <v>29.3</v>
      </c>
      <c r="N1052">
        <v>26.3</v>
      </c>
      <c r="O1052">
        <v>33.299999999999997</v>
      </c>
      <c r="P1052">
        <v>34</v>
      </c>
      <c r="Q1052">
        <v>48.8</v>
      </c>
      <c r="R1052">
        <v>46.6</v>
      </c>
      <c r="S1052">
        <v>35.799999999999997</v>
      </c>
      <c r="T1052">
        <v>35.700000000000003</v>
      </c>
      <c r="U1052">
        <v>69.2</v>
      </c>
      <c r="V1052">
        <v>-4.5</v>
      </c>
      <c r="W1052" cm="1">
        <f t="array" ref="W1052">_xlfn.IFS(OR(X1052="N/A",X1052="NA"),0,OR(X1052="R64",X1052="R68"),1,X1052="R32",2,X1052="S16",3,X1052="E8",4,X1052="F4",5,X1052="2ND",6,X1052="Champions",7)</f>
        <v>0</v>
      </c>
      <c r="X1052" t="s">
        <v>90</v>
      </c>
      <c r="Y1052" t="s">
        <v>90</v>
      </c>
      <c r="Z1052">
        <v>2018</v>
      </c>
    </row>
    <row r="1053" spans="1:26" x14ac:dyDescent="0.3">
      <c r="A1053" t="s">
        <v>73</v>
      </c>
      <c r="B1053" t="s">
        <v>38</v>
      </c>
      <c r="C1053">
        <v>36</v>
      </c>
      <c r="D1053">
        <v>23</v>
      </c>
      <c r="E1053" s="1">
        <f t="shared" si="16"/>
        <v>0.63888888888888884</v>
      </c>
      <c r="F1053">
        <v>110</v>
      </c>
      <c r="G1053">
        <v>100</v>
      </c>
      <c r="H1053">
        <v>0.75009999999999999</v>
      </c>
      <c r="I1053">
        <v>53.3</v>
      </c>
      <c r="J1053">
        <v>50.3</v>
      </c>
      <c r="K1053">
        <v>17.100000000000001</v>
      </c>
      <c r="L1053">
        <v>19</v>
      </c>
      <c r="M1053">
        <v>31</v>
      </c>
      <c r="N1053">
        <v>26.8</v>
      </c>
      <c r="O1053">
        <v>31.7</v>
      </c>
      <c r="P1053">
        <v>36.299999999999997</v>
      </c>
      <c r="Q1053">
        <v>53.1</v>
      </c>
      <c r="R1053">
        <v>48.4</v>
      </c>
      <c r="S1053">
        <v>35.700000000000003</v>
      </c>
      <c r="T1053">
        <v>35.6</v>
      </c>
      <c r="U1053">
        <v>68.599999999999994</v>
      </c>
      <c r="V1053">
        <v>-2.2999999999999998</v>
      </c>
      <c r="W1053" cm="1">
        <f t="array" ref="W1053">_xlfn.IFS(OR(X1053="N/A",X1053="NA"),0,OR(X1053="R64",X1053="R68"),1,X1053="R32",2,X1053="S16",3,X1053="E8",4,X1053="F4",5,X1053="2ND",6,X1053="Champions",7)</f>
        <v>0</v>
      </c>
      <c r="X1053" t="s">
        <v>90</v>
      </c>
      <c r="Y1053" t="s">
        <v>90</v>
      </c>
      <c r="Z1053">
        <v>2018</v>
      </c>
    </row>
    <row r="1054" spans="1:26" x14ac:dyDescent="0.3">
      <c r="A1054" t="s">
        <v>319</v>
      </c>
      <c r="B1054" t="s">
        <v>38</v>
      </c>
      <c r="C1054">
        <v>32</v>
      </c>
      <c r="D1054">
        <v>16</v>
      </c>
      <c r="E1054" s="1">
        <f t="shared" si="16"/>
        <v>0.5</v>
      </c>
      <c r="F1054">
        <v>107.4</v>
      </c>
      <c r="G1054">
        <v>100.9</v>
      </c>
      <c r="H1054">
        <v>0.67130000000000001</v>
      </c>
      <c r="I1054">
        <v>52.1</v>
      </c>
      <c r="J1054">
        <v>49.6</v>
      </c>
      <c r="K1054">
        <v>19.399999999999999</v>
      </c>
      <c r="L1054">
        <v>18.600000000000001</v>
      </c>
      <c r="M1054">
        <v>31.8</v>
      </c>
      <c r="N1054">
        <v>28.7</v>
      </c>
      <c r="O1054">
        <v>38.700000000000003</v>
      </c>
      <c r="P1054">
        <v>38.200000000000003</v>
      </c>
      <c r="Q1054">
        <v>53.3</v>
      </c>
      <c r="R1054">
        <v>48.1</v>
      </c>
      <c r="S1054">
        <v>32.9</v>
      </c>
      <c r="T1054">
        <v>34.799999999999997</v>
      </c>
      <c r="U1054">
        <v>66.8</v>
      </c>
      <c r="V1054">
        <v>-7.3</v>
      </c>
      <c r="W1054" cm="1">
        <f t="array" ref="W1054">_xlfn.IFS(OR(X1054="N/A",X1054="NA"),0,OR(X1054="R64",X1054="R68"),1,X1054="R32",2,X1054="S16",3,X1054="E8",4,X1054="F4",5,X1054="2ND",6,X1054="Champions",7)</f>
        <v>0</v>
      </c>
      <c r="X1054" t="s">
        <v>90</v>
      </c>
      <c r="Y1054" t="s">
        <v>90</v>
      </c>
      <c r="Z1054">
        <v>2018</v>
      </c>
    </row>
    <row r="1055" spans="1:26" x14ac:dyDescent="0.3">
      <c r="A1055" t="s">
        <v>320</v>
      </c>
      <c r="B1055" t="s">
        <v>38</v>
      </c>
      <c r="C1055">
        <v>35</v>
      </c>
      <c r="D1055">
        <v>19</v>
      </c>
      <c r="E1055" s="1">
        <f t="shared" si="16"/>
        <v>0.54285714285714282</v>
      </c>
      <c r="F1055">
        <v>107.6</v>
      </c>
      <c r="G1055">
        <v>98.5</v>
      </c>
      <c r="H1055">
        <v>0.73409999999999997</v>
      </c>
      <c r="I1055">
        <v>51.9</v>
      </c>
      <c r="J1055">
        <v>49.7</v>
      </c>
      <c r="K1055">
        <v>20.6</v>
      </c>
      <c r="L1055">
        <v>15.9</v>
      </c>
      <c r="M1055">
        <v>32.799999999999997</v>
      </c>
      <c r="N1055">
        <v>27</v>
      </c>
      <c r="O1055">
        <v>41.6</v>
      </c>
      <c r="P1055">
        <v>29.2</v>
      </c>
      <c r="Q1055">
        <v>50.3</v>
      </c>
      <c r="R1055">
        <v>47.9</v>
      </c>
      <c r="S1055">
        <v>36.9</v>
      </c>
      <c r="T1055">
        <v>35.1</v>
      </c>
      <c r="U1055">
        <v>71.900000000000006</v>
      </c>
      <c r="V1055">
        <v>-4.3</v>
      </c>
      <c r="W1055" cm="1">
        <f t="array" ref="W1055">_xlfn.IFS(OR(X1055="N/A",X1055="NA"),0,OR(X1055="R64",X1055="R68"),1,X1055="R32",2,X1055="S16",3,X1055="E8",4,X1055="F4",5,X1055="2ND",6,X1055="Champions",7)</f>
        <v>0</v>
      </c>
      <c r="X1055" t="s">
        <v>90</v>
      </c>
      <c r="Y1055" t="s">
        <v>90</v>
      </c>
      <c r="Z1055">
        <v>2018</v>
      </c>
    </row>
    <row r="1056" spans="1:26" x14ac:dyDescent="0.3">
      <c r="A1056" t="s">
        <v>321</v>
      </c>
      <c r="B1056" t="s">
        <v>38</v>
      </c>
      <c r="C1056">
        <v>36</v>
      </c>
      <c r="D1056">
        <v>24</v>
      </c>
      <c r="E1056" s="1">
        <f t="shared" si="16"/>
        <v>0.66666666666666663</v>
      </c>
      <c r="F1056">
        <v>114</v>
      </c>
      <c r="G1056">
        <v>98.6</v>
      </c>
      <c r="H1056">
        <v>0.84230000000000005</v>
      </c>
      <c r="I1056">
        <v>53.8</v>
      </c>
      <c r="J1056">
        <v>51</v>
      </c>
      <c r="K1056">
        <v>15.3</v>
      </c>
      <c r="L1056">
        <v>19.2</v>
      </c>
      <c r="M1056">
        <v>30</v>
      </c>
      <c r="N1056">
        <v>28.8</v>
      </c>
      <c r="O1056">
        <v>29.9</v>
      </c>
      <c r="P1056">
        <v>26.6</v>
      </c>
      <c r="Q1056">
        <v>52.4</v>
      </c>
      <c r="R1056">
        <v>49.8</v>
      </c>
      <c r="S1056">
        <v>37.6</v>
      </c>
      <c r="T1056">
        <v>35.200000000000003</v>
      </c>
      <c r="U1056">
        <v>69</v>
      </c>
      <c r="V1056">
        <v>-0.4</v>
      </c>
      <c r="W1056" cm="1">
        <f t="array" ref="W1056">_xlfn.IFS(OR(X1056="N/A",X1056="NA"),0,OR(X1056="R64",X1056="R68"),1,X1056="R32",2,X1056="S16",3,X1056="E8",4,X1056="F4",5,X1056="2ND",6,X1056="Champions",7)</f>
        <v>0</v>
      </c>
      <c r="X1056" t="s">
        <v>90</v>
      </c>
      <c r="Y1056" t="s">
        <v>90</v>
      </c>
      <c r="Z1056">
        <v>2018</v>
      </c>
    </row>
    <row r="1057" spans="1:26" x14ac:dyDescent="0.3">
      <c r="A1057" t="s">
        <v>325</v>
      </c>
      <c r="B1057" t="s">
        <v>38</v>
      </c>
      <c r="C1057">
        <v>35</v>
      </c>
      <c r="D1057">
        <v>23</v>
      </c>
      <c r="E1057" s="1">
        <f t="shared" si="16"/>
        <v>0.65714285714285714</v>
      </c>
      <c r="F1057">
        <v>111.4</v>
      </c>
      <c r="G1057">
        <v>97.9</v>
      </c>
      <c r="H1057">
        <v>0.81559999999999999</v>
      </c>
      <c r="I1057">
        <v>54.5</v>
      </c>
      <c r="J1057">
        <v>48.3</v>
      </c>
      <c r="K1057">
        <v>17.5</v>
      </c>
      <c r="L1057">
        <v>17.5</v>
      </c>
      <c r="M1057">
        <v>24.1</v>
      </c>
      <c r="N1057">
        <v>28.6</v>
      </c>
      <c r="O1057">
        <v>34.4</v>
      </c>
      <c r="P1057">
        <v>28.8</v>
      </c>
      <c r="Q1057">
        <v>53.6</v>
      </c>
      <c r="R1057">
        <v>47</v>
      </c>
      <c r="S1057">
        <v>37</v>
      </c>
      <c r="T1057">
        <v>33.6</v>
      </c>
      <c r="U1057">
        <v>67.099999999999994</v>
      </c>
      <c r="V1057">
        <v>-1.5</v>
      </c>
      <c r="W1057" cm="1">
        <f t="array" ref="W1057">_xlfn.IFS(OR(X1057="N/A",X1057="NA"),0,OR(X1057="R64",X1057="R68"),1,X1057="R32",2,X1057="S16",3,X1057="E8",4,X1057="F4",5,X1057="2ND",6,X1057="Champions",7)</f>
        <v>0</v>
      </c>
      <c r="X1057" t="s">
        <v>90</v>
      </c>
      <c r="Y1057" t="s">
        <v>90</v>
      </c>
      <c r="Z1057">
        <v>2018</v>
      </c>
    </row>
    <row r="1058" spans="1:26" x14ac:dyDescent="0.3">
      <c r="A1058" t="s">
        <v>322</v>
      </c>
      <c r="B1058" t="s">
        <v>38</v>
      </c>
      <c r="C1058">
        <v>34</v>
      </c>
      <c r="D1058">
        <v>21</v>
      </c>
      <c r="E1058" s="1">
        <f t="shared" si="16"/>
        <v>0.61764705882352944</v>
      </c>
      <c r="F1058">
        <v>105.9</v>
      </c>
      <c r="G1058">
        <v>98.8</v>
      </c>
      <c r="H1058">
        <v>0.68859999999999999</v>
      </c>
      <c r="I1058">
        <v>51.7</v>
      </c>
      <c r="J1058">
        <v>50.7</v>
      </c>
      <c r="K1058">
        <v>18.600000000000001</v>
      </c>
      <c r="L1058">
        <v>21.1</v>
      </c>
      <c r="M1058">
        <v>28.9</v>
      </c>
      <c r="N1058">
        <v>33.299999999999997</v>
      </c>
      <c r="O1058">
        <v>36.700000000000003</v>
      </c>
      <c r="P1058">
        <v>34.4</v>
      </c>
      <c r="Q1058">
        <v>51.6</v>
      </c>
      <c r="R1058">
        <v>50.9</v>
      </c>
      <c r="S1058">
        <v>34.6</v>
      </c>
      <c r="T1058">
        <v>33.4</v>
      </c>
      <c r="U1058">
        <v>70.8</v>
      </c>
      <c r="V1058">
        <v>-2.5</v>
      </c>
      <c r="W1058" cm="1">
        <f t="array" ref="W1058">_xlfn.IFS(OR(X1058="N/A",X1058="NA"),0,OR(X1058="R64",X1058="R68"),1,X1058="R32",2,X1058="S16",3,X1058="E8",4,X1058="F4",5,X1058="2ND",6,X1058="Champions",7)</f>
        <v>0</v>
      </c>
      <c r="X1058" t="s">
        <v>90</v>
      </c>
      <c r="Y1058" t="s">
        <v>90</v>
      </c>
      <c r="Z1058">
        <v>2018</v>
      </c>
    </row>
    <row r="1059" spans="1:26" x14ac:dyDescent="0.3">
      <c r="A1059" t="s">
        <v>323</v>
      </c>
      <c r="B1059" t="s">
        <v>38</v>
      </c>
      <c r="C1059">
        <v>31</v>
      </c>
      <c r="D1059">
        <v>12</v>
      </c>
      <c r="E1059" s="1">
        <f t="shared" si="16"/>
        <v>0.38709677419354838</v>
      </c>
      <c r="F1059">
        <v>107.5</v>
      </c>
      <c r="G1059">
        <v>109.5</v>
      </c>
      <c r="H1059">
        <v>0.44690000000000002</v>
      </c>
      <c r="I1059">
        <v>54.1</v>
      </c>
      <c r="J1059">
        <v>53.5</v>
      </c>
      <c r="K1059">
        <v>19.399999999999999</v>
      </c>
      <c r="L1059">
        <v>16.399999999999999</v>
      </c>
      <c r="M1059">
        <v>24.6</v>
      </c>
      <c r="N1059">
        <v>31.2</v>
      </c>
      <c r="O1059">
        <v>24.7</v>
      </c>
      <c r="P1059">
        <v>28.5</v>
      </c>
      <c r="Q1059">
        <v>51.7</v>
      </c>
      <c r="R1059">
        <v>54.2</v>
      </c>
      <c r="S1059">
        <v>37.700000000000003</v>
      </c>
      <c r="T1059">
        <v>34.9</v>
      </c>
      <c r="U1059">
        <v>69.599999999999994</v>
      </c>
      <c r="V1059">
        <v>-9.9</v>
      </c>
      <c r="W1059" cm="1">
        <f t="array" ref="W1059">_xlfn.IFS(OR(X1059="N/A",X1059="NA"),0,OR(X1059="R64",X1059="R68"),1,X1059="R32",2,X1059="S16",3,X1059="E8",4,X1059="F4",5,X1059="2ND",6,X1059="Champions",7)</f>
        <v>0</v>
      </c>
      <c r="X1059" t="s">
        <v>90</v>
      </c>
      <c r="Y1059" t="s">
        <v>90</v>
      </c>
      <c r="Z1059">
        <v>2018</v>
      </c>
    </row>
    <row r="1060" spans="1:26" x14ac:dyDescent="0.3">
      <c r="A1060" t="s">
        <v>71</v>
      </c>
      <c r="B1060" t="s">
        <v>38</v>
      </c>
      <c r="C1060">
        <v>32</v>
      </c>
      <c r="D1060">
        <v>17</v>
      </c>
      <c r="E1060" s="1">
        <f t="shared" si="16"/>
        <v>0.53125</v>
      </c>
      <c r="F1060">
        <v>104</v>
      </c>
      <c r="G1060">
        <v>97.4</v>
      </c>
      <c r="H1060">
        <v>0.68069999999999997</v>
      </c>
      <c r="I1060">
        <v>49</v>
      </c>
      <c r="J1060">
        <v>50.9</v>
      </c>
      <c r="K1060">
        <v>16.7</v>
      </c>
      <c r="L1060">
        <v>20.3</v>
      </c>
      <c r="M1060">
        <v>28.4</v>
      </c>
      <c r="N1060">
        <v>25.9</v>
      </c>
      <c r="O1060">
        <v>33.299999999999997</v>
      </c>
      <c r="P1060">
        <v>35</v>
      </c>
      <c r="Q1060">
        <v>48.1</v>
      </c>
      <c r="R1060">
        <v>51.9</v>
      </c>
      <c r="S1060">
        <v>33.6</v>
      </c>
      <c r="T1060">
        <v>32.9</v>
      </c>
      <c r="U1060">
        <v>68.3</v>
      </c>
      <c r="V1060">
        <v>-4.2</v>
      </c>
      <c r="W1060" cm="1">
        <f t="array" ref="W1060">_xlfn.IFS(OR(X1060="N/A",X1060="NA"),0,OR(X1060="R64",X1060="R68"),1,X1060="R32",2,X1060="S16",3,X1060="E8",4,X1060="F4",5,X1060="2ND",6,X1060="Champions",7)</f>
        <v>0</v>
      </c>
      <c r="X1060" t="s">
        <v>90</v>
      </c>
      <c r="Y1060" t="s">
        <v>90</v>
      </c>
      <c r="Z1060">
        <v>2019</v>
      </c>
    </row>
    <row r="1061" spans="1:26" x14ac:dyDescent="0.3">
      <c r="A1061" t="s">
        <v>317</v>
      </c>
      <c r="B1061" t="s">
        <v>38</v>
      </c>
      <c r="C1061">
        <v>31</v>
      </c>
      <c r="D1061">
        <v>8</v>
      </c>
      <c r="E1061" s="1">
        <f t="shared" si="16"/>
        <v>0.25806451612903225</v>
      </c>
      <c r="F1061">
        <v>102.9</v>
      </c>
      <c r="G1061">
        <v>106.9</v>
      </c>
      <c r="H1061">
        <v>0.39250000000000002</v>
      </c>
      <c r="I1061">
        <v>48.6</v>
      </c>
      <c r="J1061">
        <v>56.9</v>
      </c>
      <c r="K1061">
        <v>16.5</v>
      </c>
      <c r="L1061">
        <v>20.5</v>
      </c>
      <c r="M1061">
        <v>23.3</v>
      </c>
      <c r="N1061">
        <v>31.4</v>
      </c>
      <c r="O1061">
        <v>34.799999999999997</v>
      </c>
      <c r="P1061">
        <v>36.1</v>
      </c>
      <c r="Q1061">
        <v>46.5</v>
      </c>
      <c r="R1061">
        <v>56.7</v>
      </c>
      <c r="S1061">
        <v>35</v>
      </c>
      <c r="T1061">
        <v>38.1</v>
      </c>
      <c r="U1061">
        <v>68</v>
      </c>
      <c r="V1061">
        <v>-13.5</v>
      </c>
      <c r="W1061" cm="1">
        <f t="array" ref="W1061">_xlfn.IFS(OR(X1061="N/A",X1061="NA"),0,OR(X1061="R64",X1061="R68"),1,X1061="R32",2,X1061="S16",3,X1061="E8",4,X1061="F4",5,X1061="2ND",6,X1061="Champions",7)</f>
        <v>0</v>
      </c>
      <c r="X1061" t="s">
        <v>90</v>
      </c>
      <c r="Y1061" t="s">
        <v>90</v>
      </c>
      <c r="Z1061">
        <v>2019</v>
      </c>
    </row>
    <row r="1062" spans="1:26" x14ac:dyDescent="0.3">
      <c r="A1062" t="s">
        <v>318</v>
      </c>
      <c r="B1062" t="s">
        <v>38</v>
      </c>
      <c r="C1062">
        <v>36</v>
      </c>
      <c r="D1062">
        <v>23</v>
      </c>
      <c r="E1062" s="1">
        <f t="shared" si="16"/>
        <v>0.63888888888888884</v>
      </c>
      <c r="F1062">
        <v>105.8</v>
      </c>
      <c r="G1062">
        <v>95.7</v>
      </c>
      <c r="H1062">
        <v>0.75839999999999996</v>
      </c>
      <c r="I1062">
        <v>51</v>
      </c>
      <c r="J1062">
        <v>48.4</v>
      </c>
      <c r="K1062">
        <v>19.100000000000001</v>
      </c>
      <c r="L1062">
        <v>17.399999999999999</v>
      </c>
      <c r="M1062">
        <v>30.7</v>
      </c>
      <c r="N1062">
        <v>23.6</v>
      </c>
      <c r="O1062">
        <v>37.200000000000003</v>
      </c>
      <c r="P1062">
        <v>31.1</v>
      </c>
      <c r="Q1062">
        <v>52.3</v>
      </c>
      <c r="R1062">
        <v>48.8</v>
      </c>
      <c r="S1062">
        <v>32.299999999999997</v>
      </c>
      <c r="T1062">
        <v>31.8</v>
      </c>
      <c r="U1062">
        <v>69.5</v>
      </c>
      <c r="V1062">
        <v>-3.6</v>
      </c>
      <c r="W1062" cm="1">
        <f t="array" ref="W1062">_xlfn.IFS(OR(X1062="N/A",X1062="NA"),0,OR(X1062="R64",X1062="R68"),1,X1062="R32",2,X1062="S16",3,X1062="E8",4,X1062="F4",5,X1062="2ND",6,X1062="Champions",7)</f>
        <v>0</v>
      </c>
      <c r="X1062" t="s">
        <v>90</v>
      </c>
      <c r="Y1062" t="s">
        <v>90</v>
      </c>
      <c r="Z1062">
        <v>2019</v>
      </c>
    </row>
    <row r="1063" spans="1:26" x14ac:dyDescent="0.3">
      <c r="A1063" t="s">
        <v>319</v>
      </c>
      <c r="B1063" t="s">
        <v>38</v>
      </c>
      <c r="C1063">
        <v>31</v>
      </c>
      <c r="D1063">
        <v>18</v>
      </c>
      <c r="E1063" s="1">
        <f t="shared" si="16"/>
        <v>0.58064516129032262</v>
      </c>
      <c r="F1063">
        <v>110.5</v>
      </c>
      <c r="G1063">
        <v>103.7</v>
      </c>
      <c r="H1063">
        <v>0.67589999999999995</v>
      </c>
      <c r="I1063">
        <v>52.2</v>
      </c>
      <c r="J1063">
        <v>50.2</v>
      </c>
      <c r="K1063">
        <v>18.3</v>
      </c>
      <c r="L1063">
        <v>17.600000000000001</v>
      </c>
      <c r="M1063">
        <v>30.8</v>
      </c>
      <c r="N1063">
        <v>29</v>
      </c>
      <c r="O1063">
        <v>36.799999999999997</v>
      </c>
      <c r="P1063">
        <v>33.5</v>
      </c>
      <c r="Q1063">
        <v>54.5</v>
      </c>
      <c r="R1063">
        <v>46.7</v>
      </c>
      <c r="S1063">
        <v>32.1</v>
      </c>
      <c r="T1063">
        <v>37.299999999999997</v>
      </c>
      <c r="U1063">
        <v>67.2</v>
      </c>
      <c r="V1063">
        <v>-3.9</v>
      </c>
      <c r="W1063" cm="1">
        <f t="array" ref="W1063">_xlfn.IFS(OR(X1063="N/A",X1063="NA"),0,OR(X1063="R64",X1063="R68"),1,X1063="R32",2,X1063="S16",3,X1063="E8",4,X1063="F4",5,X1063="2ND",6,X1063="Champions",7)</f>
        <v>0</v>
      </c>
      <c r="X1063" t="s">
        <v>90</v>
      </c>
      <c r="Y1063" t="s">
        <v>90</v>
      </c>
      <c r="Z1063">
        <v>2019</v>
      </c>
    </row>
    <row r="1064" spans="1:26" x14ac:dyDescent="0.3">
      <c r="A1064" t="s">
        <v>320</v>
      </c>
      <c r="B1064" t="s">
        <v>38</v>
      </c>
      <c r="C1064">
        <v>31</v>
      </c>
      <c r="D1064">
        <v>15</v>
      </c>
      <c r="E1064" s="1">
        <f t="shared" si="16"/>
        <v>0.4838709677419355</v>
      </c>
      <c r="F1064">
        <v>101.4</v>
      </c>
      <c r="G1064">
        <v>97.6</v>
      </c>
      <c r="H1064">
        <v>0.60829999999999995</v>
      </c>
      <c r="I1064">
        <v>51.2</v>
      </c>
      <c r="J1064">
        <v>47.9</v>
      </c>
      <c r="K1064">
        <v>20.8</v>
      </c>
      <c r="L1064">
        <v>17.2</v>
      </c>
      <c r="M1064">
        <v>29.9</v>
      </c>
      <c r="N1064">
        <v>28.3</v>
      </c>
      <c r="O1064">
        <v>36.1</v>
      </c>
      <c r="P1064">
        <v>32.9</v>
      </c>
      <c r="Q1064">
        <v>53.2</v>
      </c>
      <c r="R1064">
        <v>46.4</v>
      </c>
      <c r="S1064">
        <v>31.7</v>
      </c>
      <c r="T1064">
        <v>34.5</v>
      </c>
      <c r="U1064">
        <v>71.2</v>
      </c>
      <c r="V1064">
        <v>-5.8</v>
      </c>
      <c r="W1064" cm="1">
        <f t="array" ref="W1064">_xlfn.IFS(OR(X1064="N/A",X1064="NA"),0,OR(X1064="R64",X1064="R68"),1,X1064="R32",2,X1064="S16",3,X1064="E8",4,X1064="F4",5,X1064="2ND",6,X1064="Champions",7)</f>
        <v>0</v>
      </c>
      <c r="X1064" t="s">
        <v>90</v>
      </c>
      <c r="Y1064" t="s">
        <v>90</v>
      </c>
      <c r="Z1064">
        <v>2019</v>
      </c>
    </row>
    <row r="1065" spans="1:26" x14ac:dyDescent="0.3">
      <c r="A1065" t="s">
        <v>324</v>
      </c>
      <c r="B1065" t="s">
        <v>38</v>
      </c>
      <c r="C1065">
        <v>33</v>
      </c>
      <c r="D1065">
        <v>17</v>
      </c>
      <c r="E1065" s="1">
        <f t="shared" si="16"/>
        <v>0.51515151515151514</v>
      </c>
      <c r="F1065">
        <v>108.2</v>
      </c>
      <c r="G1065">
        <v>101.3</v>
      </c>
      <c r="H1065">
        <v>0.68240000000000001</v>
      </c>
      <c r="I1065">
        <v>52</v>
      </c>
      <c r="J1065">
        <v>49.6</v>
      </c>
      <c r="K1065">
        <v>19</v>
      </c>
      <c r="L1065">
        <v>15.1</v>
      </c>
      <c r="M1065">
        <v>30.8</v>
      </c>
      <c r="N1065">
        <v>27.1</v>
      </c>
      <c r="O1065">
        <v>38.200000000000003</v>
      </c>
      <c r="P1065">
        <v>27.6</v>
      </c>
      <c r="Q1065">
        <v>51.4</v>
      </c>
      <c r="R1065">
        <v>47.9</v>
      </c>
      <c r="S1065">
        <v>35.5</v>
      </c>
      <c r="T1065">
        <v>34.700000000000003</v>
      </c>
      <c r="U1065">
        <v>74</v>
      </c>
      <c r="V1065">
        <v>-5.2</v>
      </c>
      <c r="W1065" cm="1">
        <f t="array" ref="W1065">_xlfn.IFS(OR(X1065="N/A",X1065="NA"),0,OR(X1065="R64",X1065="R68"),1,X1065="R32",2,X1065="S16",3,X1065="E8",4,X1065="F4",5,X1065="2ND",6,X1065="Champions",7)</f>
        <v>0</v>
      </c>
      <c r="X1065" t="s">
        <v>90</v>
      </c>
      <c r="Y1065" t="s">
        <v>90</v>
      </c>
      <c r="Z1065">
        <v>2019</v>
      </c>
    </row>
    <row r="1066" spans="1:26" x14ac:dyDescent="0.3">
      <c r="A1066" t="s">
        <v>321</v>
      </c>
      <c r="B1066" t="s">
        <v>38</v>
      </c>
      <c r="C1066">
        <v>33</v>
      </c>
      <c r="D1066">
        <v>16</v>
      </c>
      <c r="E1066" s="1">
        <f t="shared" si="16"/>
        <v>0.48484848484848486</v>
      </c>
      <c r="F1066">
        <v>109</v>
      </c>
      <c r="G1066">
        <v>100.5</v>
      </c>
      <c r="H1066">
        <v>0.71640000000000004</v>
      </c>
      <c r="I1066">
        <v>52.8</v>
      </c>
      <c r="J1066">
        <v>49.1</v>
      </c>
      <c r="K1066">
        <v>16.5</v>
      </c>
      <c r="L1066">
        <v>18.100000000000001</v>
      </c>
      <c r="M1066">
        <v>27</v>
      </c>
      <c r="N1066">
        <v>29.9</v>
      </c>
      <c r="O1066">
        <v>27.6</v>
      </c>
      <c r="P1066">
        <v>30</v>
      </c>
      <c r="Q1066">
        <v>50.3</v>
      </c>
      <c r="R1066">
        <v>48.4</v>
      </c>
      <c r="S1066">
        <v>38.200000000000003</v>
      </c>
      <c r="T1066">
        <v>33.4</v>
      </c>
      <c r="U1066">
        <v>71.2</v>
      </c>
      <c r="V1066">
        <v>-7.1</v>
      </c>
      <c r="W1066" cm="1">
        <f t="array" ref="W1066">_xlfn.IFS(OR(X1066="N/A",X1066="NA"),0,OR(X1066="R64",X1066="R68"),1,X1066="R32",2,X1066="S16",3,X1066="E8",4,X1066="F4",5,X1066="2ND",6,X1066="Champions",7)</f>
        <v>0</v>
      </c>
      <c r="X1066" t="s">
        <v>90</v>
      </c>
      <c r="Y1066" t="s">
        <v>90</v>
      </c>
      <c r="Z1066">
        <v>2019</v>
      </c>
    </row>
    <row r="1067" spans="1:26" x14ac:dyDescent="0.3">
      <c r="A1067" t="s">
        <v>325</v>
      </c>
      <c r="B1067" t="s">
        <v>38</v>
      </c>
      <c r="C1067">
        <v>31</v>
      </c>
      <c r="D1067">
        <v>17</v>
      </c>
      <c r="E1067" s="1">
        <f t="shared" si="16"/>
        <v>0.54838709677419351</v>
      </c>
      <c r="F1067">
        <v>113.9</v>
      </c>
      <c r="G1067">
        <v>106.4</v>
      </c>
      <c r="H1067">
        <v>0.68620000000000003</v>
      </c>
      <c r="I1067">
        <v>55</v>
      </c>
      <c r="J1067">
        <v>52.3</v>
      </c>
      <c r="K1067">
        <v>19.2</v>
      </c>
      <c r="L1067">
        <v>14.7</v>
      </c>
      <c r="M1067">
        <v>31</v>
      </c>
      <c r="N1067">
        <v>27.1</v>
      </c>
      <c r="O1067">
        <v>35.5</v>
      </c>
      <c r="P1067">
        <v>32.5</v>
      </c>
      <c r="Q1067">
        <v>54.6</v>
      </c>
      <c r="R1067">
        <v>51.7</v>
      </c>
      <c r="S1067">
        <v>37</v>
      </c>
      <c r="T1067">
        <v>35.6</v>
      </c>
      <c r="U1067">
        <v>67.599999999999994</v>
      </c>
      <c r="V1067">
        <v>-4.2</v>
      </c>
      <c r="W1067" cm="1">
        <f t="array" ref="W1067">_xlfn.IFS(OR(X1067="N/A",X1067="NA"),0,OR(X1067="R64",X1067="R68"),1,X1067="R32",2,X1067="S16",3,X1067="E8",4,X1067="F4",5,X1067="2ND",6,X1067="Champions",7)</f>
        <v>0</v>
      </c>
      <c r="X1067" t="s">
        <v>90</v>
      </c>
      <c r="Y1067" t="s">
        <v>90</v>
      </c>
      <c r="Z1067">
        <v>2019</v>
      </c>
    </row>
    <row r="1068" spans="1:26" x14ac:dyDescent="0.3">
      <c r="A1068" t="s">
        <v>323</v>
      </c>
      <c r="B1068" t="s">
        <v>38</v>
      </c>
      <c r="C1068">
        <v>32</v>
      </c>
      <c r="D1068">
        <v>11</v>
      </c>
      <c r="E1068" s="1">
        <f t="shared" si="16"/>
        <v>0.34375</v>
      </c>
      <c r="F1068">
        <v>105</v>
      </c>
      <c r="G1068">
        <v>108.8</v>
      </c>
      <c r="H1068">
        <v>0.39860000000000001</v>
      </c>
      <c r="I1068">
        <v>52.8</v>
      </c>
      <c r="J1068">
        <v>54.7</v>
      </c>
      <c r="K1068">
        <v>19.2</v>
      </c>
      <c r="L1068">
        <v>17.100000000000001</v>
      </c>
      <c r="M1068">
        <v>25.2</v>
      </c>
      <c r="N1068">
        <v>29.5</v>
      </c>
      <c r="O1068">
        <v>30.3</v>
      </c>
      <c r="P1068">
        <v>28.4</v>
      </c>
      <c r="Q1068">
        <v>51.5</v>
      </c>
      <c r="R1068">
        <v>54.9</v>
      </c>
      <c r="S1068">
        <v>36.4</v>
      </c>
      <c r="T1068">
        <v>36.200000000000003</v>
      </c>
      <c r="U1068">
        <v>71.8</v>
      </c>
      <c r="V1068">
        <v>-12.2</v>
      </c>
      <c r="W1068" cm="1">
        <f t="array" ref="W1068">_xlfn.IFS(OR(X1068="N/A",X1068="NA"),0,OR(X1068="R64",X1068="R68"),1,X1068="R32",2,X1068="S16",3,X1068="E8",4,X1068="F4",5,X1068="2ND",6,X1068="Champions",7)</f>
        <v>0</v>
      </c>
      <c r="X1068" t="s">
        <v>90</v>
      </c>
      <c r="Y1068" t="s">
        <v>90</v>
      </c>
      <c r="Z1068">
        <v>2019</v>
      </c>
    </row>
    <row r="1069" spans="1:26" x14ac:dyDescent="0.3">
      <c r="A1069" t="s">
        <v>326</v>
      </c>
      <c r="B1069" t="s">
        <v>67</v>
      </c>
      <c r="C1069">
        <v>33</v>
      </c>
      <c r="D1069">
        <v>17</v>
      </c>
      <c r="E1069" s="1">
        <f t="shared" si="16"/>
        <v>0.51515151515151514</v>
      </c>
      <c r="F1069">
        <v>99.8</v>
      </c>
      <c r="G1069">
        <v>103.8</v>
      </c>
      <c r="H1069">
        <v>0.3886</v>
      </c>
      <c r="I1069">
        <v>53.4</v>
      </c>
      <c r="J1069">
        <v>51</v>
      </c>
      <c r="K1069">
        <v>19.399999999999999</v>
      </c>
      <c r="L1069">
        <v>21.8</v>
      </c>
      <c r="M1069">
        <v>21.3</v>
      </c>
      <c r="N1069">
        <v>31.6</v>
      </c>
      <c r="O1069">
        <v>34.4</v>
      </c>
      <c r="P1069">
        <v>33</v>
      </c>
      <c r="Q1069">
        <v>51.8</v>
      </c>
      <c r="R1069">
        <v>50.9</v>
      </c>
      <c r="S1069">
        <v>37.4</v>
      </c>
      <c r="T1069">
        <v>34.200000000000003</v>
      </c>
      <c r="U1069">
        <v>57.2</v>
      </c>
      <c r="V1069">
        <v>-10.1</v>
      </c>
      <c r="W1069" cm="1">
        <f t="array" ref="W1069">_xlfn.IFS(OR(X1069="N/A",X1069="NA"),0,OR(X1069="R64",X1069="R68"),1,X1069="R32",2,X1069="S16",3,X1069="E8",4,X1069="F4",5,X1069="2ND",6,X1069="Champions",7)</f>
        <v>0</v>
      </c>
      <c r="X1069" t="s">
        <v>90</v>
      </c>
      <c r="Y1069" t="s">
        <v>90</v>
      </c>
      <c r="Z1069">
        <v>2015</v>
      </c>
    </row>
    <row r="1070" spans="1:26" x14ac:dyDescent="0.3">
      <c r="A1070" t="s">
        <v>327</v>
      </c>
      <c r="B1070" t="s">
        <v>67</v>
      </c>
      <c r="C1070">
        <v>29</v>
      </c>
      <c r="D1070">
        <v>14</v>
      </c>
      <c r="E1070" s="1">
        <f t="shared" si="16"/>
        <v>0.48275862068965519</v>
      </c>
      <c r="F1070">
        <v>97.4</v>
      </c>
      <c r="G1070">
        <v>106.1</v>
      </c>
      <c r="H1070">
        <v>0.27389999999999998</v>
      </c>
      <c r="I1070">
        <v>50</v>
      </c>
      <c r="J1070">
        <v>51</v>
      </c>
      <c r="K1070">
        <v>19.100000000000001</v>
      </c>
      <c r="L1070">
        <v>18.899999999999999</v>
      </c>
      <c r="M1070">
        <v>29.7</v>
      </c>
      <c r="N1070">
        <v>31.5</v>
      </c>
      <c r="O1070">
        <v>32</v>
      </c>
      <c r="P1070">
        <v>40.700000000000003</v>
      </c>
      <c r="Q1070">
        <v>51.1</v>
      </c>
      <c r="R1070">
        <v>49.9</v>
      </c>
      <c r="S1070">
        <v>32.200000000000003</v>
      </c>
      <c r="T1070">
        <v>35.799999999999997</v>
      </c>
      <c r="U1070">
        <v>69.900000000000006</v>
      </c>
      <c r="V1070">
        <v>-10.9</v>
      </c>
      <c r="W1070" cm="1">
        <f t="array" ref="W1070">_xlfn.IFS(OR(X1070="N/A",X1070="NA"),0,OR(X1070="R64",X1070="R68"),1,X1070="R32",2,X1070="S16",3,X1070="E8",4,X1070="F4",5,X1070="2ND",6,X1070="Champions",7)</f>
        <v>0</v>
      </c>
      <c r="X1070" t="s">
        <v>90</v>
      </c>
      <c r="Y1070" t="s">
        <v>90</v>
      </c>
      <c r="Z1070">
        <v>2015</v>
      </c>
    </row>
    <row r="1071" spans="1:26" x14ac:dyDescent="0.3">
      <c r="A1071" t="s">
        <v>328</v>
      </c>
      <c r="B1071" t="s">
        <v>67</v>
      </c>
      <c r="C1071">
        <v>29</v>
      </c>
      <c r="D1071">
        <v>12</v>
      </c>
      <c r="E1071" s="1">
        <f t="shared" si="16"/>
        <v>0.41379310344827586</v>
      </c>
      <c r="F1071">
        <v>103.9</v>
      </c>
      <c r="G1071">
        <v>109.3</v>
      </c>
      <c r="H1071">
        <v>0.35659999999999997</v>
      </c>
      <c r="I1071">
        <v>52.7</v>
      </c>
      <c r="J1071">
        <v>53</v>
      </c>
      <c r="K1071">
        <v>19.399999999999999</v>
      </c>
      <c r="L1071">
        <v>16.3</v>
      </c>
      <c r="M1071">
        <v>28.2</v>
      </c>
      <c r="N1071">
        <v>28.4</v>
      </c>
      <c r="O1071">
        <v>44.9</v>
      </c>
      <c r="P1071">
        <v>33.6</v>
      </c>
      <c r="Q1071">
        <v>50.8</v>
      </c>
      <c r="R1071">
        <v>50.9</v>
      </c>
      <c r="S1071">
        <v>36.799999999999997</v>
      </c>
      <c r="T1071">
        <v>37.4</v>
      </c>
      <c r="U1071">
        <v>64.7</v>
      </c>
      <c r="V1071">
        <v>-11.9</v>
      </c>
      <c r="W1071" cm="1">
        <f t="array" ref="W1071">_xlfn.IFS(OR(X1071="N/A",X1071="NA"),0,OR(X1071="R64",X1071="R68"),1,X1071="R32",2,X1071="S16",3,X1071="E8",4,X1071="F4",5,X1071="2ND",6,X1071="Champions",7)</f>
        <v>0</v>
      </c>
      <c r="X1071" t="s">
        <v>90</v>
      </c>
      <c r="Y1071" t="s">
        <v>90</v>
      </c>
      <c r="Z1071">
        <v>2015</v>
      </c>
    </row>
    <row r="1072" spans="1:26" x14ac:dyDescent="0.3">
      <c r="A1072" t="s">
        <v>329</v>
      </c>
      <c r="B1072" t="s">
        <v>67</v>
      </c>
      <c r="C1072">
        <v>33</v>
      </c>
      <c r="D1072">
        <v>18</v>
      </c>
      <c r="E1072" s="1">
        <f t="shared" si="16"/>
        <v>0.54545454545454541</v>
      </c>
      <c r="F1072">
        <v>103.2</v>
      </c>
      <c r="G1072">
        <v>107.1</v>
      </c>
      <c r="H1072">
        <v>0.39350000000000002</v>
      </c>
      <c r="I1072">
        <v>49.7</v>
      </c>
      <c r="J1072">
        <v>49.9</v>
      </c>
      <c r="K1072">
        <v>17.100000000000001</v>
      </c>
      <c r="L1072">
        <v>14.5</v>
      </c>
      <c r="M1072">
        <v>29.6</v>
      </c>
      <c r="N1072">
        <v>25.9</v>
      </c>
      <c r="O1072">
        <v>40.299999999999997</v>
      </c>
      <c r="P1072">
        <v>38.4</v>
      </c>
      <c r="Q1072">
        <v>46.2</v>
      </c>
      <c r="R1072">
        <v>47.7</v>
      </c>
      <c r="S1072">
        <v>38.1</v>
      </c>
      <c r="T1072">
        <v>36.6</v>
      </c>
      <c r="U1072">
        <v>64.8</v>
      </c>
      <c r="V1072">
        <v>-8.4</v>
      </c>
      <c r="W1072" cm="1">
        <f t="array" ref="W1072">_xlfn.IFS(OR(X1072="N/A",X1072="NA"),0,OR(X1072="R64",X1072="R68"),1,X1072="R32",2,X1072="S16",3,X1072="E8",4,X1072="F4",5,X1072="2ND",6,X1072="Champions",7)</f>
        <v>0</v>
      </c>
      <c r="X1072" t="s">
        <v>90</v>
      </c>
      <c r="Y1072" t="s">
        <v>90</v>
      </c>
      <c r="Z1072">
        <v>2015</v>
      </c>
    </row>
    <row r="1073" spans="1:26" x14ac:dyDescent="0.3">
      <c r="A1073" t="s">
        <v>330</v>
      </c>
      <c r="B1073" t="s">
        <v>67</v>
      </c>
      <c r="C1073">
        <v>32</v>
      </c>
      <c r="D1073">
        <v>15</v>
      </c>
      <c r="E1073" s="1">
        <f t="shared" si="16"/>
        <v>0.46875</v>
      </c>
      <c r="F1073">
        <v>105.6</v>
      </c>
      <c r="G1073">
        <v>107.2</v>
      </c>
      <c r="H1073">
        <v>0.45639999999999997</v>
      </c>
      <c r="I1073">
        <v>56</v>
      </c>
      <c r="J1073">
        <v>50.7</v>
      </c>
      <c r="K1073">
        <v>18.8</v>
      </c>
      <c r="L1073">
        <v>16.5</v>
      </c>
      <c r="M1073">
        <v>23.7</v>
      </c>
      <c r="N1073">
        <v>28.4</v>
      </c>
      <c r="O1073">
        <v>27.4</v>
      </c>
      <c r="P1073">
        <v>35.1</v>
      </c>
      <c r="Q1073">
        <v>53.8</v>
      </c>
      <c r="R1073">
        <v>47.8</v>
      </c>
      <c r="S1073">
        <v>39.5</v>
      </c>
      <c r="T1073">
        <v>37.799999999999997</v>
      </c>
      <c r="U1073">
        <v>61.2</v>
      </c>
      <c r="V1073">
        <v>-11.4</v>
      </c>
      <c r="W1073" cm="1">
        <f t="array" ref="W1073">_xlfn.IFS(OR(X1073="N/A",X1073="NA"),0,OR(X1073="R64",X1073="R68"),1,X1073="R32",2,X1073="S16",3,X1073="E8",4,X1073="F4",5,X1073="2ND",6,X1073="Champions",7)</f>
        <v>0</v>
      </c>
      <c r="X1073" t="s">
        <v>90</v>
      </c>
      <c r="Y1073" t="s">
        <v>90</v>
      </c>
      <c r="Z1073">
        <v>2015</v>
      </c>
    </row>
    <row r="1074" spans="1:26" x14ac:dyDescent="0.3">
      <c r="A1074" t="s">
        <v>331</v>
      </c>
      <c r="B1074" t="s">
        <v>67</v>
      </c>
      <c r="C1074">
        <v>29</v>
      </c>
      <c r="D1074">
        <v>13</v>
      </c>
      <c r="E1074" s="1">
        <f t="shared" si="16"/>
        <v>0.44827586206896552</v>
      </c>
      <c r="F1074">
        <v>99.6</v>
      </c>
      <c r="G1074">
        <v>105.8</v>
      </c>
      <c r="H1074">
        <v>0.33169999999999999</v>
      </c>
      <c r="I1074">
        <v>47.2</v>
      </c>
      <c r="J1074">
        <v>53.2</v>
      </c>
      <c r="K1074">
        <v>17</v>
      </c>
      <c r="L1074">
        <v>21.6</v>
      </c>
      <c r="M1074">
        <v>29.6</v>
      </c>
      <c r="N1074">
        <v>29.7</v>
      </c>
      <c r="O1074">
        <v>34.9</v>
      </c>
      <c r="P1074">
        <v>41.3</v>
      </c>
      <c r="Q1074">
        <v>45.4</v>
      </c>
      <c r="R1074">
        <v>51.7</v>
      </c>
      <c r="S1074">
        <v>33.700000000000003</v>
      </c>
      <c r="T1074">
        <v>37.5</v>
      </c>
      <c r="U1074">
        <v>64</v>
      </c>
      <c r="V1074">
        <v>-11.3</v>
      </c>
      <c r="W1074" cm="1">
        <f t="array" ref="W1074">_xlfn.IFS(OR(X1074="N/A",X1074="NA"),0,OR(X1074="R64",X1074="R68"),1,X1074="R32",2,X1074="S16",3,X1074="E8",4,X1074="F4",5,X1074="2ND",6,X1074="Champions",7)</f>
        <v>0</v>
      </c>
      <c r="X1074" t="s">
        <v>90</v>
      </c>
      <c r="Y1074" t="s">
        <v>90</v>
      </c>
      <c r="Z1074">
        <v>2015</v>
      </c>
    </row>
    <row r="1075" spans="1:26" x14ac:dyDescent="0.3">
      <c r="A1075" t="s">
        <v>332</v>
      </c>
      <c r="B1075" t="s">
        <v>67</v>
      </c>
      <c r="C1075">
        <v>29</v>
      </c>
      <c r="D1075">
        <v>15</v>
      </c>
      <c r="E1075" s="1">
        <f t="shared" si="16"/>
        <v>0.51724137931034486</v>
      </c>
      <c r="F1075">
        <v>98</v>
      </c>
      <c r="G1075">
        <v>99.5</v>
      </c>
      <c r="H1075">
        <v>0.45490000000000003</v>
      </c>
      <c r="I1075">
        <v>49</v>
      </c>
      <c r="J1075">
        <v>46.8</v>
      </c>
      <c r="K1075">
        <v>19.899999999999999</v>
      </c>
      <c r="L1075">
        <v>17.399999999999999</v>
      </c>
      <c r="M1075">
        <v>29.2</v>
      </c>
      <c r="N1075">
        <v>30.4</v>
      </c>
      <c r="O1075">
        <v>36.200000000000003</v>
      </c>
      <c r="P1075">
        <v>31.2</v>
      </c>
      <c r="Q1075">
        <v>47.8</v>
      </c>
      <c r="R1075">
        <v>44</v>
      </c>
      <c r="S1075">
        <v>34.799999999999997</v>
      </c>
      <c r="T1075">
        <v>33.9</v>
      </c>
      <c r="U1075">
        <v>66.900000000000006</v>
      </c>
      <c r="V1075">
        <v>-9.3000000000000007</v>
      </c>
      <c r="W1075" cm="1">
        <f t="array" ref="W1075">_xlfn.IFS(OR(X1075="N/A",X1075="NA"),0,OR(X1075="R64",X1075="R68"),1,X1075="R32",2,X1075="S16",3,X1075="E8",4,X1075="F4",5,X1075="2ND",6,X1075="Champions",7)</f>
        <v>0</v>
      </c>
      <c r="X1075" t="s">
        <v>90</v>
      </c>
      <c r="Y1075" t="s">
        <v>90</v>
      </c>
      <c r="Z1075">
        <v>2015</v>
      </c>
    </row>
    <row r="1076" spans="1:26" x14ac:dyDescent="0.3">
      <c r="A1076" t="s">
        <v>333</v>
      </c>
      <c r="B1076" t="s">
        <v>67</v>
      </c>
      <c r="C1076">
        <v>30</v>
      </c>
      <c r="D1076">
        <v>11</v>
      </c>
      <c r="E1076" s="1">
        <f t="shared" si="16"/>
        <v>0.36666666666666664</v>
      </c>
      <c r="F1076">
        <v>91.4</v>
      </c>
      <c r="G1076">
        <v>103.5</v>
      </c>
      <c r="H1076">
        <v>0.19439999999999999</v>
      </c>
      <c r="I1076">
        <v>42.8</v>
      </c>
      <c r="J1076">
        <v>49.7</v>
      </c>
      <c r="K1076">
        <v>20.3</v>
      </c>
      <c r="L1076">
        <v>17.600000000000001</v>
      </c>
      <c r="M1076">
        <v>31.9</v>
      </c>
      <c r="N1076">
        <v>28.6</v>
      </c>
      <c r="O1076">
        <v>37.6</v>
      </c>
      <c r="P1076">
        <v>44.9</v>
      </c>
      <c r="Q1076">
        <v>40.4</v>
      </c>
      <c r="R1076">
        <v>49.9</v>
      </c>
      <c r="S1076">
        <v>32.5</v>
      </c>
      <c r="T1076">
        <v>32.9</v>
      </c>
      <c r="U1076">
        <v>63.3</v>
      </c>
      <c r="V1076">
        <v>-13.8</v>
      </c>
      <c r="W1076" cm="1">
        <f t="array" ref="W1076">_xlfn.IFS(OR(X1076="N/A",X1076="NA"),0,OR(X1076="R64",X1076="R68"),1,X1076="R32",2,X1076="S16",3,X1076="E8",4,X1076="F4",5,X1076="2ND",6,X1076="Champions",7)</f>
        <v>0</v>
      </c>
      <c r="X1076" t="s">
        <v>90</v>
      </c>
      <c r="Y1076" t="s">
        <v>90</v>
      </c>
      <c r="Z1076">
        <v>2015</v>
      </c>
    </row>
    <row r="1077" spans="1:26" x14ac:dyDescent="0.3">
      <c r="A1077" t="s">
        <v>334</v>
      </c>
      <c r="B1077" t="s">
        <v>67</v>
      </c>
      <c r="C1077">
        <v>31</v>
      </c>
      <c r="D1077">
        <v>12</v>
      </c>
      <c r="E1077" s="1">
        <f t="shared" si="16"/>
        <v>0.38709677419354838</v>
      </c>
      <c r="F1077">
        <v>97.7</v>
      </c>
      <c r="G1077">
        <v>105</v>
      </c>
      <c r="H1077">
        <v>0.30370000000000003</v>
      </c>
      <c r="I1077">
        <v>49.1</v>
      </c>
      <c r="J1077">
        <v>53.1</v>
      </c>
      <c r="K1077">
        <v>19.399999999999999</v>
      </c>
      <c r="L1077">
        <v>20.100000000000001</v>
      </c>
      <c r="M1077">
        <v>29.5</v>
      </c>
      <c r="N1077">
        <v>30</v>
      </c>
      <c r="O1077">
        <v>30.6</v>
      </c>
      <c r="P1077">
        <v>36.6</v>
      </c>
      <c r="Q1077">
        <v>48.8</v>
      </c>
      <c r="R1077">
        <v>49.7</v>
      </c>
      <c r="S1077">
        <v>33.1</v>
      </c>
      <c r="T1077">
        <v>39.1</v>
      </c>
      <c r="U1077">
        <v>61.7</v>
      </c>
      <c r="V1077">
        <v>-13.8</v>
      </c>
      <c r="W1077" cm="1">
        <f t="array" ref="W1077">_xlfn.IFS(OR(X1077="N/A",X1077="NA"),0,OR(X1077="R64",X1077="R68"),1,X1077="R32",2,X1077="S16",3,X1077="E8",4,X1077="F4",5,X1077="2ND",6,X1077="Champions",7)</f>
        <v>0</v>
      </c>
      <c r="X1077" t="s">
        <v>90</v>
      </c>
      <c r="Y1077" t="s">
        <v>90</v>
      </c>
      <c r="Z1077">
        <v>2015</v>
      </c>
    </row>
    <row r="1078" spans="1:26" x14ac:dyDescent="0.3">
      <c r="A1078" t="s">
        <v>326</v>
      </c>
      <c r="B1078" t="s">
        <v>67</v>
      </c>
      <c r="C1078">
        <v>31</v>
      </c>
      <c r="D1078">
        <v>12</v>
      </c>
      <c r="E1078" s="1">
        <f t="shared" si="16"/>
        <v>0.38709677419354838</v>
      </c>
      <c r="F1078">
        <v>91.4</v>
      </c>
      <c r="G1078">
        <v>106.8</v>
      </c>
      <c r="H1078">
        <v>0.14330000000000001</v>
      </c>
      <c r="I1078">
        <v>49</v>
      </c>
      <c r="J1078">
        <v>51.6</v>
      </c>
      <c r="K1078">
        <v>22.1</v>
      </c>
      <c r="L1078">
        <v>19.2</v>
      </c>
      <c r="M1078">
        <v>23.5</v>
      </c>
      <c r="N1078">
        <v>30.2</v>
      </c>
      <c r="O1078">
        <v>31.7</v>
      </c>
      <c r="P1078">
        <v>40.1</v>
      </c>
      <c r="Q1078">
        <v>47.7</v>
      </c>
      <c r="R1078">
        <v>53.7</v>
      </c>
      <c r="S1078">
        <v>34.1</v>
      </c>
      <c r="T1078">
        <v>31.1</v>
      </c>
      <c r="U1078">
        <v>62.2</v>
      </c>
      <c r="V1078">
        <v>-14.1</v>
      </c>
      <c r="W1078" cm="1">
        <f t="array" ref="W1078">_xlfn.IFS(OR(X1078="N/A",X1078="NA"),0,OR(X1078="R64",X1078="R68"),1,X1078="R32",2,X1078="S16",3,X1078="E8",4,X1078="F4",5,X1078="2ND",6,X1078="Champions",7)</f>
        <v>0</v>
      </c>
      <c r="X1078" t="s">
        <v>90</v>
      </c>
      <c r="Y1078" t="s">
        <v>90</v>
      </c>
      <c r="Z1078">
        <v>2016</v>
      </c>
    </row>
    <row r="1079" spans="1:26" x14ac:dyDescent="0.3">
      <c r="A1079" t="s">
        <v>327</v>
      </c>
      <c r="B1079" t="s">
        <v>67</v>
      </c>
      <c r="C1079">
        <v>32</v>
      </c>
      <c r="D1079">
        <v>18</v>
      </c>
      <c r="E1079" s="1">
        <f t="shared" si="16"/>
        <v>0.5625</v>
      </c>
      <c r="F1079">
        <v>98.6</v>
      </c>
      <c r="G1079">
        <v>105.2</v>
      </c>
      <c r="H1079">
        <v>0.32219999999999999</v>
      </c>
      <c r="I1079">
        <v>49.7</v>
      </c>
      <c r="J1079">
        <v>49.4</v>
      </c>
      <c r="K1079">
        <v>18.5</v>
      </c>
      <c r="L1079">
        <v>16.399999999999999</v>
      </c>
      <c r="M1079">
        <v>31</v>
      </c>
      <c r="N1079">
        <v>26.8</v>
      </c>
      <c r="O1079">
        <v>31.7</v>
      </c>
      <c r="P1079">
        <v>32</v>
      </c>
      <c r="Q1079">
        <v>49.3</v>
      </c>
      <c r="R1079">
        <v>48.2</v>
      </c>
      <c r="S1079">
        <v>33.4</v>
      </c>
      <c r="T1079">
        <v>34.9</v>
      </c>
      <c r="U1079">
        <v>73.3</v>
      </c>
      <c r="V1079">
        <v>-9.3000000000000007</v>
      </c>
      <c r="W1079" cm="1">
        <f t="array" ref="W1079">_xlfn.IFS(OR(X1079="N/A",X1079="NA"),0,OR(X1079="R64",X1079="R68"),1,X1079="R32",2,X1079="S16",3,X1079="E8",4,X1079="F4",5,X1079="2ND",6,X1079="Champions",7)</f>
        <v>0</v>
      </c>
      <c r="X1079" t="s">
        <v>90</v>
      </c>
      <c r="Y1079" t="s">
        <v>90</v>
      </c>
      <c r="Z1079">
        <v>2016</v>
      </c>
    </row>
    <row r="1080" spans="1:26" x14ac:dyDescent="0.3">
      <c r="A1080" t="s">
        <v>328</v>
      </c>
      <c r="B1080" t="s">
        <v>67</v>
      </c>
      <c r="C1080">
        <v>33</v>
      </c>
      <c r="D1080">
        <v>18</v>
      </c>
      <c r="E1080" s="1">
        <f t="shared" si="16"/>
        <v>0.54545454545454541</v>
      </c>
      <c r="F1080">
        <v>101.7</v>
      </c>
      <c r="G1080">
        <v>107.4</v>
      </c>
      <c r="H1080">
        <v>0.34860000000000002</v>
      </c>
      <c r="I1080">
        <v>52.2</v>
      </c>
      <c r="J1080">
        <v>50</v>
      </c>
      <c r="K1080">
        <v>19.600000000000001</v>
      </c>
      <c r="L1080">
        <v>17.100000000000001</v>
      </c>
      <c r="M1080">
        <v>26.5</v>
      </c>
      <c r="N1080">
        <v>28.1</v>
      </c>
      <c r="O1080">
        <v>37</v>
      </c>
      <c r="P1080">
        <v>33.9</v>
      </c>
      <c r="Q1080">
        <v>51</v>
      </c>
      <c r="R1080">
        <v>50</v>
      </c>
      <c r="S1080">
        <v>36.1</v>
      </c>
      <c r="T1080">
        <v>33.299999999999997</v>
      </c>
      <c r="U1080">
        <v>70.599999999999994</v>
      </c>
      <c r="V1080">
        <v>-10</v>
      </c>
      <c r="W1080" cm="1">
        <f t="array" ref="W1080">_xlfn.IFS(OR(X1080="N/A",X1080="NA"),0,OR(X1080="R64",X1080="R68"),1,X1080="R32",2,X1080="S16",3,X1080="E8",4,X1080="F4",5,X1080="2ND",6,X1080="Champions",7)</f>
        <v>0</v>
      </c>
      <c r="X1080" t="s">
        <v>90</v>
      </c>
      <c r="Y1080" t="s">
        <v>90</v>
      </c>
      <c r="Z1080">
        <v>2016</v>
      </c>
    </row>
    <row r="1081" spans="1:26" x14ac:dyDescent="0.3">
      <c r="A1081" t="s">
        <v>329</v>
      </c>
      <c r="B1081" t="s">
        <v>67</v>
      </c>
      <c r="C1081">
        <v>30</v>
      </c>
      <c r="D1081">
        <v>16</v>
      </c>
      <c r="E1081" s="1">
        <f t="shared" si="16"/>
        <v>0.53333333333333333</v>
      </c>
      <c r="F1081">
        <v>104.1</v>
      </c>
      <c r="G1081">
        <v>105.3</v>
      </c>
      <c r="H1081">
        <v>0.46949999999999997</v>
      </c>
      <c r="I1081">
        <v>52.1</v>
      </c>
      <c r="J1081">
        <v>49.5</v>
      </c>
      <c r="K1081">
        <v>18.7</v>
      </c>
      <c r="L1081">
        <v>17.899999999999999</v>
      </c>
      <c r="M1081">
        <v>29.7</v>
      </c>
      <c r="N1081">
        <v>28.4</v>
      </c>
      <c r="O1081">
        <v>43.9</v>
      </c>
      <c r="P1081">
        <v>41.3</v>
      </c>
      <c r="Q1081">
        <v>51.2</v>
      </c>
      <c r="R1081">
        <v>47.6</v>
      </c>
      <c r="S1081">
        <v>35.799999999999997</v>
      </c>
      <c r="T1081">
        <v>35.200000000000003</v>
      </c>
      <c r="U1081">
        <v>72.2</v>
      </c>
      <c r="V1081">
        <v>-9.1</v>
      </c>
      <c r="W1081" cm="1">
        <f t="array" ref="W1081">_xlfn.IFS(OR(X1081="N/A",X1081="NA"),0,OR(X1081="R64",X1081="R68"),1,X1081="R32",2,X1081="S16",3,X1081="E8",4,X1081="F4",5,X1081="2ND",6,X1081="Champions",7)</f>
        <v>0</v>
      </c>
      <c r="X1081" t="s">
        <v>90</v>
      </c>
      <c r="Y1081" t="s">
        <v>90</v>
      </c>
      <c r="Z1081">
        <v>2016</v>
      </c>
    </row>
    <row r="1082" spans="1:26" x14ac:dyDescent="0.3">
      <c r="A1082" t="s">
        <v>330</v>
      </c>
      <c r="B1082" t="s">
        <v>67</v>
      </c>
      <c r="C1082">
        <v>29</v>
      </c>
      <c r="D1082">
        <v>12</v>
      </c>
      <c r="E1082" s="1">
        <f t="shared" si="16"/>
        <v>0.41379310344827586</v>
      </c>
      <c r="F1082">
        <v>102.5</v>
      </c>
      <c r="G1082">
        <v>111.9</v>
      </c>
      <c r="H1082">
        <v>0.26850000000000002</v>
      </c>
      <c r="I1082">
        <v>52.5</v>
      </c>
      <c r="J1082">
        <v>53.2</v>
      </c>
      <c r="K1082">
        <v>18.399999999999999</v>
      </c>
      <c r="L1082">
        <v>19.399999999999999</v>
      </c>
      <c r="M1082">
        <v>26.6</v>
      </c>
      <c r="N1082">
        <v>30.6</v>
      </c>
      <c r="O1082">
        <v>29.9</v>
      </c>
      <c r="P1082">
        <v>41.8</v>
      </c>
      <c r="Q1082">
        <v>50.3</v>
      </c>
      <c r="R1082">
        <v>51.4</v>
      </c>
      <c r="S1082">
        <v>37</v>
      </c>
      <c r="T1082">
        <v>37.5</v>
      </c>
      <c r="U1082">
        <v>65.7</v>
      </c>
      <c r="V1082">
        <v>-12.3</v>
      </c>
      <c r="W1082" cm="1">
        <f t="array" ref="W1082">_xlfn.IFS(OR(X1082="N/A",X1082="NA"),0,OR(X1082="R64",X1082="R68"),1,X1082="R32",2,X1082="S16",3,X1082="E8",4,X1082="F4",5,X1082="2ND",6,X1082="Champions",7)</f>
        <v>0</v>
      </c>
      <c r="X1082" t="s">
        <v>90</v>
      </c>
      <c r="Y1082" t="s">
        <v>90</v>
      </c>
      <c r="Z1082">
        <v>2016</v>
      </c>
    </row>
    <row r="1083" spans="1:26" x14ac:dyDescent="0.3">
      <c r="A1083" t="s">
        <v>335</v>
      </c>
      <c r="B1083" t="s">
        <v>67</v>
      </c>
      <c r="C1083">
        <v>30</v>
      </c>
      <c r="D1083">
        <v>6</v>
      </c>
      <c r="E1083" s="1">
        <f t="shared" si="16"/>
        <v>0.2</v>
      </c>
      <c r="F1083">
        <v>99</v>
      </c>
      <c r="G1083">
        <v>114.4</v>
      </c>
      <c r="H1083">
        <v>0.16059999999999999</v>
      </c>
      <c r="I1083">
        <v>50.5</v>
      </c>
      <c r="J1083">
        <v>52.9</v>
      </c>
      <c r="K1083">
        <v>18.2</v>
      </c>
      <c r="L1083">
        <v>16.7</v>
      </c>
      <c r="M1083">
        <v>22.3</v>
      </c>
      <c r="N1083">
        <v>32.9</v>
      </c>
      <c r="O1083">
        <v>31.6</v>
      </c>
      <c r="P1083">
        <v>35.1</v>
      </c>
      <c r="Q1083">
        <v>47.9</v>
      </c>
      <c r="R1083">
        <v>52.5</v>
      </c>
      <c r="S1083">
        <v>36.5</v>
      </c>
      <c r="T1083">
        <v>35.700000000000003</v>
      </c>
      <c r="U1083">
        <v>70.5</v>
      </c>
      <c r="V1083">
        <v>-19.399999999999999</v>
      </c>
      <c r="W1083" cm="1">
        <f t="array" ref="W1083">_xlfn.IFS(OR(X1083="N/A",X1083="NA"),0,OR(X1083="R64",X1083="R68"),1,X1083="R32",2,X1083="S16",3,X1083="E8",4,X1083="F4",5,X1083="2ND",6,X1083="Champions",7)</f>
        <v>0</v>
      </c>
      <c r="X1083" t="s">
        <v>90</v>
      </c>
      <c r="Y1083" t="s">
        <v>90</v>
      </c>
      <c r="Z1083">
        <v>2016</v>
      </c>
    </row>
    <row r="1084" spans="1:26" x14ac:dyDescent="0.3">
      <c r="A1084" t="s">
        <v>332</v>
      </c>
      <c r="B1084" t="s">
        <v>67</v>
      </c>
      <c r="C1084">
        <v>31</v>
      </c>
      <c r="D1084">
        <v>16</v>
      </c>
      <c r="E1084" s="1">
        <f t="shared" si="16"/>
        <v>0.5161290322580645</v>
      </c>
      <c r="F1084">
        <v>104.1</v>
      </c>
      <c r="G1084">
        <v>105</v>
      </c>
      <c r="H1084">
        <v>0.47470000000000001</v>
      </c>
      <c r="I1084">
        <v>52.1</v>
      </c>
      <c r="J1084">
        <v>51.1</v>
      </c>
      <c r="K1084">
        <v>19.3</v>
      </c>
      <c r="L1084">
        <v>18.600000000000001</v>
      </c>
      <c r="M1084">
        <v>29.1</v>
      </c>
      <c r="N1084">
        <v>29.3</v>
      </c>
      <c r="O1084">
        <v>31.7</v>
      </c>
      <c r="P1084">
        <v>28.8</v>
      </c>
      <c r="Q1084">
        <v>48.5</v>
      </c>
      <c r="R1084">
        <v>48.8</v>
      </c>
      <c r="S1084">
        <v>39.299999999999997</v>
      </c>
      <c r="T1084">
        <v>36.4</v>
      </c>
      <c r="U1084">
        <v>68.8</v>
      </c>
      <c r="V1084">
        <v>-9.6</v>
      </c>
      <c r="W1084" cm="1">
        <f t="array" ref="W1084">_xlfn.IFS(OR(X1084="N/A",X1084="NA"),0,OR(X1084="R64",X1084="R68"),1,X1084="R32",2,X1084="S16",3,X1084="E8",4,X1084="F4",5,X1084="2ND",6,X1084="Champions",7)</f>
        <v>0</v>
      </c>
      <c r="X1084" t="s">
        <v>90</v>
      </c>
      <c r="Y1084" t="s">
        <v>90</v>
      </c>
      <c r="Z1084">
        <v>2016</v>
      </c>
    </row>
    <row r="1085" spans="1:26" x14ac:dyDescent="0.3">
      <c r="A1085" t="s">
        <v>333</v>
      </c>
      <c r="B1085" t="s">
        <v>67</v>
      </c>
      <c r="C1085">
        <v>30</v>
      </c>
      <c r="D1085">
        <v>9</v>
      </c>
      <c r="E1085" s="1">
        <f t="shared" si="16"/>
        <v>0.3</v>
      </c>
      <c r="F1085">
        <v>100.7</v>
      </c>
      <c r="G1085">
        <v>111.1</v>
      </c>
      <c r="H1085">
        <v>0.24329999999999999</v>
      </c>
      <c r="I1085">
        <v>47.7</v>
      </c>
      <c r="J1085">
        <v>52</v>
      </c>
      <c r="K1085">
        <v>18.899999999999999</v>
      </c>
      <c r="L1085">
        <v>17</v>
      </c>
      <c r="M1085">
        <v>31.4</v>
      </c>
      <c r="N1085">
        <v>30.6</v>
      </c>
      <c r="O1085">
        <v>38.4</v>
      </c>
      <c r="P1085">
        <v>40.9</v>
      </c>
      <c r="Q1085">
        <v>48.7</v>
      </c>
      <c r="R1085">
        <v>50.2</v>
      </c>
      <c r="S1085">
        <v>30.4</v>
      </c>
      <c r="T1085">
        <v>37.200000000000003</v>
      </c>
      <c r="U1085">
        <v>68</v>
      </c>
      <c r="V1085">
        <v>-16.2</v>
      </c>
      <c r="W1085" cm="1">
        <f t="array" ref="W1085">_xlfn.IFS(OR(X1085="N/A",X1085="NA"),0,OR(X1085="R64",X1085="R68"),1,X1085="R32",2,X1085="S16",3,X1085="E8",4,X1085="F4",5,X1085="2ND",6,X1085="Champions",7)</f>
        <v>0</v>
      </c>
      <c r="X1085" t="s">
        <v>90</v>
      </c>
      <c r="Y1085" t="s">
        <v>90</v>
      </c>
      <c r="Z1085">
        <v>2016</v>
      </c>
    </row>
    <row r="1086" spans="1:26" x14ac:dyDescent="0.3">
      <c r="A1086" t="s">
        <v>334</v>
      </c>
      <c r="B1086" t="s">
        <v>67</v>
      </c>
      <c r="C1086">
        <v>32</v>
      </c>
      <c r="D1086">
        <v>18</v>
      </c>
      <c r="E1086" s="1">
        <f t="shared" si="16"/>
        <v>0.5625</v>
      </c>
      <c r="F1086">
        <v>98.8</v>
      </c>
      <c r="G1086">
        <v>102.2</v>
      </c>
      <c r="H1086">
        <v>0.40439999999999998</v>
      </c>
      <c r="I1086">
        <v>49.5</v>
      </c>
      <c r="J1086">
        <v>48.9</v>
      </c>
      <c r="K1086">
        <v>19.899999999999999</v>
      </c>
      <c r="L1086">
        <v>20.3</v>
      </c>
      <c r="M1086">
        <v>32.6</v>
      </c>
      <c r="N1086">
        <v>27.2</v>
      </c>
      <c r="O1086">
        <v>42.8</v>
      </c>
      <c r="P1086">
        <v>39.4</v>
      </c>
      <c r="Q1086">
        <v>50.8</v>
      </c>
      <c r="R1086">
        <v>45.9</v>
      </c>
      <c r="S1086">
        <v>30.5</v>
      </c>
      <c r="T1086">
        <v>35.4</v>
      </c>
      <c r="U1086">
        <v>65.7</v>
      </c>
      <c r="V1086">
        <v>-10</v>
      </c>
      <c r="W1086" cm="1">
        <f t="array" ref="W1086">_xlfn.IFS(OR(X1086="N/A",X1086="NA"),0,OR(X1086="R64",X1086="R68"),1,X1086="R32",2,X1086="S16",3,X1086="E8",4,X1086="F4",5,X1086="2ND",6,X1086="Champions",7)</f>
        <v>0</v>
      </c>
      <c r="X1086" t="s">
        <v>90</v>
      </c>
      <c r="Y1086" t="s">
        <v>90</v>
      </c>
      <c r="Z1086">
        <v>2016</v>
      </c>
    </row>
    <row r="1087" spans="1:26" x14ac:dyDescent="0.3">
      <c r="A1087" t="s">
        <v>326</v>
      </c>
      <c r="B1087" t="s">
        <v>67</v>
      </c>
      <c r="C1087">
        <v>30</v>
      </c>
      <c r="D1087">
        <v>8</v>
      </c>
      <c r="E1087" s="1">
        <f t="shared" si="16"/>
        <v>0.26666666666666666</v>
      </c>
      <c r="F1087">
        <v>94.7</v>
      </c>
      <c r="G1087">
        <v>107.6</v>
      </c>
      <c r="H1087">
        <v>0.18740000000000001</v>
      </c>
      <c r="I1087">
        <v>50.3</v>
      </c>
      <c r="J1087">
        <v>52.5</v>
      </c>
      <c r="K1087">
        <v>20.2</v>
      </c>
      <c r="L1087">
        <v>20.2</v>
      </c>
      <c r="M1087">
        <v>21.7</v>
      </c>
      <c r="N1087">
        <v>28</v>
      </c>
      <c r="O1087">
        <v>30.7</v>
      </c>
      <c r="P1087">
        <v>41.4</v>
      </c>
      <c r="Q1087">
        <v>51.7</v>
      </c>
      <c r="R1087">
        <v>51.4</v>
      </c>
      <c r="S1087">
        <v>31.8</v>
      </c>
      <c r="T1087">
        <v>36.6</v>
      </c>
      <c r="U1087">
        <v>66</v>
      </c>
      <c r="V1087">
        <v>-16.399999999999999</v>
      </c>
      <c r="W1087" cm="1">
        <f t="array" ref="W1087">_xlfn.IFS(OR(X1087="N/A",X1087="NA"),0,OR(X1087="R64",X1087="R68"),1,X1087="R32",2,X1087="S16",3,X1087="E8",4,X1087="F4",5,X1087="2ND",6,X1087="Champions",7)</f>
        <v>0</v>
      </c>
      <c r="X1087" t="s">
        <v>90</v>
      </c>
      <c r="Y1087" t="s">
        <v>90</v>
      </c>
      <c r="Z1087">
        <v>2017</v>
      </c>
    </row>
    <row r="1088" spans="1:26" x14ac:dyDescent="0.3">
      <c r="A1088" t="s">
        <v>327</v>
      </c>
      <c r="B1088" t="s">
        <v>67</v>
      </c>
      <c r="C1088">
        <v>31</v>
      </c>
      <c r="D1088">
        <v>13</v>
      </c>
      <c r="E1088" s="1">
        <f t="shared" si="16"/>
        <v>0.41935483870967744</v>
      </c>
      <c r="F1088">
        <v>97.1</v>
      </c>
      <c r="G1088">
        <v>104.3</v>
      </c>
      <c r="H1088">
        <v>0.30649999999999999</v>
      </c>
      <c r="I1088">
        <v>51.5</v>
      </c>
      <c r="J1088">
        <v>50.3</v>
      </c>
      <c r="K1088">
        <v>20.6</v>
      </c>
      <c r="L1088">
        <v>17.3</v>
      </c>
      <c r="M1088">
        <v>26.4</v>
      </c>
      <c r="N1088">
        <v>24</v>
      </c>
      <c r="O1088">
        <v>28</v>
      </c>
      <c r="P1088">
        <v>33.700000000000003</v>
      </c>
      <c r="Q1088">
        <v>50.7</v>
      </c>
      <c r="R1088">
        <v>50.1</v>
      </c>
      <c r="S1088">
        <v>35.1</v>
      </c>
      <c r="T1088">
        <v>33.799999999999997</v>
      </c>
      <c r="U1088">
        <v>72.7</v>
      </c>
      <c r="V1088">
        <v>-13.6</v>
      </c>
      <c r="W1088" cm="1">
        <f t="array" ref="W1088">_xlfn.IFS(OR(X1088="N/A",X1088="NA"),0,OR(X1088="R64",X1088="R68"),1,X1088="R32",2,X1088="S16",3,X1088="E8",4,X1088="F4",5,X1088="2ND",6,X1088="Champions",7)</f>
        <v>0</v>
      </c>
      <c r="X1088" t="s">
        <v>90</v>
      </c>
      <c r="Y1088" t="s">
        <v>90</v>
      </c>
      <c r="Z1088">
        <v>2017</v>
      </c>
    </row>
    <row r="1089" spans="1:26" x14ac:dyDescent="0.3">
      <c r="A1089" t="s">
        <v>328</v>
      </c>
      <c r="B1089" t="s">
        <v>67</v>
      </c>
      <c r="C1089">
        <v>31</v>
      </c>
      <c r="D1089">
        <v>18</v>
      </c>
      <c r="E1089" s="1">
        <f t="shared" si="16"/>
        <v>0.58064516129032262</v>
      </c>
      <c r="F1089">
        <v>100.9</v>
      </c>
      <c r="G1089">
        <v>102.9</v>
      </c>
      <c r="H1089">
        <v>0.44269999999999998</v>
      </c>
      <c r="I1089">
        <v>51.2</v>
      </c>
      <c r="J1089">
        <v>50.5</v>
      </c>
      <c r="K1089">
        <v>20.2</v>
      </c>
      <c r="L1089">
        <v>20.7</v>
      </c>
      <c r="M1089">
        <v>28.1</v>
      </c>
      <c r="N1089">
        <v>28.5</v>
      </c>
      <c r="O1089">
        <v>33.4</v>
      </c>
      <c r="P1089">
        <v>37.200000000000003</v>
      </c>
      <c r="Q1089">
        <v>50</v>
      </c>
      <c r="R1089">
        <v>47.5</v>
      </c>
      <c r="S1089">
        <v>35.299999999999997</v>
      </c>
      <c r="T1089">
        <v>36.5</v>
      </c>
      <c r="U1089">
        <v>71.099999999999994</v>
      </c>
      <c r="V1089">
        <v>-8.9</v>
      </c>
      <c r="W1089" cm="1">
        <f t="array" ref="W1089">_xlfn.IFS(OR(X1089="N/A",X1089="NA"),0,OR(X1089="R64",X1089="R68"),1,X1089="R32",2,X1089="S16",3,X1089="E8",4,X1089="F4",5,X1089="2ND",6,X1089="Champions",7)</f>
        <v>0</v>
      </c>
      <c r="X1089" t="s">
        <v>90</v>
      </c>
      <c r="Y1089" t="s">
        <v>90</v>
      </c>
      <c r="Z1089">
        <v>2017</v>
      </c>
    </row>
    <row r="1090" spans="1:26" x14ac:dyDescent="0.3">
      <c r="A1090" t="s">
        <v>330</v>
      </c>
      <c r="B1090" t="s">
        <v>67</v>
      </c>
      <c r="C1090">
        <v>31</v>
      </c>
      <c r="D1090">
        <v>10</v>
      </c>
      <c r="E1090" s="1">
        <f t="shared" si="16"/>
        <v>0.32258064516129031</v>
      </c>
      <c r="F1090">
        <v>97.2</v>
      </c>
      <c r="G1090">
        <v>107.5</v>
      </c>
      <c r="H1090">
        <v>0.24010000000000001</v>
      </c>
      <c r="I1090">
        <v>51.4</v>
      </c>
      <c r="J1090">
        <v>52.5</v>
      </c>
      <c r="K1090">
        <v>22</v>
      </c>
      <c r="L1090">
        <v>17.3</v>
      </c>
      <c r="M1090">
        <v>24.8</v>
      </c>
      <c r="N1090">
        <v>25.3</v>
      </c>
      <c r="O1090">
        <v>33.4</v>
      </c>
      <c r="P1090">
        <v>38.6</v>
      </c>
      <c r="Q1090">
        <v>49.4</v>
      </c>
      <c r="R1090">
        <v>50</v>
      </c>
      <c r="S1090">
        <v>36.1</v>
      </c>
      <c r="T1090">
        <v>37.6</v>
      </c>
      <c r="U1090">
        <v>66.5</v>
      </c>
      <c r="V1090">
        <v>-16.3</v>
      </c>
      <c r="W1090" cm="1">
        <f t="array" ref="W1090">_xlfn.IFS(OR(X1090="N/A",X1090="NA"),0,OR(X1090="R64",X1090="R68"),1,X1090="R32",2,X1090="S16",3,X1090="E8",4,X1090="F4",5,X1090="2ND",6,X1090="Champions",7)</f>
        <v>0</v>
      </c>
      <c r="X1090" t="s">
        <v>90</v>
      </c>
      <c r="Y1090" t="s">
        <v>90</v>
      </c>
      <c r="Z1090">
        <v>2017</v>
      </c>
    </row>
    <row r="1091" spans="1:26" x14ac:dyDescent="0.3">
      <c r="A1091" t="s">
        <v>331</v>
      </c>
      <c r="B1091" t="s">
        <v>67</v>
      </c>
      <c r="C1091">
        <v>32</v>
      </c>
      <c r="D1091">
        <v>15</v>
      </c>
      <c r="E1091" s="1">
        <f t="shared" ref="E1091:E1154" si="17">D1091/C1091</f>
        <v>0.46875</v>
      </c>
      <c r="F1091">
        <v>97.4</v>
      </c>
      <c r="G1091">
        <v>102.3</v>
      </c>
      <c r="H1091">
        <v>0.36430000000000001</v>
      </c>
      <c r="I1091">
        <v>50.4</v>
      </c>
      <c r="J1091">
        <v>53.3</v>
      </c>
      <c r="K1091">
        <v>17.8</v>
      </c>
      <c r="L1091">
        <v>25.7</v>
      </c>
      <c r="M1091">
        <v>19.399999999999999</v>
      </c>
      <c r="N1091">
        <v>32.4</v>
      </c>
      <c r="O1091">
        <v>34.4</v>
      </c>
      <c r="P1091">
        <v>30.4</v>
      </c>
      <c r="Q1091">
        <v>49.3</v>
      </c>
      <c r="R1091">
        <v>54.9</v>
      </c>
      <c r="S1091">
        <v>34.5</v>
      </c>
      <c r="T1091">
        <v>34.299999999999997</v>
      </c>
      <c r="U1091">
        <v>61.6</v>
      </c>
      <c r="V1091">
        <v>-10.8</v>
      </c>
      <c r="W1091" cm="1">
        <f t="array" ref="W1091">_xlfn.IFS(OR(X1091="N/A",X1091="NA"),0,OR(X1091="R64",X1091="R68"),1,X1091="R32",2,X1091="S16",3,X1091="E8",4,X1091="F4",5,X1091="2ND",6,X1091="Champions",7)</f>
        <v>0</v>
      </c>
      <c r="X1091" t="s">
        <v>90</v>
      </c>
      <c r="Y1091" t="s">
        <v>90</v>
      </c>
      <c r="Z1091">
        <v>2017</v>
      </c>
    </row>
    <row r="1092" spans="1:26" x14ac:dyDescent="0.3">
      <c r="A1092" t="s">
        <v>335</v>
      </c>
      <c r="B1092" t="s">
        <v>67</v>
      </c>
      <c r="C1092">
        <v>29</v>
      </c>
      <c r="D1092">
        <v>9</v>
      </c>
      <c r="E1092" s="1">
        <f t="shared" si="17"/>
        <v>0.31034482758620691</v>
      </c>
      <c r="F1092">
        <v>95.2</v>
      </c>
      <c r="G1092">
        <v>111.9</v>
      </c>
      <c r="H1092">
        <v>0.13400000000000001</v>
      </c>
      <c r="I1092">
        <v>49.1</v>
      </c>
      <c r="J1092">
        <v>54.5</v>
      </c>
      <c r="K1092">
        <v>20.7</v>
      </c>
      <c r="L1092">
        <v>18.2</v>
      </c>
      <c r="M1092">
        <v>20</v>
      </c>
      <c r="N1092">
        <v>29.1</v>
      </c>
      <c r="O1092">
        <v>29.4</v>
      </c>
      <c r="P1092">
        <v>30.4</v>
      </c>
      <c r="Q1092">
        <v>49.2</v>
      </c>
      <c r="R1092">
        <v>52.2</v>
      </c>
      <c r="S1092">
        <v>32.6</v>
      </c>
      <c r="T1092">
        <v>38.4</v>
      </c>
      <c r="U1092">
        <v>71</v>
      </c>
      <c r="V1092">
        <v>-15.9</v>
      </c>
      <c r="W1092" cm="1">
        <f t="array" ref="W1092">_xlfn.IFS(OR(X1092="N/A",X1092="NA"),0,OR(X1092="R64",X1092="R68"),1,X1092="R32",2,X1092="S16",3,X1092="E8",4,X1092="F4",5,X1092="2ND",6,X1092="Champions",7)</f>
        <v>0</v>
      </c>
      <c r="X1092" t="s">
        <v>90</v>
      </c>
      <c r="Y1092" t="s">
        <v>90</v>
      </c>
      <c r="Z1092">
        <v>2017</v>
      </c>
    </row>
    <row r="1093" spans="1:26" x14ac:dyDescent="0.3">
      <c r="A1093" t="s">
        <v>332</v>
      </c>
      <c r="B1093" t="s">
        <v>67</v>
      </c>
      <c r="C1093">
        <v>31</v>
      </c>
      <c r="D1093">
        <v>20</v>
      </c>
      <c r="E1093" s="1">
        <f t="shared" si="17"/>
        <v>0.64516129032258063</v>
      </c>
      <c r="F1093">
        <v>105.9</v>
      </c>
      <c r="G1093">
        <v>102.5</v>
      </c>
      <c r="H1093">
        <v>0.59419999999999995</v>
      </c>
      <c r="I1093">
        <v>55.4</v>
      </c>
      <c r="J1093">
        <v>50.2</v>
      </c>
      <c r="K1093">
        <v>19.8</v>
      </c>
      <c r="L1093">
        <v>18.600000000000001</v>
      </c>
      <c r="M1093">
        <v>23.2</v>
      </c>
      <c r="N1093">
        <v>24.1</v>
      </c>
      <c r="O1093">
        <v>32</v>
      </c>
      <c r="P1093">
        <v>28.1</v>
      </c>
      <c r="Q1093">
        <v>53.4</v>
      </c>
      <c r="R1093">
        <v>49</v>
      </c>
      <c r="S1093">
        <v>39.200000000000003</v>
      </c>
      <c r="T1093">
        <v>34.799999999999997</v>
      </c>
      <c r="U1093">
        <v>71</v>
      </c>
      <c r="V1093">
        <v>-6.2</v>
      </c>
      <c r="W1093" cm="1">
        <f t="array" ref="W1093">_xlfn.IFS(OR(X1093="N/A",X1093="NA"),0,OR(X1093="R64",X1093="R68"),1,X1093="R32",2,X1093="S16",3,X1093="E8",4,X1093="F4",5,X1093="2ND",6,X1093="Champions",7)</f>
        <v>0</v>
      </c>
      <c r="X1093" t="s">
        <v>90</v>
      </c>
      <c r="Y1093" t="s">
        <v>90</v>
      </c>
      <c r="Z1093">
        <v>2017</v>
      </c>
    </row>
    <row r="1094" spans="1:26" x14ac:dyDescent="0.3">
      <c r="A1094" t="s">
        <v>333</v>
      </c>
      <c r="B1094" t="s">
        <v>67</v>
      </c>
      <c r="C1094">
        <v>32</v>
      </c>
      <c r="D1094">
        <v>16</v>
      </c>
      <c r="E1094" s="1">
        <f t="shared" si="17"/>
        <v>0.5</v>
      </c>
      <c r="F1094">
        <v>97.1</v>
      </c>
      <c r="G1094">
        <v>103.7</v>
      </c>
      <c r="H1094">
        <v>0.32090000000000002</v>
      </c>
      <c r="I1094">
        <v>46.7</v>
      </c>
      <c r="J1094">
        <v>52.2</v>
      </c>
      <c r="K1094">
        <v>22</v>
      </c>
      <c r="L1094">
        <v>21.3</v>
      </c>
      <c r="M1094">
        <v>33</v>
      </c>
      <c r="N1094">
        <v>28</v>
      </c>
      <c r="O1094">
        <v>39.200000000000003</v>
      </c>
      <c r="P1094">
        <v>35.9</v>
      </c>
      <c r="Q1094">
        <v>45.3</v>
      </c>
      <c r="R1094">
        <v>53.2</v>
      </c>
      <c r="S1094">
        <v>33.200000000000003</v>
      </c>
      <c r="T1094">
        <v>33.4</v>
      </c>
      <c r="U1094">
        <v>67.2</v>
      </c>
      <c r="V1094">
        <v>-10.6</v>
      </c>
      <c r="W1094" cm="1">
        <f t="array" ref="W1094">_xlfn.IFS(OR(X1094="N/A",X1094="NA"),0,OR(X1094="R64",X1094="R68"),1,X1094="R32",2,X1094="S16",3,X1094="E8",4,X1094="F4",5,X1094="2ND",6,X1094="Champions",7)</f>
        <v>0</v>
      </c>
      <c r="X1094" t="s">
        <v>90</v>
      </c>
      <c r="Y1094" t="s">
        <v>90</v>
      </c>
      <c r="Z1094">
        <v>2017</v>
      </c>
    </row>
    <row r="1095" spans="1:26" x14ac:dyDescent="0.3">
      <c r="A1095" t="s">
        <v>334</v>
      </c>
      <c r="B1095" t="s">
        <v>67</v>
      </c>
      <c r="C1095">
        <v>31</v>
      </c>
      <c r="D1095">
        <v>16</v>
      </c>
      <c r="E1095" s="1">
        <f t="shared" si="17"/>
        <v>0.5161290322580645</v>
      </c>
      <c r="F1095">
        <v>98.5</v>
      </c>
      <c r="G1095">
        <v>102</v>
      </c>
      <c r="H1095">
        <v>0.40229999999999999</v>
      </c>
      <c r="I1095">
        <v>47.8</v>
      </c>
      <c r="J1095">
        <v>53</v>
      </c>
      <c r="K1095">
        <v>21.9</v>
      </c>
      <c r="L1095">
        <v>23.8</v>
      </c>
      <c r="M1095">
        <v>36.9</v>
      </c>
      <c r="N1095">
        <v>26.2</v>
      </c>
      <c r="O1095">
        <v>35.9</v>
      </c>
      <c r="P1095">
        <v>38.9</v>
      </c>
      <c r="Q1095">
        <v>49</v>
      </c>
      <c r="R1095">
        <v>52.5</v>
      </c>
      <c r="S1095">
        <v>30.6</v>
      </c>
      <c r="T1095">
        <v>35.799999999999997</v>
      </c>
      <c r="U1095">
        <v>65.5</v>
      </c>
      <c r="V1095">
        <v>-11.2</v>
      </c>
      <c r="W1095" cm="1">
        <f t="array" ref="W1095">_xlfn.IFS(OR(X1095="N/A",X1095="NA"),0,OR(X1095="R64",X1095="R68"),1,X1095="R32",2,X1095="S16",3,X1095="E8",4,X1095="F4",5,X1095="2ND",6,X1095="Champions",7)</f>
        <v>0</v>
      </c>
      <c r="X1095" t="s">
        <v>90</v>
      </c>
      <c r="Y1095" t="s">
        <v>90</v>
      </c>
      <c r="Z1095">
        <v>2017</v>
      </c>
    </row>
    <row r="1096" spans="1:26" x14ac:dyDescent="0.3">
      <c r="A1096" t="s">
        <v>326</v>
      </c>
      <c r="B1096" t="s">
        <v>67</v>
      </c>
      <c r="C1096">
        <v>30</v>
      </c>
      <c r="D1096">
        <v>6</v>
      </c>
      <c r="E1096" s="1">
        <f t="shared" si="17"/>
        <v>0.2</v>
      </c>
      <c r="F1096">
        <v>96.5</v>
      </c>
      <c r="G1096">
        <v>111.1</v>
      </c>
      <c r="H1096">
        <v>0.16489999999999999</v>
      </c>
      <c r="I1096">
        <v>50.7</v>
      </c>
      <c r="J1096">
        <v>54.8</v>
      </c>
      <c r="K1096">
        <v>20.399999999999999</v>
      </c>
      <c r="L1096">
        <v>20.399999999999999</v>
      </c>
      <c r="M1096">
        <v>23.8</v>
      </c>
      <c r="N1096">
        <v>31.4</v>
      </c>
      <c r="O1096">
        <v>30.4</v>
      </c>
      <c r="P1096">
        <v>40.700000000000003</v>
      </c>
      <c r="Q1096">
        <v>50.7</v>
      </c>
      <c r="R1096">
        <v>53.6</v>
      </c>
      <c r="S1096">
        <v>33.799999999999997</v>
      </c>
      <c r="T1096">
        <v>38.299999999999997</v>
      </c>
      <c r="U1096">
        <v>67.599999999999994</v>
      </c>
      <c r="V1096">
        <v>-19</v>
      </c>
      <c r="W1096" cm="1">
        <f t="array" ref="W1096">_xlfn.IFS(OR(X1096="N/A",X1096="NA"),0,OR(X1096="R64",X1096="R68"),1,X1096="R32",2,X1096="S16",3,X1096="E8",4,X1096="F4",5,X1096="2ND",6,X1096="Champions",7)</f>
        <v>0</v>
      </c>
      <c r="X1096" t="s">
        <v>90</v>
      </c>
      <c r="Y1096" t="s">
        <v>90</v>
      </c>
      <c r="Z1096">
        <v>2018</v>
      </c>
    </row>
    <row r="1097" spans="1:26" x14ac:dyDescent="0.3">
      <c r="A1097" t="s">
        <v>327</v>
      </c>
      <c r="B1097" t="s">
        <v>67</v>
      </c>
      <c r="C1097">
        <v>29</v>
      </c>
      <c r="D1097">
        <v>13</v>
      </c>
      <c r="E1097" s="1">
        <f t="shared" si="17"/>
        <v>0.44827586206896552</v>
      </c>
      <c r="F1097">
        <v>99</v>
      </c>
      <c r="G1097">
        <v>108.2</v>
      </c>
      <c r="H1097">
        <v>0.26379999999999998</v>
      </c>
      <c r="I1097">
        <v>52.3</v>
      </c>
      <c r="J1097">
        <v>52.4</v>
      </c>
      <c r="K1097">
        <v>18.8</v>
      </c>
      <c r="L1097">
        <v>19.7</v>
      </c>
      <c r="M1097">
        <v>27.1</v>
      </c>
      <c r="N1097">
        <v>27.6</v>
      </c>
      <c r="O1097">
        <v>24.5</v>
      </c>
      <c r="P1097">
        <v>38.1</v>
      </c>
      <c r="Q1097">
        <v>48.8</v>
      </c>
      <c r="R1097">
        <v>51.1</v>
      </c>
      <c r="S1097">
        <v>38.1</v>
      </c>
      <c r="T1097">
        <v>36.200000000000003</v>
      </c>
      <c r="U1097">
        <v>71.5</v>
      </c>
      <c r="V1097">
        <v>-13.5</v>
      </c>
      <c r="W1097" cm="1">
        <f t="array" ref="W1097">_xlfn.IFS(OR(X1097="N/A",X1097="NA"),0,OR(X1097="R64",X1097="R68"),1,X1097="R32",2,X1097="S16",3,X1097="E8",4,X1097="F4",5,X1097="2ND",6,X1097="Champions",7)</f>
        <v>0</v>
      </c>
      <c r="X1097" t="s">
        <v>90</v>
      </c>
      <c r="Y1097" t="s">
        <v>90</v>
      </c>
      <c r="Z1097">
        <v>2018</v>
      </c>
    </row>
    <row r="1098" spans="1:26" x14ac:dyDescent="0.3">
      <c r="A1098" t="s">
        <v>328</v>
      </c>
      <c r="B1098" t="s">
        <v>67</v>
      </c>
      <c r="C1098">
        <v>30</v>
      </c>
      <c r="D1098">
        <v>15</v>
      </c>
      <c r="E1098" s="1">
        <f t="shared" si="17"/>
        <v>0.5</v>
      </c>
      <c r="F1098">
        <v>99.3</v>
      </c>
      <c r="G1098">
        <v>107.1</v>
      </c>
      <c r="H1098">
        <v>0.29530000000000001</v>
      </c>
      <c r="I1098">
        <v>52.8</v>
      </c>
      <c r="J1098">
        <v>52.8</v>
      </c>
      <c r="K1098">
        <v>20.100000000000001</v>
      </c>
      <c r="L1098">
        <v>20.100000000000001</v>
      </c>
      <c r="M1098">
        <v>28.3</v>
      </c>
      <c r="N1098">
        <v>29.6</v>
      </c>
      <c r="O1098">
        <v>32.799999999999997</v>
      </c>
      <c r="P1098">
        <v>30</v>
      </c>
      <c r="Q1098">
        <v>51.1</v>
      </c>
      <c r="R1098">
        <v>52.2</v>
      </c>
      <c r="S1098">
        <v>37.299999999999997</v>
      </c>
      <c r="T1098">
        <v>35.799999999999997</v>
      </c>
      <c r="U1098">
        <v>68.7</v>
      </c>
      <c r="V1098">
        <v>-11.6</v>
      </c>
      <c r="W1098" cm="1">
        <f t="array" ref="W1098">_xlfn.IFS(OR(X1098="N/A",X1098="NA"),0,OR(X1098="R64",X1098="R68"),1,X1098="R32",2,X1098="S16",3,X1098="E8",4,X1098="F4",5,X1098="2ND",6,X1098="Champions",7)</f>
        <v>0</v>
      </c>
      <c r="X1098" t="s">
        <v>90</v>
      </c>
      <c r="Y1098" t="s">
        <v>90</v>
      </c>
      <c r="Z1098">
        <v>2018</v>
      </c>
    </row>
    <row r="1099" spans="1:26" x14ac:dyDescent="0.3">
      <c r="A1099" t="s">
        <v>330</v>
      </c>
      <c r="B1099" t="s">
        <v>67</v>
      </c>
      <c r="C1099">
        <v>32</v>
      </c>
      <c r="D1099">
        <v>19</v>
      </c>
      <c r="E1099" s="1">
        <f t="shared" si="17"/>
        <v>0.59375</v>
      </c>
      <c r="F1099">
        <v>104.5</v>
      </c>
      <c r="G1099">
        <v>107.9</v>
      </c>
      <c r="H1099">
        <v>0.40839999999999999</v>
      </c>
      <c r="I1099">
        <v>51.5</v>
      </c>
      <c r="J1099">
        <v>53.2</v>
      </c>
      <c r="K1099">
        <v>16.399999999999999</v>
      </c>
      <c r="L1099">
        <v>19.399999999999999</v>
      </c>
      <c r="M1099">
        <v>25.6</v>
      </c>
      <c r="N1099">
        <v>27.6</v>
      </c>
      <c r="O1099">
        <v>29</v>
      </c>
      <c r="P1099">
        <v>29.4</v>
      </c>
      <c r="Q1099">
        <v>49</v>
      </c>
      <c r="R1099">
        <v>51.8</v>
      </c>
      <c r="S1099">
        <v>36.299999999999997</v>
      </c>
      <c r="T1099">
        <v>36.700000000000003</v>
      </c>
      <c r="U1099">
        <v>67.599999999999994</v>
      </c>
      <c r="V1099">
        <v>-8.6</v>
      </c>
      <c r="W1099" cm="1">
        <f t="array" ref="W1099">_xlfn.IFS(OR(X1099="N/A",X1099="NA"),0,OR(X1099="R64",X1099="R68"),1,X1099="R32",2,X1099="S16",3,X1099="E8",4,X1099="F4",5,X1099="2ND",6,X1099="Champions",7)</f>
        <v>0</v>
      </c>
      <c r="X1099" t="s">
        <v>90</v>
      </c>
      <c r="Y1099" t="s">
        <v>90</v>
      </c>
      <c r="Z1099">
        <v>2018</v>
      </c>
    </row>
    <row r="1100" spans="1:26" x14ac:dyDescent="0.3">
      <c r="A1100" t="s">
        <v>331</v>
      </c>
      <c r="B1100" t="s">
        <v>67</v>
      </c>
      <c r="C1100">
        <v>31</v>
      </c>
      <c r="D1100">
        <v>12</v>
      </c>
      <c r="E1100" s="1">
        <f t="shared" si="17"/>
        <v>0.38709677419354838</v>
      </c>
      <c r="F1100">
        <v>97.7</v>
      </c>
      <c r="G1100">
        <v>107.2</v>
      </c>
      <c r="H1100">
        <v>0.25690000000000002</v>
      </c>
      <c r="I1100">
        <v>52.6</v>
      </c>
      <c r="J1100">
        <v>51</v>
      </c>
      <c r="K1100">
        <v>19.100000000000001</v>
      </c>
      <c r="L1100">
        <v>20</v>
      </c>
      <c r="M1100">
        <v>19.3</v>
      </c>
      <c r="N1100">
        <v>31.9</v>
      </c>
      <c r="O1100">
        <v>29.7</v>
      </c>
      <c r="P1100">
        <v>34</v>
      </c>
      <c r="Q1100">
        <v>55.1</v>
      </c>
      <c r="R1100">
        <v>49.4</v>
      </c>
      <c r="S1100">
        <v>32.6</v>
      </c>
      <c r="T1100">
        <v>35.4</v>
      </c>
      <c r="U1100">
        <v>64</v>
      </c>
      <c r="V1100">
        <v>-15</v>
      </c>
      <c r="W1100" cm="1">
        <f t="array" ref="W1100">_xlfn.IFS(OR(X1100="N/A",X1100="NA"),0,OR(X1100="R64",X1100="R68"),1,X1100="R32",2,X1100="S16",3,X1100="E8",4,X1100="F4",5,X1100="2ND",6,X1100="Champions",7)</f>
        <v>0</v>
      </c>
      <c r="X1100" t="s">
        <v>90</v>
      </c>
      <c r="Y1100" t="s">
        <v>90</v>
      </c>
      <c r="Z1100">
        <v>2018</v>
      </c>
    </row>
    <row r="1101" spans="1:26" x14ac:dyDescent="0.3">
      <c r="A1101" t="s">
        <v>335</v>
      </c>
      <c r="B1101" t="s">
        <v>67</v>
      </c>
      <c r="C1101">
        <v>30</v>
      </c>
      <c r="D1101">
        <v>10</v>
      </c>
      <c r="E1101" s="1">
        <f t="shared" si="17"/>
        <v>0.33333333333333331</v>
      </c>
      <c r="F1101">
        <v>101.4</v>
      </c>
      <c r="G1101">
        <v>112.2</v>
      </c>
      <c r="H1101">
        <v>0.23680000000000001</v>
      </c>
      <c r="I1101">
        <v>53.3</v>
      </c>
      <c r="J1101">
        <v>52</v>
      </c>
      <c r="K1101">
        <v>19.3</v>
      </c>
      <c r="L1101">
        <v>14.7</v>
      </c>
      <c r="M1101">
        <v>21</v>
      </c>
      <c r="N1101">
        <v>27.2</v>
      </c>
      <c r="O1101">
        <v>28.8</v>
      </c>
      <c r="P1101">
        <v>26</v>
      </c>
      <c r="Q1101">
        <v>51.4</v>
      </c>
      <c r="R1101">
        <v>52.2</v>
      </c>
      <c r="S1101">
        <v>37.4</v>
      </c>
      <c r="T1101">
        <v>34.4</v>
      </c>
      <c r="U1101">
        <v>69.400000000000006</v>
      </c>
      <c r="V1101">
        <v>-16.8</v>
      </c>
      <c r="W1101" cm="1">
        <f t="array" ref="W1101">_xlfn.IFS(OR(X1101="N/A",X1101="NA"),0,OR(X1101="R64",X1101="R68"),1,X1101="R32",2,X1101="S16",3,X1101="E8",4,X1101="F4",5,X1101="2ND",6,X1101="Champions",7)</f>
        <v>0</v>
      </c>
      <c r="X1101" t="s">
        <v>90</v>
      </c>
      <c r="Y1101" t="s">
        <v>90</v>
      </c>
      <c r="Z1101">
        <v>2018</v>
      </c>
    </row>
    <row r="1102" spans="1:26" x14ac:dyDescent="0.3">
      <c r="A1102" t="s">
        <v>332</v>
      </c>
      <c r="B1102" t="s">
        <v>67</v>
      </c>
      <c r="C1102">
        <v>29</v>
      </c>
      <c r="D1102">
        <v>16</v>
      </c>
      <c r="E1102" s="1">
        <f t="shared" si="17"/>
        <v>0.55172413793103448</v>
      </c>
      <c r="F1102">
        <v>105.2</v>
      </c>
      <c r="G1102">
        <v>111</v>
      </c>
      <c r="H1102">
        <v>0.35110000000000002</v>
      </c>
      <c r="I1102">
        <v>52.9</v>
      </c>
      <c r="J1102">
        <v>52.4</v>
      </c>
      <c r="K1102">
        <v>17.399999999999999</v>
      </c>
      <c r="L1102">
        <v>16</v>
      </c>
      <c r="M1102">
        <v>25.3</v>
      </c>
      <c r="N1102">
        <v>26.8</v>
      </c>
      <c r="O1102">
        <v>25.8</v>
      </c>
      <c r="P1102">
        <v>30.7</v>
      </c>
      <c r="Q1102">
        <v>47.7</v>
      </c>
      <c r="R1102">
        <v>53.1</v>
      </c>
      <c r="S1102">
        <v>40.6</v>
      </c>
      <c r="T1102">
        <v>34.299999999999997</v>
      </c>
      <c r="U1102">
        <v>71.900000000000006</v>
      </c>
      <c r="V1102">
        <v>-9.6999999999999993</v>
      </c>
      <c r="W1102" cm="1">
        <f t="array" ref="W1102">_xlfn.IFS(OR(X1102="N/A",X1102="NA"),0,OR(X1102="R64",X1102="R68"),1,X1102="R32",2,X1102="S16",3,X1102="E8",4,X1102="F4",5,X1102="2ND",6,X1102="Champions",7)</f>
        <v>0</v>
      </c>
      <c r="X1102" t="s">
        <v>90</v>
      </c>
      <c r="Y1102" t="s">
        <v>90</v>
      </c>
      <c r="Z1102">
        <v>2018</v>
      </c>
    </row>
    <row r="1103" spans="1:26" x14ac:dyDescent="0.3">
      <c r="A1103" t="s">
        <v>333</v>
      </c>
      <c r="B1103" t="s">
        <v>67</v>
      </c>
      <c r="C1103">
        <v>30</v>
      </c>
      <c r="D1103">
        <v>9</v>
      </c>
      <c r="E1103" s="1">
        <f t="shared" si="17"/>
        <v>0.3</v>
      </c>
      <c r="F1103">
        <v>95.7</v>
      </c>
      <c r="G1103">
        <v>110</v>
      </c>
      <c r="H1103">
        <v>0.16700000000000001</v>
      </c>
      <c r="I1103">
        <v>47.8</v>
      </c>
      <c r="J1103">
        <v>54.4</v>
      </c>
      <c r="K1103">
        <v>18.899999999999999</v>
      </c>
      <c r="L1103">
        <v>18.7</v>
      </c>
      <c r="M1103">
        <v>29.1</v>
      </c>
      <c r="N1103">
        <v>26.4</v>
      </c>
      <c r="O1103">
        <v>33.299999999999997</v>
      </c>
      <c r="P1103">
        <v>40.4</v>
      </c>
      <c r="Q1103">
        <v>48.1</v>
      </c>
      <c r="R1103">
        <v>54</v>
      </c>
      <c r="S1103">
        <v>31.3</v>
      </c>
      <c r="T1103">
        <v>36.799999999999997</v>
      </c>
      <c r="U1103">
        <v>69.7</v>
      </c>
      <c r="V1103">
        <v>-17.399999999999999</v>
      </c>
      <c r="W1103" cm="1">
        <f t="array" ref="W1103">_xlfn.IFS(OR(X1103="N/A",X1103="NA"),0,OR(X1103="R64",X1103="R68"),1,X1103="R32",2,X1103="S16",3,X1103="E8",4,X1103="F4",5,X1103="2ND",6,X1103="Champions",7)</f>
        <v>0</v>
      </c>
      <c r="X1103" t="s">
        <v>90</v>
      </c>
      <c r="Y1103" t="s">
        <v>90</v>
      </c>
      <c r="Z1103">
        <v>2018</v>
      </c>
    </row>
    <row r="1104" spans="1:26" x14ac:dyDescent="0.3">
      <c r="A1104" t="s">
        <v>334</v>
      </c>
      <c r="B1104" t="s">
        <v>67</v>
      </c>
      <c r="C1104">
        <v>31</v>
      </c>
      <c r="D1104">
        <v>20</v>
      </c>
      <c r="E1104" s="1">
        <f t="shared" si="17"/>
        <v>0.64516129032258063</v>
      </c>
      <c r="F1104">
        <v>97.6</v>
      </c>
      <c r="G1104">
        <v>102.8</v>
      </c>
      <c r="H1104">
        <v>0.35510000000000003</v>
      </c>
      <c r="I1104">
        <v>49.6</v>
      </c>
      <c r="J1104">
        <v>53.2</v>
      </c>
      <c r="K1104">
        <v>21.3</v>
      </c>
      <c r="L1104">
        <v>21.3</v>
      </c>
      <c r="M1104">
        <v>31.7</v>
      </c>
      <c r="N1104">
        <v>22.2</v>
      </c>
      <c r="O1104">
        <v>36.200000000000003</v>
      </c>
      <c r="P1104">
        <v>34</v>
      </c>
      <c r="Q1104">
        <v>50.2</v>
      </c>
      <c r="R1104">
        <v>51.8</v>
      </c>
      <c r="S1104">
        <v>32.299999999999997</v>
      </c>
      <c r="T1104">
        <v>36.799999999999997</v>
      </c>
      <c r="U1104">
        <v>66.8</v>
      </c>
      <c r="V1104">
        <v>-8.1</v>
      </c>
      <c r="W1104" cm="1">
        <f t="array" ref="W1104">_xlfn.IFS(OR(X1104="N/A",X1104="NA"),0,OR(X1104="R64",X1104="R68"),1,X1104="R32",2,X1104="S16",3,X1104="E8",4,X1104="F4",5,X1104="2ND",6,X1104="Champions",7)</f>
        <v>0</v>
      </c>
      <c r="X1104" t="s">
        <v>90</v>
      </c>
      <c r="Y1104" t="s">
        <v>90</v>
      </c>
      <c r="Z1104">
        <v>2018</v>
      </c>
    </row>
    <row r="1105" spans="1:26" x14ac:dyDescent="0.3">
      <c r="A1105" t="s">
        <v>326</v>
      </c>
      <c r="B1105" t="s">
        <v>67</v>
      </c>
      <c r="C1105">
        <v>30</v>
      </c>
      <c r="D1105">
        <v>15</v>
      </c>
      <c r="E1105" s="1">
        <f t="shared" si="17"/>
        <v>0.5</v>
      </c>
      <c r="F1105">
        <v>101.7</v>
      </c>
      <c r="G1105">
        <v>103.5</v>
      </c>
      <c r="H1105">
        <v>0.44969999999999999</v>
      </c>
      <c r="I1105">
        <v>53.2</v>
      </c>
      <c r="J1105">
        <v>48.2</v>
      </c>
      <c r="K1105">
        <v>18.7</v>
      </c>
      <c r="L1105">
        <v>17.7</v>
      </c>
      <c r="M1105">
        <v>26.1</v>
      </c>
      <c r="N1105">
        <v>27.4</v>
      </c>
      <c r="O1105">
        <v>35.799999999999997</v>
      </c>
      <c r="P1105">
        <v>34.799999999999997</v>
      </c>
      <c r="Q1105">
        <v>55.6</v>
      </c>
      <c r="R1105">
        <v>50</v>
      </c>
      <c r="S1105">
        <v>32.5</v>
      </c>
      <c r="T1105">
        <v>29.2</v>
      </c>
      <c r="U1105">
        <v>67.900000000000006</v>
      </c>
      <c r="V1105">
        <v>-11.3</v>
      </c>
      <c r="W1105" cm="1">
        <f t="array" ref="W1105">_xlfn.IFS(OR(X1105="N/A",X1105="NA"),0,OR(X1105="R64",X1105="R68"),1,X1105="R32",2,X1105="S16",3,X1105="E8",4,X1105="F4",5,X1105="2ND",6,X1105="Champions",7)</f>
        <v>0</v>
      </c>
      <c r="X1105" t="s">
        <v>90</v>
      </c>
      <c r="Y1105" t="s">
        <v>90</v>
      </c>
      <c r="Z1105">
        <v>2019</v>
      </c>
    </row>
    <row r="1106" spans="1:26" x14ac:dyDescent="0.3">
      <c r="A1106" t="s">
        <v>327</v>
      </c>
      <c r="B1106" t="s">
        <v>67</v>
      </c>
      <c r="C1106">
        <v>31</v>
      </c>
      <c r="D1106">
        <v>13</v>
      </c>
      <c r="E1106" s="1">
        <f t="shared" si="17"/>
        <v>0.41935483870967744</v>
      </c>
      <c r="F1106">
        <v>95.8</v>
      </c>
      <c r="G1106">
        <v>102.1</v>
      </c>
      <c r="H1106">
        <v>0.32540000000000002</v>
      </c>
      <c r="I1106">
        <v>49.6</v>
      </c>
      <c r="J1106">
        <v>53.3</v>
      </c>
      <c r="K1106">
        <v>16.5</v>
      </c>
      <c r="L1106">
        <v>18.7</v>
      </c>
      <c r="M1106">
        <v>21.6</v>
      </c>
      <c r="N1106">
        <v>22.9</v>
      </c>
      <c r="O1106">
        <v>24.3</v>
      </c>
      <c r="P1106">
        <v>28.4</v>
      </c>
      <c r="Q1106">
        <v>51</v>
      </c>
      <c r="R1106">
        <v>53.4</v>
      </c>
      <c r="S1106">
        <v>31.8</v>
      </c>
      <c r="T1106">
        <v>35.4</v>
      </c>
      <c r="U1106">
        <v>71.2</v>
      </c>
      <c r="V1106">
        <v>-14</v>
      </c>
      <c r="W1106" cm="1">
        <f t="array" ref="W1106">_xlfn.IFS(OR(X1106="N/A",X1106="NA"),0,OR(X1106="R64",X1106="R68"),1,X1106="R32",2,X1106="S16",3,X1106="E8",4,X1106="F4",5,X1106="2ND",6,X1106="Champions",7)</f>
        <v>0</v>
      </c>
      <c r="X1106" t="s">
        <v>90</v>
      </c>
      <c r="Y1106" t="s">
        <v>90</v>
      </c>
      <c r="Z1106">
        <v>2019</v>
      </c>
    </row>
    <row r="1107" spans="1:26" x14ac:dyDescent="0.3">
      <c r="A1107" t="s">
        <v>328</v>
      </c>
      <c r="B1107" t="s">
        <v>67</v>
      </c>
      <c r="C1107">
        <v>32</v>
      </c>
      <c r="D1107">
        <v>15</v>
      </c>
      <c r="E1107" s="1">
        <f t="shared" si="17"/>
        <v>0.46875</v>
      </c>
      <c r="F1107">
        <v>103.4</v>
      </c>
      <c r="G1107">
        <v>109.5</v>
      </c>
      <c r="H1107">
        <v>0.34150000000000003</v>
      </c>
      <c r="I1107">
        <v>53.4</v>
      </c>
      <c r="J1107">
        <v>54.6</v>
      </c>
      <c r="K1107">
        <v>18.8</v>
      </c>
      <c r="L1107">
        <v>18.2</v>
      </c>
      <c r="M1107">
        <v>28.6</v>
      </c>
      <c r="N1107">
        <v>25.1</v>
      </c>
      <c r="O1107">
        <v>24.8</v>
      </c>
      <c r="P1107">
        <v>32.5</v>
      </c>
      <c r="Q1107">
        <v>54.5</v>
      </c>
      <c r="R1107">
        <v>56.4</v>
      </c>
      <c r="S1107">
        <v>34.200000000000003</v>
      </c>
      <c r="T1107">
        <v>34.700000000000003</v>
      </c>
      <c r="U1107">
        <v>67.8</v>
      </c>
      <c r="V1107">
        <v>-13.1</v>
      </c>
      <c r="W1107" cm="1">
        <f t="array" ref="W1107">_xlfn.IFS(OR(X1107="N/A",X1107="NA"),0,OR(X1107="R64",X1107="R68"),1,X1107="R32",2,X1107="S16",3,X1107="E8",4,X1107="F4",5,X1107="2ND",6,X1107="Champions",7)</f>
        <v>0</v>
      </c>
      <c r="X1107" t="s">
        <v>90</v>
      </c>
      <c r="Y1107" t="s">
        <v>90</v>
      </c>
      <c r="Z1107">
        <v>2019</v>
      </c>
    </row>
    <row r="1108" spans="1:26" x14ac:dyDescent="0.3">
      <c r="A1108" t="s">
        <v>329</v>
      </c>
      <c r="B1108" t="s">
        <v>67</v>
      </c>
      <c r="C1108">
        <v>33</v>
      </c>
      <c r="D1108">
        <v>21</v>
      </c>
      <c r="E1108" s="1">
        <f t="shared" si="17"/>
        <v>0.63636363636363635</v>
      </c>
      <c r="F1108">
        <v>104</v>
      </c>
      <c r="G1108">
        <v>103.5</v>
      </c>
      <c r="H1108">
        <v>0.51359999999999995</v>
      </c>
      <c r="I1108">
        <v>53</v>
      </c>
      <c r="J1108">
        <v>49.2</v>
      </c>
      <c r="K1108">
        <v>17.3</v>
      </c>
      <c r="L1108">
        <v>16.600000000000001</v>
      </c>
      <c r="M1108">
        <v>25.8</v>
      </c>
      <c r="N1108">
        <v>27.6</v>
      </c>
      <c r="O1108">
        <v>33.9</v>
      </c>
      <c r="P1108">
        <v>32.4</v>
      </c>
      <c r="Q1108">
        <v>53.3</v>
      </c>
      <c r="R1108">
        <v>48.8</v>
      </c>
      <c r="S1108">
        <v>35.1</v>
      </c>
      <c r="T1108">
        <v>33.299999999999997</v>
      </c>
      <c r="U1108">
        <v>71.900000000000006</v>
      </c>
      <c r="V1108">
        <v>-5.5</v>
      </c>
      <c r="W1108" cm="1">
        <f t="array" ref="W1108">_xlfn.IFS(OR(X1108="N/A",X1108="NA"),0,OR(X1108="R64",X1108="R68"),1,X1108="R32",2,X1108="S16",3,X1108="E8",4,X1108="F4",5,X1108="2ND",6,X1108="Champions",7)</f>
        <v>0</v>
      </c>
      <c r="X1108" t="s">
        <v>90</v>
      </c>
      <c r="Y1108" t="s">
        <v>90</v>
      </c>
      <c r="Z1108">
        <v>2019</v>
      </c>
    </row>
    <row r="1109" spans="1:26" x14ac:dyDescent="0.3">
      <c r="A1109" t="s">
        <v>331</v>
      </c>
      <c r="B1109" t="s">
        <v>67</v>
      </c>
      <c r="C1109">
        <v>33</v>
      </c>
      <c r="D1109">
        <v>16</v>
      </c>
      <c r="E1109" s="1">
        <f t="shared" si="17"/>
        <v>0.48484848484848486</v>
      </c>
      <c r="F1109">
        <v>99.6</v>
      </c>
      <c r="G1109">
        <v>106.5</v>
      </c>
      <c r="H1109">
        <v>0.316</v>
      </c>
      <c r="I1109">
        <v>52.7</v>
      </c>
      <c r="J1109">
        <v>53.8</v>
      </c>
      <c r="K1109">
        <v>16.100000000000001</v>
      </c>
      <c r="L1109">
        <v>22.1</v>
      </c>
      <c r="M1109">
        <v>20.6</v>
      </c>
      <c r="N1109">
        <v>32.9</v>
      </c>
      <c r="O1109">
        <v>23.1</v>
      </c>
      <c r="P1109">
        <v>26.8</v>
      </c>
      <c r="Q1109">
        <v>52.5</v>
      </c>
      <c r="R1109">
        <v>52.2</v>
      </c>
      <c r="S1109">
        <v>35.4</v>
      </c>
      <c r="T1109">
        <v>37.299999999999997</v>
      </c>
      <c r="U1109">
        <v>65</v>
      </c>
      <c r="V1109">
        <v>-11.3</v>
      </c>
      <c r="W1109" cm="1">
        <f t="array" ref="W1109">_xlfn.IFS(OR(X1109="N/A",X1109="NA"),0,OR(X1109="R64",X1109="R68"),1,X1109="R32",2,X1109="S16",3,X1109="E8",4,X1109="F4",5,X1109="2ND",6,X1109="Champions",7)</f>
        <v>0</v>
      </c>
      <c r="X1109" t="s">
        <v>90</v>
      </c>
      <c r="Y1109" t="s">
        <v>90</v>
      </c>
      <c r="Z1109">
        <v>2019</v>
      </c>
    </row>
    <row r="1110" spans="1:26" x14ac:dyDescent="0.3">
      <c r="A1110" t="s">
        <v>335</v>
      </c>
      <c r="B1110" t="s">
        <v>67</v>
      </c>
      <c r="C1110">
        <v>29</v>
      </c>
      <c r="D1110">
        <v>10</v>
      </c>
      <c r="E1110" s="1">
        <f t="shared" si="17"/>
        <v>0.34482758620689657</v>
      </c>
      <c r="F1110">
        <v>100.5</v>
      </c>
      <c r="G1110">
        <v>112.8</v>
      </c>
      <c r="H1110">
        <v>0.20899999999999999</v>
      </c>
      <c r="I1110">
        <v>52.6</v>
      </c>
      <c r="J1110">
        <v>54.7</v>
      </c>
      <c r="K1110">
        <v>18.7</v>
      </c>
      <c r="L1110">
        <v>15.3</v>
      </c>
      <c r="M1110">
        <v>22.2</v>
      </c>
      <c r="N1110">
        <v>26.7</v>
      </c>
      <c r="O1110">
        <v>24.5</v>
      </c>
      <c r="P1110">
        <v>31.2</v>
      </c>
      <c r="Q1110">
        <v>49.2</v>
      </c>
      <c r="R1110">
        <v>52.9</v>
      </c>
      <c r="S1110">
        <v>38.299999999999997</v>
      </c>
      <c r="T1110">
        <v>38.6</v>
      </c>
      <c r="U1110">
        <v>70.2</v>
      </c>
      <c r="V1110">
        <v>-15.7</v>
      </c>
      <c r="W1110" cm="1">
        <f t="array" ref="W1110">_xlfn.IFS(OR(X1110="N/A",X1110="NA"),0,OR(X1110="R64",X1110="R68"),1,X1110="R32",2,X1110="S16",3,X1110="E8",4,X1110="F4",5,X1110="2ND",6,X1110="Champions",7)</f>
        <v>0</v>
      </c>
      <c r="X1110" t="s">
        <v>90</v>
      </c>
      <c r="Y1110" t="s">
        <v>90</v>
      </c>
      <c r="Z1110">
        <v>2019</v>
      </c>
    </row>
    <row r="1111" spans="1:26" x14ac:dyDescent="0.3">
      <c r="A1111" t="s">
        <v>332</v>
      </c>
      <c r="B1111" t="s">
        <v>67</v>
      </c>
      <c r="C1111">
        <v>31</v>
      </c>
      <c r="D1111">
        <v>20</v>
      </c>
      <c r="E1111" s="1">
        <f t="shared" si="17"/>
        <v>0.64516129032258063</v>
      </c>
      <c r="F1111">
        <v>107.3</v>
      </c>
      <c r="G1111">
        <v>108.2</v>
      </c>
      <c r="H1111">
        <v>0.47620000000000001</v>
      </c>
      <c r="I1111">
        <v>56.4</v>
      </c>
      <c r="J1111">
        <v>50.2</v>
      </c>
      <c r="K1111">
        <v>18.5</v>
      </c>
      <c r="L1111">
        <v>15.6</v>
      </c>
      <c r="M1111">
        <v>23.5</v>
      </c>
      <c r="N1111">
        <v>27.5</v>
      </c>
      <c r="O1111">
        <v>34.9</v>
      </c>
      <c r="P1111">
        <v>30.5</v>
      </c>
      <c r="Q1111">
        <v>51.9</v>
      </c>
      <c r="R1111">
        <v>49.9</v>
      </c>
      <c r="S1111">
        <v>42.4</v>
      </c>
      <c r="T1111">
        <v>33.799999999999997</v>
      </c>
      <c r="U1111">
        <v>72.900000000000006</v>
      </c>
      <c r="V1111">
        <v>-5.5</v>
      </c>
      <c r="W1111" cm="1">
        <f t="array" ref="W1111">_xlfn.IFS(OR(X1111="N/A",X1111="NA"),0,OR(X1111="R64",X1111="R68"),1,X1111="R32",2,X1111="S16",3,X1111="E8",4,X1111="F4",5,X1111="2ND",6,X1111="Champions",7)</f>
        <v>0</v>
      </c>
      <c r="X1111" t="s">
        <v>90</v>
      </c>
      <c r="Y1111" t="s">
        <v>90</v>
      </c>
      <c r="Z1111">
        <v>2019</v>
      </c>
    </row>
    <row r="1112" spans="1:26" x14ac:dyDescent="0.3">
      <c r="A1112" t="s">
        <v>333</v>
      </c>
      <c r="B1112" t="s">
        <v>67</v>
      </c>
      <c r="C1112">
        <v>32</v>
      </c>
      <c r="D1112">
        <v>11</v>
      </c>
      <c r="E1112" s="1">
        <f t="shared" si="17"/>
        <v>0.34375</v>
      </c>
      <c r="F1112">
        <v>100.5</v>
      </c>
      <c r="G1112">
        <v>109.4</v>
      </c>
      <c r="H1112">
        <v>0.2757</v>
      </c>
      <c r="I1112">
        <v>51.6</v>
      </c>
      <c r="J1112">
        <v>55.6</v>
      </c>
      <c r="K1112">
        <v>19.5</v>
      </c>
      <c r="L1112">
        <v>20.6</v>
      </c>
      <c r="M1112">
        <v>27.9</v>
      </c>
      <c r="N1112">
        <v>29.6</v>
      </c>
      <c r="O1112">
        <v>33.6</v>
      </c>
      <c r="P1112">
        <v>32.299999999999997</v>
      </c>
      <c r="Q1112">
        <v>51.8</v>
      </c>
      <c r="R1112">
        <v>53.7</v>
      </c>
      <c r="S1112">
        <v>34.200000000000003</v>
      </c>
      <c r="T1112">
        <v>39.200000000000003</v>
      </c>
      <c r="U1112">
        <v>70.099999999999994</v>
      </c>
      <c r="V1112">
        <v>-15.1</v>
      </c>
      <c r="W1112" cm="1">
        <f t="array" ref="W1112">_xlfn.IFS(OR(X1112="N/A",X1112="NA"),0,OR(X1112="R64",X1112="R68"),1,X1112="R32",2,X1112="S16",3,X1112="E8",4,X1112="F4",5,X1112="2ND",6,X1112="Champions",7)</f>
        <v>0</v>
      </c>
      <c r="X1112" t="s">
        <v>90</v>
      </c>
      <c r="Y1112" t="s">
        <v>90</v>
      </c>
      <c r="Z1112">
        <v>2019</v>
      </c>
    </row>
    <row r="1113" spans="1:26" x14ac:dyDescent="0.3">
      <c r="A1113" t="s">
        <v>334</v>
      </c>
      <c r="B1113" t="s">
        <v>67</v>
      </c>
      <c r="C1113">
        <v>31</v>
      </c>
      <c r="D1113">
        <v>12</v>
      </c>
      <c r="E1113" s="1">
        <f t="shared" si="17"/>
        <v>0.38709677419354838</v>
      </c>
      <c r="F1113">
        <v>97.1</v>
      </c>
      <c r="G1113">
        <v>105.5</v>
      </c>
      <c r="H1113">
        <v>0.2767</v>
      </c>
      <c r="I1113">
        <v>46.8</v>
      </c>
      <c r="J1113">
        <v>52.1</v>
      </c>
      <c r="K1113">
        <v>20.7</v>
      </c>
      <c r="L1113">
        <v>16.600000000000001</v>
      </c>
      <c r="M1113">
        <v>31.8</v>
      </c>
      <c r="N1113">
        <v>25.5</v>
      </c>
      <c r="O1113">
        <v>30.5</v>
      </c>
      <c r="P1113">
        <v>29.7</v>
      </c>
      <c r="Q1113">
        <v>46.4</v>
      </c>
      <c r="R1113">
        <v>53.2</v>
      </c>
      <c r="S1113">
        <v>31.7</v>
      </c>
      <c r="T1113">
        <v>33.799999999999997</v>
      </c>
      <c r="U1113">
        <v>68.2</v>
      </c>
      <c r="V1113">
        <v>-13.5</v>
      </c>
      <c r="W1113" cm="1">
        <f t="array" ref="W1113">_xlfn.IFS(OR(X1113="N/A",X1113="NA"),0,OR(X1113="R64",X1113="R68"),1,X1113="R32",2,X1113="S16",3,X1113="E8",4,X1113="F4",5,X1113="2ND",6,X1113="Champions",7)</f>
        <v>0</v>
      </c>
      <c r="X1113" t="s">
        <v>90</v>
      </c>
      <c r="Y1113" t="s">
        <v>90</v>
      </c>
      <c r="Z1113">
        <v>2019</v>
      </c>
    </row>
    <row r="1114" spans="1:26" x14ac:dyDescent="0.3">
      <c r="A1114" t="s">
        <v>336</v>
      </c>
      <c r="B1114" t="s">
        <v>58</v>
      </c>
      <c r="C1114">
        <v>29</v>
      </c>
      <c r="D1114">
        <v>12</v>
      </c>
      <c r="E1114" s="1">
        <f t="shared" si="17"/>
        <v>0.41379310344827586</v>
      </c>
      <c r="F1114">
        <v>95.8</v>
      </c>
      <c r="G1114">
        <v>106.2</v>
      </c>
      <c r="H1114">
        <v>0.23280000000000001</v>
      </c>
      <c r="I1114">
        <v>45.6</v>
      </c>
      <c r="J1114">
        <v>50.6</v>
      </c>
      <c r="K1114">
        <v>20.6</v>
      </c>
      <c r="L1114">
        <v>17.2</v>
      </c>
      <c r="M1114">
        <v>31.4</v>
      </c>
      <c r="N1114">
        <v>29.8</v>
      </c>
      <c r="O1114">
        <v>33.6</v>
      </c>
      <c r="P1114">
        <v>37.6</v>
      </c>
      <c r="Q1114">
        <v>44.5</v>
      </c>
      <c r="R1114">
        <v>51.5</v>
      </c>
      <c r="S1114">
        <v>31.6</v>
      </c>
      <c r="T1114">
        <v>32.299999999999997</v>
      </c>
      <c r="U1114">
        <v>65.8</v>
      </c>
      <c r="V1114">
        <v>-11.7</v>
      </c>
      <c r="W1114" cm="1">
        <f t="array" ref="W1114">_xlfn.IFS(OR(X1114="N/A",X1114="NA"),0,OR(X1114="R64",X1114="R68"),1,X1114="R32",2,X1114="S16",3,X1114="E8",4,X1114="F4",5,X1114="2ND",6,X1114="Champions",7)</f>
        <v>0</v>
      </c>
      <c r="X1114" t="s">
        <v>90</v>
      </c>
      <c r="Y1114" t="s">
        <v>90</v>
      </c>
      <c r="Z1114">
        <v>2015</v>
      </c>
    </row>
    <row r="1115" spans="1:26" x14ac:dyDescent="0.3">
      <c r="A1115" t="s">
        <v>337</v>
      </c>
      <c r="B1115" t="s">
        <v>58</v>
      </c>
      <c r="C1115">
        <v>30</v>
      </c>
      <c r="D1115">
        <v>12</v>
      </c>
      <c r="E1115" s="1">
        <f t="shared" si="17"/>
        <v>0.4</v>
      </c>
      <c r="F1115">
        <v>102.9</v>
      </c>
      <c r="G1115">
        <v>108</v>
      </c>
      <c r="H1115">
        <v>0.36449999999999999</v>
      </c>
      <c r="I1115">
        <v>47.6</v>
      </c>
      <c r="J1115">
        <v>51</v>
      </c>
      <c r="K1115">
        <v>15.6</v>
      </c>
      <c r="L1115">
        <v>19.899999999999999</v>
      </c>
      <c r="M1115">
        <v>28.4</v>
      </c>
      <c r="N1115">
        <v>31.2</v>
      </c>
      <c r="O1115">
        <v>36</v>
      </c>
      <c r="P1115">
        <v>40.799999999999997</v>
      </c>
      <c r="Q1115">
        <v>45.8</v>
      </c>
      <c r="R1115">
        <v>49.1</v>
      </c>
      <c r="S1115">
        <v>34</v>
      </c>
      <c r="T1115">
        <v>36.299999999999997</v>
      </c>
      <c r="U1115">
        <v>64.7</v>
      </c>
      <c r="V1115">
        <v>-13.1</v>
      </c>
      <c r="W1115" cm="1">
        <f t="array" ref="W1115">_xlfn.IFS(OR(X1115="N/A",X1115="NA"),0,OR(X1115="R64",X1115="R68"),1,X1115="R32",2,X1115="S16",3,X1115="E8",4,X1115="F4",5,X1115="2ND",6,X1115="Champions",7)</f>
        <v>0</v>
      </c>
      <c r="X1115" t="s">
        <v>90</v>
      </c>
      <c r="Y1115" t="s">
        <v>90</v>
      </c>
      <c r="Z1115">
        <v>2015</v>
      </c>
    </row>
    <row r="1116" spans="1:26" x14ac:dyDescent="0.3">
      <c r="A1116" t="s">
        <v>338</v>
      </c>
      <c r="B1116" t="s">
        <v>58</v>
      </c>
      <c r="C1116">
        <v>28</v>
      </c>
      <c r="D1116">
        <v>10</v>
      </c>
      <c r="E1116" s="1">
        <f t="shared" si="17"/>
        <v>0.35714285714285715</v>
      </c>
      <c r="F1116">
        <v>93.5</v>
      </c>
      <c r="G1116">
        <v>106.2</v>
      </c>
      <c r="H1116">
        <v>0.188</v>
      </c>
      <c r="I1116">
        <v>45.3</v>
      </c>
      <c r="J1116">
        <v>48.3</v>
      </c>
      <c r="K1116">
        <v>20</v>
      </c>
      <c r="L1116">
        <v>17.600000000000001</v>
      </c>
      <c r="M1116">
        <v>29.7</v>
      </c>
      <c r="N1116">
        <v>32.700000000000003</v>
      </c>
      <c r="O1116">
        <v>33</v>
      </c>
      <c r="P1116">
        <v>34.700000000000003</v>
      </c>
      <c r="Q1116">
        <v>44.1</v>
      </c>
      <c r="R1116">
        <v>47.6</v>
      </c>
      <c r="S1116">
        <v>32</v>
      </c>
      <c r="T1116">
        <v>33.1</v>
      </c>
      <c r="U1116">
        <v>66</v>
      </c>
      <c r="V1116">
        <v>-13</v>
      </c>
      <c r="W1116" cm="1">
        <f t="array" ref="W1116">_xlfn.IFS(OR(X1116="N/A",X1116="NA"),0,OR(X1116="R64",X1116="R68"),1,X1116="R32",2,X1116="S16",3,X1116="E8",4,X1116="F4",5,X1116="2ND",6,X1116="Champions",7)</f>
        <v>0</v>
      </c>
      <c r="X1116" t="s">
        <v>90</v>
      </c>
      <c r="Y1116" t="s">
        <v>90</v>
      </c>
      <c r="Z1116">
        <v>2015</v>
      </c>
    </row>
    <row r="1117" spans="1:26" x14ac:dyDescent="0.3">
      <c r="A1117" t="s">
        <v>339</v>
      </c>
      <c r="B1117" t="s">
        <v>58</v>
      </c>
      <c r="C1117">
        <v>28</v>
      </c>
      <c r="D1117">
        <v>19</v>
      </c>
      <c r="E1117" s="1">
        <f t="shared" si="17"/>
        <v>0.6785714285714286</v>
      </c>
      <c r="F1117">
        <v>98.2</v>
      </c>
      <c r="G1117">
        <v>97.5</v>
      </c>
      <c r="H1117">
        <v>0.52029999999999998</v>
      </c>
      <c r="I1117">
        <v>47.3</v>
      </c>
      <c r="J1117">
        <v>46.2</v>
      </c>
      <c r="K1117">
        <v>18.3</v>
      </c>
      <c r="L1117">
        <v>22</v>
      </c>
      <c r="M1117">
        <v>32.6</v>
      </c>
      <c r="N1117">
        <v>32.200000000000003</v>
      </c>
      <c r="O1117">
        <v>36.200000000000003</v>
      </c>
      <c r="P1117">
        <v>32.700000000000003</v>
      </c>
      <c r="Q1117">
        <v>47.5</v>
      </c>
      <c r="R1117">
        <v>45.9</v>
      </c>
      <c r="S1117">
        <v>31.4</v>
      </c>
      <c r="T1117">
        <v>31.2</v>
      </c>
      <c r="U1117">
        <v>63.8</v>
      </c>
      <c r="V1117">
        <v>-4.5999999999999996</v>
      </c>
      <c r="W1117" cm="1">
        <f t="array" ref="W1117">_xlfn.IFS(OR(X1117="N/A",X1117="NA"),0,OR(X1117="R64",X1117="R68"),1,X1117="R32",2,X1117="S16",3,X1117="E8",4,X1117="F4",5,X1117="2ND",6,X1117="Champions",7)</f>
        <v>0</v>
      </c>
      <c r="X1117" t="s">
        <v>90</v>
      </c>
      <c r="Y1117" t="s">
        <v>90</v>
      </c>
      <c r="Z1117">
        <v>2015</v>
      </c>
    </row>
    <row r="1118" spans="1:26" x14ac:dyDescent="0.3">
      <c r="A1118" t="s">
        <v>340</v>
      </c>
      <c r="B1118" t="s">
        <v>58</v>
      </c>
      <c r="C1118">
        <v>33</v>
      </c>
      <c r="D1118">
        <v>19</v>
      </c>
      <c r="E1118" s="1">
        <f t="shared" si="17"/>
        <v>0.5757575757575758</v>
      </c>
      <c r="F1118">
        <v>104.1</v>
      </c>
      <c r="G1118">
        <v>100.6</v>
      </c>
      <c r="H1118">
        <v>0.59570000000000001</v>
      </c>
      <c r="I1118">
        <v>50.1</v>
      </c>
      <c r="J1118">
        <v>48</v>
      </c>
      <c r="K1118">
        <v>20.5</v>
      </c>
      <c r="L1118">
        <v>18.399999999999999</v>
      </c>
      <c r="M1118">
        <v>34.6</v>
      </c>
      <c r="N1118">
        <v>27.6</v>
      </c>
      <c r="O1118">
        <v>39.6</v>
      </c>
      <c r="P1118">
        <v>37.4</v>
      </c>
      <c r="Q1118">
        <v>49.2</v>
      </c>
      <c r="R1118">
        <v>47.8</v>
      </c>
      <c r="S1118">
        <v>34.700000000000003</v>
      </c>
      <c r="T1118">
        <v>32.299999999999997</v>
      </c>
      <c r="U1118">
        <v>70.400000000000006</v>
      </c>
      <c r="V1118">
        <v>-8.1999999999999993</v>
      </c>
      <c r="W1118" cm="1">
        <f t="array" ref="W1118">_xlfn.IFS(OR(X1118="N/A",X1118="NA"),0,OR(X1118="R64",X1118="R68"),1,X1118="R32",2,X1118="S16",3,X1118="E8",4,X1118="F4",5,X1118="2ND",6,X1118="Champions",7)</f>
        <v>0</v>
      </c>
      <c r="X1118" t="s">
        <v>90</v>
      </c>
      <c r="Y1118" t="s">
        <v>90</v>
      </c>
      <c r="Z1118">
        <v>2015</v>
      </c>
    </row>
    <row r="1119" spans="1:26" x14ac:dyDescent="0.3">
      <c r="A1119" t="s">
        <v>341</v>
      </c>
      <c r="B1119" t="s">
        <v>58</v>
      </c>
      <c r="C1119">
        <v>34</v>
      </c>
      <c r="D1119">
        <v>20</v>
      </c>
      <c r="E1119" s="1">
        <f t="shared" si="17"/>
        <v>0.58823529411764708</v>
      </c>
      <c r="F1119">
        <v>98</v>
      </c>
      <c r="G1119">
        <v>98</v>
      </c>
      <c r="H1119">
        <v>0.49769999999999998</v>
      </c>
      <c r="I1119">
        <v>45.6</v>
      </c>
      <c r="J1119">
        <v>44.7</v>
      </c>
      <c r="K1119">
        <v>18</v>
      </c>
      <c r="L1119">
        <v>17.2</v>
      </c>
      <c r="M1119">
        <v>32.6</v>
      </c>
      <c r="N1119">
        <v>29.4</v>
      </c>
      <c r="O1119">
        <v>26.1</v>
      </c>
      <c r="P1119">
        <v>29.7</v>
      </c>
      <c r="Q1119">
        <v>46</v>
      </c>
      <c r="R1119">
        <v>44.3</v>
      </c>
      <c r="S1119">
        <v>29.9</v>
      </c>
      <c r="T1119">
        <v>30.2</v>
      </c>
      <c r="U1119">
        <v>62</v>
      </c>
      <c r="V1119">
        <v>-7</v>
      </c>
      <c r="W1119" cm="1">
        <f t="array" ref="W1119">_xlfn.IFS(OR(X1119="N/A",X1119="NA"),0,OR(X1119="R64",X1119="R68"),1,X1119="R32",2,X1119="S16",3,X1119="E8",4,X1119="F4",5,X1119="2ND",6,X1119="Champions",7)</f>
        <v>0</v>
      </c>
      <c r="X1119" t="s">
        <v>90</v>
      </c>
      <c r="Y1119" t="s">
        <v>90</v>
      </c>
      <c r="Z1119">
        <v>2015</v>
      </c>
    </row>
    <row r="1120" spans="1:26" x14ac:dyDescent="0.3">
      <c r="A1120" t="s">
        <v>342</v>
      </c>
      <c r="B1120" t="s">
        <v>58</v>
      </c>
      <c r="C1120">
        <v>31</v>
      </c>
      <c r="D1120">
        <v>10</v>
      </c>
      <c r="E1120" s="1">
        <f t="shared" si="17"/>
        <v>0.32258064516129031</v>
      </c>
      <c r="F1120">
        <v>99.5</v>
      </c>
      <c r="G1120">
        <v>109.5</v>
      </c>
      <c r="H1120">
        <v>0.24840000000000001</v>
      </c>
      <c r="I1120">
        <v>47.8</v>
      </c>
      <c r="J1120">
        <v>49</v>
      </c>
      <c r="K1120">
        <v>20.9</v>
      </c>
      <c r="L1120">
        <v>15.2</v>
      </c>
      <c r="M1120">
        <v>30</v>
      </c>
      <c r="N1120">
        <v>33.1</v>
      </c>
      <c r="O1120">
        <v>41.9</v>
      </c>
      <c r="P1120">
        <v>34.1</v>
      </c>
      <c r="Q1120">
        <v>47</v>
      </c>
      <c r="R1120">
        <v>48.1</v>
      </c>
      <c r="S1120">
        <v>32.9</v>
      </c>
      <c r="T1120">
        <v>34.200000000000003</v>
      </c>
      <c r="U1120">
        <v>68.8</v>
      </c>
      <c r="V1120">
        <v>-15.4</v>
      </c>
      <c r="W1120" cm="1">
        <f t="array" ref="W1120">_xlfn.IFS(OR(X1120="N/A",X1120="NA"),0,OR(X1120="R64",X1120="R68"),1,X1120="R32",2,X1120="S16",3,X1120="E8",4,X1120="F4",5,X1120="2ND",6,X1120="Champions",7)</f>
        <v>0</v>
      </c>
      <c r="X1120" t="s">
        <v>90</v>
      </c>
      <c r="Y1120" t="s">
        <v>90</v>
      </c>
      <c r="Z1120">
        <v>2015</v>
      </c>
    </row>
    <row r="1121" spans="1:26" x14ac:dyDescent="0.3">
      <c r="A1121" t="s">
        <v>343</v>
      </c>
      <c r="B1121" t="s">
        <v>58</v>
      </c>
      <c r="C1121">
        <v>28</v>
      </c>
      <c r="D1121">
        <v>11</v>
      </c>
      <c r="E1121" s="1">
        <f t="shared" si="17"/>
        <v>0.39285714285714285</v>
      </c>
      <c r="F1121">
        <v>91.8</v>
      </c>
      <c r="G1121">
        <v>96.7</v>
      </c>
      <c r="H1121">
        <v>0.35349999999999998</v>
      </c>
      <c r="I1121">
        <v>44</v>
      </c>
      <c r="J1121">
        <v>47.6</v>
      </c>
      <c r="K1121">
        <v>19.899999999999999</v>
      </c>
      <c r="L1121">
        <v>23.1</v>
      </c>
      <c r="M1121">
        <v>29</v>
      </c>
      <c r="N1121">
        <v>31.8</v>
      </c>
      <c r="O1121">
        <v>36.5</v>
      </c>
      <c r="P1121">
        <v>36.6</v>
      </c>
      <c r="Q1121">
        <v>42.8</v>
      </c>
      <c r="R1121">
        <v>48.6</v>
      </c>
      <c r="S1121">
        <v>31.1</v>
      </c>
      <c r="T1121">
        <v>30.5</v>
      </c>
      <c r="U1121">
        <v>61.7</v>
      </c>
      <c r="V1121">
        <v>-11.8</v>
      </c>
      <c r="W1121" cm="1">
        <f t="array" ref="W1121">_xlfn.IFS(OR(X1121="N/A",X1121="NA"),0,OR(X1121="R64",X1121="R68"),1,X1121="R32",2,X1121="S16",3,X1121="E8",4,X1121="F4",5,X1121="2ND",6,X1121="Champions",7)</f>
        <v>0</v>
      </c>
      <c r="X1121" t="s">
        <v>90</v>
      </c>
      <c r="Y1121" t="s">
        <v>90</v>
      </c>
      <c r="Z1121">
        <v>2015</v>
      </c>
    </row>
    <row r="1122" spans="1:26" x14ac:dyDescent="0.3">
      <c r="A1122" t="s">
        <v>344</v>
      </c>
      <c r="B1122" t="s">
        <v>58</v>
      </c>
      <c r="C1122">
        <v>27</v>
      </c>
      <c r="D1122">
        <v>8</v>
      </c>
      <c r="E1122" s="1">
        <f t="shared" si="17"/>
        <v>0.29629629629629628</v>
      </c>
      <c r="F1122">
        <v>97.9</v>
      </c>
      <c r="G1122">
        <v>107.9</v>
      </c>
      <c r="H1122">
        <v>0.2467</v>
      </c>
      <c r="I1122">
        <v>48.9</v>
      </c>
      <c r="J1122">
        <v>50.8</v>
      </c>
      <c r="K1122">
        <v>21.2</v>
      </c>
      <c r="L1122">
        <v>19.5</v>
      </c>
      <c r="M1122">
        <v>31.3</v>
      </c>
      <c r="N1122">
        <v>33.700000000000003</v>
      </c>
      <c r="O1122">
        <v>38</v>
      </c>
      <c r="P1122">
        <v>28.3</v>
      </c>
      <c r="Q1122">
        <v>48.1</v>
      </c>
      <c r="R1122">
        <v>51.2</v>
      </c>
      <c r="S1122">
        <v>33.5</v>
      </c>
      <c r="T1122">
        <v>33.299999999999997</v>
      </c>
      <c r="U1122">
        <v>65</v>
      </c>
      <c r="V1122">
        <v>-14.7</v>
      </c>
      <c r="W1122" cm="1">
        <f t="array" ref="W1122">_xlfn.IFS(OR(X1122="N/A",X1122="NA"),0,OR(X1122="R64",X1122="R68"),1,X1122="R32",2,X1122="S16",3,X1122="E8",4,X1122="F4",5,X1122="2ND",6,X1122="Champions",7)</f>
        <v>0</v>
      </c>
      <c r="X1122" t="s">
        <v>90</v>
      </c>
      <c r="Y1122" t="s">
        <v>90</v>
      </c>
      <c r="Z1122">
        <v>2015</v>
      </c>
    </row>
    <row r="1123" spans="1:26" x14ac:dyDescent="0.3">
      <c r="A1123" t="s">
        <v>345</v>
      </c>
      <c r="B1123" t="s">
        <v>58</v>
      </c>
      <c r="C1123">
        <v>30</v>
      </c>
      <c r="D1123">
        <v>15</v>
      </c>
      <c r="E1123" s="1">
        <f t="shared" si="17"/>
        <v>0.5</v>
      </c>
      <c r="F1123">
        <v>101.3</v>
      </c>
      <c r="G1123">
        <v>103.7</v>
      </c>
      <c r="H1123">
        <v>0.43149999999999999</v>
      </c>
      <c r="I1123">
        <v>49.4</v>
      </c>
      <c r="J1123">
        <v>47.8</v>
      </c>
      <c r="K1123">
        <v>20.8</v>
      </c>
      <c r="L1123">
        <v>19.600000000000001</v>
      </c>
      <c r="M1123">
        <v>31.8</v>
      </c>
      <c r="N1123">
        <v>32.799999999999997</v>
      </c>
      <c r="O1123">
        <v>38.1</v>
      </c>
      <c r="P1123">
        <v>42.2</v>
      </c>
      <c r="Q1123">
        <v>50.8</v>
      </c>
      <c r="R1123">
        <v>47.8</v>
      </c>
      <c r="S1123">
        <v>31.3</v>
      </c>
      <c r="T1123">
        <v>31.8</v>
      </c>
      <c r="U1123">
        <v>70.099999999999994</v>
      </c>
      <c r="V1123">
        <v>-9</v>
      </c>
      <c r="W1123" cm="1">
        <f t="array" ref="W1123">_xlfn.IFS(OR(X1123="N/A",X1123="NA"),0,OR(X1123="R64",X1123="R68"),1,X1123="R32",2,X1123="S16",3,X1123="E8",4,X1123="F4",5,X1123="2ND",6,X1123="Champions",7)</f>
        <v>0</v>
      </c>
      <c r="X1123" t="s">
        <v>90</v>
      </c>
      <c r="Y1123" t="s">
        <v>90</v>
      </c>
      <c r="Z1123">
        <v>2015</v>
      </c>
    </row>
    <row r="1124" spans="1:26" x14ac:dyDescent="0.3">
      <c r="A1124" t="s">
        <v>336</v>
      </c>
      <c r="B1124" t="s">
        <v>58</v>
      </c>
      <c r="C1124">
        <v>31</v>
      </c>
      <c r="D1124">
        <v>9</v>
      </c>
      <c r="E1124" s="1">
        <f t="shared" si="17"/>
        <v>0.29032258064516131</v>
      </c>
      <c r="F1124">
        <v>100.8</v>
      </c>
      <c r="G1124">
        <v>110.6</v>
      </c>
      <c r="H1124">
        <v>0.25540000000000002</v>
      </c>
      <c r="I1124">
        <v>47.2</v>
      </c>
      <c r="J1124">
        <v>51.2</v>
      </c>
      <c r="K1124">
        <v>21</v>
      </c>
      <c r="L1124">
        <v>15.9</v>
      </c>
      <c r="M1124">
        <v>33</v>
      </c>
      <c r="N1124">
        <v>32.299999999999997</v>
      </c>
      <c r="O1124">
        <v>39.1</v>
      </c>
      <c r="P1124">
        <v>39.799999999999997</v>
      </c>
      <c r="Q1124">
        <v>43.1</v>
      </c>
      <c r="R1124">
        <v>48.8</v>
      </c>
      <c r="S1124">
        <v>35.6</v>
      </c>
      <c r="T1124">
        <v>38.6</v>
      </c>
      <c r="U1124">
        <v>71.3</v>
      </c>
      <c r="V1124">
        <v>-15.2</v>
      </c>
      <c r="W1124" cm="1">
        <f t="array" ref="W1124">_xlfn.IFS(OR(X1124="N/A",X1124="NA"),0,OR(X1124="R64",X1124="R68"),1,X1124="R32",2,X1124="S16",3,X1124="E8",4,X1124="F4",5,X1124="2ND",6,X1124="Champions",7)</f>
        <v>0</v>
      </c>
      <c r="X1124" t="s">
        <v>90</v>
      </c>
      <c r="Y1124" t="s">
        <v>90</v>
      </c>
      <c r="Z1124">
        <v>2016</v>
      </c>
    </row>
    <row r="1125" spans="1:26" x14ac:dyDescent="0.3">
      <c r="A1125" t="s">
        <v>338</v>
      </c>
      <c r="B1125" t="s">
        <v>58</v>
      </c>
      <c r="C1125">
        <v>29</v>
      </c>
      <c r="D1125">
        <v>9</v>
      </c>
      <c r="E1125" s="1">
        <f t="shared" si="17"/>
        <v>0.31034482758620691</v>
      </c>
      <c r="F1125">
        <v>99.1</v>
      </c>
      <c r="G1125">
        <v>107.4</v>
      </c>
      <c r="H1125">
        <v>0.28260000000000002</v>
      </c>
      <c r="I1125">
        <v>45.8</v>
      </c>
      <c r="J1125">
        <v>47.1</v>
      </c>
      <c r="K1125">
        <v>18</v>
      </c>
      <c r="L1125">
        <v>14.9</v>
      </c>
      <c r="M1125">
        <v>28</v>
      </c>
      <c r="N1125">
        <v>31.2</v>
      </c>
      <c r="O1125">
        <v>40.1</v>
      </c>
      <c r="P1125">
        <v>38</v>
      </c>
      <c r="Q1125">
        <v>45.1</v>
      </c>
      <c r="R1125">
        <v>43.5</v>
      </c>
      <c r="S1125">
        <v>31.5</v>
      </c>
      <c r="T1125">
        <v>35.6</v>
      </c>
      <c r="U1125">
        <v>73.3</v>
      </c>
      <c r="V1125">
        <v>-13.9</v>
      </c>
      <c r="W1125" cm="1">
        <f t="array" ref="W1125">_xlfn.IFS(OR(X1125="N/A",X1125="NA"),0,OR(X1125="R64",X1125="R68"),1,X1125="R32",2,X1125="S16",3,X1125="E8",4,X1125="F4",5,X1125="2ND",6,X1125="Champions",7)</f>
        <v>0</v>
      </c>
      <c r="X1125" t="s">
        <v>90</v>
      </c>
      <c r="Y1125" t="s">
        <v>90</v>
      </c>
      <c r="Z1125">
        <v>2016</v>
      </c>
    </row>
    <row r="1126" spans="1:26" x14ac:dyDescent="0.3">
      <c r="A1126" t="s">
        <v>339</v>
      </c>
      <c r="B1126" t="s">
        <v>58</v>
      </c>
      <c r="C1126">
        <v>29</v>
      </c>
      <c r="D1126">
        <v>12</v>
      </c>
      <c r="E1126" s="1">
        <f t="shared" si="17"/>
        <v>0.41379310344827586</v>
      </c>
      <c r="F1126">
        <v>103.9</v>
      </c>
      <c r="G1126">
        <v>108</v>
      </c>
      <c r="H1126">
        <v>0.39129999999999998</v>
      </c>
      <c r="I1126">
        <v>47.5</v>
      </c>
      <c r="J1126">
        <v>51.8</v>
      </c>
      <c r="K1126">
        <v>16.2</v>
      </c>
      <c r="L1126">
        <v>20</v>
      </c>
      <c r="M1126">
        <v>29.7</v>
      </c>
      <c r="N1126">
        <v>34.5</v>
      </c>
      <c r="O1126">
        <v>37.700000000000003</v>
      </c>
      <c r="P1126">
        <v>44.5</v>
      </c>
      <c r="Q1126">
        <v>45.6</v>
      </c>
      <c r="R1126">
        <v>52.5</v>
      </c>
      <c r="S1126">
        <v>33.299999999999997</v>
      </c>
      <c r="T1126">
        <v>33.799999999999997</v>
      </c>
      <c r="U1126">
        <v>69.5</v>
      </c>
      <c r="V1126">
        <v>-11.4</v>
      </c>
      <c r="W1126" cm="1">
        <f t="array" ref="W1126">_xlfn.IFS(OR(X1126="N/A",X1126="NA"),0,OR(X1126="R64",X1126="R68"),1,X1126="R32",2,X1126="S16",3,X1126="E8",4,X1126="F4",5,X1126="2ND",6,X1126="Champions",7)</f>
        <v>0</v>
      </c>
      <c r="X1126" t="s">
        <v>90</v>
      </c>
      <c r="Y1126" t="s">
        <v>90</v>
      </c>
      <c r="Z1126">
        <v>2016</v>
      </c>
    </row>
    <row r="1127" spans="1:26" x14ac:dyDescent="0.3">
      <c r="A1127" t="s">
        <v>346</v>
      </c>
      <c r="B1127" t="s">
        <v>58</v>
      </c>
      <c r="C1127">
        <v>28</v>
      </c>
      <c r="D1127">
        <v>14</v>
      </c>
      <c r="E1127" s="1">
        <f t="shared" si="17"/>
        <v>0.5</v>
      </c>
      <c r="F1127">
        <v>99.7</v>
      </c>
      <c r="G1127">
        <v>99.8</v>
      </c>
      <c r="H1127">
        <v>0.49469999999999997</v>
      </c>
      <c r="I1127">
        <v>48.5</v>
      </c>
      <c r="J1127">
        <v>47.9</v>
      </c>
      <c r="K1127">
        <v>18</v>
      </c>
      <c r="L1127">
        <v>21.2</v>
      </c>
      <c r="M1127">
        <v>24.5</v>
      </c>
      <c r="N1127">
        <v>31</v>
      </c>
      <c r="O1127">
        <v>37.5</v>
      </c>
      <c r="P1127">
        <v>41.3</v>
      </c>
      <c r="Q1127">
        <v>47.1</v>
      </c>
      <c r="R1127">
        <v>47</v>
      </c>
      <c r="S1127">
        <v>34.799999999999997</v>
      </c>
      <c r="T1127">
        <v>32.799999999999997</v>
      </c>
      <c r="U1127">
        <v>65.400000000000006</v>
      </c>
      <c r="V1127">
        <v>-8.6</v>
      </c>
      <c r="W1127" cm="1">
        <f t="array" ref="W1127">_xlfn.IFS(OR(X1127="N/A",X1127="NA"),0,OR(X1127="R64",X1127="R68"),1,X1127="R32",2,X1127="S16",3,X1127="E8",4,X1127="F4",5,X1127="2ND",6,X1127="Champions",7)</f>
        <v>0</v>
      </c>
      <c r="X1127" t="s">
        <v>90</v>
      </c>
      <c r="Y1127" t="s">
        <v>90</v>
      </c>
      <c r="Z1127">
        <v>2016</v>
      </c>
    </row>
    <row r="1128" spans="1:26" x14ac:dyDescent="0.3">
      <c r="A1128" t="s">
        <v>340</v>
      </c>
      <c r="B1128" t="s">
        <v>58</v>
      </c>
      <c r="C1128">
        <v>32</v>
      </c>
      <c r="D1128">
        <v>17</v>
      </c>
      <c r="E1128" s="1">
        <f t="shared" si="17"/>
        <v>0.53125</v>
      </c>
      <c r="F1128">
        <v>108.9</v>
      </c>
      <c r="G1128">
        <v>105.2</v>
      </c>
      <c r="H1128">
        <v>0.60029999999999994</v>
      </c>
      <c r="I1128">
        <v>48.8</v>
      </c>
      <c r="J1128">
        <v>49.9</v>
      </c>
      <c r="K1128">
        <v>17.5</v>
      </c>
      <c r="L1128">
        <v>16.5</v>
      </c>
      <c r="M1128">
        <v>37.700000000000003</v>
      </c>
      <c r="N1128">
        <v>26.4</v>
      </c>
      <c r="O1128">
        <v>42.2</v>
      </c>
      <c r="P1128">
        <v>35.5</v>
      </c>
      <c r="Q1128">
        <v>49.9</v>
      </c>
      <c r="R1128">
        <v>47</v>
      </c>
      <c r="S1128">
        <v>31.1</v>
      </c>
      <c r="T1128">
        <v>37.799999999999997</v>
      </c>
      <c r="U1128">
        <v>71.3</v>
      </c>
      <c r="V1128">
        <v>-7.5</v>
      </c>
      <c r="W1128" cm="1">
        <f t="array" ref="W1128">_xlfn.IFS(OR(X1128="N/A",X1128="NA"),0,OR(X1128="R64",X1128="R68"),1,X1128="R32",2,X1128="S16",3,X1128="E8",4,X1128="F4",5,X1128="2ND",6,X1128="Champions",7)</f>
        <v>0</v>
      </c>
      <c r="X1128" t="s">
        <v>90</v>
      </c>
      <c r="Y1128" t="s">
        <v>90</v>
      </c>
      <c r="Z1128">
        <v>2016</v>
      </c>
    </row>
    <row r="1129" spans="1:26" x14ac:dyDescent="0.3">
      <c r="A1129" t="s">
        <v>341</v>
      </c>
      <c r="B1129" t="s">
        <v>58</v>
      </c>
      <c r="C1129">
        <v>32</v>
      </c>
      <c r="D1129">
        <v>18</v>
      </c>
      <c r="E1129" s="1">
        <f t="shared" si="17"/>
        <v>0.5625</v>
      </c>
      <c r="F1129">
        <v>106.9</v>
      </c>
      <c r="G1129">
        <v>102.2</v>
      </c>
      <c r="H1129">
        <v>0.62660000000000005</v>
      </c>
      <c r="I1129">
        <v>50.6</v>
      </c>
      <c r="J1129">
        <v>47.5</v>
      </c>
      <c r="K1129">
        <v>18.2</v>
      </c>
      <c r="L1129">
        <v>17</v>
      </c>
      <c r="M1129">
        <v>31.5</v>
      </c>
      <c r="N1129">
        <v>31.6</v>
      </c>
      <c r="O1129">
        <v>32.200000000000003</v>
      </c>
      <c r="P1129">
        <v>33</v>
      </c>
      <c r="Q1129">
        <v>50</v>
      </c>
      <c r="R1129">
        <v>46.6</v>
      </c>
      <c r="S1129">
        <v>34.5</v>
      </c>
      <c r="T1129">
        <v>32.700000000000003</v>
      </c>
      <c r="U1129">
        <v>66.599999999999994</v>
      </c>
      <c r="V1129">
        <v>-6.3</v>
      </c>
      <c r="W1129" cm="1">
        <f t="array" ref="W1129">_xlfn.IFS(OR(X1129="N/A",X1129="NA"),0,OR(X1129="R64",X1129="R68"),1,X1129="R32",2,X1129="S16",3,X1129="E8",4,X1129="F4",5,X1129="2ND",6,X1129="Champions",7)</f>
        <v>0</v>
      </c>
      <c r="X1129" t="s">
        <v>90</v>
      </c>
      <c r="Y1129" t="s">
        <v>90</v>
      </c>
      <c r="Z1129">
        <v>2016</v>
      </c>
    </row>
    <row r="1130" spans="1:26" x14ac:dyDescent="0.3">
      <c r="A1130" t="s">
        <v>342</v>
      </c>
      <c r="B1130" t="s">
        <v>58</v>
      </c>
      <c r="C1130">
        <v>31</v>
      </c>
      <c r="D1130">
        <v>12</v>
      </c>
      <c r="E1130" s="1">
        <f t="shared" si="17"/>
        <v>0.38709677419354838</v>
      </c>
      <c r="F1130">
        <v>95.1</v>
      </c>
      <c r="G1130">
        <v>103.1</v>
      </c>
      <c r="H1130">
        <v>0.28139999999999998</v>
      </c>
      <c r="I1130">
        <v>46.1</v>
      </c>
      <c r="J1130">
        <v>48.4</v>
      </c>
      <c r="K1130">
        <v>20.6</v>
      </c>
      <c r="L1130">
        <v>18</v>
      </c>
      <c r="M1130">
        <v>30.5</v>
      </c>
      <c r="N1130">
        <v>32.5</v>
      </c>
      <c r="O1130">
        <v>38.299999999999997</v>
      </c>
      <c r="P1130">
        <v>38.700000000000003</v>
      </c>
      <c r="Q1130">
        <v>45.1</v>
      </c>
      <c r="R1130">
        <v>48.4</v>
      </c>
      <c r="S1130">
        <v>31.9</v>
      </c>
      <c r="T1130">
        <v>32.200000000000003</v>
      </c>
      <c r="U1130">
        <v>70.599999999999994</v>
      </c>
      <c r="V1130">
        <v>-12.6</v>
      </c>
      <c r="W1130" cm="1">
        <f t="array" ref="W1130">_xlfn.IFS(OR(X1130="N/A",X1130="NA"),0,OR(X1130="R64",X1130="R68"),1,X1130="R32",2,X1130="S16",3,X1130="E8",4,X1130="F4",5,X1130="2ND",6,X1130="Champions",7)</f>
        <v>0</v>
      </c>
      <c r="X1130" t="s">
        <v>90</v>
      </c>
      <c r="Y1130" t="s">
        <v>90</v>
      </c>
      <c r="Z1130">
        <v>2016</v>
      </c>
    </row>
    <row r="1131" spans="1:26" x14ac:dyDescent="0.3">
      <c r="A1131" t="s">
        <v>343</v>
      </c>
      <c r="B1131" t="s">
        <v>58</v>
      </c>
      <c r="C1131">
        <v>29</v>
      </c>
      <c r="D1131">
        <v>13</v>
      </c>
      <c r="E1131" s="1">
        <f t="shared" si="17"/>
        <v>0.44827586206896552</v>
      </c>
      <c r="F1131">
        <v>98.5</v>
      </c>
      <c r="G1131">
        <v>102.9</v>
      </c>
      <c r="H1131">
        <v>0.37690000000000001</v>
      </c>
      <c r="I1131">
        <v>46.6</v>
      </c>
      <c r="J1131">
        <v>49.6</v>
      </c>
      <c r="K1131">
        <v>17.8</v>
      </c>
      <c r="L1131">
        <v>20.8</v>
      </c>
      <c r="M1131">
        <v>29.8</v>
      </c>
      <c r="N1131">
        <v>30.6</v>
      </c>
      <c r="O1131">
        <v>37.700000000000003</v>
      </c>
      <c r="P1131">
        <v>35.6</v>
      </c>
      <c r="Q1131">
        <v>46</v>
      </c>
      <c r="R1131">
        <v>47.9</v>
      </c>
      <c r="S1131">
        <v>32.1</v>
      </c>
      <c r="T1131">
        <v>35.1</v>
      </c>
      <c r="U1131">
        <v>64.2</v>
      </c>
      <c r="V1131">
        <v>-11.1</v>
      </c>
      <c r="W1131" cm="1">
        <f t="array" ref="W1131">_xlfn.IFS(OR(X1131="N/A",X1131="NA"),0,OR(X1131="R64",X1131="R68"),1,X1131="R32",2,X1131="S16",3,X1131="E8",4,X1131="F4",5,X1131="2ND",6,X1131="Champions",7)</f>
        <v>0</v>
      </c>
      <c r="X1131" t="s">
        <v>90</v>
      </c>
      <c r="Y1131" t="s">
        <v>90</v>
      </c>
      <c r="Z1131">
        <v>2016</v>
      </c>
    </row>
    <row r="1132" spans="1:26" x14ac:dyDescent="0.3">
      <c r="A1132" t="s">
        <v>344</v>
      </c>
      <c r="B1132" t="s">
        <v>58</v>
      </c>
      <c r="C1132">
        <v>29</v>
      </c>
      <c r="D1132">
        <v>8</v>
      </c>
      <c r="E1132" s="1">
        <f t="shared" si="17"/>
        <v>0.27586206896551724</v>
      </c>
      <c r="F1132">
        <v>97.8</v>
      </c>
      <c r="G1132">
        <v>106.6</v>
      </c>
      <c r="H1132">
        <v>0.27050000000000002</v>
      </c>
      <c r="I1132">
        <v>45.7</v>
      </c>
      <c r="J1132">
        <v>51.1</v>
      </c>
      <c r="K1132">
        <v>16.7</v>
      </c>
      <c r="L1132">
        <v>17.8</v>
      </c>
      <c r="M1132">
        <v>29.4</v>
      </c>
      <c r="N1132">
        <v>31.5</v>
      </c>
      <c r="O1132">
        <v>37.200000000000003</v>
      </c>
      <c r="P1132">
        <v>35.799999999999997</v>
      </c>
      <c r="Q1132">
        <v>44.8</v>
      </c>
      <c r="R1132">
        <v>49.5</v>
      </c>
      <c r="S1132">
        <v>31.5</v>
      </c>
      <c r="T1132">
        <v>36</v>
      </c>
      <c r="U1132">
        <v>69.400000000000006</v>
      </c>
      <c r="V1132">
        <v>-15.3</v>
      </c>
      <c r="W1132" cm="1">
        <f t="array" ref="W1132">_xlfn.IFS(OR(X1132="N/A",X1132="NA"),0,OR(X1132="R64",X1132="R68"),1,X1132="R32",2,X1132="S16",3,X1132="E8",4,X1132="F4",5,X1132="2ND",6,X1132="Champions",7)</f>
        <v>0</v>
      </c>
      <c r="X1132" t="s">
        <v>90</v>
      </c>
      <c r="Y1132" t="s">
        <v>90</v>
      </c>
      <c r="Z1132">
        <v>2016</v>
      </c>
    </row>
    <row r="1133" spans="1:26" x14ac:dyDescent="0.3">
      <c r="A1133" t="s">
        <v>345</v>
      </c>
      <c r="B1133" t="s">
        <v>58</v>
      </c>
      <c r="C1133">
        <v>34</v>
      </c>
      <c r="D1133">
        <v>23</v>
      </c>
      <c r="E1133" s="1">
        <f t="shared" si="17"/>
        <v>0.67647058823529416</v>
      </c>
      <c r="F1133">
        <v>106.1</v>
      </c>
      <c r="G1133">
        <v>98.7</v>
      </c>
      <c r="H1133">
        <v>0.69620000000000004</v>
      </c>
      <c r="I1133">
        <v>49.2</v>
      </c>
      <c r="J1133">
        <v>47</v>
      </c>
      <c r="K1133">
        <v>18.7</v>
      </c>
      <c r="L1133">
        <v>20.100000000000001</v>
      </c>
      <c r="M1133">
        <v>36.299999999999997</v>
      </c>
      <c r="N1133">
        <v>26.2</v>
      </c>
      <c r="O1133">
        <v>34.4</v>
      </c>
      <c r="P1133">
        <v>43.3</v>
      </c>
      <c r="Q1133">
        <v>49.5</v>
      </c>
      <c r="R1133">
        <v>44.4</v>
      </c>
      <c r="S1133">
        <v>32.5</v>
      </c>
      <c r="T1133">
        <v>33.700000000000003</v>
      </c>
      <c r="U1133">
        <v>73.2</v>
      </c>
      <c r="V1133">
        <v>-3.9</v>
      </c>
      <c r="W1133" cm="1">
        <f t="array" ref="W1133">_xlfn.IFS(OR(X1133="N/A",X1133="NA"),0,OR(X1133="R64",X1133="R68"),1,X1133="R32",2,X1133="S16",3,X1133="E8",4,X1133="F4",5,X1133="2ND",6,X1133="Champions",7)</f>
        <v>0</v>
      </c>
      <c r="X1133" t="s">
        <v>90</v>
      </c>
      <c r="Y1133" t="s">
        <v>90</v>
      </c>
      <c r="Z1133">
        <v>2016</v>
      </c>
    </row>
    <row r="1134" spans="1:26" x14ac:dyDescent="0.3">
      <c r="A1134" t="s">
        <v>336</v>
      </c>
      <c r="B1134" t="s">
        <v>58</v>
      </c>
      <c r="C1134">
        <v>28</v>
      </c>
      <c r="D1134">
        <v>9</v>
      </c>
      <c r="E1134" s="1">
        <f t="shared" si="17"/>
        <v>0.32142857142857145</v>
      </c>
      <c r="F1134">
        <v>99.3</v>
      </c>
      <c r="G1134">
        <v>107.5</v>
      </c>
      <c r="H1134">
        <v>0.28589999999999999</v>
      </c>
      <c r="I1134">
        <v>47.4</v>
      </c>
      <c r="J1134">
        <v>52.8</v>
      </c>
      <c r="K1134">
        <v>19.399999999999999</v>
      </c>
      <c r="L1134">
        <v>16.899999999999999</v>
      </c>
      <c r="M1134">
        <v>28.9</v>
      </c>
      <c r="N1134">
        <v>27.2</v>
      </c>
      <c r="O1134">
        <v>37.1</v>
      </c>
      <c r="P1134">
        <v>44.8</v>
      </c>
      <c r="Q1134">
        <v>46.3</v>
      </c>
      <c r="R1134">
        <v>50.5</v>
      </c>
      <c r="S1134">
        <v>32.700000000000003</v>
      </c>
      <c r="T1134">
        <v>39</v>
      </c>
      <c r="U1134">
        <v>71.7</v>
      </c>
      <c r="V1134">
        <v>-14.8</v>
      </c>
      <c r="W1134" cm="1">
        <f t="array" ref="W1134">_xlfn.IFS(OR(X1134="N/A",X1134="NA"),0,OR(X1134="R64",X1134="R68"),1,X1134="R32",2,X1134="S16",3,X1134="E8",4,X1134="F4",5,X1134="2ND",6,X1134="Champions",7)</f>
        <v>0</v>
      </c>
      <c r="X1134" t="s">
        <v>90</v>
      </c>
      <c r="Y1134" t="s">
        <v>90</v>
      </c>
      <c r="Z1134">
        <v>2017</v>
      </c>
    </row>
    <row r="1135" spans="1:26" x14ac:dyDescent="0.3">
      <c r="A1135" t="s">
        <v>338</v>
      </c>
      <c r="B1135" t="s">
        <v>58</v>
      </c>
      <c r="C1135">
        <v>31</v>
      </c>
      <c r="D1135">
        <v>20</v>
      </c>
      <c r="E1135" s="1">
        <f t="shared" si="17"/>
        <v>0.64516129032258063</v>
      </c>
      <c r="F1135">
        <v>104.9</v>
      </c>
      <c r="G1135">
        <v>102.4</v>
      </c>
      <c r="H1135">
        <v>0.56730000000000003</v>
      </c>
      <c r="I1135">
        <v>51.9</v>
      </c>
      <c r="J1135">
        <v>49.2</v>
      </c>
      <c r="K1135">
        <v>18.600000000000001</v>
      </c>
      <c r="L1135">
        <v>18.8</v>
      </c>
      <c r="M1135">
        <v>31</v>
      </c>
      <c r="N1135">
        <v>27.5</v>
      </c>
      <c r="O1135">
        <v>41.5</v>
      </c>
      <c r="P1135">
        <v>41.8</v>
      </c>
      <c r="Q1135">
        <v>49.7</v>
      </c>
      <c r="R1135">
        <v>49.8</v>
      </c>
      <c r="S1135">
        <v>37.700000000000003</v>
      </c>
      <c r="T1135">
        <v>32</v>
      </c>
      <c r="U1135">
        <v>68.7</v>
      </c>
      <c r="V1135">
        <v>-5.7</v>
      </c>
      <c r="W1135" cm="1">
        <f t="array" ref="W1135">_xlfn.IFS(OR(X1135="N/A",X1135="NA"),0,OR(X1135="R64",X1135="R68"),1,X1135="R32",2,X1135="S16",3,X1135="E8",4,X1135="F4",5,X1135="2ND",6,X1135="Champions",7)</f>
        <v>0</v>
      </c>
      <c r="X1135" t="s">
        <v>90</v>
      </c>
      <c r="Y1135" t="s">
        <v>90</v>
      </c>
      <c r="Z1135">
        <v>2017</v>
      </c>
    </row>
    <row r="1136" spans="1:26" x14ac:dyDescent="0.3">
      <c r="A1136" t="s">
        <v>186</v>
      </c>
      <c r="B1136" t="s">
        <v>58</v>
      </c>
      <c r="C1136">
        <v>37</v>
      </c>
      <c r="D1136">
        <v>20</v>
      </c>
      <c r="E1136" s="1">
        <f t="shared" si="17"/>
        <v>0.54054054054054057</v>
      </c>
      <c r="F1136">
        <v>100.4</v>
      </c>
      <c r="G1136">
        <v>104.9</v>
      </c>
      <c r="H1136">
        <v>0.37490000000000001</v>
      </c>
      <c r="I1136">
        <v>48.5</v>
      </c>
      <c r="J1136">
        <v>50.3</v>
      </c>
      <c r="K1136">
        <v>18.100000000000001</v>
      </c>
      <c r="L1136">
        <v>16.600000000000001</v>
      </c>
      <c r="M1136">
        <v>30.5</v>
      </c>
      <c r="N1136">
        <v>26.9</v>
      </c>
      <c r="O1136">
        <v>29.2</v>
      </c>
      <c r="P1136">
        <v>32.6</v>
      </c>
      <c r="Q1136">
        <v>48</v>
      </c>
      <c r="R1136">
        <v>49.7</v>
      </c>
      <c r="S1136">
        <v>32.700000000000003</v>
      </c>
      <c r="T1136">
        <v>33.9</v>
      </c>
      <c r="U1136">
        <v>69.900000000000006</v>
      </c>
      <c r="V1136">
        <v>-10.3</v>
      </c>
      <c r="W1136" cm="1">
        <f t="array" ref="W1136">_xlfn.IFS(OR(X1136="N/A",X1136="NA"),0,OR(X1136="R64",X1136="R68"),1,X1136="R32",2,X1136="S16",3,X1136="E8",4,X1136="F4",5,X1136="2ND",6,X1136="Champions",7)</f>
        <v>0</v>
      </c>
      <c r="X1136" t="s">
        <v>90</v>
      </c>
      <c r="Y1136" t="s">
        <v>90</v>
      </c>
      <c r="Z1136">
        <v>2017</v>
      </c>
    </row>
    <row r="1137" spans="1:26" x14ac:dyDescent="0.3">
      <c r="A1137" t="s">
        <v>339</v>
      </c>
      <c r="B1137" t="s">
        <v>58</v>
      </c>
      <c r="C1137">
        <v>31</v>
      </c>
      <c r="D1137">
        <v>18</v>
      </c>
      <c r="E1137" s="1">
        <f t="shared" si="17"/>
        <v>0.58064516129032262</v>
      </c>
      <c r="F1137">
        <v>104.4</v>
      </c>
      <c r="G1137">
        <v>106.5</v>
      </c>
      <c r="H1137">
        <v>0.44240000000000002</v>
      </c>
      <c r="I1137">
        <v>51.5</v>
      </c>
      <c r="J1137">
        <v>51.3</v>
      </c>
      <c r="K1137">
        <v>17</v>
      </c>
      <c r="L1137">
        <v>18.7</v>
      </c>
      <c r="M1137">
        <v>25.2</v>
      </c>
      <c r="N1137">
        <v>33</v>
      </c>
      <c r="O1137">
        <v>39.9</v>
      </c>
      <c r="P1137">
        <v>34.700000000000003</v>
      </c>
      <c r="Q1137">
        <v>49.2</v>
      </c>
      <c r="R1137">
        <v>51.4</v>
      </c>
      <c r="S1137">
        <v>36.299999999999997</v>
      </c>
      <c r="T1137">
        <v>34.1</v>
      </c>
      <c r="U1137">
        <v>69.7</v>
      </c>
      <c r="V1137">
        <v>-8</v>
      </c>
      <c r="W1137" cm="1">
        <f t="array" ref="W1137">_xlfn.IFS(OR(X1137="N/A",X1137="NA"),0,OR(X1137="R64",X1137="R68"),1,X1137="R32",2,X1137="S16",3,X1137="E8",4,X1137="F4",5,X1137="2ND",6,X1137="Champions",7)</f>
        <v>0</v>
      </c>
      <c r="X1137" t="s">
        <v>90</v>
      </c>
      <c r="Y1137" t="s">
        <v>90</v>
      </c>
      <c r="Z1137">
        <v>2017</v>
      </c>
    </row>
    <row r="1138" spans="1:26" x14ac:dyDescent="0.3">
      <c r="A1138" t="s">
        <v>346</v>
      </c>
      <c r="B1138" t="s">
        <v>58</v>
      </c>
      <c r="C1138">
        <v>31</v>
      </c>
      <c r="D1138">
        <v>20</v>
      </c>
      <c r="E1138" s="1">
        <f t="shared" si="17"/>
        <v>0.64516129032258063</v>
      </c>
      <c r="F1138">
        <v>103</v>
      </c>
      <c r="G1138">
        <v>99.8</v>
      </c>
      <c r="H1138">
        <v>0.58830000000000005</v>
      </c>
      <c r="I1138">
        <v>53</v>
      </c>
      <c r="J1138">
        <v>49</v>
      </c>
      <c r="K1138">
        <v>20</v>
      </c>
      <c r="L1138">
        <v>19.8</v>
      </c>
      <c r="M1138">
        <v>29.9</v>
      </c>
      <c r="N1138">
        <v>29.1</v>
      </c>
      <c r="O1138">
        <v>33.9</v>
      </c>
      <c r="P1138">
        <v>40</v>
      </c>
      <c r="Q1138">
        <v>53.3</v>
      </c>
      <c r="R1138">
        <v>49.4</v>
      </c>
      <c r="S1138">
        <v>35</v>
      </c>
      <c r="T1138">
        <v>32.4</v>
      </c>
      <c r="U1138">
        <v>69.599999999999994</v>
      </c>
      <c r="V1138">
        <v>-5.9</v>
      </c>
      <c r="W1138" cm="1">
        <f t="array" ref="W1138">_xlfn.IFS(OR(X1138="N/A",X1138="NA"),0,OR(X1138="R64",X1138="R68"),1,X1138="R32",2,X1138="S16",3,X1138="E8",4,X1138="F4",5,X1138="2ND",6,X1138="Champions",7)</f>
        <v>0</v>
      </c>
      <c r="X1138" t="s">
        <v>90</v>
      </c>
      <c r="Y1138" t="s">
        <v>90</v>
      </c>
      <c r="Z1138">
        <v>2017</v>
      </c>
    </row>
    <row r="1139" spans="1:26" x14ac:dyDescent="0.3">
      <c r="A1139" t="s">
        <v>347</v>
      </c>
      <c r="B1139" t="s">
        <v>58</v>
      </c>
      <c r="C1139">
        <v>30</v>
      </c>
      <c r="D1139">
        <v>15</v>
      </c>
      <c r="E1139" s="1">
        <f t="shared" si="17"/>
        <v>0.5</v>
      </c>
      <c r="F1139">
        <v>97.1</v>
      </c>
      <c r="G1139">
        <v>104</v>
      </c>
      <c r="H1139">
        <v>0.31280000000000002</v>
      </c>
      <c r="I1139">
        <v>49.1</v>
      </c>
      <c r="J1139">
        <v>51.8</v>
      </c>
      <c r="K1139">
        <v>19.5</v>
      </c>
      <c r="L1139">
        <v>19.899999999999999</v>
      </c>
      <c r="M1139">
        <v>28.4</v>
      </c>
      <c r="N1139">
        <v>27.6</v>
      </c>
      <c r="O1139">
        <v>32.299999999999997</v>
      </c>
      <c r="P1139">
        <v>40.299999999999997</v>
      </c>
      <c r="Q1139">
        <v>48.2</v>
      </c>
      <c r="R1139">
        <v>50.2</v>
      </c>
      <c r="S1139">
        <v>33.799999999999997</v>
      </c>
      <c r="T1139">
        <v>36.200000000000003</v>
      </c>
      <c r="U1139">
        <v>64.7</v>
      </c>
      <c r="V1139">
        <v>-12</v>
      </c>
      <c r="W1139" cm="1">
        <f t="array" ref="W1139">_xlfn.IFS(OR(X1139="N/A",X1139="NA"),0,OR(X1139="R64",X1139="R68"),1,X1139="R32",2,X1139="S16",3,X1139="E8",4,X1139="F4",5,X1139="2ND",6,X1139="Champions",7)</f>
        <v>0</v>
      </c>
      <c r="X1139" t="s">
        <v>90</v>
      </c>
      <c r="Y1139" t="s">
        <v>90</v>
      </c>
      <c r="Z1139">
        <v>2017</v>
      </c>
    </row>
    <row r="1140" spans="1:26" x14ac:dyDescent="0.3">
      <c r="A1140" t="s">
        <v>340</v>
      </c>
      <c r="B1140" t="s">
        <v>58</v>
      </c>
      <c r="C1140">
        <v>31</v>
      </c>
      <c r="D1140">
        <v>21</v>
      </c>
      <c r="E1140" s="1">
        <f t="shared" si="17"/>
        <v>0.67741935483870963</v>
      </c>
      <c r="F1140">
        <v>109.8</v>
      </c>
      <c r="G1140">
        <v>108.9</v>
      </c>
      <c r="H1140">
        <v>0.52249999999999996</v>
      </c>
      <c r="I1140">
        <v>51.5</v>
      </c>
      <c r="J1140">
        <v>54.4</v>
      </c>
      <c r="K1140">
        <v>17.899999999999999</v>
      </c>
      <c r="L1140">
        <v>20.100000000000001</v>
      </c>
      <c r="M1140">
        <v>36.299999999999997</v>
      </c>
      <c r="N1140">
        <v>27.8</v>
      </c>
      <c r="O1140">
        <v>42.2</v>
      </c>
      <c r="P1140">
        <v>37.299999999999997</v>
      </c>
      <c r="Q1140">
        <v>51.5</v>
      </c>
      <c r="R1140">
        <v>53.8</v>
      </c>
      <c r="S1140">
        <v>34.200000000000003</v>
      </c>
      <c r="T1140">
        <v>37.1</v>
      </c>
      <c r="U1140">
        <v>73.599999999999994</v>
      </c>
      <c r="V1140">
        <v>-6.4</v>
      </c>
      <c r="W1140" cm="1">
        <f t="array" ref="W1140">_xlfn.IFS(OR(X1140="N/A",X1140="NA"),0,OR(X1140="R64",X1140="R68"),1,X1140="R32",2,X1140="S16",3,X1140="E8",4,X1140="F4",5,X1140="2ND",6,X1140="Champions",7)</f>
        <v>0</v>
      </c>
      <c r="X1140" t="s">
        <v>90</v>
      </c>
      <c r="Y1140" t="s">
        <v>90</v>
      </c>
      <c r="Z1140">
        <v>2017</v>
      </c>
    </row>
    <row r="1141" spans="1:26" x14ac:dyDescent="0.3">
      <c r="A1141" t="s">
        <v>341</v>
      </c>
      <c r="B1141" t="s">
        <v>58</v>
      </c>
      <c r="C1141">
        <v>31</v>
      </c>
      <c r="D1141">
        <v>9</v>
      </c>
      <c r="E1141" s="1">
        <f t="shared" si="17"/>
        <v>0.29032258064516131</v>
      </c>
      <c r="F1141">
        <v>97.9</v>
      </c>
      <c r="G1141">
        <v>105.7</v>
      </c>
      <c r="H1141">
        <v>0.29339999999999999</v>
      </c>
      <c r="I1141">
        <v>47.7</v>
      </c>
      <c r="J1141">
        <v>50.5</v>
      </c>
      <c r="K1141">
        <v>19.399999999999999</v>
      </c>
      <c r="L1141">
        <v>16.5</v>
      </c>
      <c r="M1141">
        <v>29.5</v>
      </c>
      <c r="N1141">
        <v>29.4</v>
      </c>
      <c r="O1141">
        <v>26</v>
      </c>
      <c r="P1141">
        <v>34</v>
      </c>
      <c r="Q1141">
        <v>47</v>
      </c>
      <c r="R1141">
        <v>49</v>
      </c>
      <c r="S1141">
        <v>32.5</v>
      </c>
      <c r="T1141">
        <v>35.5</v>
      </c>
      <c r="U1141">
        <v>66.400000000000006</v>
      </c>
      <c r="V1141">
        <v>-17.899999999999999</v>
      </c>
      <c r="W1141" cm="1">
        <f t="array" ref="W1141">_xlfn.IFS(OR(X1141="N/A",X1141="NA"),0,OR(X1141="R64",X1141="R68"),1,X1141="R32",2,X1141="S16",3,X1141="E8",4,X1141="F4",5,X1141="2ND",6,X1141="Champions",7)</f>
        <v>0</v>
      </c>
      <c r="X1141" t="s">
        <v>90</v>
      </c>
      <c r="Y1141" t="s">
        <v>90</v>
      </c>
      <c r="Z1141">
        <v>2017</v>
      </c>
    </row>
    <row r="1142" spans="1:26" x14ac:dyDescent="0.3">
      <c r="A1142" t="s">
        <v>342</v>
      </c>
      <c r="B1142" t="s">
        <v>58</v>
      </c>
      <c r="C1142">
        <v>30</v>
      </c>
      <c r="D1142">
        <v>14</v>
      </c>
      <c r="E1142" s="1">
        <f t="shared" si="17"/>
        <v>0.46666666666666667</v>
      </c>
      <c r="F1142">
        <v>98</v>
      </c>
      <c r="G1142">
        <v>105.3</v>
      </c>
      <c r="H1142">
        <v>0.30570000000000003</v>
      </c>
      <c r="I1142">
        <v>48.4</v>
      </c>
      <c r="J1142">
        <v>52.2</v>
      </c>
      <c r="K1142">
        <v>18.399999999999999</v>
      </c>
      <c r="L1142">
        <v>22.4</v>
      </c>
      <c r="M1142">
        <v>27.2</v>
      </c>
      <c r="N1142">
        <v>31.7</v>
      </c>
      <c r="O1142">
        <v>38.299999999999997</v>
      </c>
      <c r="P1142">
        <v>40.4</v>
      </c>
      <c r="Q1142">
        <v>49</v>
      </c>
      <c r="R1142">
        <v>51</v>
      </c>
      <c r="S1142">
        <v>31.7</v>
      </c>
      <c r="T1142">
        <v>36.200000000000003</v>
      </c>
      <c r="U1142">
        <v>71</v>
      </c>
      <c r="V1142">
        <v>-12.9</v>
      </c>
      <c r="W1142" cm="1">
        <f t="array" ref="W1142">_xlfn.IFS(OR(X1142="N/A",X1142="NA"),0,OR(X1142="R64",X1142="R68"),1,X1142="R32",2,X1142="S16",3,X1142="E8",4,X1142="F4",5,X1142="2ND",6,X1142="Champions",7)</f>
        <v>0</v>
      </c>
      <c r="X1142" t="s">
        <v>90</v>
      </c>
      <c r="Y1142" t="s">
        <v>90</v>
      </c>
      <c r="Z1142">
        <v>2017</v>
      </c>
    </row>
    <row r="1143" spans="1:26" x14ac:dyDescent="0.3">
      <c r="A1143" t="s">
        <v>343</v>
      </c>
      <c r="B1143" t="s">
        <v>58</v>
      </c>
      <c r="C1143">
        <v>34</v>
      </c>
      <c r="D1143">
        <v>22</v>
      </c>
      <c r="E1143" s="1">
        <f t="shared" si="17"/>
        <v>0.6470588235294118</v>
      </c>
      <c r="F1143">
        <v>101.3</v>
      </c>
      <c r="G1143">
        <v>100.2</v>
      </c>
      <c r="H1143">
        <v>0.53120000000000001</v>
      </c>
      <c r="I1143">
        <v>50.5</v>
      </c>
      <c r="J1143">
        <v>47.7</v>
      </c>
      <c r="K1143">
        <v>18.2</v>
      </c>
      <c r="L1143">
        <v>19.899999999999999</v>
      </c>
      <c r="M1143">
        <v>28.2</v>
      </c>
      <c r="N1143">
        <v>29.6</v>
      </c>
      <c r="O1143">
        <v>36.799999999999997</v>
      </c>
      <c r="P1143">
        <v>36.1</v>
      </c>
      <c r="Q1143">
        <v>50.1</v>
      </c>
      <c r="R1143">
        <v>47.4</v>
      </c>
      <c r="S1143">
        <v>34.1</v>
      </c>
      <c r="T1143">
        <v>32.1</v>
      </c>
      <c r="U1143">
        <v>63.5</v>
      </c>
      <c r="V1143">
        <v>-8.3000000000000007</v>
      </c>
      <c r="W1143" cm="1">
        <f t="array" ref="W1143">_xlfn.IFS(OR(X1143="N/A",X1143="NA"),0,OR(X1143="R64",X1143="R68"),1,X1143="R32",2,X1143="S16",3,X1143="E8",4,X1143="F4",5,X1143="2ND",6,X1143="Champions",7)</f>
        <v>0</v>
      </c>
      <c r="X1143" t="s">
        <v>90</v>
      </c>
      <c r="Y1143" t="s">
        <v>90</v>
      </c>
      <c r="Z1143">
        <v>2017</v>
      </c>
    </row>
    <row r="1144" spans="1:26" x14ac:dyDescent="0.3">
      <c r="A1144" t="s">
        <v>345</v>
      </c>
      <c r="B1144" t="s">
        <v>58</v>
      </c>
      <c r="C1144">
        <v>34</v>
      </c>
      <c r="D1144">
        <v>27</v>
      </c>
      <c r="E1144" s="1">
        <f t="shared" si="17"/>
        <v>0.79411764705882348</v>
      </c>
      <c r="F1144">
        <v>108.9</v>
      </c>
      <c r="G1144">
        <v>100.4</v>
      </c>
      <c r="H1144">
        <v>0.71909999999999996</v>
      </c>
      <c r="I1144">
        <v>52.5</v>
      </c>
      <c r="J1144">
        <v>48.9</v>
      </c>
      <c r="K1144">
        <v>18.7</v>
      </c>
      <c r="L1144">
        <v>20.100000000000001</v>
      </c>
      <c r="M1144">
        <v>32.6</v>
      </c>
      <c r="N1144">
        <v>29.8</v>
      </c>
      <c r="O1144">
        <v>34.6</v>
      </c>
      <c r="P1144">
        <v>36.6</v>
      </c>
      <c r="Q1144">
        <v>54.7</v>
      </c>
      <c r="R1144">
        <v>49.4</v>
      </c>
      <c r="S1144">
        <v>33</v>
      </c>
      <c r="T1144">
        <v>32.200000000000003</v>
      </c>
      <c r="U1144">
        <v>71.8</v>
      </c>
      <c r="V1144">
        <v>-1.1000000000000001</v>
      </c>
      <c r="W1144" cm="1">
        <f t="array" ref="W1144">_xlfn.IFS(OR(X1144="N/A",X1144="NA"),0,OR(X1144="R64",X1144="R68"),1,X1144="R32",2,X1144="S16",3,X1144="E8",4,X1144="F4",5,X1144="2ND",6,X1144="Champions",7)</f>
        <v>0</v>
      </c>
      <c r="X1144" t="s">
        <v>90</v>
      </c>
      <c r="Y1144" t="s">
        <v>90</v>
      </c>
      <c r="Z1144">
        <v>2017</v>
      </c>
    </row>
    <row r="1145" spans="1:26" x14ac:dyDescent="0.3">
      <c r="A1145" t="s">
        <v>336</v>
      </c>
      <c r="B1145" t="s">
        <v>58</v>
      </c>
      <c r="C1145">
        <v>31</v>
      </c>
      <c r="D1145">
        <v>15</v>
      </c>
      <c r="E1145" s="1">
        <f t="shared" si="17"/>
        <v>0.4838709677419355</v>
      </c>
      <c r="F1145">
        <v>102.5</v>
      </c>
      <c r="G1145">
        <v>106.3</v>
      </c>
      <c r="H1145">
        <v>0.39850000000000002</v>
      </c>
      <c r="I1145">
        <v>49.9</v>
      </c>
      <c r="J1145">
        <v>51.3</v>
      </c>
      <c r="K1145">
        <v>18.899999999999999</v>
      </c>
      <c r="L1145">
        <v>17.2</v>
      </c>
      <c r="M1145">
        <v>29.5</v>
      </c>
      <c r="N1145">
        <v>25.6</v>
      </c>
      <c r="O1145">
        <v>36.799999999999997</v>
      </c>
      <c r="P1145">
        <v>36.6</v>
      </c>
      <c r="Q1145">
        <v>49.9</v>
      </c>
      <c r="R1145">
        <v>48.7</v>
      </c>
      <c r="S1145">
        <v>33.299999999999997</v>
      </c>
      <c r="T1145">
        <v>37.9</v>
      </c>
      <c r="U1145">
        <v>71.2</v>
      </c>
      <c r="V1145">
        <v>-12.4</v>
      </c>
      <c r="W1145" cm="1">
        <f t="array" ref="W1145">_xlfn.IFS(OR(X1145="N/A",X1145="NA"),0,OR(X1145="R64",X1145="R68"),1,X1145="R32",2,X1145="S16",3,X1145="E8",4,X1145="F4",5,X1145="2ND",6,X1145="Champions",7)</f>
        <v>0</v>
      </c>
      <c r="X1145" t="s">
        <v>90</v>
      </c>
      <c r="Y1145" t="s">
        <v>90</v>
      </c>
      <c r="Z1145">
        <v>2018</v>
      </c>
    </row>
    <row r="1146" spans="1:26" x14ac:dyDescent="0.3">
      <c r="A1146" t="s">
        <v>338</v>
      </c>
      <c r="B1146" t="s">
        <v>58</v>
      </c>
      <c r="C1146">
        <v>30</v>
      </c>
      <c r="D1146">
        <v>11</v>
      </c>
      <c r="E1146" s="1">
        <f t="shared" si="17"/>
        <v>0.36666666666666664</v>
      </c>
      <c r="F1146">
        <v>104.1</v>
      </c>
      <c r="G1146">
        <v>113.7</v>
      </c>
      <c r="H1146">
        <v>0.2646</v>
      </c>
      <c r="I1146">
        <v>49.4</v>
      </c>
      <c r="J1146">
        <v>56</v>
      </c>
      <c r="K1146">
        <v>18.600000000000001</v>
      </c>
      <c r="L1146">
        <v>18.8</v>
      </c>
      <c r="M1146">
        <v>30.2</v>
      </c>
      <c r="N1146">
        <v>31.3</v>
      </c>
      <c r="O1146">
        <v>33.1</v>
      </c>
      <c r="P1146">
        <v>35.299999999999997</v>
      </c>
      <c r="Q1146">
        <v>49.2</v>
      </c>
      <c r="R1146">
        <v>55.3</v>
      </c>
      <c r="S1146">
        <v>33.200000000000003</v>
      </c>
      <c r="T1146">
        <v>38.200000000000003</v>
      </c>
      <c r="U1146">
        <v>70.8</v>
      </c>
      <c r="V1146">
        <v>-15.2</v>
      </c>
      <c r="W1146" cm="1">
        <f t="array" ref="W1146">_xlfn.IFS(OR(X1146="N/A",X1146="NA"),0,OR(X1146="R64",X1146="R68"),1,X1146="R32",2,X1146="S16",3,X1146="E8",4,X1146="F4",5,X1146="2ND",6,X1146="Champions",7)</f>
        <v>0</v>
      </c>
      <c r="X1146" t="s">
        <v>90</v>
      </c>
      <c r="Y1146" t="s">
        <v>90</v>
      </c>
      <c r="Z1146">
        <v>2018</v>
      </c>
    </row>
    <row r="1147" spans="1:26" x14ac:dyDescent="0.3">
      <c r="A1147" t="s">
        <v>186</v>
      </c>
      <c r="B1147" t="s">
        <v>58</v>
      </c>
      <c r="C1147">
        <v>29</v>
      </c>
      <c r="D1147">
        <v>14</v>
      </c>
      <c r="E1147" s="1">
        <f t="shared" si="17"/>
        <v>0.48275862068965519</v>
      </c>
      <c r="F1147">
        <v>101</v>
      </c>
      <c r="G1147">
        <v>105.2</v>
      </c>
      <c r="H1147">
        <v>0.38490000000000002</v>
      </c>
      <c r="I1147">
        <v>49</v>
      </c>
      <c r="J1147">
        <v>49.6</v>
      </c>
      <c r="K1147">
        <v>22</v>
      </c>
      <c r="L1147">
        <v>18</v>
      </c>
      <c r="M1147">
        <v>34.200000000000003</v>
      </c>
      <c r="N1147">
        <v>28.4</v>
      </c>
      <c r="O1147">
        <v>38.799999999999997</v>
      </c>
      <c r="P1147">
        <v>40.200000000000003</v>
      </c>
      <c r="Q1147">
        <v>48.4</v>
      </c>
      <c r="R1147">
        <v>47.4</v>
      </c>
      <c r="S1147">
        <v>33.299999999999997</v>
      </c>
      <c r="T1147">
        <v>34.9</v>
      </c>
      <c r="U1147">
        <v>68.900000000000006</v>
      </c>
      <c r="V1147">
        <v>-13.1</v>
      </c>
      <c r="W1147" cm="1">
        <f t="array" ref="W1147">_xlfn.IFS(OR(X1147="N/A",X1147="NA"),0,OR(X1147="R64",X1147="R68"),1,X1147="R32",2,X1147="S16",3,X1147="E8",4,X1147="F4",5,X1147="2ND",6,X1147="Champions",7)</f>
        <v>0</v>
      </c>
      <c r="X1147" t="s">
        <v>90</v>
      </c>
      <c r="Y1147" t="s">
        <v>90</v>
      </c>
      <c r="Z1147">
        <v>2018</v>
      </c>
    </row>
    <row r="1148" spans="1:26" x14ac:dyDescent="0.3">
      <c r="A1148" t="s">
        <v>339</v>
      </c>
      <c r="B1148" t="s">
        <v>58</v>
      </c>
      <c r="C1148">
        <v>31</v>
      </c>
      <c r="D1148">
        <v>21</v>
      </c>
      <c r="E1148" s="1">
        <f t="shared" si="17"/>
        <v>0.67741935483870963</v>
      </c>
      <c r="F1148">
        <v>104.8</v>
      </c>
      <c r="G1148">
        <v>104</v>
      </c>
      <c r="H1148">
        <v>0.52249999999999996</v>
      </c>
      <c r="I1148">
        <v>49.2</v>
      </c>
      <c r="J1148">
        <v>49.7</v>
      </c>
      <c r="K1148">
        <v>16.100000000000001</v>
      </c>
      <c r="L1148">
        <v>20.3</v>
      </c>
      <c r="M1148">
        <v>30.3</v>
      </c>
      <c r="N1148">
        <v>31.9</v>
      </c>
      <c r="O1148">
        <v>38.200000000000003</v>
      </c>
      <c r="P1148">
        <v>35.200000000000003</v>
      </c>
      <c r="Q1148">
        <v>48.4</v>
      </c>
      <c r="R1148">
        <v>50.4</v>
      </c>
      <c r="S1148">
        <v>33.6</v>
      </c>
      <c r="T1148">
        <v>32.4</v>
      </c>
      <c r="U1148">
        <v>69.900000000000006</v>
      </c>
      <c r="V1148">
        <v>-6.5</v>
      </c>
      <c r="W1148" cm="1">
        <f t="array" ref="W1148">_xlfn.IFS(OR(X1148="N/A",X1148="NA"),0,OR(X1148="R64",X1148="R68"),1,X1148="R32",2,X1148="S16",3,X1148="E8",4,X1148="F4",5,X1148="2ND",6,X1148="Champions",7)</f>
        <v>0</v>
      </c>
      <c r="X1148" t="s">
        <v>90</v>
      </c>
      <c r="Y1148" t="s">
        <v>90</v>
      </c>
      <c r="Z1148">
        <v>2018</v>
      </c>
    </row>
    <row r="1149" spans="1:26" x14ac:dyDescent="0.3">
      <c r="A1149" t="s">
        <v>347</v>
      </c>
      <c r="B1149" t="s">
        <v>58</v>
      </c>
      <c r="C1149">
        <v>30</v>
      </c>
      <c r="D1149">
        <v>7</v>
      </c>
      <c r="E1149" s="1">
        <f t="shared" si="17"/>
        <v>0.23333333333333334</v>
      </c>
      <c r="F1149">
        <v>93.4</v>
      </c>
      <c r="G1149">
        <v>105</v>
      </c>
      <c r="H1149">
        <v>0.20630000000000001</v>
      </c>
      <c r="I1149">
        <v>47.4</v>
      </c>
      <c r="J1149">
        <v>50.8</v>
      </c>
      <c r="K1149">
        <v>21.7</v>
      </c>
      <c r="L1149">
        <v>19.899999999999999</v>
      </c>
      <c r="M1149">
        <v>28.3</v>
      </c>
      <c r="N1149">
        <v>31.2</v>
      </c>
      <c r="O1149">
        <v>32.1</v>
      </c>
      <c r="P1149">
        <v>40.5</v>
      </c>
      <c r="Q1149">
        <v>47.3</v>
      </c>
      <c r="R1149">
        <v>49.4</v>
      </c>
      <c r="S1149">
        <v>31.8</v>
      </c>
      <c r="T1149">
        <v>35.1</v>
      </c>
      <c r="U1149">
        <v>66.2</v>
      </c>
      <c r="V1149">
        <v>-18</v>
      </c>
      <c r="W1149" cm="1">
        <f t="array" ref="W1149">_xlfn.IFS(OR(X1149="N/A",X1149="NA"),0,OR(X1149="R64",X1149="R68"),1,X1149="R32",2,X1149="S16",3,X1149="E8",4,X1149="F4",5,X1149="2ND",6,X1149="Champions",7)</f>
        <v>0</v>
      </c>
      <c r="X1149" t="s">
        <v>90</v>
      </c>
      <c r="Y1149" t="s">
        <v>90</v>
      </c>
      <c r="Z1149">
        <v>2018</v>
      </c>
    </row>
    <row r="1150" spans="1:26" x14ac:dyDescent="0.3">
      <c r="A1150" t="s">
        <v>340</v>
      </c>
      <c r="B1150" t="s">
        <v>58</v>
      </c>
      <c r="C1150">
        <v>32</v>
      </c>
      <c r="D1150">
        <v>27</v>
      </c>
      <c r="E1150" s="1">
        <f t="shared" si="17"/>
        <v>0.84375</v>
      </c>
      <c r="F1150">
        <v>112.2</v>
      </c>
      <c r="G1150">
        <v>100.6</v>
      </c>
      <c r="H1150">
        <v>0.77739999999999998</v>
      </c>
      <c r="I1150">
        <v>52.7</v>
      </c>
      <c r="J1150">
        <v>49.1</v>
      </c>
      <c r="K1150">
        <v>18.3</v>
      </c>
      <c r="L1150">
        <v>19.600000000000001</v>
      </c>
      <c r="M1150">
        <v>35.9</v>
      </c>
      <c r="N1150">
        <v>27.9</v>
      </c>
      <c r="O1150">
        <v>38</v>
      </c>
      <c r="P1150">
        <v>36.1</v>
      </c>
      <c r="Q1150">
        <v>52.4</v>
      </c>
      <c r="R1150">
        <v>48.5</v>
      </c>
      <c r="S1150">
        <v>35.4</v>
      </c>
      <c r="T1150">
        <v>33.6</v>
      </c>
      <c r="U1150">
        <v>71.599999999999994</v>
      </c>
      <c r="V1150">
        <v>-0.5</v>
      </c>
      <c r="W1150" cm="1">
        <f t="array" ref="W1150">_xlfn.IFS(OR(X1150="N/A",X1150="NA"),0,OR(X1150="R64",X1150="R68"),1,X1150="R32",2,X1150="S16",3,X1150="E8",4,X1150="F4",5,X1150="2ND",6,X1150="Champions",7)</f>
        <v>0</v>
      </c>
      <c r="X1150" t="s">
        <v>90</v>
      </c>
      <c r="Y1150" t="s">
        <v>90</v>
      </c>
      <c r="Z1150">
        <v>2018</v>
      </c>
    </row>
    <row r="1151" spans="1:26" x14ac:dyDescent="0.3">
      <c r="A1151" t="s">
        <v>341</v>
      </c>
      <c r="B1151" t="s">
        <v>58</v>
      </c>
      <c r="C1151">
        <v>29</v>
      </c>
      <c r="D1151">
        <v>16</v>
      </c>
      <c r="E1151" s="1">
        <f t="shared" si="17"/>
        <v>0.55172413793103448</v>
      </c>
      <c r="F1151">
        <v>100.1</v>
      </c>
      <c r="G1151">
        <v>104.6</v>
      </c>
      <c r="H1151">
        <v>0.375</v>
      </c>
      <c r="I1151">
        <v>49.9</v>
      </c>
      <c r="J1151">
        <v>51.4</v>
      </c>
      <c r="K1151">
        <v>17.8</v>
      </c>
      <c r="L1151">
        <v>18.600000000000001</v>
      </c>
      <c r="M1151">
        <v>25.2</v>
      </c>
      <c r="N1151">
        <v>28.7</v>
      </c>
      <c r="O1151">
        <v>24.3</v>
      </c>
      <c r="P1151">
        <v>30.7</v>
      </c>
      <c r="Q1151">
        <v>47</v>
      </c>
      <c r="R1151">
        <v>50.2</v>
      </c>
      <c r="S1151">
        <v>35.6</v>
      </c>
      <c r="T1151">
        <v>35.299999999999997</v>
      </c>
      <c r="U1151">
        <v>67.099999999999994</v>
      </c>
      <c r="V1151">
        <v>-9.5</v>
      </c>
      <c r="W1151" cm="1">
        <f t="array" ref="W1151">_xlfn.IFS(OR(X1151="N/A",X1151="NA"),0,OR(X1151="R64",X1151="R68"),1,X1151="R32",2,X1151="S16",3,X1151="E8",4,X1151="F4",5,X1151="2ND",6,X1151="Champions",7)</f>
        <v>0</v>
      </c>
      <c r="X1151" t="s">
        <v>90</v>
      </c>
      <c r="Y1151" t="s">
        <v>90</v>
      </c>
      <c r="Z1151">
        <v>2018</v>
      </c>
    </row>
    <row r="1152" spans="1:26" x14ac:dyDescent="0.3">
      <c r="A1152" t="s">
        <v>342</v>
      </c>
      <c r="B1152" t="s">
        <v>58</v>
      </c>
      <c r="C1152">
        <v>30</v>
      </c>
      <c r="D1152">
        <v>14</v>
      </c>
      <c r="E1152" s="1">
        <f t="shared" si="17"/>
        <v>0.46666666666666667</v>
      </c>
      <c r="F1152">
        <v>96.8</v>
      </c>
      <c r="G1152">
        <v>101.2</v>
      </c>
      <c r="H1152">
        <v>0.37480000000000002</v>
      </c>
      <c r="I1152">
        <v>48.4</v>
      </c>
      <c r="J1152">
        <v>47.3</v>
      </c>
      <c r="K1152">
        <v>20.9</v>
      </c>
      <c r="L1152">
        <v>18.399999999999999</v>
      </c>
      <c r="M1152">
        <v>25.7</v>
      </c>
      <c r="N1152">
        <v>29.6</v>
      </c>
      <c r="O1152">
        <v>37.700000000000003</v>
      </c>
      <c r="P1152">
        <v>38</v>
      </c>
      <c r="Q1152">
        <v>48.3</v>
      </c>
      <c r="R1152">
        <v>47.9</v>
      </c>
      <c r="S1152">
        <v>32.299999999999997</v>
      </c>
      <c r="T1152">
        <v>30.9</v>
      </c>
      <c r="U1152">
        <v>71.400000000000006</v>
      </c>
      <c r="V1152">
        <v>-12.4</v>
      </c>
      <c r="W1152" cm="1">
        <f t="array" ref="W1152">_xlfn.IFS(OR(X1152="N/A",X1152="NA"),0,OR(X1152="R64",X1152="R68"),1,X1152="R32",2,X1152="S16",3,X1152="E8",4,X1152="F4",5,X1152="2ND",6,X1152="Champions",7)</f>
        <v>0</v>
      </c>
      <c r="X1152" t="s">
        <v>90</v>
      </c>
      <c r="Y1152" t="s">
        <v>90</v>
      </c>
      <c r="Z1152">
        <v>2018</v>
      </c>
    </row>
    <row r="1153" spans="1:26" x14ac:dyDescent="0.3">
      <c r="A1153" t="s">
        <v>343</v>
      </c>
      <c r="B1153" t="s">
        <v>58</v>
      </c>
      <c r="C1153">
        <v>31</v>
      </c>
      <c r="D1153">
        <v>15</v>
      </c>
      <c r="E1153" s="1">
        <f t="shared" si="17"/>
        <v>0.4838709677419355</v>
      </c>
      <c r="F1153">
        <v>99.7</v>
      </c>
      <c r="G1153">
        <v>104.2</v>
      </c>
      <c r="H1153">
        <v>0.3765</v>
      </c>
      <c r="I1153">
        <v>48.8</v>
      </c>
      <c r="J1153">
        <v>51.7</v>
      </c>
      <c r="K1153">
        <v>20.9</v>
      </c>
      <c r="L1153">
        <v>19.399999999999999</v>
      </c>
      <c r="M1153">
        <v>31.9</v>
      </c>
      <c r="N1153">
        <v>27.7</v>
      </c>
      <c r="O1153">
        <v>36.299999999999997</v>
      </c>
      <c r="P1153">
        <v>30</v>
      </c>
      <c r="Q1153">
        <v>48.4</v>
      </c>
      <c r="R1153">
        <v>53.1</v>
      </c>
      <c r="S1153">
        <v>33.1</v>
      </c>
      <c r="T1153">
        <v>33</v>
      </c>
      <c r="U1153">
        <v>64</v>
      </c>
      <c r="V1153">
        <v>-12.9</v>
      </c>
      <c r="W1153" cm="1">
        <f t="array" ref="W1153">_xlfn.IFS(OR(X1153="N/A",X1153="NA"),0,OR(X1153="R64",X1153="R68"),1,X1153="R32",2,X1153="S16",3,X1153="E8",4,X1153="F4",5,X1153="2ND",6,X1153="Champions",7)</f>
        <v>0</v>
      </c>
      <c r="X1153" t="s">
        <v>90</v>
      </c>
      <c r="Y1153" t="s">
        <v>90</v>
      </c>
      <c r="Z1153">
        <v>2018</v>
      </c>
    </row>
    <row r="1154" spans="1:26" x14ac:dyDescent="0.3">
      <c r="A1154" t="s">
        <v>344</v>
      </c>
      <c r="B1154" t="s">
        <v>58</v>
      </c>
      <c r="C1154">
        <v>31</v>
      </c>
      <c r="D1154">
        <v>16</v>
      </c>
      <c r="E1154" s="1">
        <f t="shared" si="17"/>
        <v>0.5161290322580645</v>
      </c>
      <c r="F1154">
        <v>104.7</v>
      </c>
      <c r="G1154">
        <v>105.9</v>
      </c>
      <c r="H1154">
        <v>0.46760000000000002</v>
      </c>
      <c r="I1154">
        <v>51.4</v>
      </c>
      <c r="J1154">
        <v>50.2</v>
      </c>
      <c r="K1154">
        <v>18</v>
      </c>
      <c r="L1154">
        <v>16.600000000000001</v>
      </c>
      <c r="M1154">
        <v>26.9</v>
      </c>
      <c r="N1154">
        <v>28.9</v>
      </c>
      <c r="O1154">
        <v>33.6</v>
      </c>
      <c r="P1154">
        <v>31.6</v>
      </c>
      <c r="Q1154">
        <v>52.1</v>
      </c>
      <c r="R1154">
        <v>49.7</v>
      </c>
      <c r="S1154">
        <v>33.700000000000003</v>
      </c>
      <c r="T1154">
        <v>34</v>
      </c>
      <c r="U1154">
        <v>69.400000000000006</v>
      </c>
      <c r="V1154">
        <v>-10.5</v>
      </c>
      <c r="W1154" cm="1">
        <f t="array" ref="W1154">_xlfn.IFS(OR(X1154="N/A",X1154="NA"),0,OR(X1154="R64",X1154="R68"),1,X1154="R32",2,X1154="S16",3,X1154="E8",4,X1154="F4",5,X1154="2ND",6,X1154="Champions",7)</f>
        <v>0</v>
      </c>
      <c r="X1154" t="s">
        <v>90</v>
      </c>
      <c r="Y1154" t="s">
        <v>90</v>
      </c>
      <c r="Z1154">
        <v>2018</v>
      </c>
    </row>
    <row r="1155" spans="1:26" x14ac:dyDescent="0.3">
      <c r="A1155" t="s">
        <v>345</v>
      </c>
      <c r="B1155" t="s">
        <v>58</v>
      </c>
      <c r="C1155">
        <v>33</v>
      </c>
      <c r="D1155">
        <v>21</v>
      </c>
      <c r="E1155" s="1">
        <f t="shared" ref="E1155:E1218" si="18">D1155/C1155</f>
        <v>0.63636363636363635</v>
      </c>
      <c r="F1155">
        <v>104.7</v>
      </c>
      <c r="G1155">
        <v>101.5</v>
      </c>
      <c r="H1155">
        <v>0.58860000000000001</v>
      </c>
      <c r="I1155">
        <v>52.5</v>
      </c>
      <c r="J1155">
        <v>49.2</v>
      </c>
      <c r="K1155">
        <v>20.100000000000001</v>
      </c>
      <c r="L1155">
        <v>19.3</v>
      </c>
      <c r="M1155">
        <v>30.8</v>
      </c>
      <c r="N1155">
        <v>27.7</v>
      </c>
      <c r="O1155">
        <v>34.799999999999997</v>
      </c>
      <c r="P1155">
        <v>34.700000000000003</v>
      </c>
      <c r="Q1155">
        <v>51</v>
      </c>
      <c r="R1155">
        <v>47.9</v>
      </c>
      <c r="S1155">
        <v>36.5</v>
      </c>
      <c r="T1155">
        <v>33.9</v>
      </c>
      <c r="U1155">
        <v>73.900000000000006</v>
      </c>
      <c r="V1155">
        <v>-6.2</v>
      </c>
      <c r="W1155" cm="1">
        <f t="array" ref="W1155">_xlfn.IFS(OR(X1155="N/A",X1155="NA"),0,OR(X1155="R64",X1155="R68"),1,X1155="R32",2,X1155="S16",3,X1155="E8",4,X1155="F4",5,X1155="2ND",6,X1155="Champions",7)</f>
        <v>0</v>
      </c>
      <c r="X1155" t="s">
        <v>90</v>
      </c>
      <c r="Y1155" t="s">
        <v>90</v>
      </c>
      <c r="Z1155">
        <v>2018</v>
      </c>
    </row>
    <row r="1156" spans="1:26" x14ac:dyDescent="0.3">
      <c r="A1156" t="s">
        <v>336</v>
      </c>
      <c r="B1156" t="s">
        <v>58</v>
      </c>
      <c r="C1156">
        <v>29</v>
      </c>
      <c r="D1156">
        <v>11</v>
      </c>
      <c r="E1156" s="1">
        <f t="shared" si="18"/>
        <v>0.37931034482758619</v>
      </c>
      <c r="F1156">
        <v>105.5</v>
      </c>
      <c r="G1156">
        <v>108</v>
      </c>
      <c r="H1156">
        <v>0.43219999999999997</v>
      </c>
      <c r="I1156">
        <v>51.4</v>
      </c>
      <c r="J1156">
        <v>53.8</v>
      </c>
      <c r="K1156">
        <v>17.8</v>
      </c>
      <c r="L1156">
        <v>17.399999999999999</v>
      </c>
      <c r="M1156">
        <v>25.9</v>
      </c>
      <c r="N1156">
        <v>29.8</v>
      </c>
      <c r="O1156">
        <v>37</v>
      </c>
      <c r="P1156">
        <v>34.1</v>
      </c>
      <c r="Q1156">
        <v>51.3</v>
      </c>
      <c r="R1156">
        <v>52.8</v>
      </c>
      <c r="S1156">
        <v>34.4</v>
      </c>
      <c r="T1156">
        <v>37.299999999999997</v>
      </c>
      <c r="U1156">
        <v>72.8</v>
      </c>
      <c r="V1156">
        <v>-13.9</v>
      </c>
      <c r="W1156" cm="1">
        <f t="array" ref="W1156">_xlfn.IFS(OR(X1156="N/A",X1156="NA"),0,OR(X1156="R64",X1156="R68"),1,X1156="R32",2,X1156="S16",3,X1156="E8",4,X1156="F4",5,X1156="2ND",6,X1156="Champions",7)</f>
        <v>0</v>
      </c>
      <c r="X1156" t="s">
        <v>90</v>
      </c>
      <c r="Y1156" t="s">
        <v>90</v>
      </c>
      <c r="Z1156">
        <v>2019</v>
      </c>
    </row>
    <row r="1157" spans="1:26" x14ac:dyDescent="0.3">
      <c r="A1157" t="s">
        <v>338</v>
      </c>
      <c r="B1157" t="s">
        <v>58</v>
      </c>
      <c r="C1157">
        <v>30</v>
      </c>
      <c r="D1157">
        <v>13</v>
      </c>
      <c r="E1157" s="1">
        <f t="shared" si="18"/>
        <v>0.43333333333333335</v>
      </c>
      <c r="F1157">
        <v>102.4</v>
      </c>
      <c r="G1157">
        <v>108.8</v>
      </c>
      <c r="H1157">
        <v>0.33150000000000002</v>
      </c>
      <c r="I1157">
        <v>47.2</v>
      </c>
      <c r="J1157">
        <v>51.6</v>
      </c>
      <c r="K1157">
        <v>19.399999999999999</v>
      </c>
      <c r="L1157">
        <v>17.100000000000001</v>
      </c>
      <c r="M1157">
        <v>33.700000000000003</v>
      </c>
      <c r="N1157">
        <v>29.8</v>
      </c>
      <c r="O1157">
        <v>37.9</v>
      </c>
      <c r="P1157">
        <v>43.7</v>
      </c>
      <c r="Q1157">
        <v>46.5</v>
      </c>
      <c r="R1157">
        <v>50.2</v>
      </c>
      <c r="S1157">
        <v>32.299999999999997</v>
      </c>
      <c r="T1157">
        <v>36</v>
      </c>
      <c r="U1157">
        <v>69.599999999999994</v>
      </c>
      <c r="V1157">
        <v>-12.6</v>
      </c>
      <c r="W1157" cm="1">
        <f t="array" ref="W1157">_xlfn.IFS(OR(X1157="N/A",X1157="NA"),0,OR(X1157="R64",X1157="R68"),1,X1157="R32",2,X1157="S16",3,X1157="E8",4,X1157="F4",5,X1157="2ND",6,X1157="Champions",7)</f>
        <v>0</v>
      </c>
      <c r="X1157" t="s">
        <v>90</v>
      </c>
      <c r="Y1157" t="s">
        <v>90</v>
      </c>
      <c r="Z1157">
        <v>2019</v>
      </c>
    </row>
    <row r="1158" spans="1:26" x14ac:dyDescent="0.3">
      <c r="A1158" t="s">
        <v>186</v>
      </c>
      <c r="B1158" t="s">
        <v>58</v>
      </c>
      <c r="C1158">
        <v>32</v>
      </c>
      <c r="D1158">
        <v>17</v>
      </c>
      <c r="E1158" s="1">
        <f t="shared" si="18"/>
        <v>0.53125</v>
      </c>
      <c r="F1158">
        <v>106.4</v>
      </c>
      <c r="G1158">
        <v>104.2</v>
      </c>
      <c r="H1158">
        <v>0.55920000000000003</v>
      </c>
      <c r="I1158">
        <v>51.8</v>
      </c>
      <c r="J1158">
        <v>51</v>
      </c>
      <c r="K1158">
        <v>19.600000000000001</v>
      </c>
      <c r="L1158">
        <v>18</v>
      </c>
      <c r="M1158">
        <v>32.700000000000003</v>
      </c>
      <c r="N1158">
        <v>28.6</v>
      </c>
      <c r="O1158">
        <v>39.4</v>
      </c>
      <c r="P1158">
        <v>42.3</v>
      </c>
      <c r="Q1158">
        <v>49.4</v>
      </c>
      <c r="R1158">
        <v>53.1</v>
      </c>
      <c r="S1158">
        <v>37</v>
      </c>
      <c r="T1158">
        <v>32.299999999999997</v>
      </c>
      <c r="U1158">
        <v>70.900000000000006</v>
      </c>
      <c r="V1158">
        <v>-9.9</v>
      </c>
      <c r="W1158" cm="1">
        <f t="array" ref="W1158">_xlfn.IFS(OR(X1158="N/A",X1158="NA"),0,OR(X1158="R64",X1158="R68"),1,X1158="R32",2,X1158="S16",3,X1158="E8",4,X1158="F4",5,X1158="2ND",6,X1158="Champions",7)</f>
        <v>0</v>
      </c>
      <c r="X1158" t="s">
        <v>90</v>
      </c>
      <c r="Y1158" t="s">
        <v>90</v>
      </c>
      <c r="Z1158">
        <v>2019</v>
      </c>
    </row>
    <row r="1159" spans="1:26" x14ac:dyDescent="0.3">
      <c r="A1159" t="s">
        <v>339</v>
      </c>
      <c r="B1159" t="s">
        <v>58</v>
      </c>
      <c r="C1159">
        <v>31</v>
      </c>
      <c r="D1159">
        <v>21</v>
      </c>
      <c r="E1159" s="1">
        <f t="shared" si="18"/>
        <v>0.67741935483870963</v>
      </c>
      <c r="F1159">
        <v>107.3</v>
      </c>
      <c r="G1159">
        <v>100.3</v>
      </c>
      <c r="H1159">
        <v>0.68259999999999998</v>
      </c>
      <c r="I1159">
        <v>54.3</v>
      </c>
      <c r="J1159">
        <v>51.4</v>
      </c>
      <c r="K1159">
        <v>18.600000000000001</v>
      </c>
      <c r="L1159">
        <v>20</v>
      </c>
      <c r="M1159">
        <v>27.4</v>
      </c>
      <c r="N1159">
        <v>28.7</v>
      </c>
      <c r="O1159">
        <v>35</v>
      </c>
      <c r="P1159">
        <v>31.3</v>
      </c>
      <c r="Q1159">
        <v>56.8</v>
      </c>
      <c r="R1159">
        <v>51.7</v>
      </c>
      <c r="S1159">
        <v>32.4</v>
      </c>
      <c r="T1159">
        <v>34</v>
      </c>
      <c r="U1159">
        <v>74.8</v>
      </c>
      <c r="V1159">
        <v>-4.9000000000000004</v>
      </c>
      <c r="W1159" cm="1">
        <f t="array" ref="W1159">_xlfn.IFS(OR(X1159="N/A",X1159="NA"),0,OR(X1159="R64",X1159="R68"),1,X1159="R32",2,X1159="S16",3,X1159="E8",4,X1159="F4",5,X1159="2ND",6,X1159="Champions",7)</f>
        <v>0</v>
      </c>
      <c r="X1159" t="s">
        <v>90</v>
      </c>
      <c r="Y1159" t="s">
        <v>90</v>
      </c>
      <c r="Z1159">
        <v>2019</v>
      </c>
    </row>
    <row r="1160" spans="1:26" x14ac:dyDescent="0.3">
      <c r="A1160" t="s">
        <v>347</v>
      </c>
      <c r="B1160" t="s">
        <v>58</v>
      </c>
      <c r="C1160">
        <v>29</v>
      </c>
      <c r="D1160">
        <v>10</v>
      </c>
      <c r="E1160" s="1">
        <f t="shared" si="18"/>
        <v>0.34482758620689657</v>
      </c>
      <c r="F1160">
        <v>98.2</v>
      </c>
      <c r="G1160">
        <v>104.2</v>
      </c>
      <c r="H1160">
        <v>0.33600000000000002</v>
      </c>
      <c r="I1160">
        <v>54.4</v>
      </c>
      <c r="J1160">
        <v>52.3</v>
      </c>
      <c r="K1160">
        <v>22.6</v>
      </c>
      <c r="L1160">
        <v>19.399999999999999</v>
      </c>
      <c r="M1160">
        <v>24.3</v>
      </c>
      <c r="N1160">
        <v>27.2</v>
      </c>
      <c r="O1160">
        <v>42.5</v>
      </c>
      <c r="P1160">
        <v>40.299999999999997</v>
      </c>
      <c r="Q1160">
        <v>54.9</v>
      </c>
      <c r="R1160">
        <v>51.7</v>
      </c>
      <c r="S1160">
        <v>35.6</v>
      </c>
      <c r="T1160">
        <v>35.299999999999997</v>
      </c>
      <c r="U1160">
        <v>71.900000000000006</v>
      </c>
      <c r="V1160">
        <v>-14.9</v>
      </c>
      <c r="W1160" cm="1">
        <f t="array" ref="W1160">_xlfn.IFS(OR(X1160="N/A",X1160="NA"),0,OR(X1160="R64",X1160="R68"),1,X1160="R32",2,X1160="S16",3,X1160="E8",4,X1160="F4",5,X1160="2ND",6,X1160="Champions",7)</f>
        <v>0</v>
      </c>
      <c r="X1160" t="s">
        <v>90</v>
      </c>
      <c r="Y1160" t="s">
        <v>90</v>
      </c>
      <c r="Z1160">
        <v>2019</v>
      </c>
    </row>
    <row r="1161" spans="1:26" x14ac:dyDescent="0.3">
      <c r="A1161" t="s">
        <v>340</v>
      </c>
      <c r="B1161" t="s">
        <v>58</v>
      </c>
      <c r="C1161">
        <v>30</v>
      </c>
      <c r="D1161">
        <v>19</v>
      </c>
      <c r="E1161" s="1">
        <f t="shared" si="18"/>
        <v>0.6333333333333333</v>
      </c>
      <c r="F1161">
        <v>106.3</v>
      </c>
      <c r="G1161">
        <v>106.5</v>
      </c>
      <c r="H1161">
        <v>0.4945</v>
      </c>
      <c r="I1161">
        <v>50.9</v>
      </c>
      <c r="J1161">
        <v>53.2</v>
      </c>
      <c r="K1161">
        <v>17.399999999999999</v>
      </c>
      <c r="L1161">
        <v>20</v>
      </c>
      <c r="M1161">
        <v>29.1</v>
      </c>
      <c r="N1161">
        <v>31.9</v>
      </c>
      <c r="O1161">
        <v>35.1</v>
      </c>
      <c r="P1161">
        <v>36.9</v>
      </c>
      <c r="Q1161">
        <v>50.5</v>
      </c>
      <c r="R1161">
        <v>52.3</v>
      </c>
      <c r="S1161">
        <v>34.200000000000003</v>
      </c>
      <c r="T1161">
        <v>36.6</v>
      </c>
      <c r="U1161">
        <v>73.400000000000006</v>
      </c>
      <c r="V1161">
        <v>-6.5</v>
      </c>
      <c r="W1161" cm="1">
        <f t="array" ref="W1161">_xlfn.IFS(OR(X1161="N/A",X1161="NA"),0,OR(X1161="R64",X1161="R68"),1,X1161="R32",2,X1161="S16",3,X1161="E8",4,X1161="F4",5,X1161="2ND",6,X1161="Champions",7)</f>
        <v>0</v>
      </c>
      <c r="X1161" t="s">
        <v>90</v>
      </c>
      <c r="Y1161" t="s">
        <v>90</v>
      </c>
      <c r="Z1161">
        <v>2019</v>
      </c>
    </row>
    <row r="1162" spans="1:26" x14ac:dyDescent="0.3">
      <c r="A1162" t="s">
        <v>341</v>
      </c>
      <c r="B1162" t="s">
        <v>58</v>
      </c>
      <c r="C1162">
        <v>34</v>
      </c>
      <c r="D1162">
        <v>19</v>
      </c>
      <c r="E1162" s="1">
        <f t="shared" si="18"/>
        <v>0.55882352941176472</v>
      </c>
      <c r="F1162">
        <v>111.3</v>
      </c>
      <c r="G1162">
        <v>108.6</v>
      </c>
      <c r="H1162">
        <v>0.5706</v>
      </c>
      <c r="I1162">
        <v>54</v>
      </c>
      <c r="J1162">
        <v>52.9</v>
      </c>
      <c r="K1162">
        <v>16.2</v>
      </c>
      <c r="L1162">
        <v>17.399999999999999</v>
      </c>
      <c r="M1162">
        <v>26.9</v>
      </c>
      <c r="N1162">
        <v>29</v>
      </c>
      <c r="O1162">
        <v>35.799999999999997</v>
      </c>
      <c r="P1162">
        <v>28.4</v>
      </c>
      <c r="Q1162">
        <v>49.6</v>
      </c>
      <c r="R1162">
        <v>52.7</v>
      </c>
      <c r="S1162">
        <v>39.700000000000003</v>
      </c>
      <c r="T1162">
        <v>35.4</v>
      </c>
      <c r="U1162">
        <v>67.599999999999994</v>
      </c>
      <c r="V1162">
        <v>-7.4</v>
      </c>
      <c r="W1162" cm="1">
        <f t="array" ref="W1162">_xlfn.IFS(OR(X1162="N/A",X1162="NA"),0,OR(X1162="R64",X1162="R68"),1,X1162="R32",2,X1162="S16",3,X1162="E8",4,X1162="F4",5,X1162="2ND",6,X1162="Champions",7)</f>
        <v>0</v>
      </c>
      <c r="X1162" t="s">
        <v>90</v>
      </c>
      <c r="Y1162" t="s">
        <v>90</v>
      </c>
      <c r="Z1162">
        <v>2019</v>
      </c>
    </row>
    <row r="1163" spans="1:26" x14ac:dyDescent="0.3">
      <c r="A1163" t="s">
        <v>342</v>
      </c>
      <c r="B1163" t="s">
        <v>58</v>
      </c>
      <c r="C1163">
        <v>32</v>
      </c>
      <c r="D1163">
        <v>17</v>
      </c>
      <c r="E1163" s="1">
        <f t="shared" si="18"/>
        <v>0.53125</v>
      </c>
      <c r="F1163">
        <v>102.8</v>
      </c>
      <c r="G1163">
        <v>106.6</v>
      </c>
      <c r="H1163">
        <v>0.39629999999999999</v>
      </c>
      <c r="I1163">
        <v>52.9</v>
      </c>
      <c r="J1163">
        <v>52.1</v>
      </c>
      <c r="K1163">
        <v>19.5</v>
      </c>
      <c r="L1163">
        <v>19.7</v>
      </c>
      <c r="M1163">
        <v>25.5</v>
      </c>
      <c r="N1163">
        <v>31.9</v>
      </c>
      <c r="O1163">
        <v>35.1</v>
      </c>
      <c r="P1163">
        <v>36.6</v>
      </c>
      <c r="Q1163">
        <v>51.1</v>
      </c>
      <c r="R1163">
        <v>51.3</v>
      </c>
      <c r="S1163">
        <v>37</v>
      </c>
      <c r="T1163">
        <v>35.6</v>
      </c>
      <c r="U1163">
        <v>67.7</v>
      </c>
      <c r="V1163">
        <v>-10.9</v>
      </c>
      <c r="W1163" cm="1">
        <f t="array" ref="W1163">_xlfn.IFS(OR(X1163="N/A",X1163="NA"),0,OR(X1163="R64",X1163="R68"),1,X1163="R32",2,X1163="S16",3,X1163="E8",4,X1163="F4",5,X1163="2ND",6,X1163="Champions",7)</f>
        <v>0</v>
      </c>
      <c r="X1163" t="s">
        <v>90</v>
      </c>
      <c r="Y1163" t="s">
        <v>90</v>
      </c>
      <c r="Z1163">
        <v>2019</v>
      </c>
    </row>
    <row r="1164" spans="1:26" x14ac:dyDescent="0.3">
      <c r="A1164" t="s">
        <v>343</v>
      </c>
      <c r="B1164" t="s">
        <v>58</v>
      </c>
      <c r="C1164">
        <v>32</v>
      </c>
      <c r="D1164">
        <v>24</v>
      </c>
      <c r="E1164" s="1">
        <f t="shared" si="18"/>
        <v>0.75</v>
      </c>
      <c r="F1164">
        <v>101</v>
      </c>
      <c r="G1164">
        <v>98.5</v>
      </c>
      <c r="H1164">
        <v>0.56979999999999997</v>
      </c>
      <c r="I1164">
        <v>50</v>
      </c>
      <c r="J1164">
        <v>48.5</v>
      </c>
      <c r="K1164">
        <v>19.600000000000001</v>
      </c>
      <c r="L1164">
        <v>20.7</v>
      </c>
      <c r="M1164">
        <v>33.200000000000003</v>
      </c>
      <c r="N1164">
        <v>24.7</v>
      </c>
      <c r="O1164">
        <v>34.4</v>
      </c>
      <c r="P1164">
        <v>39.5</v>
      </c>
      <c r="Q1164">
        <v>50.8</v>
      </c>
      <c r="R1164">
        <v>49.2</v>
      </c>
      <c r="S1164">
        <v>32.4</v>
      </c>
      <c r="T1164">
        <v>31.6</v>
      </c>
      <c r="U1164">
        <v>66.400000000000006</v>
      </c>
      <c r="V1164">
        <v>-3.3</v>
      </c>
      <c r="W1164" cm="1">
        <f t="array" ref="W1164">_xlfn.IFS(OR(X1164="N/A",X1164="NA"),0,OR(X1164="R64",X1164="R68"),1,X1164="R32",2,X1164="S16",3,X1164="E8",4,X1164="F4",5,X1164="2ND",6,X1164="Champions",7)</f>
        <v>0</v>
      </c>
      <c r="X1164" t="s">
        <v>90</v>
      </c>
      <c r="Y1164" t="s">
        <v>90</v>
      </c>
      <c r="Z1164">
        <v>2019</v>
      </c>
    </row>
    <row r="1165" spans="1:26" x14ac:dyDescent="0.3">
      <c r="A1165" t="s">
        <v>344</v>
      </c>
      <c r="B1165" t="s">
        <v>58</v>
      </c>
      <c r="C1165">
        <v>28</v>
      </c>
      <c r="D1165">
        <v>12</v>
      </c>
      <c r="E1165" s="1">
        <f t="shared" si="18"/>
        <v>0.42857142857142855</v>
      </c>
      <c r="F1165">
        <v>100.8</v>
      </c>
      <c r="G1165">
        <v>108.1</v>
      </c>
      <c r="H1165">
        <v>0.308</v>
      </c>
      <c r="I1165">
        <v>51</v>
      </c>
      <c r="J1165">
        <v>52.7</v>
      </c>
      <c r="K1165">
        <v>19.899999999999999</v>
      </c>
      <c r="L1165">
        <v>17.100000000000001</v>
      </c>
      <c r="M1165">
        <v>27.2</v>
      </c>
      <c r="N1165">
        <v>31.1</v>
      </c>
      <c r="O1165">
        <v>31.7</v>
      </c>
      <c r="P1165">
        <v>32.799999999999997</v>
      </c>
      <c r="Q1165">
        <v>51.7</v>
      </c>
      <c r="R1165">
        <v>50.1</v>
      </c>
      <c r="S1165">
        <v>33.200000000000003</v>
      </c>
      <c r="T1165">
        <v>37.799999999999997</v>
      </c>
      <c r="U1165">
        <v>68.5</v>
      </c>
      <c r="V1165">
        <v>-11.8</v>
      </c>
      <c r="W1165" cm="1">
        <f t="array" ref="W1165">_xlfn.IFS(OR(X1165="N/A",X1165="NA"),0,OR(X1165="R64",X1165="R68"),1,X1165="R32",2,X1165="S16",3,X1165="E8",4,X1165="F4",5,X1165="2ND",6,X1165="Champions",7)</f>
        <v>0</v>
      </c>
      <c r="X1165" t="s">
        <v>90</v>
      </c>
      <c r="Y1165" t="s">
        <v>90</v>
      </c>
      <c r="Z1165">
        <v>2019</v>
      </c>
    </row>
    <row r="1166" spans="1:26" x14ac:dyDescent="0.3">
      <c r="A1166" t="s">
        <v>345</v>
      </c>
      <c r="B1166" t="s">
        <v>58</v>
      </c>
      <c r="C1166">
        <v>32</v>
      </c>
      <c r="D1166">
        <v>17</v>
      </c>
      <c r="E1166" s="1">
        <f t="shared" si="18"/>
        <v>0.53125</v>
      </c>
      <c r="F1166">
        <v>100.5</v>
      </c>
      <c r="G1166">
        <v>98.9</v>
      </c>
      <c r="H1166">
        <v>0.54690000000000005</v>
      </c>
      <c r="I1166">
        <v>47</v>
      </c>
      <c r="J1166">
        <v>48</v>
      </c>
      <c r="K1166">
        <v>20.3</v>
      </c>
      <c r="L1166">
        <v>18.100000000000001</v>
      </c>
      <c r="M1166">
        <v>31</v>
      </c>
      <c r="N1166">
        <v>28</v>
      </c>
      <c r="O1166">
        <v>34.5</v>
      </c>
      <c r="P1166">
        <v>38</v>
      </c>
      <c r="Q1166">
        <v>47.9</v>
      </c>
      <c r="R1166">
        <v>50</v>
      </c>
      <c r="S1166">
        <v>30.5</v>
      </c>
      <c r="T1166">
        <v>29.9</v>
      </c>
      <c r="U1166">
        <v>67.900000000000006</v>
      </c>
      <c r="V1166">
        <v>-7.5</v>
      </c>
      <c r="W1166" cm="1">
        <f t="array" ref="W1166">_xlfn.IFS(OR(X1166="N/A",X1166="NA"),0,OR(X1166="R64",X1166="R68"),1,X1166="R32",2,X1166="S16",3,X1166="E8",4,X1166="F4",5,X1166="2ND",6,X1166="Champions",7)</f>
        <v>0</v>
      </c>
      <c r="X1166" t="s">
        <v>90</v>
      </c>
      <c r="Y1166" t="s">
        <v>90</v>
      </c>
      <c r="Z1166">
        <v>2019</v>
      </c>
    </row>
    <row r="1167" spans="1:26" x14ac:dyDescent="0.3">
      <c r="A1167" t="s">
        <v>348</v>
      </c>
      <c r="B1167" t="s">
        <v>62</v>
      </c>
      <c r="C1167">
        <v>30</v>
      </c>
      <c r="D1167">
        <v>20</v>
      </c>
      <c r="E1167" s="1">
        <f t="shared" si="18"/>
        <v>0.66666666666666663</v>
      </c>
      <c r="F1167">
        <v>102.4</v>
      </c>
      <c r="G1167">
        <v>103.3</v>
      </c>
      <c r="H1167">
        <v>0.47449999999999998</v>
      </c>
      <c r="I1167">
        <v>50.5</v>
      </c>
      <c r="J1167">
        <v>48</v>
      </c>
      <c r="K1167">
        <v>19.399999999999999</v>
      </c>
      <c r="L1167">
        <v>18.7</v>
      </c>
      <c r="M1167">
        <v>32.5</v>
      </c>
      <c r="N1167">
        <v>32.700000000000003</v>
      </c>
      <c r="O1167">
        <v>43.8</v>
      </c>
      <c r="P1167">
        <v>43.2</v>
      </c>
      <c r="Q1167">
        <v>49.9</v>
      </c>
      <c r="R1167">
        <v>46.3</v>
      </c>
      <c r="S1167">
        <v>34.4</v>
      </c>
      <c r="T1167">
        <v>35</v>
      </c>
      <c r="U1167">
        <v>65.3</v>
      </c>
      <c r="V1167">
        <v>-4.9000000000000004</v>
      </c>
      <c r="W1167" cm="1">
        <f t="array" ref="W1167">_xlfn.IFS(OR(X1167="N/A",X1167="NA"),0,OR(X1167="R64",X1167="R68"),1,X1167="R32",2,X1167="S16",3,X1167="E8",4,X1167="F4",5,X1167="2ND",6,X1167="Champions",7)</f>
        <v>0</v>
      </c>
      <c r="X1167" t="s">
        <v>90</v>
      </c>
      <c r="Y1167" t="s">
        <v>90</v>
      </c>
      <c r="Z1167">
        <v>2015</v>
      </c>
    </row>
    <row r="1168" spans="1:26" x14ac:dyDescent="0.3">
      <c r="A1168" t="s">
        <v>349</v>
      </c>
      <c r="B1168" t="s">
        <v>62</v>
      </c>
      <c r="C1168">
        <v>28</v>
      </c>
      <c r="D1168">
        <v>14</v>
      </c>
      <c r="E1168" s="1">
        <f t="shared" si="18"/>
        <v>0.5</v>
      </c>
      <c r="F1168">
        <v>101.1</v>
      </c>
      <c r="G1168">
        <v>104.5</v>
      </c>
      <c r="H1168">
        <v>0.40689999999999998</v>
      </c>
      <c r="I1168">
        <v>49.8</v>
      </c>
      <c r="J1168">
        <v>51.3</v>
      </c>
      <c r="K1168">
        <v>18.7</v>
      </c>
      <c r="L1168">
        <v>21.4</v>
      </c>
      <c r="M1168">
        <v>29.6</v>
      </c>
      <c r="N1168">
        <v>33</v>
      </c>
      <c r="O1168">
        <v>39.799999999999997</v>
      </c>
      <c r="P1168">
        <v>42.3</v>
      </c>
      <c r="Q1168">
        <v>45.5</v>
      </c>
      <c r="R1168">
        <v>49.5</v>
      </c>
      <c r="S1168">
        <v>36.700000000000003</v>
      </c>
      <c r="T1168">
        <v>35.799999999999997</v>
      </c>
      <c r="U1168">
        <v>67.900000000000006</v>
      </c>
      <c r="V1168">
        <v>-9</v>
      </c>
      <c r="W1168" cm="1">
        <f t="array" ref="W1168">_xlfn.IFS(OR(X1168="N/A",X1168="NA"),0,OR(X1168="R64",X1168="R68"),1,X1168="R32",2,X1168="S16",3,X1168="E8",4,X1168="F4",5,X1168="2ND",6,X1168="Champions",7)</f>
        <v>0</v>
      </c>
      <c r="X1168" t="s">
        <v>90</v>
      </c>
      <c r="Y1168" t="s">
        <v>90</v>
      </c>
      <c r="Z1168">
        <v>2015</v>
      </c>
    </row>
    <row r="1169" spans="1:26" x14ac:dyDescent="0.3">
      <c r="A1169" t="s">
        <v>350</v>
      </c>
      <c r="B1169" t="s">
        <v>62</v>
      </c>
      <c r="C1169">
        <v>31</v>
      </c>
      <c r="D1169">
        <v>9</v>
      </c>
      <c r="E1169" s="1">
        <f t="shared" si="18"/>
        <v>0.29032258064516131</v>
      </c>
      <c r="F1169">
        <v>97.6</v>
      </c>
      <c r="G1169">
        <v>109.5</v>
      </c>
      <c r="H1169">
        <v>0.2099</v>
      </c>
      <c r="I1169">
        <v>49</v>
      </c>
      <c r="J1169">
        <v>52.3</v>
      </c>
      <c r="K1169">
        <v>21.1</v>
      </c>
      <c r="L1169">
        <v>16.5</v>
      </c>
      <c r="M1169">
        <v>29.5</v>
      </c>
      <c r="N1169">
        <v>32.299999999999997</v>
      </c>
      <c r="O1169">
        <v>44.1</v>
      </c>
      <c r="P1169">
        <v>36.5</v>
      </c>
      <c r="Q1169">
        <v>48.9</v>
      </c>
      <c r="R1169">
        <v>51.3</v>
      </c>
      <c r="S1169">
        <v>32.799999999999997</v>
      </c>
      <c r="T1169">
        <v>36</v>
      </c>
      <c r="U1169">
        <v>62.8</v>
      </c>
      <c r="V1169">
        <v>-16.2</v>
      </c>
      <c r="W1169" cm="1">
        <f t="array" ref="W1169">_xlfn.IFS(OR(X1169="N/A",X1169="NA"),0,OR(X1169="R64",X1169="R68"),1,X1169="R32",2,X1169="S16",3,X1169="E8",4,X1169="F4",5,X1169="2ND",6,X1169="Champions",7)</f>
        <v>0</v>
      </c>
      <c r="X1169" t="s">
        <v>90</v>
      </c>
      <c r="Y1169" t="s">
        <v>90</v>
      </c>
      <c r="Z1169">
        <v>2015</v>
      </c>
    </row>
    <row r="1170" spans="1:26" x14ac:dyDescent="0.3">
      <c r="A1170" t="s">
        <v>351</v>
      </c>
      <c r="B1170" t="s">
        <v>62</v>
      </c>
      <c r="C1170">
        <v>33</v>
      </c>
      <c r="D1170">
        <v>17</v>
      </c>
      <c r="E1170" s="1">
        <f t="shared" si="18"/>
        <v>0.51515151515151514</v>
      </c>
      <c r="F1170">
        <v>103.3</v>
      </c>
      <c r="G1170">
        <v>102.5</v>
      </c>
      <c r="H1170">
        <v>0.52229999999999999</v>
      </c>
      <c r="I1170">
        <v>49.3</v>
      </c>
      <c r="J1170">
        <v>48.9</v>
      </c>
      <c r="K1170">
        <v>17.600000000000001</v>
      </c>
      <c r="L1170">
        <v>19.2</v>
      </c>
      <c r="M1170">
        <v>33.299999999999997</v>
      </c>
      <c r="N1170">
        <v>32.799999999999997</v>
      </c>
      <c r="O1170">
        <v>40.200000000000003</v>
      </c>
      <c r="P1170">
        <v>31.9</v>
      </c>
      <c r="Q1170">
        <v>48.3</v>
      </c>
      <c r="R1170">
        <v>46.3</v>
      </c>
      <c r="S1170">
        <v>34.200000000000003</v>
      </c>
      <c r="T1170">
        <v>35.200000000000003</v>
      </c>
      <c r="U1170">
        <v>61.1</v>
      </c>
      <c r="V1170">
        <v>-9.5</v>
      </c>
      <c r="W1170" cm="1">
        <f t="array" ref="W1170">_xlfn.IFS(OR(X1170="N/A",X1170="NA"),0,OR(X1170="R64",X1170="R68"),1,X1170="R32",2,X1170="S16",3,X1170="E8",4,X1170="F4",5,X1170="2ND",6,X1170="Champions",7)</f>
        <v>0</v>
      </c>
      <c r="X1170" t="s">
        <v>90</v>
      </c>
      <c r="Y1170" t="s">
        <v>90</v>
      </c>
      <c r="Z1170">
        <v>2015</v>
      </c>
    </row>
    <row r="1171" spans="1:26" x14ac:dyDescent="0.3">
      <c r="A1171" t="s">
        <v>352</v>
      </c>
      <c r="B1171" t="s">
        <v>62</v>
      </c>
      <c r="C1171">
        <v>31</v>
      </c>
      <c r="D1171">
        <v>12</v>
      </c>
      <c r="E1171" s="1">
        <f t="shared" si="18"/>
        <v>0.38709677419354838</v>
      </c>
      <c r="F1171">
        <v>99.9</v>
      </c>
      <c r="G1171">
        <v>110.1</v>
      </c>
      <c r="H1171">
        <v>0.24560000000000001</v>
      </c>
      <c r="I1171">
        <v>49.8</v>
      </c>
      <c r="J1171">
        <v>53.3</v>
      </c>
      <c r="K1171">
        <v>19.2</v>
      </c>
      <c r="L1171">
        <v>21.1</v>
      </c>
      <c r="M1171">
        <v>30.1</v>
      </c>
      <c r="N1171">
        <v>34.1</v>
      </c>
      <c r="O1171">
        <v>37.9</v>
      </c>
      <c r="P1171">
        <v>45.4</v>
      </c>
      <c r="Q1171">
        <v>49.2</v>
      </c>
      <c r="R1171">
        <v>51</v>
      </c>
      <c r="S1171">
        <v>34</v>
      </c>
      <c r="T1171">
        <v>38.9</v>
      </c>
      <c r="U1171">
        <v>66.8</v>
      </c>
      <c r="V1171">
        <v>-14.1</v>
      </c>
      <c r="W1171" cm="1">
        <f t="array" ref="W1171">_xlfn.IFS(OR(X1171="N/A",X1171="NA"),0,OR(X1171="R64",X1171="R68"),1,X1171="R32",2,X1171="S16",3,X1171="E8",4,X1171="F4",5,X1171="2ND",6,X1171="Champions",7)</f>
        <v>0</v>
      </c>
      <c r="X1171" t="s">
        <v>90</v>
      </c>
      <c r="Y1171" t="s">
        <v>90</v>
      </c>
      <c r="Z1171">
        <v>2015</v>
      </c>
    </row>
    <row r="1172" spans="1:26" x14ac:dyDescent="0.3">
      <c r="A1172" t="s">
        <v>353</v>
      </c>
      <c r="B1172" t="s">
        <v>62</v>
      </c>
      <c r="C1172">
        <v>27</v>
      </c>
      <c r="D1172">
        <v>8</v>
      </c>
      <c r="E1172" s="1">
        <f t="shared" si="18"/>
        <v>0.29629629629629628</v>
      </c>
      <c r="F1172">
        <v>101.4</v>
      </c>
      <c r="G1172">
        <v>120</v>
      </c>
      <c r="H1172">
        <v>0.126</v>
      </c>
      <c r="I1172">
        <v>51.7</v>
      </c>
      <c r="J1172">
        <v>55.1</v>
      </c>
      <c r="K1172">
        <v>21.7</v>
      </c>
      <c r="L1172">
        <v>15.9</v>
      </c>
      <c r="M1172">
        <v>31.3</v>
      </c>
      <c r="N1172">
        <v>34.6</v>
      </c>
      <c r="O1172">
        <v>38</v>
      </c>
      <c r="P1172">
        <v>29.6</v>
      </c>
      <c r="Q1172">
        <v>46.8</v>
      </c>
      <c r="R1172">
        <v>56.5</v>
      </c>
      <c r="S1172">
        <v>40.200000000000003</v>
      </c>
      <c r="T1172">
        <v>35.1</v>
      </c>
      <c r="U1172">
        <v>59.1</v>
      </c>
      <c r="V1172">
        <v>-14.7</v>
      </c>
      <c r="W1172" cm="1">
        <f t="array" ref="W1172">_xlfn.IFS(OR(X1172="N/A",X1172="NA"),0,OR(X1172="R64",X1172="R68"),1,X1172="R32",2,X1172="S16",3,X1172="E8",4,X1172="F4",5,X1172="2ND",6,X1172="Champions",7)</f>
        <v>0</v>
      </c>
      <c r="X1172" t="s">
        <v>90</v>
      </c>
      <c r="Y1172" t="s">
        <v>90</v>
      </c>
      <c r="Z1172">
        <v>2015</v>
      </c>
    </row>
    <row r="1173" spans="1:26" x14ac:dyDescent="0.3">
      <c r="A1173" t="s">
        <v>354</v>
      </c>
      <c r="B1173" t="s">
        <v>62</v>
      </c>
      <c r="C1173">
        <v>30</v>
      </c>
      <c r="D1173">
        <v>8</v>
      </c>
      <c r="E1173" s="1">
        <f t="shared" si="18"/>
        <v>0.26666666666666666</v>
      </c>
      <c r="F1173">
        <v>98.8</v>
      </c>
      <c r="G1173">
        <v>106.2</v>
      </c>
      <c r="H1173">
        <v>0.3019</v>
      </c>
      <c r="I1173">
        <v>49.7</v>
      </c>
      <c r="J1173">
        <v>50.8</v>
      </c>
      <c r="K1173">
        <v>18.8</v>
      </c>
      <c r="L1173">
        <v>18.2</v>
      </c>
      <c r="M1173">
        <v>30.6</v>
      </c>
      <c r="N1173">
        <v>29.7</v>
      </c>
      <c r="O1173">
        <v>31.3</v>
      </c>
      <c r="P1173">
        <v>48.5</v>
      </c>
      <c r="Q1173">
        <v>47.6</v>
      </c>
      <c r="R1173">
        <v>49.7</v>
      </c>
      <c r="S1173">
        <v>36.1</v>
      </c>
      <c r="T1173">
        <v>35.200000000000003</v>
      </c>
      <c r="U1173">
        <v>66.099999999999994</v>
      </c>
      <c r="V1173">
        <v>-17.2</v>
      </c>
      <c r="W1173" cm="1">
        <f t="array" ref="W1173">_xlfn.IFS(OR(X1173="N/A",X1173="NA"),0,OR(X1173="R64",X1173="R68"),1,X1173="R32",2,X1173="S16",3,X1173="E8",4,X1173="F4",5,X1173="2ND",6,X1173="Champions",7)</f>
        <v>0</v>
      </c>
      <c r="X1173" t="s">
        <v>90</v>
      </c>
      <c r="Y1173" t="s">
        <v>90</v>
      </c>
      <c r="Z1173">
        <v>2015</v>
      </c>
    </row>
    <row r="1174" spans="1:26" x14ac:dyDescent="0.3">
      <c r="A1174" t="s">
        <v>355</v>
      </c>
      <c r="B1174" t="s">
        <v>62</v>
      </c>
      <c r="C1174">
        <v>28</v>
      </c>
      <c r="D1174">
        <v>9</v>
      </c>
      <c r="E1174" s="1">
        <f t="shared" si="18"/>
        <v>0.32142857142857145</v>
      </c>
      <c r="F1174">
        <v>96.8</v>
      </c>
      <c r="G1174">
        <v>106.9</v>
      </c>
      <c r="H1174">
        <v>0.24310000000000001</v>
      </c>
      <c r="I1174">
        <v>46.9</v>
      </c>
      <c r="J1174">
        <v>53.2</v>
      </c>
      <c r="K1174">
        <v>19.600000000000001</v>
      </c>
      <c r="L1174">
        <v>20.5</v>
      </c>
      <c r="M1174">
        <v>31.9</v>
      </c>
      <c r="N1174">
        <v>33.9</v>
      </c>
      <c r="O1174">
        <v>29.8</v>
      </c>
      <c r="P1174">
        <v>42.3</v>
      </c>
      <c r="Q1174">
        <v>46.7</v>
      </c>
      <c r="R1174">
        <v>53.9</v>
      </c>
      <c r="S1174">
        <v>31.4</v>
      </c>
      <c r="T1174">
        <v>34.1</v>
      </c>
      <c r="U1174">
        <v>77.3</v>
      </c>
      <c r="V1174">
        <v>-14.1</v>
      </c>
      <c r="W1174" cm="1">
        <f t="array" ref="W1174">_xlfn.IFS(OR(X1174="N/A",X1174="NA"),0,OR(X1174="R64",X1174="R68"),1,X1174="R32",2,X1174="S16",3,X1174="E8",4,X1174="F4",5,X1174="2ND",6,X1174="Champions",7)</f>
        <v>0</v>
      </c>
      <c r="X1174" t="s">
        <v>90</v>
      </c>
      <c r="Y1174" t="s">
        <v>90</v>
      </c>
      <c r="Z1174">
        <v>2015</v>
      </c>
    </row>
    <row r="1175" spans="1:26" x14ac:dyDescent="0.3">
      <c r="A1175" t="s">
        <v>356</v>
      </c>
      <c r="B1175" t="s">
        <v>62</v>
      </c>
      <c r="C1175">
        <v>30</v>
      </c>
      <c r="D1175">
        <v>13</v>
      </c>
      <c r="E1175" s="1">
        <f t="shared" si="18"/>
        <v>0.43333333333333335</v>
      </c>
      <c r="F1175">
        <v>100.5</v>
      </c>
      <c r="G1175">
        <v>104.7</v>
      </c>
      <c r="H1175">
        <v>0.3856</v>
      </c>
      <c r="I1175">
        <v>48.8</v>
      </c>
      <c r="J1175">
        <v>50.1</v>
      </c>
      <c r="K1175">
        <v>20.100000000000001</v>
      </c>
      <c r="L1175">
        <v>20.7</v>
      </c>
      <c r="M1175">
        <v>34.700000000000003</v>
      </c>
      <c r="N1175">
        <v>33.9</v>
      </c>
      <c r="O1175">
        <v>34.6</v>
      </c>
      <c r="P1175">
        <v>52.5</v>
      </c>
      <c r="Q1175">
        <v>47.2</v>
      </c>
      <c r="R1175">
        <v>48.6</v>
      </c>
      <c r="S1175">
        <v>34.799999999999997</v>
      </c>
      <c r="T1175">
        <v>34.9</v>
      </c>
      <c r="U1175">
        <v>66.2</v>
      </c>
      <c r="V1175">
        <v>-11.2</v>
      </c>
      <c r="W1175" cm="1">
        <f t="array" ref="W1175">_xlfn.IFS(OR(X1175="N/A",X1175="NA"),0,OR(X1175="R64",X1175="R68"),1,X1175="R32",2,X1175="S16",3,X1175="E8",4,X1175="F4",5,X1175="2ND",6,X1175="Champions",7)</f>
        <v>0</v>
      </c>
      <c r="X1175" t="s">
        <v>90</v>
      </c>
      <c r="Y1175" t="s">
        <v>90</v>
      </c>
      <c r="Z1175">
        <v>2015</v>
      </c>
    </row>
    <row r="1176" spans="1:26" x14ac:dyDescent="0.3">
      <c r="A1176" t="s">
        <v>349</v>
      </c>
      <c r="B1176" t="s">
        <v>62</v>
      </c>
      <c r="C1176">
        <v>34</v>
      </c>
      <c r="D1176">
        <v>22</v>
      </c>
      <c r="E1176" s="1">
        <f t="shared" si="18"/>
        <v>0.6470588235294118</v>
      </c>
      <c r="F1176">
        <v>105.4</v>
      </c>
      <c r="G1176">
        <v>106.5</v>
      </c>
      <c r="H1176">
        <v>0.4713</v>
      </c>
      <c r="I1176">
        <v>53</v>
      </c>
      <c r="J1176">
        <v>50.5</v>
      </c>
      <c r="K1176">
        <v>18.100000000000001</v>
      </c>
      <c r="L1176">
        <v>17.8</v>
      </c>
      <c r="M1176">
        <v>28.3</v>
      </c>
      <c r="N1176">
        <v>30.6</v>
      </c>
      <c r="O1176">
        <v>34.9</v>
      </c>
      <c r="P1176">
        <v>39.799999999999997</v>
      </c>
      <c r="Q1176">
        <v>50.4</v>
      </c>
      <c r="R1176">
        <v>50.1</v>
      </c>
      <c r="S1176">
        <v>38.299999999999997</v>
      </c>
      <c r="T1176">
        <v>34.1</v>
      </c>
      <c r="U1176">
        <v>70.2</v>
      </c>
      <c r="V1176">
        <v>-5.0999999999999996</v>
      </c>
      <c r="W1176" cm="1">
        <f t="array" ref="W1176">_xlfn.IFS(OR(X1176="N/A",X1176="NA"),0,OR(X1176="R64",X1176="R68"),1,X1176="R32",2,X1176="S16",3,X1176="E8",4,X1176="F4",5,X1176="2ND",6,X1176="Champions",7)</f>
        <v>0</v>
      </c>
      <c r="X1176" t="s">
        <v>90</v>
      </c>
      <c r="Y1176" t="s">
        <v>90</v>
      </c>
      <c r="Z1176">
        <v>2016</v>
      </c>
    </row>
    <row r="1177" spans="1:26" x14ac:dyDescent="0.3">
      <c r="A1177" t="s">
        <v>350</v>
      </c>
      <c r="B1177" t="s">
        <v>62</v>
      </c>
      <c r="C1177">
        <v>33</v>
      </c>
      <c r="D1177">
        <v>17</v>
      </c>
      <c r="E1177" s="1">
        <f t="shared" si="18"/>
        <v>0.51515151515151514</v>
      </c>
      <c r="F1177">
        <v>103</v>
      </c>
      <c r="G1177">
        <v>106.3</v>
      </c>
      <c r="H1177">
        <v>0.40939999999999999</v>
      </c>
      <c r="I1177">
        <v>51.5</v>
      </c>
      <c r="J1177">
        <v>50.8</v>
      </c>
      <c r="K1177">
        <v>20.5</v>
      </c>
      <c r="L1177">
        <v>19.2</v>
      </c>
      <c r="M1177">
        <v>32.1</v>
      </c>
      <c r="N1177">
        <v>28.8</v>
      </c>
      <c r="O1177">
        <v>43.3</v>
      </c>
      <c r="P1177">
        <v>38</v>
      </c>
      <c r="Q1177">
        <v>54.2</v>
      </c>
      <c r="R1177">
        <v>49.9</v>
      </c>
      <c r="S1177">
        <v>31.9</v>
      </c>
      <c r="T1177">
        <v>35</v>
      </c>
      <c r="U1177">
        <v>65.900000000000006</v>
      </c>
      <c r="V1177">
        <v>-10.1</v>
      </c>
      <c r="W1177" cm="1">
        <f t="array" ref="W1177">_xlfn.IFS(OR(X1177="N/A",X1177="NA"),0,OR(X1177="R64",X1177="R68"),1,X1177="R32",2,X1177="S16",3,X1177="E8",4,X1177="F4",5,X1177="2ND",6,X1177="Champions",7)</f>
        <v>0</v>
      </c>
      <c r="X1177" t="s">
        <v>90</v>
      </c>
      <c r="Y1177" t="s">
        <v>90</v>
      </c>
      <c r="Z1177">
        <v>2016</v>
      </c>
    </row>
    <row r="1178" spans="1:26" x14ac:dyDescent="0.3">
      <c r="A1178" t="s">
        <v>351</v>
      </c>
      <c r="B1178" t="s">
        <v>62</v>
      </c>
      <c r="C1178">
        <v>32</v>
      </c>
      <c r="D1178">
        <v>16</v>
      </c>
      <c r="E1178" s="1">
        <f t="shared" si="18"/>
        <v>0.5</v>
      </c>
      <c r="F1178">
        <v>104.3</v>
      </c>
      <c r="G1178">
        <v>107.3</v>
      </c>
      <c r="H1178">
        <v>0.41980000000000001</v>
      </c>
      <c r="I1178">
        <v>49.4</v>
      </c>
      <c r="J1178">
        <v>49.3</v>
      </c>
      <c r="K1178">
        <v>18.899999999999999</v>
      </c>
      <c r="L1178">
        <v>16.600000000000001</v>
      </c>
      <c r="M1178">
        <v>36.1</v>
      </c>
      <c r="N1178">
        <v>27.8</v>
      </c>
      <c r="O1178">
        <v>31.7</v>
      </c>
      <c r="P1178">
        <v>33.5</v>
      </c>
      <c r="Q1178">
        <v>47.9</v>
      </c>
      <c r="R1178">
        <v>45.4</v>
      </c>
      <c r="S1178">
        <v>35.200000000000003</v>
      </c>
      <c r="T1178">
        <v>36.1</v>
      </c>
      <c r="U1178">
        <v>64.3</v>
      </c>
      <c r="V1178">
        <v>-10.5</v>
      </c>
      <c r="W1178" cm="1">
        <f t="array" ref="W1178">_xlfn.IFS(OR(X1178="N/A",X1178="NA"),0,OR(X1178="R64",X1178="R68"),1,X1178="R32",2,X1178="S16",3,X1178="E8",4,X1178="F4",5,X1178="2ND",6,X1178="Champions",7)</f>
        <v>0</v>
      </c>
      <c r="X1178" t="s">
        <v>90</v>
      </c>
      <c r="Y1178" t="s">
        <v>90</v>
      </c>
      <c r="Z1178">
        <v>2016</v>
      </c>
    </row>
    <row r="1179" spans="1:26" x14ac:dyDescent="0.3">
      <c r="A1179" t="s">
        <v>352</v>
      </c>
      <c r="B1179" t="s">
        <v>62</v>
      </c>
      <c r="C1179">
        <v>31</v>
      </c>
      <c r="D1179">
        <v>11</v>
      </c>
      <c r="E1179" s="1">
        <f t="shared" si="18"/>
        <v>0.35483870967741937</v>
      </c>
      <c r="F1179">
        <v>101.1</v>
      </c>
      <c r="G1179">
        <v>108.1</v>
      </c>
      <c r="H1179">
        <v>0.31769999999999998</v>
      </c>
      <c r="I1179">
        <v>50.1</v>
      </c>
      <c r="J1179">
        <v>51.4</v>
      </c>
      <c r="K1179">
        <v>19.600000000000001</v>
      </c>
      <c r="L1179">
        <v>20.9</v>
      </c>
      <c r="M1179">
        <v>29.4</v>
      </c>
      <c r="N1179">
        <v>32.5</v>
      </c>
      <c r="O1179">
        <v>44.7</v>
      </c>
      <c r="P1179">
        <v>42.9</v>
      </c>
      <c r="Q1179">
        <v>51</v>
      </c>
      <c r="R1179">
        <v>48.9</v>
      </c>
      <c r="S1179">
        <v>31.9</v>
      </c>
      <c r="T1179">
        <v>37</v>
      </c>
      <c r="U1179">
        <v>68.900000000000006</v>
      </c>
      <c r="V1179">
        <v>-14.8</v>
      </c>
      <c r="W1179" cm="1">
        <f t="array" ref="W1179">_xlfn.IFS(OR(X1179="N/A",X1179="NA"),0,OR(X1179="R64",X1179="R68"),1,X1179="R32",2,X1179="S16",3,X1179="E8",4,X1179="F4",5,X1179="2ND",6,X1179="Champions",7)</f>
        <v>0</v>
      </c>
      <c r="X1179" t="s">
        <v>90</v>
      </c>
      <c r="Y1179" t="s">
        <v>90</v>
      </c>
      <c r="Z1179">
        <v>2016</v>
      </c>
    </row>
    <row r="1180" spans="1:26" x14ac:dyDescent="0.3">
      <c r="A1180" t="s">
        <v>353</v>
      </c>
      <c r="B1180" t="s">
        <v>62</v>
      </c>
      <c r="C1180">
        <v>29</v>
      </c>
      <c r="D1180">
        <v>7</v>
      </c>
      <c r="E1180" s="1">
        <f t="shared" si="18"/>
        <v>0.2413793103448276</v>
      </c>
      <c r="F1180">
        <v>100.9</v>
      </c>
      <c r="G1180">
        <v>117.3</v>
      </c>
      <c r="H1180">
        <v>0.15040000000000001</v>
      </c>
      <c r="I1180">
        <v>48.8</v>
      </c>
      <c r="J1180">
        <v>57.6</v>
      </c>
      <c r="K1180">
        <v>16.899999999999999</v>
      </c>
      <c r="L1180">
        <v>19.3</v>
      </c>
      <c r="M1180">
        <v>26.7</v>
      </c>
      <c r="N1180">
        <v>35.799999999999997</v>
      </c>
      <c r="O1180">
        <v>31.1</v>
      </c>
      <c r="P1180">
        <v>44.4</v>
      </c>
      <c r="Q1180">
        <v>50.1</v>
      </c>
      <c r="R1180">
        <v>59.8</v>
      </c>
      <c r="S1180">
        <v>31.7</v>
      </c>
      <c r="T1180">
        <v>35.200000000000003</v>
      </c>
      <c r="U1180">
        <v>81.900000000000006</v>
      </c>
      <c r="V1180">
        <v>-17.8</v>
      </c>
      <c r="W1180" cm="1">
        <f t="array" ref="W1180">_xlfn.IFS(OR(X1180="N/A",X1180="NA"),0,OR(X1180="R64",X1180="R68"),1,X1180="R32",2,X1180="S16",3,X1180="E8",4,X1180="F4",5,X1180="2ND",6,X1180="Champions",7)</f>
        <v>0</v>
      </c>
      <c r="X1180" t="s">
        <v>90</v>
      </c>
      <c r="Y1180" t="s">
        <v>90</v>
      </c>
      <c r="Z1180">
        <v>2016</v>
      </c>
    </row>
    <row r="1181" spans="1:26" x14ac:dyDescent="0.3">
      <c r="A1181" t="s">
        <v>354</v>
      </c>
      <c r="B1181" t="s">
        <v>62</v>
      </c>
      <c r="C1181">
        <v>31</v>
      </c>
      <c r="D1181">
        <v>12</v>
      </c>
      <c r="E1181" s="1">
        <f t="shared" si="18"/>
        <v>0.38709677419354838</v>
      </c>
      <c r="F1181">
        <v>101.4</v>
      </c>
      <c r="G1181">
        <v>106.3</v>
      </c>
      <c r="H1181">
        <v>0.36799999999999999</v>
      </c>
      <c r="I1181">
        <v>51.3</v>
      </c>
      <c r="J1181">
        <v>51.9</v>
      </c>
      <c r="K1181">
        <v>17.7</v>
      </c>
      <c r="L1181">
        <v>17.399999999999999</v>
      </c>
      <c r="M1181">
        <v>27.1</v>
      </c>
      <c r="N1181">
        <v>27.5</v>
      </c>
      <c r="O1181">
        <v>28</v>
      </c>
      <c r="P1181">
        <v>38.5</v>
      </c>
      <c r="Q1181">
        <v>49.1</v>
      </c>
      <c r="R1181">
        <v>49</v>
      </c>
      <c r="S1181">
        <v>36.299999999999997</v>
      </c>
      <c r="T1181">
        <v>37.4</v>
      </c>
      <c r="U1181">
        <v>68.3</v>
      </c>
      <c r="V1181">
        <v>-12.7</v>
      </c>
      <c r="W1181" cm="1">
        <f t="array" ref="W1181">_xlfn.IFS(OR(X1181="N/A",X1181="NA"),0,OR(X1181="R64",X1181="R68"),1,X1181="R32",2,X1181="S16",3,X1181="E8",4,X1181="F4",5,X1181="2ND",6,X1181="Champions",7)</f>
        <v>0</v>
      </c>
      <c r="X1181" t="s">
        <v>90</v>
      </c>
      <c r="Y1181" t="s">
        <v>90</v>
      </c>
      <c r="Z1181">
        <v>2016</v>
      </c>
    </row>
    <row r="1182" spans="1:26" x14ac:dyDescent="0.3">
      <c r="A1182" t="s">
        <v>355</v>
      </c>
      <c r="B1182" t="s">
        <v>62</v>
      </c>
      <c r="C1182">
        <v>27</v>
      </c>
      <c r="D1182">
        <v>6</v>
      </c>
      <c r="E1182" s="1">
        <f t="shared" si="18"/>
        <v>0.22222222222222221</v>
      </c>
      <c r="F1182">
        <v>96</v>
      </c>
      <c r="G1182">
        <v>110.8</v>
      </c>
      <c r="H1182">
        <v>0.16059999999999999</v>
      </c>
      <c r="I1182">
        <v>47.1</v>
      </c>
      <c r="J1182">
        <v>53</v>
      </c>
      <c r="K1182">
        <v>18.5</v>
      </c>
      <c r="L1182">
        <v>18.7</v>
      </c>
      <c r="M1182">
        <v>26.3</v>
      </c>
      <c r="N1182">
        <v>34</v>
      </c>
      <c r="O1182">
        <v>27</v>
      </c>
      <c r="P1182">
        <v>41.4</v>
      </c>
      <c r="Q1182">
        <v>45.7</v>
      </c>
      <c r="R1182">
        <v>51.2</v>
      </c>
      <c r="S1182">
        <v>32.5</v>
      </c>
      <c r="T1182">
        <v>37.4</v>
      </c>
      <c r="U1182">
        <v>69.3</v>
      </c>
      <c r="V1182">
        <v>-16.100000000000001</v>
      </c>
      <c r="W1182" cm="1">
        <f t="array" ref="W1182">_xlfn.IFS(OR(X1182="N/A",X1182="NA"),0,OR(X1182="R64",X1182="R68"),1,X1182="R32",2,X1182="S16",3,X1182="E8",4,X1182="F4",5,X1182="2ND",6,X1182="Champions",7)</f>
        <v>0</v>
      </c>
      <c r="X1182" t="s">
        <v>90</v>
      </c>
      <c r="Y1182" t="s">
        <v>90</v>
      </c>
      <c r="Z1182">
        <v>2016</v>
      </c>
    </row>
    <row r="1183" spans="1:26" x14ac:dyDescent="0.3">
      <c r="A1183" t="s">
        <v>356</v>
      </c>
      <c r="B1183" t="s">
        <v>62</v>
      </c>
      <c r="C1183">
        <v>31</v>
      </c>
      <c r="D1183">
        <v>13</v>
      </c>
      <c r="E1183" s="1">
        <f t="shared" si="18"/>
        <v>0.41935483870967744</v>
      </c>
      <c r="F1183">
        <v>99.2</v>
      </c>
      <c r="G1183">
        <v>104.2</v>
      </c>
      <c r="H1183">
        <v>0.3609</v>
      </c>
      <c r="I1183">
        <v>48.8</v>
      </c>
      <c r="J1183">
        <v>51</v>
      </c>
      <c r="K1183">
        <v>20</v>
      </c>
      <c r="L1183">
        <v>20.8</v>
      </c>
      <c r="M1183">
        <v>30.4</v>
      </c>
      <c r="N1183">
        <v>32.700000000000003</v>
      </c>
      <c r="O1183">
        <v>38.200000000000003</v>
      </c>
      <c r="P1183">
        <v>45</v>
      </c>
      <c r="Q1183">
        <v>48.3</v>
      </c>
      <c r="R1183">
        <v>49.6</v>
      </c>
      <c r="S1183">
        <v>33</v>
      </c>
      <c r="T1183">
        <v>35.6</v>
      </c>
      <c r="U1183">
        <v>70</v>
      </c>
      <c r="V1183">
        <v>-10.4</v>
      </c>
      <c r="W1183" cm="1">
        <f t="array" ref="W1183">_xlfn.IFS(OR(X1183="N/A",X1183="NA"),0,OR(X1183="R64",X1183="R68"),1,X1183="R32",2,X1183="S16",3,X1183="E8",4,X1183="F4",5,X1183="2ND",6,X1183="Champions",7)</f>
        <v>0</v>
      </c>
      <c r="X1183" t="s">
        <v>90</v>
      </c>
      <c r="Y1183" t="s">
        <v>90</v>
      </c>
      <c r="Z1183">
        <v>2016</v>
      </c>
    </row>
    <row r="1184" spans="1:26" x14ac:dyDescent="0.3">
      <c r="A1184" t="s">
        <v>357</v>
      </c>
      <c r="B1184" t="s">
        <v>62</v>
      </c>
      <c r="C1184">
        <v>30</v>
      </c>
      <c r="D1184">
        <v>13</v>
      </c>
      <c r="E1184" s="1">
        <f t="shared" si="18"/>
        <v>0.43333333333333335</v>
      </c>
      <c r="F1184">
        <v>104.9</v>
      </c>
      <c r="G1184">
        <v>107.5</v>
      </c>
      <c r="H1184">
        <v>0.43030000000000002</v>
      </c>
      <c r="I1184">
        <v>51.7</v>
      </c>
      <c r="J1184">
        <v>54</v>
      </c>
      <c r="K1184">
        <v>18</v>
      </c>
      <c r="L1184">
        <v>17.600000000000001</v>
      </c>
      <c r="M1184">
        <v>26.2</v>
      </c>
      <c r="N1184">
        <v>25.9</v>
      </c>
      <c r="O1184">
        <v>38.4</v>
      </c>
      <c r="P1184">
        <v>41.5</v>
      </c>
      <c r="Q1184">
        <v>45.8</v>
      </c>
      <c r="R1184">
        <v>54.3</v>
      </c>
      <c r="S1184">
        <v>40.9</v>
      </c>
      <c r="T1184">
        <v>35.5</v>
      </c>
      <c r="U1184">
        <v>66.2</v>
      </c>
      <c r="V1184">
        <v>-10.4</v>
      </c>
      <c r="W1184" cm="1">
        <f t="array" ref="W1184">_xlfn.IFS(OR(X1184="N/A",X1184="NA"),0,OR(X1184="R64",X1184="R68"),1,X1184="R32",2,X1184="S16",3,X1184="E8",4,X1184="F4",5,X1184="2ND",6,X1184="Champions",7)</f>
        <v>0</v>
      </c>
      <c r="X1184" t="s">
        <v>90</v>
      </c>
      <c r="Y1184" t="s">
        <v>90</v>
      </c>
      <c r="Z1184">
        <v>2016</v>
      </c>
    </row>
    <row r="1185" spans="1:26" x14ac:dyDescent="0.3">
      <c r="A1185" t="s">
        <v>348</v>
      </c>
      <c r="B1185" t="s">
        <v>62</v>
      </c>
      <c r="C1185">
        <v>29</v>
      </c>
      <c r="D1185">
        <v>19</v>
      </c>
      <c r="E1185" s="1">
        <f t="shared" si="18"/>
        <v>0.65517241379310343</v>
      </c>
      <c r="F1185">
        <v>105.3</v>
      </c>
      <c r="G1185">
        <v>101.2</v>
      </c>
      <c r="H1185">
        <v>0.61129999999999995</v>
      </c>
      <c r="I1185">
        <v>51.9</v>
      </c>
      <c r="J1185">
        <v>50.7</v>
      </c>
      <c r="K1185">
        <v>19.8</v>
      </c>
      <c r="L1185">
        <v>21.4</v>
      </c>
      <c r="M1185">
        <v>31.2</v>
      </c>
      <c r="N1185">
        <v>32.700000000000003</v>
      </c>
      <c r="O1185">
        <v>40.299999999999997</v>
      </c>
      <c r="P1185">
        <v>37.200000000000003</v>
      </c>
      <c r="Q1185">
        <v>53.3</v>
      </c>
      <c r="R1185">
        <v>49.7</v>
      </c>
      <c r="S1185">
        <v>33.1</v>
      </c>
      <c r="T1185">
        <v>35.299999999999997</v>
      </c>
      <c r="U1185">
        <v>67.099999999999994</v>
      </c>
      <c r="V1185">
        <v>-5.5</v>
      </c>
      <c r="W1185" cm="1">
        <f t="array" ref="W1185">_xlfn.IFS(OR(X1185="N/A",X1185="NA"),0,OR(X1185="R64",X1185="R68"),1,X1185="R32",2,X1185="S16",3,X1185="E8",4,X1185="F4",5,X1185="2ND",6,X1185="Champions",7)</f>
        <v>0</v>
      </c>
      <c r="X1185" t="s">
        <v>90</v>
      </c>
      <c r="Y1185" t="s">
        <v>90</v>
      </c>
      <c r="Z1185">
        <v>2017</v>
      </c>
    </row>
    <row r="1186" spans="1:26" x14ac:dyDescent="0.3">
      <c r="A1186" t="s">
        <v>350</v>
      </c>
      <c r="B1186" t="s">
        <v>62</v>
      </c>
      <c r="C1186">
        <v>33</v>
      </c>
      <c r="D1186">
        <v>23</v>
      </c>
      <c r="E1186" s="1">
        <f t="shared" si="18"/>
        <v>0.69696969696969702</v>
      </c>
      <c r="F1186">
        <v>106.2</v>
      </c>
      <c r="G1186">
        <v>100.9</v>
      </c>
      <c r="H1186">
        <v>0.64119999999999999</v>
      </c>
      <c r="I1186">
        <v>54.9</v>
      </c>
      <c r="J1186">
        <v>49.4</v>
      </c>
      <c r="K1186">
        <v>19.2</v>
      </c>
      <c r="L1186">
        <v>19.5</v>
      </c>
      <c r="M1186">
        <v>27.2</v>
      </c>
      <c r="N1186">
        <v>27.1</v>
      </c>
      <c r="O1186">
        <v>32.1</v>
      </c>
      <c r="P1186">
        <v>33.700000000000003</v>
      </c>
      <c r="Q1186">
        <v>53.3</v>
      </c>
      <c r="R1186">
        <v>50.9</v>
      </c>
      <c r="S1186">
        <v>38.1</v>
      </c>
      <c r="T1186">
        <v>31.6</v>
      </c>
      <c r="U1186">
        <v>67.400000000000006</v>
      </c>
      <c r="V1186">
        <v>-4.8</v>
      </c>
      <c r="W1186" cm="1">
        <f t="array" ref="W1186">_xlfn.IFS(OR(X1186="N/A",X1186="NA"),0,OR(X1186="R64",X1186="R68"),1,X1186="R32",2,X1186="S16",3,X1186="E8",4,X1186="F4",5,X1186="2ND",6,X1186="Champions",7)</f>
        <v>0</v>
      </c>
      <c r="X1186" t="s">
        <v>90</v>
      </c>
      <c r="Y1186" t="s">
        <v>90</v>
      </c>
      <c r="Z1186">
        <v>2017</v>
      </c>
    </row>
    <row r="1187" spans="1:26" x14ac:dyDescent="0.3">
      <c r="A1187" t="s">
        <v>351</v>
      </c>
      <c r="B1187" t="s">
        <v>62</v>
      </c>
      <c r="C1187">
        <v>30</v>
      </c>
      <c r="D1187">
        <v>15</v>
      </c>
      <c r="E1187" s="1">
        <f t="shared" si="18"/>
        <v>0.5</v>
      </c>
      <c r="F1187">
        <v>108.5</v>
      </c>
      <c r="G1187">
        <v>106.4</v>
      </c>
      <c r="H1187">
        <v>0.55689999999999995</v>
      </c>
      <c r="I1187">
        <v>50.4</v>
      </c>
      <c r="J1187">
        <v>50</v>
      </c>
      <c r="K1187">
        <v>18</v>
      </c>
      <c r="L1187">
        <v>15.7</v>
      </c>
      <c r="M1187">
        <v>33.9</v>
      </c>
      <c r="N1187">
        <v>28.4</v>
      </c>
      <c r="O1187">
        <v>32.799999999999997</v>
      </c>
      <c r="P1187">
        <v>35.299999999999997</v>
      </c>
      <c r="Q1187">
        <v>49.6</v>
      </c>
      <c r="R1187">
        <v>47.7</v>
      </c>
      <c r="S1187">
        <v>34.4</v>
      </c>
      <c r="T1187">
        <v>35.299999999999997</v>
      </c>
      <c r="U1187">
        <v>63</v>
      </c>
      <c r="V1187">
        <v>-9.9</v>
      </c>
      <c r="W1187" cm="1">
        <f t="array" ref="W1187">_xlfn.IFS(OR(X1187="N/A",X1187="NA"),0,OR(X1187="R64",X1187="R68"),1,X1187="R32",2,X1187="S16",3,X1187="E8",4,X1187="F4",5,X1187="2ND",6,X1187="Champions",7)</f>
        <v>0</v>
      </c>
      <c r="X1187" t="s">
        <v>90</v>
      </c>
      <c r="Y1187" t="s">
        <v>90</v>
      </c>
      <c r="Z1187">
        <v>2017</v>
      </c>
    </row>
    <row r="1188" spans="1:26" x14ac:dyDescent="0.3">
      <c r="A1188" t="s">
        <v>352</v>
      </c>
      <c r="B1188" t="s">
        <v>62</v>
      </c>
      <c r="C1188">
        <v>34</v>
      </c>
      <c r="D1188">
        <v>20</v>
      </c>
      <c r="E1188" s="1">
        <f t="shared" si="18"/>
        <v>0.58823529411764708</v>
      </c>
      <c r="F1188">
        <v>107.1</v>
      </c>
      <c r="G1188">
        <v>106.3</v>
      </c>
      <c r="H1188">
        <v>0.5232</v>
      </c>
      <c r="I1188">
        <v>53</v>
      </c>
      <c r="J1188">
        <v>49.8</v>
      </c>
      <c r="K1188">
        <v>19</v>
      </c>
      <c r="L1188">
        <v>17.2</v>
      </c>
      <c r="M1188">
        <v>29.4</v>
      </c>
      <c r="N1188">
        <v>31.2</v>
      </c>
      <c r="O1188">
        <v>41.5</v>
      </c>
      <c r="P1188">
        <v>31.8</v>
      </c>
      <c r="Q1188">
        <v>50.2</v>
      </c>
      <c r="R1188">
        <v>49.8</v>
      </c>
      <c r="S1188">
        <v>38.9</v>
      </c>
      <c r="T1188">
        <v>33.299999999999997</v>
      </c>
      <c r="U1188">
        <v>69.8</v>
      </c>
      <c r="V1188">
        <v>-8.3000000000000007</v>
      </c>
      <c r="W1188" cm="1">
        <f t="array" ref="W1188">_xlfn.IFS(OR(X1188="N/A",X1188="NA"),0,OR(X1188="R64",X1188="R68"),1,X1188="R32",2,X1188="S16",3,X1188="E8",4,X1188="F4",5,X1188="2ND",6,X1188="Champions",7)</f>
        <v>0</v>
      </c>
      <c r="X1188" t="s">
        <v>90</v>
      </c>
      <c r="Y1188" t="s">
        <v>90</v>
      </c>
      <c r="Z1188">
        <v>2017</v>
      </c>
    </row>
    <row r="1189" spans="1:26" x14ac:dyDescent="0.3">
      <c r="A1189" t="s">
        <v>353</v>
      </c>
      <c r="B1189" t="s">
        <v>62</v>
      </c>
      <c r="C1189">
        <v>30</v>
      </c>
      <c r="D1189">
        <v>12</v>
      </c>
      <c r="E1189" s="1">
        <f t="shared" si="18"/>
        <v>0.4</v>
      </c>
      <c r="F1189">
        <v>104.2</v>
      </c>
      <c r="G1189">
        <v>115.6</v>
      </c>
      <c r="H1189">
        <v>0.2331</v>
      </c>
      <c r="I1189">
        <v>49.3</v>
      </c>
      <c r="J1189">
        <v>57.9</v>
      </c>
      <c r="K1189">
        <v>17.2</v>
      </c>
      <c r="L1189">
        <v>19.7</v>
      </c>
      <c r="M1189">
        <v>28</v>
      </c>
      <c r="N1189">
        <v>35.4</v>
      </c>
      <c r="O1189">
        <v>32.799999999999997</v>
      </c>
      <c r="P1189">
        <v>40.9</v>
      </c>
      <c r="Q1189">
        <v>47.8</v>
      </c>
      <c r="R1189">
        <v>57.7</v>
      </c>
      <c r="S1189">
        <v>33.9</v>
      </c>
      <c r="T1189">
        <v>38.9</v>
      </c>
      <c r="U1189">
        <v>81.7</v>
      </c>
      <c r="V1189">
        <v>-14.5</v>
      </c>
      <c r="W1189" cm="1">
        <f t="array" ref="W1189">_xlfn.IFS(OR(X1189="N/A",X1189="NA"),0,OR(X1189="R64",X1189="R68"),1,X1189="R32",2,X1189="S16",3,X1189="E8",4,X1189="F4",5,X1189="2ND",6,X1189="Champions",7)</f>
        <v>0</v>
      </c>
      <c r="X1189" t="s">
        <v>90</v>
      </c>
      <c r="Y1189" t="s">
        <v>90</v>
      </c>
      <c r="Z1189">
        <v>2017</v>
      </c>
    </row>
    <row r="1190" spans="1:26" x14ac:dyDescent="0.3">
      <c r="A1190" t="s">
        <v>354</v>
      </c>
      <c r="B1190" t="s">
        <v>62</v>
      </c>
      <c r="C1190">
        <v>32</v>
      </c>
      <c r="D1190">
        <v>25</v>
      </c>
      <c r="E1190" s="1">
        <f t="shared" si="18"/>
        <v>0.78125</v>
      </c>
      <c r="F1190">
        <v>106.5</v>
      </c>
      <c r="G1190">
        <v>103.9</v>
      </c>
      <c r="H1190">
        <v>0.57079999999999997</v>
      </c>
      <c r="I1190">
        <v>52.4</v>
      </c>
      <c r="J1190">
        <v>50.2</v>
      </c>
      <c r="K1190">
        <v>19.899999999999999</v>
      </c>
      <c r="L1190">
        <v>19.399999999999999</v>
      </c>
      <c r="M1190">
        <v>34.299999999999997</v>
      </c>
      <c r="N1190">
        <v>30.4</v>
      </c>
      <c r="O1190">
        <v>30.1</v>
      </c>
      <c r="P1190">
        <v>34.799999999999997</v>
      </c>
      <c r="Q1190">
        <v>50.4</v>
      </c>
      <c r="R1190">
        <v>47.6</v>
      </c>
      <c r="S1190">
        <v>37</v>
      </c>
      <c r="T1190">
        <v>36.4</v>
      </c>
      <c r="U1190">
        <v>68.3</v>
      </c>
      <c r="V1190">
        <v>-2.6</v>
      </c>
      <c r="W1190" cm="1">
        <f t="array" ref="W1190">_xlfn.IFS(OR(X1190="N/A",X1190="NA"),0,OR(X1190="R64",X1190="R68"),1,X1190="R32",2,X1190="S16",3,X1190="E8",4,X1190="F4",5,X1190="2ND",6,X1190="Champions",7)</f>
        <v>0</v>
      </c>
      <c r="X1190" t="s">
        <v>90</v>
      </c>
      <c r="Y1190" t="s">
        <v>90</v>
      </c>
      <c r="Z1190">
        <v>2017</v>
      </c>
    </row>
    <row r="1191" spans="1:26" x14ac:dyDescent="0.3">
      <c r="A1191" t="s">
        <v>355</v>
      </c>
      <c r="B1191" t="s">
        <v>62</v>
      </c>
      <c r="C1191">
        <v>28</v>
      </c>
      <c r="D1191">
        <v>6</v>
      </c>
      <c r="E1191" s="1">
        <f t="shared" si="18"/>
        <v>0.21428571428571427</v>
      </c>
      <c r="F1191">
        <v>96.7</v>
      </c>
      <c r="G1191">
        <v>112.4</v>
      </c>
      <c r="H1191">
        <v>0.1515</v>
      </c>
      <c r="I1191">
        <v>48.1</v>
      </c>
      <c r="J1191">
        <v>56.7</v>
      </c>
      <c r="K1191">
        <v>18.899999999999999</v>
      </c>
      <c r="L1191">
        <v>17.899999999999999</v>
      </c>
      <c r="M1191">
        <v>26.6</v>
      </c>
      <c r="N1191">
        <v>32.299999999999997</v>
      </c>
      <c r="O1191">
        <v>29.5</v>
      </c>
      <c r="P1191">
        <v>39.700000000000003</v>
      </c>
      <c r="Q1191">
        <v>48.2</v>
      </c>
      <c r="R1191">
        <v>54.2</v>
      </c>
      <c r="S1191">
        <v>32</v>
      </c>
      <c r="T1191">
        <v>40.700000000000003</v>
      </c>
      <c r="U1191">
        <v>70.099999999999994</v>
      </c>
      <c r="V1191">
        <v>-17.3</v>
      </c>
      <c r="W1191" cm="1">
        <f t="array" ref="W1191">_xlfn.IFS(OR(X1191="N/A",X1191="NA"),0,OR(X1191="R64",X1191="R68"),1,X1191="R32",2,X1191="S16",3,X1191="E8",4,X1191="F4",5,X1191="2ND",6,X1191="Champions",7)</f>
        <v>0</v>
      </c>
      <c r="X1191" t="s">
        <v>90</v>
      </c>
      <c r="Y1191" t="s">
        <v>90</v>
      </c>
      <c r="Z1191">
        <v>2017</v>
      </c>
    </row>
    <row r="1192" spans="1:26" x14ac:dyDescent="0.3">
      <c r="A1192" t="s">
        <v>356</v>
      </c>
      <c r="B1192" t="s">
        <v>62</v>
      </c>
      <c r="C1192">
        <v>30</v>
      </c>
      <c r="D1192">
        <v>9</v>
      </c>
      <c r="E1192" s="1">
        <f t="shared" si="18"/>
        <v>0.3</v>
      </c>
      <c r="F1192">
        <v>89.2</v>
      </c>
      <c r="G1192">
        <v>103.6</v>
      </c>
      <c r="H1192">
        <v>0.1532</v>
      </c>
      <c r="I1192">
        <v>43.1</v>
      </c>
      <c r="J1192">
        <v>52.9</v>
      </c>
      <c r="K1192">
        <v>23.2</v>
      </c>
      <c r="L1192">
        <v>19.100000000000001</v>
      </c>
      <c r="M1192">
        <v>31.5</v>
      </c>
      <c r="N1192">
        <v>29</v>
      </c>
      <c r="O1192">
        <v>27.7</v>
      </c>
      <c r="P1192">
        <v>46.6</v>
      </c>
      <c r="Q1192">
        <v>41.9</v>
      </c>
      <c r="R1192">
        <v>52.1</v>
      </c>
      <c r="S1192">
        <v>30.4</v>
      </c>
      <c r="T1192">
        <v>36</v>
      </c>
      <c r="U1192">
        <v>68.5</v>
      </c>
      <c r="V1192">
        <v>-15.2</v>
      </c>
      <c r="W1192" cm="1">
        <f t="array" ref="W1192">_xlfn.IFS(OR(X1192="N/A",X1192="NA"),0,OR(X1192="R64",X1192="R68"),1,X1192="R32",2,X1192="S16",3,X1192="E8",4,X1192="F4",5,X1192="2ND",6,X1192="Champions",7)</f>
        <v>0</v>
      </c>
      <c r="X1192" t="s">
        <v>90</v>
      </c>
      <c r="Y1192" t="s">
        <v>90</v>
      </c>
      <c r="Z1192">
        <v>2017</v>
      </c>
    </row>
    <row r="1193" spans="1:26" x14ac:dyDescent="0.3">
      <c r="A1193" t="s">
        <v>357</v>
      </c>
      <c r="B1193" t="s">
        <v>62</v>
      </c>
      <c r="C1193">
        <v>30</v>
      </c>
      <c r="D1193">
        <v>16</v>
      </c>
      <c r="E1193" s="1">
        <f t="shared" si="18"/>
        <v>0.53333333333333333</v>
      </c>
      <c r="F1193">
        <v>108.8</v>
      </c>
      <c r="G1193">
        <v>107.4</v>
      </c>
      <c r="H1193">
        <v>0.53769999999999996</v>
      </c>
      <c r="I1193">
        <v>52.7</v>
      </c>
      <c r="J1193">
        <v>53.4</v>
      </c>
      <c r="K1193">
        <v>17.5</v>
      </c>
      <c r="L1193">
        <v>18</v>
      </c>
      <c r="M1193">
        <v>28.1</v>
      </c>
      <c r="N1193">
        <v>28.2</v>
      </c>
      <c r="O1193">
        <v>31.9</v>
      </c>
      <c r="P1193">
        <v>38.299999999999997</v>
      </c>
      <c r="Q1193">
        <v>49.4</v>
      </c>
      <c r="R1193">
        <v>54.6</v>
      </c>
      <c r="S1193">
        <v>38.4</v>
      </c>
      <c r="T1193">
        <v>34.200000000000003</v>
      </c>
      <c r="U1193">
        <v>68</v>
      </c>
      <c r="V1193">
        <v>-9.6999999999999993</v>
      </c>
      <c r="W1193" cm="1">
        <f t="array" ref="W1193">_xlfn.IFS(OR(X1193="N/A",X1193="NA"),0,OR(X1193="R64",X1193="R68"),1,X1193="R32",2,X1193="S16",3,X1193="E8",4,X1193="F4",5,X1193="2ND",6,X1193="Champions",7)</f>
        <v>0</v>
      </c>
      <c r="X1193" t="s">
        <v>90</v>
      </c>
      <c r="Y1193" t="s">
        <v>90</v>
      </c>
      <c r="Z1193">
        <v>2017</v>
      </c>
    </row>
    <row r="1194" spans="1:26" x14ac:dyDescent="0.3">
      <c r="A1194" t="s">
        <v>348</v>
      </c>
      <c r="B1194" t="s">
        <v>62</v>
      </c>
      <c r="C1194">
        <v>31</v>
      </c>
      <c r="D1194">
        <v>10</v>
      </c>
      <c r="E1194" s="1">
        <f t="shared" si="18"/>
        <v>0.32258064516129031</v>
      </c>
      <c r="F1194">
        <v>98.3</v>
      </c>
      <c r="G1194">
        <v>111.5</v>
      </c>
      <c r="H1194">
        <v>0.19</v>
      </c>
      <c r="I1194">
        <v>50.1</v>
      </c>
      <c r="J1194">
        <v>55.3</v>
      </c>
      <c r="K1194">
        <v>20.6</v>
      </c>
      <c r="L1194">
        <v>19.2</v>
      </c>
      <c r="M1194">
        <v>26.6</v>
      </c>
      <c r="N1194">
        <v>27.8</v>
      </c>
      <c r="O1194">
        <v>34.6</v>
      </c>
      <c r="P1194">
        <v>27.9</v>
      </c>
      <c r="Q1194">
        <v>48.6</v>
      </c>
      <c r="R1194">
        <v>55.8</v>
      </c>
      <c r="S1194">
        <v>34.799999999999997</v>
      </c>
      <c r="T1194">
        <v>36.200000000000003</v>
      </c>
      <c r="U1194">
        <v>66.7</v>
      </c>
      <c r="V1194">
        <v>-17.5</v>
      </c>
      <c r="W1194" cm="1">
        <f t="array" ref="W1194">_xlfn.IFS(OR(X1194="N/A",X1194="NA"),0,OR(X1194="R64",X1194="R68"),1,X1194="R32",2,X1194="S16",3,X1194="E8",4,X1194="F4",5,X1194="2ND",6,X1194="Champions",7)</f>
        <v>0</v>
      </c>
      <c r="X1194" t="s">
        <v>90</v>
      </c>
      <c r="Y1194" t="s">
        <v>90</v>
      </c>
      <c r="Z1194">
        <v>2018</v>
      </c>
    </row>
    <row r="1195" spans="1:26" x14ac:dyDescent="0.3">
      <c r="A1195" t="s">
        <v>349</v>
      </c>
      <c r="B1195" t="s">
        <v>62</v>
      </c>
      <c r="C1195">
        <v>32</v>
      </c>
      <c r="D1195">
        <v>25</v>
      </c>
      <c r="E1195" s="1">
        <f t="shared" si="18"/>
        <v>0.78125</v>
      </c>
      <c r="F1195">
        <v>103.5</v>
      </c>
      <c r="G1195">
        <v>97.5</v>
      </c>
      <c r="H1195">
        <v>0.66520000000000001</v>
      </c>
      <c r="I1195">
        <v>53.8</v>
      </c>
      <c r="J1195">
        <v>47.1</v>
      </c>
      <c r="K1195">
        <v>19.7</v>
      </c>
      <c r="L1195">
        <v>20.6</v>
      </c>
      <c r="M1195">
        <v>30.7</v>
      </c>
      <c r="N1195">
        <v>27.7</v>
      </c>
      <c r="O1195">
        <v>33.1</v>
      </c>
      <c r="P1195">
        <v>33.4</v>
      </c>
      <c r="Q1195">
        <v>54.8</v>
      </c>
      <c r="R1195">
        <v>46.4</v>
      </c>
      <c r="S1195">
        <v>34.700000000000003</v>
      </c>
      <c r="T1195">
        <v>32</v>
      </c>
      <c r="U1195">
        <v>68.900000000000006</v>
      </c>
      <c r="V1195">
        <v>-3.1</v>
      </c>
      <c r="W1195" cm="1">
        <f t="array" ref="W1195">_xlfn.IFS(OR(X1195="N/A",X1195="NA"),0,OR(X1195="R64",X1195="R68"),1,X1195="R32",2,X1195="S16",3,X1195="E8",4,X1195="F4",5,X1195="2ND",6,X1195="Champions",7)</f>
        <v>0</v>
      </c>
      <c r="X1195" t="s">
        <v>90</v>
      </c>
      <c r="Y1195" t="s">
        <v>90</v>
      </c>
      <c r="Z1195">
        <v>2018</v>
      </c>
    </row>
    <row r="1196" spans="1:26" x14ac:dyDescent="0.3">
      <c r="A1196" t="s">
        <v>350</v>
      </c>
      <c r="B1196" t="s">
        <v>62</v>
      </c>
      <c r="C1196">
        <v>31</v>
      </c>
      <c r="D1196">
        <v>23</v>
      </c>
      <c r="E1196" s="1">
        <f t="shared" si="18"/>
        <v>0.74193548387096775</v>
      </c>
      <c r="F1196">
        <v>108.1</v>
      </c>
      <c r="G1196">
        <v>100.8</v>
      </c>
      <c r="H1196">
        <v>0.69110000000000005</v>
      </c>
      <c r="I1196">
        <v>54.9</v>
      </c>
      <c r="J1196">
        <v>50.1</v>
      </c>
      <c r="K1196">
        <v>16.5</v>
      </c>
      <c r="L1196">
        <v>20.6</v>
      </c>
      <c r="M1196">
        <v>27</v>
      </c>
      <c r="N1196">
        <v>28.6</v>
      </c>
      <c r="O1196">
        <v>28.2</v>
      </c>
      <c r="P1196">
        <v>29.9</v>
      </c>
      <c r="Q1196">
        <v>56.8</v>
      </c>
      <c r="R1196">
        <v>51.4</v>
      </c>
      <c r="S1196">
        <v>35.299999999999997</v>
      </c>
      <c r="T1196">
        <v>32</v>
      </c>
      <c r="U1196">
        <v>69.7</v>
      </c>
      <c r="V1196">
        <v>-4</v>
      </c>
      <c r="W1196" cm="1">
        <f t="array" ref="W1196">_xlfn.IFS(OR(X1196="N/A",X1196="NA"),0,OR(X1196="R64",X1196="R68"),1,X1196="R32",2,X1196="S16",3,X1196="E8",4,X1196="F4",5,X1196="2ND",6,X1196="Champions",7)</f>
        <v>0</v>
      </c>
      <c r="X1196" t="s">
        <v>90</v>
      </c>
      <c r="Y1196" t="s">
        <v>90</v>
      </c>
      <c r="Z1196">
        <v>2018</v>
      </c>
    </row>
    <row r="1197" spans="1:26" x14ac:dyDescent="0.3">
      <c r="A1197" t="s">
        <v>351</v>
      </c>
      <c r="B1197" t="s">
        <v>62</v>
      </c>
      <c r="C1197">
        <v>32</v>
      </c>
      <c r="D1197">
        <v>19</v>
      </c>
      <c r="E1197" s="1">
        <f t="shared" si="18"/>
        <v>0.59375</v>
      </c>
      <c r="F1197">
        <v>111.1</v>
      </c>
      <c r="G1197">
        <v>110.5</v>
      </c>
      <c r="H1197">
        <v>0.51570000000000005</v>
      </c>
      <c r="I1197">
        <v>54.3</v>
      </c>
      <c r="J1197">
        <v>53.1</v>
      </c>
      <c r="K1197">
        <v>18.8</v>
      </c>
      <c r="L1197">
        <v>16.5</v>
      </c>
      <c r="M1197">
        <v>31.4</v>
      </c>
      <c r="N1197">
        <v>24.9</v>
      </c>
      <c r="O1197">
        <v>35.700000000000003</v>
      </c>
      <c r="P1197">
        <v>33.6</v>
      </c>
      <c r="Q1197">
        <v>52.7</v>
      </c>
      <c r="R1197">
        <v>52.5</v>
      </c>
      <c r="S1197">
        <v>37.799999999999997</v>
      </c>
      <c r="T1197">
        <v>35.799999999999997</v>
      </c>
      <c r="U1197">
        <v>65.400000000000006</v>
      </c>
      <c r="V1197">
        <v>-8.1999999999999993</v>
      </c>
      <c r="W1197" cm="1">
        <f t="array" ref="W1197">_xlfn.IFS(OR(X1197="N/A",X1197="NA"),0,OR(X1197="R64",X1197="R68"),1,X1197="R32",2,X1197="S16",3,X1197="E8",4,X1197="F4",5,X1197="2ND",6,X1197="Champions",7)</f>
        <v>0</v>
      </c>
      <c r="X1197" t="s">
        <v>90</v>
      </c>
      <c r="Y1197" t="s">
        <v>90</v>
      </c>
      <c r="Z1197">
        <v>2018</v>
      </c>
    </row>
    <row r="1198" spans="1:26" x14ac:dyDescent="0.3">
      <c r="A1198" t="s">
        <v>352</v>
      </c>
      <c r="B1198" t="s">
        <v>62</v>
      </c>
      <c r="C1198">
        <v>30</v>
      </c>
      <c r="D1198">
        <v>10</v>
      </c>
      <c r="E1198" s="1">
        <f t="shared" si="18"/>
        <v>0.33333333333333331</v>
      </c>
      <c r="F1198">
        <v>106.5</v>
      </c>
      <c r="G1198">
        <v>119.4</v>
      </c>
      <c r="H1198">
        <v>0.21099999999999999</v>
      </c>
      <c r="I1198">
        <v>54.4</v>
      </c>
      <c r="J1198">
        <v>57.7</v>
      </c>
      <c r="K1198">
        <v>19.100000000000001</v>
      </c>
      <c r="L1198">
        <v>18.7</v>
      </c>
      <c r="M1198">
        <v>24.7</v>
      </c>
      <c r="N1198">
        <v>34.799999999999997</v>
      </c>
      <c r="O1198">
        <v>30.8</v>
      </c>
      <c r="P1198">
        <v>28.5</v>
      </c>
      <c r="Q1198">
        <v>53.3</v>
      </c>
      <c r="R1198">
        <v>58.3</v>
      </c>
      <c r="S1198">
        <v>37.200000000000003</v>
      </c>
      <c r="T1198">
        <v>38</v>
      </c>
      <c r="U1198">
        <v>71.900000000000006</v>
      </c>
      <c r="V1198">
        <v>-15.3</v>
      </c>
      <c r="W1198" cm="1">
        <f t="array" ref="W1198">_xlfn.IFS(OR(X1198="N/A",X1198="NA"),0,OR(X1198="R64",X1198="R68"),1,X1198="R32",2,X1198="S16",3,X1198="E8",4,X1198="F4",5,X1198="2ND",6,X1198="Champions",7)</f>
        <v>0</v>
      </c>
      <c r="X1198" t="s">
        <v>90</v>
      </c>
      <c r="Y1198" t="s">
        <v>90</v>
      </c>
      <c r="Z1198">
        <v>2018</v>
      </c>
    </row>
    <row r="1199" spans="1:26" x14ac:dyDescent="0.3">
      <c r="A1199" t="s">
        <v>353</v>
      </c>
      <c r="B1199" t="s">
        <v>62</v>
      </c>
      <c r="C1199">
        <v>29</v>
      </c>
      <c r="D1199">
        <v>11</v>
      </c>
      <c r="E1199" s="1">
        <f t="shared" si="18"/>
        <v>0.37931034482758619</v>
      </c>
      <c r="F1199">
        <v>100.8</v>
      </c>
      <c r="G1199">
        <v>114.7</v>
      </c>
      <c r="H1199">
        <v>0.18490000000000001</v>
      </c>
      <c r="I1199">
        <v>49.1</v>
      </c>
      <c r="J1199">
        <v>56.8</v>
      </c>
      <c r="K1199">
        <v>18.7</v>
      </c>
      <c r="L1199">
        <v>19.600000000000001</v>
      </c>
      <c r="M1199">
        <v>27.4</v>
      </c>
      <c r="N1199">
        <v>33.700000000000003</v>
      </c>
      <c r="O1199">
        <v>32.700000000000003</v>
      </c>
      <c r="P1199">
        <v>30.4</v>
      </c>
      <c r="Q1199">
        <v>47.9</v>
      </c>
      <c r="R1199">
        <v>57.4</v>
      </c>
      <c r="S1199">
        <v>33.4</v>
      </c>
      <c r="T1199">
        <v>37.299999999999997</v>
      </c>
      <c r="U1199">
        <v>78.900000000000006</v>
      </c>
      <c r="V1199">
        <v>-14.9</v>
      </c>
      <c r="W1199" cm="1">
        <f t="array" ref="W1199">_xlfn.IFS(OR(X1199="N/A",X1199="NA"),0,OR(X1199="R64",X1199="R68"),1,X1199="R32",2,X1199="S16",3,X1199="E8",4,X1199="F4",5,X1199="2ND",6,X1199="Champions",7)</f>
        <v>0</v>
      </c>
      <c r="X1199" t="s">
        <v>90</v>
      </c>
      <c r="Y1199" t="s">
        <v>90</v>
      </c>
      <c r="Z1199">
        <v>2018</v>
      </c>
    </row>
    <row r="1200" spans="1:26" x14ac:dyDescent="0.3">
      <c r="A1200" t="s">
        <v>355</v>
      </c>
      <c r="B1200" t="s">
        <v>62</v>
      </c>
      <c r="C1200">
        <v>28</v>
      </c>
      <c r="D1200">
        <v>9</v>
      </c>
      <c r="E1200" s="1">
        <f t="shared" si="18"/>
        <v>0.32142857142857145</v>
      </c>
      <c r="F1200">
        <v>89.3</v>
      </c>
      <c r="G1200">
        <v>106.7</v>
      </c>
      <c r="H1200">
        <v>0.114</v>
      </c>
      <c r="I1200">
        <v>45.7</v>
      </c>
      <c r="J1200">
        <v>52.1</v>
      </c>
      <c r="K1200">
        <v>21.4</v>
      </c>
      <c r="L1200">
        <v>18.8</v>
      </c>
      <c r="M1200">
        <v>25.4</v>
      </c>
      <c r="N1200">
        <v>30.3</v>
      </c>
      <c r="O1200">
        <v>27.7</v>
      </c>
      <c r="P1200">
        <v>34.200000000000003</v>
      </c>
      <c r="Q1200">
        <v>43.7</v>
      </c>
      <c r="R1200">
        <v>52.1</v>
      </c>
      <c r="S1200">
        <v>32.299999999999997</v>
      </c>
      <c r="T1200">
        <v>34.6</v>
      </c>
      <c r="U1200">
        <v>70.099999999999994</v>
      </c>
      <c r="V1200">
        <v>-15.8</v>
      </c>
      <c r="W1200" cm="1">
        <f t="array" ref="W1200">_xlfn.IFS(OR(X1200="N/A",X1200="NA"),0,OR(X1200="R64",X1200="R68"),1,X1200="R32",2,X1200="S16",3,X1200="E8",4,X1200="F4",5,X1200="2ND",6,X1200="Champions",7)</f>
        <v>0</v>
      </c>
      <c r="X1200" t="s">
        <v>90</v>
      </c>
      <c r="Y1200" t="s">
        <v>90</v>
      </c>
      <c r="Z1200">
        <v>2018</v>
      </c>
    </row>
    <row r="1201" spans="1:26" x14ac:dyDescent="0.3">
      <c r="A1201" t="s">
        <v>356</v>
      </c>
      <c r="B1201" t="s">
        <v>62</v>
      </c>
      <c r="C1201">
        <v>30</v>
      </c>
      <c r="D1201">
        <v>12</v>
      </c>
      <c r="E1201" s="1">
        <f t="shared" si="18"/>
        <v>0.4</v>
      </c>
      <c r="F1201">
        <v>95</v>
      </c>
      <c r="G1201">
        <v>108.1</v>
      </c>
      <c r="H1201">
        <v>0.18379999999999999</v>
      </c>
      <c r="I1201">
        <v>46.8</v>
      </c>
      <c r="J1201">
        <v>54.4</v>
      </c>
      <c r="K1201">
        <v>21.7</v>
      </c>
      <c r="L1201">
        <v>21</v>
      </c>
      <c r="M1201">
        <v>29</v>
      </c>
      <c r="N1201">
        <v>32.700000000000003</v>
      </c>
      <c r="O1201">
        <v>31.8</v>
      </c>
      <c r="P1201">
        <v>36.1</v>
      </c>
      <c r="Q1201">
        <v>45.3</v>
      </c>
      <c r="R1201">
        <v>54.3</v>
      </c>
      <c r="S1201">
        <v>33</v>
      </c>
      <c r="T1201">
        <v>36.299999999999997</v>
      </c>
      <c r="U1201">
        <v>70.8</v>
      </c>
      <c r="V1201">
        <v>-11.7</v>
      </c>
      <c r="W1201" cm="1">
        <f t="array" ref="W1201">_xlfn.IFS(OR(X1201="N/A",X1201="NA"),0,OR(X1201="R64",X1201="R68"),1,X1201="R32",2,X1201="S16",3,X1201="E8",4,X1201="F4",5,X1201="2ND",6,X1201="Champions",7)</f>
        <v>0</v>
      </c>
      <c r="X1201" t="s">
        <v>90</v>
      </c>
      <c r="Y1201" t="s">
        <v>90</v>
      </c>
      <c r="Z1201">
        <v>2018</v>
      </c>
    </row>
    <row r="1202" spans="1:26" x14ac:dyDescent="0.3">
      <c r="A1202" t="s">
        <v>357</v>
      </c>
      <c r="B1202" t="s">
        <v>62</v>
      </c>
      <c r="C1202">
        <v>31</v>
      </c>
      <c r="D1202">
        <v>21</v>
      </c>
      <c r="E1202" s="1">
        <f t="shared" si="18"/>
        <v>0.67741935483870963</v>
      </c>
      <c r="F1202">
        <v>108</v>
      </c>
      <c r="G1202">
        <v>107.8</v>
      </c>
      <c r="H1202">
        <v>0.50470000000000004</v>
      </c>
      <c r="I1202">
        <v>55.2</v>
      </c>
      <c r="J1202">
        <v>53.3</v>
      </c>
      <c r="K1202">
        <v>18.2</v>
      </c>
      <c r="L1202">
        <v>18.7</v>
      </c>
      <c r="M1202">
        <v>25</v>
      </c>
      <c r="N1202">
        <v>27.1</v>
      </c>
      <c r="O1202">
        <v>28.5</v>
      </c>
      <c r="P1202">
        <v>34</v>
      </c>
      <c r="Q1202">
        <v>50.9</v>
      </c>
      <c r="R1202">
        <v>52.4</v>
      </c>
      <c r="S1202">
        <v>40.200000000000003</v>
      </c>
      <c r="T1202">
        <v>36.4</v>
      </c>
      <c r="U1202">
        <v>67.099999999999994</v>
      </c>
      <c r="V1202">
        <v>-5.9</v>
      </c>
      <c r="W1202" cm="1">
        <f t="array" ref="W1202">_xlfn.IFS(OR(X1202="N/A",X1202="NA"),0,OR(X1202="R64",X1202="R68"),1,X1202="R32",2,X1202="S16",3,X1202="E8",4,X1202="F4",5,X1202="2ND",6,X1202="Champions",7)</f>
        <v>0</v>
      </c>
      <c r="X1202" t="s">
        <v>90</v>
      </c>
      <c r="Y1202" t="s">
        <v>90</v>
      </c>
      <c r="Z1202">
        <v>2018</v>
      </c>
    </row>
    <row r="1203" spans="1:26" x14ac:dyDescent="0.3">
      <c r="A1203" t="s">
        <v>348</v>
      </c>
      <c r="B1203" t="s">
        <v>62</v>
      </c>
      <c r="C1203">
        <v>29</v>
      </c>
      <c r="D1203">
        <v>12</v>
      </c>
      <c r="E1203" s="1">
        <f t="shared" si="18"/>
        <v>0.41379310344827586</v>
      </c>
      <c r="F1203">
        <v>101</v>
      </c>
      <c r="G1203">
        <v>107.5</v>
      </c>
      <c r="H1203">
        <v>0.3286</v>
      </c>
      <c r="I1203">
        <v>51.5</v>
      </c>
      <c r="J1203">
        <v>52.9</v>
      </c>
      <c r="K1203">
        <v>19.100000000000001</v>
      </c>
      <c r="L1203">
        <v>15.4</v>
      </c>
      <c r="M1203">
        <v>24.6</v>
      </c>
      <c r="N1203">
        <v>28.4</v>
      </c>
      <c r="O1203">
        <v>24.2</v>
      </c>
      <c r="P1203">
        <v>31.6</v>
      </c>
      <c r="Q1203">
        <v>49.3</v>
      </c>
      <c r="R1203">
        <v>52</v>
      </c>
      <c r="S1203">
        <v>36.299999999999997</v>
      </c>
      <c r="T1203">
        <v>36.4</v>
      </c>
      <c r="U1203">
        <v>67.900000000000006</v>
      </c>
      <c r="V1203">
        <v>-12.6</v>
      </c>
      <c r="W1203" cm="1">
        <f t="array" ref="W1203">_xlfn.IFS(OR(X1203="N/A",X1203="NA"),0,OR(X1203="R64",X1203="R68"),1,X1203="R32",2,X1203="S16",3,X1203="E8",4,X1203="F4",5,X1203="2ND",6,X1203="Champions",7)</f>
        <v>0</v>
      </c>
      <c r="X1203" t="s">
        <v>90</v>
      </c>
      <c r="Y1203" t="s">
        <v>90</v>
      </c>
      <c r="Z1203">
        <v>2019</v>
      </c>
    </row>
    <row r="1204" spans="1:26" x14ac:dyDescent="0.3">
      <c r="A1204" t="s">
        <v>349</v>
      </c>
      <c r="B1204" t="s">
        <v>62</v>
      </c>
      <c r="C1204">
        <v>32</v>
      </c>
      <c r="D1204">
        <v>24</v>
      </c>
      <c r="E1204" s="1">
        <f t="shared" si="18"/>
        <v>0.75</v>
      </c>
      <c r="F1204">
        <v>107.9</v>
      </c>
      <c r="G1204">
        <v>102</v>
      </c>
      <c r="H1204">
        <v>0.65680000000000005</v>
      </c>
      <c r="I1204">
        <v>54.6</v>
      </c>
      <c r="J1204">
        <v>52.6</v>
      </c>
      <c r="K1204">
        <v>20</v>
      </c>
      <c r="L1204">
        <v>20.5</v>
      </c>
      <c r="M1204">
        <v>37</v>
      </c>
      <c r="N1204">
        <v>23.9</v>
      </c>
      <c r="O1204">
        <v>30</v>
      </c>
      <c r="P1204">
        <v>30.5</v>
      </c>
      <c r="Q1204">
        <v>55</v>
      </c>
      <c r="R1204">
        <v>48.5</v>
      </c>
      <c r="S1204">
        <v>35.9</v>
      </c>
      <c r="T1204">
        <v>39.1</v>
      </c>
      <c r="U1204">
        <v>68.5</v>
      </c>
      <c r="V1204">
        <v>-1.5</v>
      </c>
      <c r="W1204" cm="1">
        <f t="array" ref="W1204">_xlfn.IFS(OR(X1204="N/A",X1204="NA"),0,OR(X1204="R64",X1204="R68"),1,X1204="R32",2,X1204="S16",3,X1204="E8",4,X1204="F4",5,X1204="2ND",6,X1204="Champions",7)</f>
        <v>0</v>
      </c>
      <c r="X1204" t="s">
        <v>90</v>
      </c>
      <c r="Y1204" t="s">
        <v>90</v>
      </c>
      <c r="Z1204">
        <v>2019</v>
      </c>
    </row>
    <row r="1205" spans="1:26" x14ac:dyDescent="0.3">
      <c r="A1205" t="s">
        <v>350</v>
      </c>
      <c r="B1205" t="s">
        <v>62</v>
      </c>
      <c r="C1205">
        <v>30</v>
      </c>
      <c r="D1205">
        <v>25</v>
      </c>
      <c r="E1205" s="1">
        <f t="shared" si="18"/>
        <v>0.83333333333333337</v>
      </c>
      <c r="F1205">
        <v>107.7</v>
      </c>
      <c r="G1205">
        <v>96.6</v>
      </c>
      <c r="H1205">
        <v>0.77880000000000005</v>
      </c>
      <c r="I1205">
        <v>55.4</v>
      </c>
      <c r="J1205">
        <v>47.9</v>
      </c>
      <c r="K1205">
        <v>18.399999999999999</v>
      </c>
      <c r="L1205">
        <v>20.100000000000001</v>
      </c>
      <c r="M1205">
        <v>28.7</v>
      </c>
      <c r="N1205">
        <v>30</v>
      </c>
      <c r="O1205">
        <v>24.9</v>
      </c>
      <c r="P1205">
        <v>24.2</v>
      </c>
      <c r="Q1205">
        <v>56.7</v>
      </c>
      <c r="R1205">
        <v>48.6</v>
      </c>
      <c r="S1205">
        <v>36</v>
      </c>
      <c r="T1205">
        <v>31.2</v>
      </c>
      <c r="U1205">
        <v>68</v>
      </c>
      <c r="V1205">
        <v>-0.4</v>
      </c>
      <c r="W1205" cm="1">
        <f t="array" ref="W1205">_xlfn.IFS(OR(X1205="N/A",X1205="NA"),0,OR(X1205="R64",X1205="R68"),1,X1205="R32",2,X1205="S16",3,X1205="E8",4,X1205="F4",5,X1205="2ND",6,X1205="Champions",7)</f>
        <v>0</v>
      </c>
      <c r="X1205" t="s">
        <v>90</v>
      </c>
      <c r="Y1205" t="s">
        <v>90</v>
      </c>
      <c r="Z1205">
        <v>2019</v>
      </c>
    </row>
    <row r="1206" spans="1:26" x14ac:dyDescent="0.3">
      <c r="A1206" t="s">
        <v>351</v>
      </c>
      <c r="B1206" t="s">
        <v>62</v>
      </c>
      <c r="C1206">
        <v>29</v>
      </c>
      <c r="D1206">
        <v>11</v>
      </c>
      <c r="E1206" s="1">
        <f t="shared" si="18"/>
        <v>0.37931034482758619</v>
      </c>
      <c r="F1206">
        <v>101.9</v>
      </c>
      <c r="G1206">
        <v>105.3</v>
      </c>
      <c r="H1206">
        <v>0.40539999999999998</v>
      </c>
      <c r="I1206">
        <v>51</v>
      </c>
      <c r="J1206">
        <v>52.7</v>
      </c>
      <c r="K1206">
        <v>19.3</v>
      </c>
      <c r="L1206">
        <v>20.100000000000001</v>
      </c>
      <c r="M1206">
        <v>28.8</v>
      </c>
      <c r="N1206">
        <v>32.299999999999997</v>
      </c>
      <c r="O1206">
        <v>35.700000000000003</v>
      </c>
      <c r="P1206">
        <v>34.700000000000003</v>
      </c>
      <c r="Q1206">
        <v>51.2</v>
      </c>
      <c r="R1206">
        <v>53.4</v>
      </c>
      <c r="S1206">
        <v>33.799999999999997</v>
      </c>
      <c r="T1206">
        <v>34.6</v>
      </c>
      <c r="U1206">
        <v>68.3</v>
      </c>
      <c r="V1206">
        <v>-12.2</v>
      </c>
      <c r="W1206" cm="1">
        <f t="array" ref="W1206">_xlfn.IFS(OR(X1206="N/A",X1206="NA"),0,OR(X1206="R64",X1206="R68"),1,X1206="R32",2,X1206="S16",3,X1206="E8",4,X1206="F4",5,X1206="2ND",6,X1206="Champions",7)</f>
        <v>0</v>
      </c>
      <c r="X1206" t="s">
        <v>90</v>
      </c>
      <c r="Y1206" t="s">
        <v>90</v>
      </c>
      <c r="Z1206">
        <v>2019</v>
      </c>
    </row>
    <row r="1207" spans="1:26" x14ac:dyDescent="0.3">
      <c r="A1207" t="s">
        <v>352</v>
      </c>
      <c r="B1207" t="s">
        <v>62</v>
      </c>
      <c r="C1207">
        <v>32</v>
      </c>
      <c r="D1207">
        <v>17</v>
      </c>
      <c r="E1207" s="1">
        <f t="shared" si="18"/>
        <v>0.53125</v>
      </c>
      <c r="F1207">
        <v>105.5</v>
      </c>
      <c r="G1207">
        <v>103.2</v>
      </c>
      <c r="H1207">
        <v>0.56310000000000004</v>
      </c>
      <c r="I1207">
        <v>54.1</v>
      </c>
      <c r="J1207">
        <v>49.6</v>
      </c>
      <c r="K1207">
        <v>19.3</v>
      </c>
      <c r="L1207">
        <v>18.100000000000001</v>
      </c>
      <c r="M1207">
        <v>28.1</v>
      </c>
      <c r="N1207">
        <v>31.2</v>
      </c>
      <c r="O1207">
        <v>33.9</v>
      </c>
      <c r="P1207">
        <v>28.3</v>
      </c>
      <c r="Q1207">
        <v>53</v>
      </c>
      <c r="R1207">
        <v>47.3</v>
      </c>
      <c r="S1207">
        <v>37.299999999999997</v>
      </c>
      <c r="T1207">
        <v>35.1</v>
      </c>
      <c r="U1207">
        <v>70.599999999999994</v>
      </c>
      <c r="V1207">
        <v>-8.8000000000000007</v>
      </c>
      <c r="W1207" cm="1">
        <f t="array" ref="W1207">_xlfn.IFS(OR(X1207="N/A",X1207="NA"),0,OR(X1207="R64",X1207="R68"),1,X1207="R32",2,X1207="S16",3,X1207="E8",4,X1207="F4",5,X1207="2ND",6,X1207="Champions",7)</f>
        <v>0</v>
      </c>
      <c r="X1207" t="s">
        <v>90</v>
      </c>
      <c r="Y1207" t="s">
        <v>90</v>
      </c>
      <c r="Z1207">
        <v>2019</v>
      </c>
    </row>
    <row r="1208" spans="1:26" x14ac:dyDescent="0.3">
      <c r="A1208" t="s">
        <v>353</v>
      </c>
      <c r="B1208" t="s">
        <v>62</v>
      </c>
      <c r="C1208">
        <v>27</v>
      </c>
      <c r="D1208">
        <v>12</v>
      </c>
      <c r="E1208" s="1">
        <f t="shared" si="18"/>
        <v>0.44444444444444442</v>
      </c>
      <c r="F1208">
        <v>106</v>
      </c>
      <c r="G1208">
        <v>114</v>
      </c>
      <c r="H1208">
        <v>0.30109999999999998</v>
      </c>
      <c r="I1208">
        <v>52</v>
      </c>
      <c r="J1208">
        <v>56.6</v>
      </c>
      <c r="K1208">
        <v>17.3</v>
      </c>
      <c r="L1208">
        <v>16.899999999999999</v>
      </c>
      <c r="M1208">
        <v>25.1</v>
      </c>
      <c r="N1208">
        <v>31.8</v>
      </c>
      <c r="O1208">
        <v>25.8</v>
      </c>
      <c r="P1208">
        <v>31.7</v>
      </c>
      <c r="Q1208">
        <v>54.2</v>
      </c>
      <c r="R1208">
        <v>57.5</v>
      </c>
      <c r="S1208">
        <v>33.5</v>
      </c>
      <c r="T1208">
        <v>37.1</v>
      </c>
      <c r="U1208">
        <v>75.3</v>
      </c>
      <c r="V1208">
        <v>-10.9</v>
      </c>
      <c r="W1208" cm="1">
        <f t="array" ref="W1208">_xlfn.IFS(OR(X1208="N/A",X1208="NA"),0,OR(X1208="R64",X1208="R68"),1,X1208="R32",2,X1208="S16",3,X1208="E8",4,X1208="F4",5,X1208="2ND",6,X1208="Champions",7)</f>
        <v>0</v>
      </c>
      <c r="X1208" t="s">
        <v>90</v>
      </c>
      <c r="Y1208" t="s">
        <v>90</v>
      </c>
      <c r="Z1208">
        <v>2019</v>
      </c>
    </row>
    <row r="1209" spans="1:26" x14ac:dyDescent="0.3">
      <c r="A1209" t="s">
        <v>354</v>
      </c>
      <c r="B1209" t="s">
        <v>62</v>
      </c>
      <c r="C1209">
        <v>34</v>
      </c>
      <c r="D1209">
        <v>29</v>
      </c>
      <c r="E1209" s="1">
        <f t="shared" si="18"/>
        <v>0.8529411764705882</v>
      </c>
      <c r="F1209">
        <v>104.4</v>
      </c>
      <c r="G1209">
        <v>98.1</v>
      </c>
      <c r="H1209">
        <v>0.6724</v>
      </c>
      <c r="I1209">
        <v>51.2</v>
      </c>
      <c r="J1209">
        <v>51</v>
      </c>
      <c r="K1209">
        <v>17.100000000000001</v>
      </c>
      <c r="L1209">
        <v>22.2</v>
      </c>
      <c r="M1209">
        <v>31.4</v>
      </c>
      <c r="N1209">
        <v>29.7</v>
      </c>
      <c r="O1209">
        <v>30.6</v>
      </c>
      <c r="P1209">
        <v>32.200000000000003</v>
      </c>
      <c r="Q1209">
        <v>51.4</v>
      </c>
      <c r="R1209">
        <v>50.1</v>
      </c>
      <c r="S1209">
        <v>33.799999999999997</v>
      </c>
      <c r="T1209">
        <v>35</v>
      </c>
      <c r="U1209">
        <v>69</v>
      </c>
      <c r="V1209">
        <v>1.9</v>
      </c>
      <c r="W1209" cm="1">
        <f t="array" ref="W1209">_xlfn.IFS(OR(X1209="N/A",X1209="NA"),0,OR(X1209="R64",X1209="R68"),1,X1209="R32",2,X1209="S16",3,X1209="E8",4,X1209="F4",5,X1209="2ND",6,X1209="Champions",7)</f>
        <v>0</v>
      </c>
      <c r="X1209" t="s">
        <v>90</v>
      </c>
      <c r="Y1209" t="s">
        <v>90</v>
      </c>
      <c r="Z1209">
        <v>2019</v>
      </c>
    </row>
    <row r="1210" spans="1:26" x14ac:dyDescent="0.3">
      <c r="A1210" t="s">
        <v>355</v>
      </c>
      <c r="B1210" t="s">
        <v>62</v>
      </c>
      <c r="C1210">
        <v>29</v>
      </c>
      <c r="D1210">
        <v>11</v>
      </c>
      <c r="E1210" s="1">
        <f t="shared" si="18"/>
        <v>0.37931034482758619</v>
      </c>
      <c r="F1210">
        <v>101.2</v>
      </c>
      <c r="G1210">
        <v>111.9</v>
      </c>
      <c r="H1210">
        <v>0.2382</v>
      </c>
      <c r="I1210">
        <v>50.1</v>
      </c>
      <c r="J1210">
        <v>56.9</v>
      </c>
      <c r="K1210">
        <v>16.5</v>
      </c>
      <c r="L1210">
        <v>16.899999999999999</v>
      </c>
      <c r="M1210">
        <v>21.7</v>
      </c>
      <c r="N1210">
        <v>27.6</v>
      </c>
      <c r="O1210">
        <v>29.2</v>
      </c>
      <c r="P1210">
        <v>32</v>
      </c>
      <c r="Q1210">
        <v>47.6</v>
      </c>
      <c r="R1210">
        <v>56.8</v>
      </c>
      <c r="S1210">
        <v>35.4</v>
      </c>
      <c r="T1210">
        <v>38.1</v>
      </c>
      <c r="U1210">
        <v>73.099999999999994</v>
      </c>
      <c r="V1210">
        <v>-13.1</v>
      </c>
      <c r="W1210" cm="1">
        <f t="array" ref="W1210">_xlfn.IFS(OR(X1210="N/A",X1210="NA"),0,OR(X1210="R64",X1210="R68"),1,X1210="R32",2,X1210="S16",3,X1210="E8",4,X1210="F4",5,X1210="2ND",6,X1210="Champions",7)</f>
        <v>0</v>
      </c>
      <c r="X1210" t="s">
        <v>90</v>
      </c>
      <c r="Y1210" t="s">
        <v>90</v>
      </c>
      <c r="Z1210">
        <v>2019</v>
      </c>
    </row>
    <row r="1211" spans="1:26" x14ac:dyDescent="0.3">
      <c r="A1211" t="s">
        <v>356</v>
      </c>
      <c r="B1211" t="s">
        <v>62</v>
      </c>
      <c r="C1211">
        <v>31</v>
      </c>
      <c r="D1211">
        <v>7</v>
      </c>
      <c r="E1211" s="1">
        <f t="shared" si="18"/>
        <v>0.22580645161290322</v>
      </c>
      <c r="F1211">
        <v>99.9</v>
      </c>
      <c r="G1211">
        <v>109.6</v>
      </c>
      <c r="H1211">
        <v>0.25569999999999998</v>
      </c>
      <c r="I1211">
        <v>53.6</v>
      </c>
      <c r="J1211">
        <v>55.3</v>
      </c>
      <c r="K1211">
        <v>25.1</v>
      </c>
      <c r="L1211">
        <v>14.7</v>
      </c>
      <c r="M1211">
        <v>28.4</v>
      </c>
      <c r="N1211">
        <v>25.7</v>
      </c>
      <c r="O1211">
        <v>34.799999999999997</v>
      </c>
      <c r="P1211">
        <v>39.700000000000003</v>
      </c>
      <c r="Q1211">
        <v>52.3</v>
      </c>
      <c r="R1211">
        <v>57.8</v>
      </c>
      <c r="S1211">
        <v>36.799999999999997</v>
      </c>
      <c r="T1211">
        <v>34.1</v>
      </c>
      <c r="U1211">
        <v>71.099999999999994</v>
      </c>
      <c r="V1211">
        <v>-16.5</v>
      </c>
      <c r="W1211" cm="1">
        <f t="array" ref="W1211">_xlfn.IFS(OR(X1211="N/A",X1211="NA"),0,OR(X1211="R64",X1211="R68"),1,X1211="R32",2,X1211="S16",3,X1211="E8",4,X1211="F4",5,X1211="2ND",6,X1211="Champions",7)</f>
        <v>0</v>
      </c>
      <c r="X1211" t="s">
        <v>90</v>
      </c>
      <c r="Y1211" t="s">
        <v>90</v>
      </c>
      <c r="Z1211">
        <v>2019</v>
      </c>
    </row>
    <row r="1212" spans="1:26" x14ac:dyDescent="0.3">
      <c r="A1212" t="s">
        <v>358</v>
      </c>
      <c r="B1212" t="s">
        <v>29</v>
      </c>
      <c r="C1212">
        <v>33</v>
      </c>
      <c r="D1212">
        <v>18</v>
      </c>
      <c r="E1212" s="1">
        <f t="shared" si="18"/>
        <v>0.54545454545454541</v>
      </c>
      <c r="F1212">
        <v>110.1</v>
      </c>
      <c r="G1212">
        <v>98.2</v>
      </c>
      <c r="H1212">
        <v>0.78810000000000002</v>
      </c>
      <c r="I1212">
        <v>50.7</v>
      </c>
      <c r="J1212">
        <v>47.4</v>
      </c>
      <c r="K1212">
        <v>18.7</v>
      </c>
      <c r="L1212">
        <v>18.899999999999999</v>
      </c>
      <c r="M1212">
        <v>29.6</v>
      </c>
      <c r="N1212">
        <v>32</v>
      </c>
      <c r="O1212">
        <v>43.7</v>
      </c>
      <c r="P1212">
        <v>39.5</v>
      </c>
      <c r="Q1212">
        <v>52.3</v>
      </c>
      <c r="R1212">
        <v>46.5</v>
      </c>
      <c r="S1212">
        <v>32.200000000000003</v>
      </c>
      <c r="T1212">
        <v>32.6</v>
      </c>
      <c r="U1212">
        <v>62.8</v>
      </c>
      <c r="V1212">
        <v>-1.7</v>
      </c>
      <c r="W1212" cm="1">
        <f t="array" ref="W1212">_xlfn.IFS(OR(X1212="N/A",X1212="NA"),0,OR(X1212="R64",X1212="R68"),1,X1212="R32",2,X1212="S16",3,X1212="E8",4,X1212="F4",5,X1212="2ND",6,X1212="Champions",7)</f>
        <v>0</v>
      </c>
      <c r="X1212" t="s">
        <v>90</v>
      </c>
      <c r="Y1212" t="s">
        <v>90</v>
      </c>
      <c r="Z1212">
        <v>2015</v>
      </c>
    </row>
    <row r="1213" spans="1:26" x14ac:dyDescent="0.3">
      <c r="A1213" t="s">
        <v>87</v>
      </c>
      <c r="B1213" t="s">
        <v>29</v>
      </c>
      <c r="C1213">
        <v>34</v>
      </c>
      <c r="D1213">
        <v>14</v>
      </c>
      <c r="E1213" s="1">
        <f t="shared" si="18"/>
        <v>0.41176470588235292</v>
      </c>
      <c r="F1213">
        <v>105.3</v>
      </c>
      <c r="G1213">
        <v>101.6</v>
      </c>
      <c r="H1213">
        <v>0.60160000000000002</v>
      </c>
      <c r="I1213">
        <v>46.9</v>
      </c>
      <c r="J1213">
        <v>52.5</v>
      </c>
      <c r="K1213">
        <v>18.899999999999999</v>
      </c>
      <c r="L1213">
        <v>21.3</v>
      </c>
      <c r="M1213">
        <v>27.6</v>
      </c>
      <c r="N1213">
        <v>34.1</v>
      </c>
      <c r="O1213">
        <v>48.8</v>
      </c>
      <c r="P1213">
        <v>41.9</v>
      </c>
      <c r="Q1213">
        <v>43.4</v>
      </c>
      <c r="R1213">
        <v>53.8</v>
      </c>
      <c r="S1213">
        <v>35</v>
      </c>
      <c r="T1213">
        <v>33.299999999999997</v>
      </c>
      <c r="U1213">
        <v>67.900000000000006</v>
      </c>
      <c r="V1213">
        <v>-6.9</v>
      </c>
      <c r="W1213" cm="1">
        <f t="array" ref="W1213">_xlfn.IFS(OR(X1213="N/A",X1213="NA"),0,OR(X1213="R64",X1213="R68"),1,X1213="R32",2,X1213="S16",3,X1213="E8",4,X1213="F4",5,X1213="2ND",6,X1213="Champions",7)</f>
        <v>0</v>
      </c>
      <c r="X1213" t="s">
        <v>90</v>
      </c>
      <c r="Y1213" t="s">
        <v>90</v>
      </c>
      <c r="Z1213">
        <v>2015</v>
      </c>
    </row>
    <row r="1214" spans="1:26" x14ac:dyDescent="0.3">
      <c r="A1214" t="s">
        <v>75</v>
      </c>
      <c r="B1214" t="s">
        <v>29</v>
      </c>
      <c r="C1214">
        <v>33</v>
      </c>
      <c r="D1214">
        <v>16</v>
      </c>
      <c r="E1214" s="1">
        <f t="shared" si="18"/>
        <v>0.48484848484848486</v>
      </c>
      <c r="F1214">
        <v>105.8</v>
      </c>
      <c r="G1214">
        <v>89.4</v>
      </c>
      <c r="H1214">
        <v>0.87460000000000004</v>
      </c>
      <c r="I1214">
        <v>49.6</v>
      </c>
      <c r="J1214">
        <v>46</v>
      </c>
      <c r="K1214">
        <v>19.600000000000001</v>
      </c>
      <c r="L1214">
        <v>21.6</v>
      </c>
      <c r="M1214">
        <v>31.7</v>
      </c>
      <c r="N1214">
        <v>29.1</v>
      </c>
      <c r="O1214">
        <v>31.4</v>
      </c>
      <c r="P1214">
        <v>37.799999999999997</v>
      </c>
      <c r="Q1214">
        <v>50.3</v>
      </c>
      <c r="R1214">
        <v>44.6</v>
      </c>
      <c r="S1214">
        <v>32.4</v>
      </c>
      <c r="T1214">
        <v>32.799999999999997</v>
      </c>
      <c r="U1214">
        <v>62.7</v>
      </c>
      <c r="V1214">
        <v>-2.9</v>
      </c>
      <c r="W1214" cm="1">
        <f t="array" ref="W1214">_xlfn.IFS(OR(X1214="N/A",X1214="NA"),0,OR(X1214="R64",X1214="R68"),1,X1214="R32",2,X1214="S16",3,X1214="E8",4,X1214="F4",5,X1214="2ND",6,X1214="Champions",7)</f>
        <v>0</v>
      </c>
      <c r="X1214" t="s">
        <v>90</v>
      </c>
      <c r="Y1214" t="s">
        <v>90</v>
      </c>
      <c r="Z1214">
        <v>2015</v>
      </c>
    </row>
    <row r="1215" spans="1:26" x14ac:dyDescent="0.3">
      <c r="A1215" t="s">
        <v>359</v>
      </c>
      <c r="B1215" t="s">
        <v>29</v>
      </c>
      <c r="C1215">
        <v>31</v>
      </c>
      <c r="D1215">
        <v>12</v>
      </c>
      <c r="E1215" s="1">
        <f t="shared" si="18"/>
        <v>0.38709677419354838</v>
      </c>
      <c r="F1215">
        <v>99.6</v>
      </c>
      <c r="G1215">
        <v>97</v>
      </c>
      <c r="H1215">
        <v>0.57509999999999994</v>
      </c>
      <c r="I1215">
        <v>47.5</v>
      </c>
      <c r="J1215">
        <v>48</v>
      </c>
      <c r="K1215">
        <v>23.3</v>
      </c>
      <c r="L1215">
        <v>18.899999999999999</v>
      </c>
      <c r="M1215">
        <v>32.299999999999997</v>
      </c>
      <c r="N1215">
        <v>31.1</v>
      </c>
      <c r="O1215">
        <v>46.4</v>
      </c>
      <c r="P1215">
        <v>36.5</v>
      </c>
      <c r="Q1215">
        <v>47.9</v>
      </c>
      <c r="R1215">
        <v>47</v>
      </c>
      <c r="S1215">
        <v>31.1</v>
      </c>
      <c r="T1215">
        <v>33.200000000000003</v>
      </c>
      <c r="U1215">
        <v>64.099999999999994</v>
      </c>
      <c r="V1215">
        <v>-9</v>
      </c>
      <c r="W1215" cm="1">
        <f t="array" ref="W1215">_xlfn.IFS(OR(X1215="N/A",X1215="NA"),0,OR(X1215="R64",X1215="R68"),1,X1215="R32",2,X1215="S16",3,X1215="E8",4,X1215="F4",5,X1215="2ND",6,X1215="Champions",7)</f>
        <v>0</v>
      </c>
      <c r="X1215" t="s">
        <v>90</v>
      </c>
      <c r="Y1215" t="s">
        <v>90</v>
      </c>
      <c r="Z1215">
        <v>2015</v>
      </c>
    </row>
    <row r="1216" spans="1:26" x14ac:dyDescent="0.3">
      <c r="A1216" t="s">
        <v>360</v>
      </c>
      <c r="B1216" t="s">
        <v>29</v>
      </c>
      <c r="C1216">
        <v>31</v>
      </c>
      <c r="D1216">
        <v>8</v>
      </c>
      <c r="E1216" s="1">
        <f t="shared" si="18"/>
        <v>0.25806451612903225</v>
      </c>
      <c r="F1216">
        <v>99.3</v>
      </c>
      <c r="G1216">
        <v>101.5</v>
      </c>
      <c r="H1216">
        <v>0.43659999999999999</v>
      </c>
      <c r="I1216">
        <v>45.8</v>
      </c>
      <c r="J1216">
        <v>49.3</v>
      </c>
      <c r="K1216">
        <v>20.2</v>
      </c>
      <c r="L1216">
        <v>17.2</v>
      </c>
      <c r="M1216">
        <v>29.4</v>
      </c>
      <c r="N1216">
        <v>33.299999999999997</v>
      </c>
      <c r="O1216">
        <v>32.5</v>
      </c>
      <c r="P1216">
        <v>43.9</v>
      </c>
      <c r="Q1216">
        <v>44.2</v>
      </c>
      <c r="R1216">
        <v>48</v>
      </c>
      <c r="S1216">
        <v>32.5</v>
      </c>
      <c r="T1216">
        <v>34.4</v>
      </c>
      <c r="U1216">
        <v>62.6</v>
      </c>
      <c r="V1216">
        <v>-9.9</v>
      </c>
      <c r="W1216" cm="1">
        <f t="array" ref="W1216">_xlfn.IFS(OR(X1216="N/A",X1216="NA"),0,OR(X1216="R64",X1216="R68"),1,X1216="R32",2,X1216="S16",3,X1216="E8",4,X1216="F4",5,X1216="2ND",6,X1216="Champions",7)</f>
        <v>0</v>
      </c>
      <c r="X1216" t="s">
        <v>90</v>
      </c>
      <c r="Y1216" t="s">
        <v>90</v>
      </c>
      <c r="Z1216">
        <v>2015</v>
      </c>
    </row>
    <row r="1217" spans="1:26" x14ac:dyDescent="0.3">
      <c r="A1217" t="s">
        <v>86</v>
      </c>
      <c r="B1217" t="s">
        <v>29</v>
      </c>
      <c r="C1217">
        <v>32</v>
      </c>
      <c r="D1217">
        <v>16</v>
      </c>
      <c r="E1217" s="1">
        <f t="shared" si="18"/>
        <v>0.5</v>
      </c>
      <c r="F1217">
        <v>104.5</v>
      </c>
      <c r="G1217">
        <v>92.2</v>
      </c>
      <c r="H1217">
        <v>0.80779999999999996</v>
      </c>
      <c r="I1217">
        <v>45.2</v>
      </c>
      <c r="J1217">
        <v>44.8</v>
      </c>
      <c r="K1217">
        <v>19.600000000000001</v>
      </c>
      <c r="L1217">
        <v>21</v>
      </c>
      <c r="M1217">
        <v>34.6</v>
      </c>
      <c r="N1217">
        <v>31.5</v>
      </c>
      <c r="O1217">
        <v>37.299999999999997</v>
      </c>
      <c r="P1217">
        <v>44.5</v>
      </c>
      <c r="Q1217">
        <v>45.2</v>
      </c>
      <c r="R1217">
        <v>43.2</v>
      </c>
      <c r="S1217">
        <v>30.1</v>
      </c>
      <c r="T1217">
        <v>31.7</v>
      </c>
      <c r="U1217">
        <v>64.900000000000006</v>
      </c>
      <c r="V1217">
        <v>-3.6</v>
      </c>
      <c r="W1217" cm="1">
        <f t="array" ref="W1217">_xlfn.IFS(OR(X1217="N/A",X1217="NA"),0,OR(X1217="R64",X1217="R68"),1,X1217="R32",2,X1217="S16",3,X1217="E8",4,X1217="F4",5,X1217="2ND",6,X1217="Champions",7)</f>
        <v>0</v>
      </c>
      <c r="X1217" t="s">
        <v>90</v>
      </c>
      <c r="Y1217" t="s">
        <v>90</v>
      </c>
      <c r="Z1217">
        <v>2015</v>
      </c>
    </row>
    <row r="1218" spans="1:26" x14ac:dyDescent="0.3">
      <c r="A1218" t="s">
        <v>361</v>
      </c>
      <c r="B1218" t="s">
        <v>29</v>
      </c>
      <c r="C1218">
        <v>32</v>
      </c>
      <c r="D1218">
        <v>16</v>
      </c>
      <c r="E1218" s="1">
        <f t="shared" si="18"/>
        <v>0.5</v>
      </c>
      <c r="F1218">
        <v>107.5</v>
      </c>
      <c r="G1218">
        <v>101</v>
      </c>
      <c r="H1218">
        <v>0.67279999999999995</v>
      </c>
      <c r="I1218">
        <v>48.2</v>
      </c>
      <c r="J1218">
        <v>51.9</v>
      </c>
      <c r="K1218">
        <v>19.7</v>
      </c>
      <c r="L1218">
        <v>22.6</v>
      </c>
      <c r="M1218">
        <v>37</v>
      </c>
      <c r="N1218">
        <v>33.299999999999997</v>
      </c>
      <c r="O1218">
        <v>32.299999999999997</v>
      </c>
      <c r="P1218">
        <v>43.5</v>
      </c>
      <c r="Q1218">
        <v>47.4</v>
      </c>
      <c r="R1218">
        <v>49.1</v>
      </c>
      <c r="S1218">
        <v>33.1</v>
      </c>
      <c r="T1218">
        <v>37.1</v>
      </c>
      <c r="U1218">
        <v>60.8</v>
      </c>
      <c r="V1218">
        <v>-3.3</v>
      </c>
      <c r="W1218" cm="1">
        <f t="array" ref="W1218">_xlfn.IFS(OR(X1218="N/A",X1218="NA"),0,OR(X1218="R64",X1218="R68"),1,X1218="R32",2,X1218="S16",3,X1218="E8",4,X1218="F4",5,X1218="2ND",6,X1218="Champions",7)</f>
        <v>0</v>
      </c>
      <c r="X1218" t="s">
        <v>90</v>
      </c>
      <c r="Y1218" t="s">
        <v>90</v>
      </c>
      <c r="Z1218">
        <v>2015</v>
      </c>
    </row>
    <row r="1219" spans="1:26" x14ac:dyDescent="0.3">
      <c r="A1219" t="s">
        <v>362</v>
      </c>
      <c r="B1219" t="s">
        <v>29</v>
      </c>
      <c r="C1219">
        <v>33</v>
      </c>
      <c r="D1219">
        <v>21</v>
      </c>
      <c r="E1219" s="1">
        <f t="shared" ref="E1219:E1282" si="19">D1219/C1219</f>
        <v>0.63636363636363635</v>
      </c>
      <c r="F1219">
        <v>107.9</v>
      </c>
      <c r="G1219">
        <v>95.3</v>
      </c>
      <c r="H1219">
        <v>0.8054</v>
      </c>
      <c r="I1219">
        <v>50.5</v>
      </c>
      <c r="J1219">
        <v>46.9</v>
      </c>
      <c r="K1219">
        <v>19.2</v>
      </c>
      <c r="L1219">
        <v>19.399999999999999</v>
      </c>
      <c r="M1219">
        <v>34.1</v>
      </c>
      <c r="N1219">
        <v>28.1</v>
      </c>
      <c r="O1219">
        <v>38.1</v>
      </c>
      <c r="P1219">
        <v>36.4</v>
      </c>
      <c r="Q1219">
        <v>49.6</v>
      </c>
      <c r="R1219">
        <v>47.1</v>
      </c>
      <c r="S1219">
        <v>35.1</v>
      </c>
      <c r="T1219">
        <v>31</v>
      </c>
      <c r="U1219">
        <v>64.2</v>
      </c>
      <c r="V1219">
        <v>-0.4</v>
      </c>
      <c r="W1219" cm="1">
        <f t="array" ref="W1219">_xlfn.IFS(OR(X1219="N/A",X1219="NA"),0,OR(X1219="R64",X1219="R68"),1,X1219="R32",2,X1219="S16",3,X1219="E8",4,X1219="F4",5,X1219="2ND",6,X1219="Champions",7)</f>
        <v>0</v>
      </c>
      <c r="X1219" t="s">
        <v>90</v>
      </c>
      <c r="Y1219" t="s">
        <v>90</v>
      </c>
      <c r="Z1219">
        <v>2015</v>
      </c>
    </row>
    <row r="1220" spans="1:26" x14ac:dyDescent="0.3">
      <c r="A1220" t="s">
        <v>363</v>
      </c>
      <c r="B1220" t="s">
        <v>29</v>
      </c>
      <c r="C1220">
        <v>34</v>
      </c>
      <c r="D1220">
        <v>20</v>
      </c>
      <c r="E1220" s="1">
        <f t="shared" si="19"/>
        <v>0.58823529411764708</v>
      </c>
      <c r="F1220">
        <v>114.1</v>
      </c>
      <c r="G1220">
        <v>99.2</v>
      </c>
      <c r="H1220">
        <v>0.83250000000000002</v>
      </c>
      <c r="I1220">
        <v>54.4</v>
      </c>
      <c r="J1220">
        <v>46.6</v>
      </c>
      <c r="K1220">
        <v>20</v>
      </c>
      <c r="L1220">
        <v>18.100000000000001</v>
      </c>
      <c r="M1220">
        <v>31.9</v>
      </c>
      <c r="N1220">
        <v>33.1</v>
      </c>
      <c r="O1220">
        <v>42.4</v>
      </c>
      <c r="P1220">
        <v>34.4</v>
      </c>
      <c r="Q1220">
        <v>51.5</v>
      </c>
      <c r="R1220">
        <v>44.5</v>
      </c>
      <c r="S1220">
        <v>39.6</v>
      </c>
      <c r="T1220">
        <v>34</v>
      </c>
      <c r="U1220">
        <v>63.6</v>
      </c>
      <c r="V1220">
        <v>-2.5</v>
      </c>
      <c r="W1220" cm="1">
        <f t="array" ref="W1220">_xlfn.IFS(OR(X1220="N/A",X1220="NA"),0,OR(X1220="R64",X1220="R68"),1,X1220="R32",2,X1220="S16",3,X1220="E8",4,X1220="F4",5,X1220="2ND",6,X1220="Champions",7)</f>
        <v>0</v>
      </c>
      <c r="X1220" t="s">
        <v>90</v>
      </c>
      <c r="Y1220" t="s">
        <v>90</v>
      </c>
      <c r="Z1220">
        <v>2015</v>
      </c>
    </row>
    <row r="1221" spans="1:26" x14ac:dyDescent="0.3">
      <c r="A1221" t="s">
        <v>358</v>
      </c>
      <c r="B1221" t="s">
        <v>29</v>
      </c>
      <c r="C1221">
        <v>33</v>
      </c>
      <c r="D1221">
        <v>18</v>
      </c>
      <c r="E1221" s="1">
        <f t="shared" si="19"/>
        <v>0.54545454545454541</v>
      </c>
      <c r="F1221">
        <v>105.4</v>
      </c>
      <c r="G1221">
        <v>96.3</v>
      </c>
      <c r="H1221">
        <v>0.73870000000000002</v>
      </c>
      <c r="I1221">
        <v>49.6</v>
      </c>
      <c r="J1221">
        <v>46.6</v>
      </c>
      <c r="K1221">
        <v>19.899999999999999</v>
      </c>
      <c r="L1221">
        <v>18.2</v>
      </c>
      <c r="M1221">
        <v>28.3</v>
      </c>
      <c r="N1221">
        <v>34.6</v>
      </c>
      <c r="O1221">
        <v>40.700000000000003</v>
      </c>
      <c r="P1221">
        <v>39.1</v>
      </c>
      <c r="Q1221">
        <v>48.5</v>
      </c>
      <c r="R1221">
        <v>45.1</v>
      </c>
      <c r="S1221">
        <v>33.9</v>
      </c>
      <c r="T1221">
        <v>32.9</v>
      </c>
      <c r="U1221">
        <v>65.7</v>
      </c>
      <c r="V1221">
        <v>-0.6</v>
      </c>
      <c r="W1221" cm="1">
        <f t="array" ref="W1221">_xlfn.IFS(OR(X1221="N/A",X1221="NA"),0,OR(X1221="R64",X1221="R68"),1,X1221="R32",2,X1221="S16",3,X1221="E8",4,X1221="F4",5,X1221="2ND",6,X1221="Champions",7)</f>
        <v>0</v>
      </c>
      <c r="X1221" t="s">
        <v>90</v>
      </c>
      <c r="Y1221" t="s">
        <v>90</v>
      </c>
      <c r="Z1221">
        <v>2016</v>
      </c>
    </row>
    <row r="1222" spans="1:26" x14ac:dyDescent="0.3">
      <c r="A1222" t="s">
        <v>364</v>
      </c>
      <c r="B1222" t="s">
        <v>29</v>
      </c>
      <c r="C1222">
        <v>32</v>
      </c>
      <c r="D1222">
        <v>16</v>
      </c>
      <c r="E1222" s="1">
        <f t="shared" si="19"/>
        <v>0.5</v>
      </c>
      <c r="F1222">
        <v>109.5</v>
      </c>
      <c r="G1222">
        <v>99</v>
      </c>
      <c r="H1222">
        <v>0.76019999999999999</v>
      </c>
      <c r="I1222">
        <v>49.7</v>
      </c>
      <c r="J1222">
        <v>49.8</v>
      </c>
      <c r="K1222">
        <v>15.3</v>
      </c>
      <c r="L1222">
        <v>19.600000000000001</v>
      </c>
      <c r="M1222">
        <v>30.9</v>
      </c>
      <c r="N1222">
        <v>30.1</v>
      </c>
      <c r="O1222">
        <v>37.6</v>
      </c>
      <c r="P1222">
        <v>42.9</v>
      </c>
      <c r="Q1222">
        <v>46.1</v>
      </c>
      <c r="R1222">
        <v>47.7</v>
      </c>
      <c r="S1222">
        <v>39.700000000000003</v>
      </c>
      <c r="T1222">
        <v>35.9</v>
      </c>
      <c r="U1222">
        <v>71</v>
      </c>
      <c r="V1222">
        <v>-4.5999999999999996</v>
      </c>
      <c r="W1222" cm="1">
        <f t="array" ref="W1222">_xlfn.IFS(OR(X1222="N/A",X1222="NA"),0,OR(X1222="R64",X1222="R68"),1,X1222="R32",2,X1222="S16",3,X1222="E8",4,X1222="F4",5,X1222="2ND",6,X1222="Champions",7)</f>
        <v>0</v>
      </c>
      <c r="X1222" t="s">
        <v>90</v>
      </c>
      <c r="Y1222" t="s">
        <v>90</v>
      </c>
      <c r="Z1222">
        <v>2016</v>
      </c>
    </row>
    <row r="1223" spans="1:26" x14ac:dyDescent="0.3">
      <c r="A1223" t="s">
        <v>87</v>
      </c>
      <c r="B1223" t="s">
        <v>29</v>
      </c>
      <c r="C1223">
        <v>31</v>
      </c>
      <c r="D1223">
        <v>11</v>
      </c>
      <c r="E1223" s="1">
        <f t="shared" si="19"/>
        <v>0.35483870967741937</v>
      </c>
      <c r="F1223">
        <v>100.4</v>
      </c>
      <c r="G1223">
        <v>102.4</v>
      </c>
      <c r="H1223">
        <v>0.44379999999999997</v>
      </c>
      <c r="I1223">
        <v>47.3</v>
      </c>
      <c r="J1223">
        <v>50.5</v>
      </c>
      <c r="K1223">
        <v>18.899999999999999</v>
      </c>
      <c r="L1223">
        <v>17.8</v>
      </c>
      <c r="M1223">
        <v>27.9</v>
      </c>
      <c r="N1223">
        <v>32.299999999999997</v>
      </c>
      <c r="O1223">
        <v>41</v>
      </c>
      <c r="P1223">
        <v>40.1</v>
      </c>
      <c r="Q1223">
        <v>44.3</v>
      </c>
      <c r="R1223">
        <v>49.6</v>
      </c>
      <c r="S1223">
        <v>34</v>
      </c>
      <c r="T1223">
        <v>34.799999999999997</v>
      </c>
      <c r="U1223">
        <v>72.5</v>
      </c>
      <c r="V1223">
        <v>-8.3000000000000007</v>
      </c>
      <c r="W1223" cm="1">
        <f t="array" ref="W1223">_xlfn.IFS(OR(X1223="N/A",X1223="NA"),0,OR(X1223="R64",X1223="R68"),1,X1223="R32",2,X1223="S16",3,X1223="E8",4,X1223="F4",5,X1223="2ND",6,X1223="Champions",7)</f>
        <v>0</v>
      </c>
      <c r="X1223" t="s">
        <v>90</v>
      </c>
      <c r="Y1223" t="s">
        <v>90</v>
      </c>
      <c r="Z1223">
        <v>2016</v>
      </c>
    </row>
    <row r="1224" spans="1:26" x14ac:dyDescent="0.3">
      <c r="A1224" t="s">
        <v>75</v>
      </c>
      <c r="B1224" t="s">
        <v>29</v>
      </c>
      <c r="C1224">
        <v>36</v>
      </c>
      <c r="D1224">
        <v>21</v>
      </c>
      <c r="E1224" s="1">
        <f t="shared" si="19"/>
        <v>0.58333333333333337</v>
      </c>
      <c r="F1224">
        <v>110</v>
      </c>
      <c r="G1224">
        <v>93.2</v>
      </c>
      <c r="H1224">
        <v>0.87029999999999996</v>
      </c>
      <c r="I1224">
        <v>48.5</v>
      </c>
      <c r="J1224">
        <v>46.7</v>
      </c>
      <c r="K1224">
        <v>16</v>
      </c>
      <c r="L1224">
        <v>18.600000000000001</v>
      </c>
      <c r="M1224">
        <v>32.9</v>
      </c>
      <c r="N1224">
        <v>29.5</v>
      </c>
      <c r="O1224">
        <v>39.5</v>
      </c>
      <c r="P1224">
        <v>35.700000000000003</v>
      </c>
      <c r="Q1224">
        <v>48.9</v>
      </c>
      <c r="R1224">
        <v>44.4</v>
      </c>
      <c r="S1224">
        <v>31.9</v>
      </c>
      <c r="T1224">
        <v>34.299999999999997</v>
      </c>
      <c r="U1224">
        <v>69.900000000000006</v>
      </c>
      <c r="V1224">
        <v>0.1</v>
      </c>
      <c r="W1224" cm="1">
        <f t="array" ref="W1224">_xlfn.IFS(OR(X1224="N/A",X1224="NA"),0,OR(X1224="R64",X1224="R68"),1,X1224="R32",2,X1224="S16",3,X1224="E8",4,X1224="F4",5,X1224="2ND",6,X1224="Champions",7)</f>
        <v>0</v>
      </c>
      <c r="X1224" t="s">
        <v>90</v>
      </c>
      <c r="Y1224" t="s">
        <v>90</v>
      </c>
      <c r="Z1224">
        <v>2016</v>
      </c>
    </row>
    <row r="1225" spans="1:26" x14ac:dyDescent="0.3">
      <c r="A1225" t="s">
        <v>365</v>
      </c>
      <c r="B1225" t="s">
        <v>29</v>
      </c>
      <c r="C1225">
        <v>34</v>
      </c>
      <c r="D1225">
        <v>20</v>
      </c>
      <c r="E1225" s="1">
        <f t="shared" si="19"/>
        <v>0.58823529411764708</v>
      </c>
      <c r="F1225">
        <v>108</v>
      </c>
      <c r="G1225">
        <v>96.4</v>
      </c>
      <c r="H1225">
        <v>0.78810000000000002</v>
      </c>
      <c r="I1225">
        <v>48.1</v>
      </c>
      <c r="J1225">
        <v>45.5</v>
      </c>
      <c r="K1225">
        <v>19.2</v>
      </c>
      <c r="L1225">
        <v>15.6</v>
      </c>
      <c r="M1225">
        <v>32.4</v>
      </c>
      <c r="N1225">
        <v>29.8</v>
      </c>
      <c r="O1225">
        <v>43.5</v>
      </c>
      <c r="P1225">
        <v>41.1</v>
      </c>
      <c r="Q1225">
        <v>44.8</v>
      </c>
      <c r="R1225">
        <v>42.8</v>
      </c>
      <c r="S1225">
        <v>36.799999999999997</v>
      </c>
      <c r="T1225">
        <v>33.1</v>
      </c>
      <c r="U1225">
        <v>67.900000000000006</v>
      </c>
      <c r="V1225">
        <v>-0.8</v>
      </c>
      <c r="W1225" cm="1">
        <f t="array" ref="W1225">_xlfn.IFS(OR(X1225="N/A",X1225="NA"),0,OR(X1225="R64",X1225="R68"),1,X1225="R32",2,X1225="S16",3,X1225="E8",4,X1225="F4",5,X1225="2ND",6,X1225="Champions",7)</f>
        <v>0</v>
      </c>
      <c r="X1225" t="s">
        <v>90</v>
      </c>
      <c r="Y1225" t="s">
        <v>90</v>
      </c>
      <c r="Z1225">
        <v>2016</v>
      </c>
    </row>
    <row r="1226" spans="1:26" x14ac:dyDescent="0.3">
      <c r="A1226" t="s">
        <v>366</v>
      </c>
      <c r="B1226" t="s">
        <v>29</v>
      </c>
      <c r="C1226">
        <v>33</v>
      </c>
      <c r="D1226">
        <v>19</v>
      </c>
      <c r="E1226" s="1">
        <f t="shared" si="19"/>
        <v>0.5757575757575758</v>
      </c>
      <c r="F1226">
        <v>111.8</v>
      </c>
      <c r="G1226">
        <v>100.5</v>
      </c>
      <c r="H1226">
        <v>0.77429999999999999</v>
      </c>
      <c r="I1226">
        <v>51.1</v>
      </c>
      <c r="J1226">
        <v>51.8</v>
      </c>
      <c r="K1226">
        <v>16.2</v>
      </c>
      <c r="L1226">
        <v>18.8</v>
      </c>
      <c r="M1226">
        <v>29.8</v>
      </c>
      <c r="N1226">
        <v>29.9</v>
      </c>
      <c r="O1226">
        <v>43</v>
      </c>
      <c r="P1226">
        <v>33.4</v>
      </c>
      <c r="Q1226">
        <v>52</v>
      </c>
      <c r="R1226">
        <v>51.3</v>
      </c>
      <c r="S1226">
        <v>32.700000000000003</v>
      </c>
      <c r="T1226">
        <v>35</v>
      </c>
      <c r="U1226">
        <v>72.900000000000006</v>
      </c>
      <c r="V1226">
        <v>-1.8</v>
      </c>
      <c r="W1226" cm="1">
        <f t="array" ref="W1226">_xlfn.IFS(OR(X1226="N/A",X1226="NA"),0,OR(X1226="R64",X1226="R68"),1,X1226="R32",2,X1226="S16",3,X1226="E8",4,X1226="F4",5,X1226="2ND",6,X1226="Champions",7)</f>
        <v>0</v>
      </c>
      <c r="X1226" t="s">
        <v>90</v>
      </c>
      <c r="Y1226" t="s">
        <v>90</v>
      </c>
      <c r="Z1226">
        <v>2016</v>
      </c>
    </row>
    <row r="1227" spans="1:26" x14ac:dyDescent="0.3">
      <c r="A1227" t="s">
        <v>367</v>
      </c>
      <c r="B1227" t="s">
        <v>29</v>
      </c>
      <c r="C1227">
        <v>32</v>
      </c>
      <c r="D1227">
        <v>20</v>
      </c>
      <c r="E1227" s="1">
        <f t="shared" si="19"/>
        <v>0.625</v>
      </c>
      <c r="F1227">
        <v>111</v>
      </c>
      <c r="G1227">
        <v>100.6</v>
      </c>
      <c r="H1227">
        <v>0.75560000000000005</v>
      </c>
      <c r="I1227">
        <v>48.1</v>
      </c>
      <c r="J1227">
        <v>49.7</v>
      </c>
      <c r="K1227">
        <v>17.100000000000001</v>
      </c>
      <c r="L1227">
        <v>20.100000000000001</v>
      </c>
      <c r="M1227">
        <v>34.6</v>
      </c>
      <c r="N1227">
        <v>31.1</v>
      </c>
      <c r="O1227">
        <v>41.3</v>
      </c>
      <c r="P1227">
        <v>40.700000000000003</v>
      </c>
      <c r="Q1227">
        <v>46.5</v>
      </c>
      <c r="R1227">
        <v>47.4</v>
      </c>
      <c r="S1227">
        <v>33.799999999999997</v>
      </c>
      <c r="T1227">
        <v>35.5</v>
      </c>
      <c r="U1227">
        <v>69.400000000000006</v>
      </c>
      <c r="V1227">
        <v>-1.4</v>
      </c>
      <c r="W1227" cm="1">
        <f t="array" ref="W1227">_xlfn.IFS(OR(X1227="N/A",X1227="NA"),0,OR(X1227="R64",X1227="R68"),1,X1227="R32",2,X1227="S16",3,X1227="E8",4,X1227="F4",5,X1227="2ND",6,X1227="Champions",7)</f>
        <v>0</v>
      </c>
      <c r="X1227" t="s">
        <v>90</v>
      </c>
      <c r="Y1227" t="s">
        <v>90</v>
      </c>
      <c r="Z1227">
        <v>2016</v>
      </c>
    </row>
    <row r="1228" spans="1:26" x14ac:dyDescent="0.3">
      <c r="A1228" t="s">
        <v>359</v>
      </c>
      <c r="B1228" t="s">
        <v>29</v>
      </c>
      <c r="C1228">
        <v>31</v>
      </c>
      <c r="D1228">
        <v>14</v>
      </c>
      <c r="E1228" s="1">
        <f t="shared" si="19"/>
        <v>0.45161290322580644</v>
      </c>
      <c r="F1228">
        <v>108.7</v>
      </c>
      <c r="G1228">
        <v>99.1</v>
      </c>
      <c r="H1228">
        <v>0.74480000000000002</v>
      </c>
      <c r="I1228">
        <v>51.7</v>
      </c>
      <c r="J1228">
        <v>48.9</v>
      </c>
      <c r="K1228">
        <v>18</v>
      </c>
      <c r="L1228">
        <v>18.5</v>
      </c>
      <c r="M1228">
        <v>29.7</v>
      </c>
      <c r="N1228">
        <v>32.9</v>
      </c>
      <c r="O1228">
        <v>29.5</v>
      </c>
      <c r="P1228">
        <v>36.299999999999997</v>
      </c>
      <c r="Q1228">
        <v>52.6</v>
      </c>
      <c r="R1228">
        <v>47.5</v>
      </c>
      <c r="S1228">
        <v>33.4</v>
      </c>
      <c r="T1228">
        <v>34.299999999999997</v>
      </c>
      <c r="U1228">
        <v>70.2</v>
      </c>
      <c r="V1228">
        <v>-6.2</v>
      </c>
      <c r="W1228" cm="1">
        <f t="array" ref="W1228">_xlfn.IFS(OR(X1228="N/A",X1228="NA"),0,OR(X1228="R64",X1228="R68"),1,X1228="R32",2,X1228="S16",3,X1228="E8",4,X1228="F4",5,X1228="2ND",6,X1228="Champions",7)</f>
        <v>0</v>
      </c>
      <c r="X1228" t="s">
        <v>90</v>
      </c>
      <c r="Y1228" t="s">
        <v>90</v>
      </c>
      <c r="Z1228">
        <v>2016</v>
      </c>
    </row>
    <row r="1229" spans="1:26" x14ac:dyDescent="0.3">
      <c r="A1229" t="s">
        <v>360</v>
      </c>
      <c r="B1229" t="s">
        <v>29</v>
      </c>
      <c r="C1229">
        <v>31</v>
      </c>
      <c r="D1229">
        <v>10</v>
      </c>
      <c r="E1229" s="1">
        <f t="shared" si="19"/>
        <v>0.32258064516129031</v>
      </c>
      <c r="F1229">
        <v>102.9</v>
      </c>
      <c r="G1229">
        <v>102.6</v>
      </c>
      <c r="H1229">
        <v>0.50880000000000003</v>
      </c>
      <c r="I1229">
        <v>47.2</v>
      </c>
      <c r="J1229">
        <v>49</v>
      </c>
      <c r="K1229">
        <v>18</v>
      </c>
      <c r="L1229">
        <v>16</v>
      </c>
      <c r="M1229">
        <v>26.8</v>
      </c>
      <c r="N1229">
        <v>29.8</v>
      </c>
      <c r="O1229">
        <v>39.6</v>
      </c>
      <c r="P1229">
        <v>40.799999999999997</v>
      </c>
      <c r="Q1229">
        <v>47.6</v>
      </c>
      <c r="R1229">
        <v>48</v>
      </c>
      <c r="S1229">
        <v>31</v>
      </c>
      <c r="T1229">
        <v>33.6</v>
      </c>
      <c r="U1229">
        <v>68.900000000000006</v>
      </c>
      <c r="V1229">
        <v>-9.5</v>
      </c>
      <c r="W1229" cm="1">
        <f t="array" ref="W1229">_xlfn.IFS(OR(X1229="N/A",X1229="NA"),0,OR(X1229="R64",X1229="R68"),1,X1229="R32",2,X1229="S16",3,X1229="E8",4,X1229="F4",5,X1229="2ND",6,X1229="Champions",7)</f>
        <v>0</v>
      </c>
      <c r="X1229" t="s">
        <v>90</v>
      </c>
      <c r="Y1229" t="s">
        <v>90</v>
      </c>
      <c r="Z1229">
        <v>2016</v>
      </c>
    </row>
    <row r="1230" spans="1:26" x14ac:dyDescent="0.3">
      <c r="A1230" t="s">
        <v>86</v>
      </c>
      <c r="B1230" t="s">
        <v>29</v>
      </c>
      <c r="C1230">
        <v>33</v>
      </c>
      <c r="D1230">
        <v>24</v>
      </c>
      <c r="E1230" s="1">
        <f t="shared" si="19"/>
        <v>0.72727272727272729</v>
      </c>
      <c r="F1230">
        <v>108.1</v>
      </c>
      <c r="G1230">
        <v>95.3</v>
      </c>
      <c r="H1230">
        <v>0.80900000000000005</v>
      </c>
      <c r="I1230">
        <v>48.5</v>
      </c>
      <c r="J1230">
        <v>47.4</v>
      </c>
      <c r="K1230">
        <v>18.899999999999999</v>
      </c>
      <c r="L1230">
        <v>20.5</v>
      </c>
      <c r="M1230">
        <v>37.5</v>
      </c>
      <c r="N1230">
        <v>29.5</v>
      </c>
      <c r="O1230">
        <v>43.2</v>
      </c>
      <c r="P1230">
        <v>38.200000000000003</v>
      </c>
      <c r="Q1230">
        <v>46.6</v>
      </c>
      <c r="R1230">
        <v>42.9</v>
      </c>
      <c r="S1230">
        <v>35.4</v>
      </c>
      <c r="T1230">
        <v>35.799999999999997</v>
      </c>
      <c r="U1230">
        <v>71.2</v>
      </c>
      <c r="V1230">
        <v>1.8</v>
      </c>
      <c r="W1230" cm="1">
        <f t="array" ref="W1230">_xlfn.IFS(OR(X1230="N/A",X1230="NA"),0,OR(X1230="R64",X1230="R68"),1,X1230="R32",2,X1230="S16",3,X1230="E8",4,X1230="F4",5,X1230="2ND",6,X1230="Champions",7)</f>
        <v>0</v>
      </c>
      <c r="X1230" t="s">
        <v>90</v>
      </c>
      <c r="Y1230" t="s">
        <v>90</v>
      </c>
      <c r="Z1230">
        <v>2016</v>
      </c>
    </row>
    <row r="1231" spans="1:26" x14ac:dyDescent="0.3">
      <c r="A1231" t="s">
        <v>361</v>
      </c>
      <c r="B1231" t="s">
        <v>29</v>
      </c>
      <c r="C1231">
        <v>34</v>
      </c>
      <c r="D1231">
        <v>15</v>
      </c>
      <c r="E1231" s="1">
        <f t="shared" si="19"/>
        <v>0.44117647058823528</v>
      </c>
      <c r="F1231">
        <v>110.5</v>
      </c>
      <c r="G1231">
        <v>102</v>
      </c>
      <c r="H1231">
        <v>0.71540000000000004</v>
      </c>
      <c r="I1231">
        <v>48</v>
      </c>
      <c r="J1231">
        <v>48.5</v>
      </c>
      <c r="K1231">
        <v>15.8</v>
      </c>
      <c r="L1231">
        <v>17.3</v>
      </c>
      <c r="M1231">
        <v>32.1</v>
      </c>
      <c r="N1231">
        <v>34.5</v>
      </c>
      <c r="O1231">
        <v>34.1</v>
      </c>
      <c r="P1231">
        <v>37.299999999999997</v>
      </c>
      <c r="Q1231">
        <v>47.4</v>
      </c>
      <c r="R1231">
        <v>47.1</v>
      </c>
      <c r="S1231">
        <v>32.700000000000003</v>
      </c>
      <c r="T1231">
        <v>34.200000000000003</v>
      </c>
      <c r="U1231">
        <v>70</v>
      </c>
      <c r="V1231">
        <v>-5.8</v>
      </c>
      <c r="W1231" cm="1">
        <f t="array" ref="W1231">_xlfn.IFS(OR(X1231="N/A",X1231="NA"),0,OR(X1231="R64",X1231="R68"),1,X1231="R32",2,X1231="S16",3,X1231="E8",4,X1231="F4",5,X1231="2ND",6,X1231="Champions",7)</f>
        <v>0</v>
      </c>
      <c r="X1231" t="s">
        <v>90</v>
      </c>
      <c r="Y1231" t="s">
        <v>90</v>
      </c>
      <c r="Z1231">
        <v>2016</v>
      </c>
    </row>
    <row r="1232" spans="1:26" x14ac:dyDescent="0.3">
      <c r="A1232" t="s">
        <v>358</v>
      </c>
      <c r="B1232" t="s">
        <v>29</v>
      </c>
      <c r="C1232">
        <v>34</v>
      </c>
      <c r="D1232">
        <v>19</v>
      </c>
      <c r="E1232" s="1">
        <f t="shared" si="19"/>
        <v>0.55882352941176472</v>
      </c>
      <c r="F1232">
        <v>104.4</v>
      </c>
      <c r="G1232">
        <v>91.8</v>
      </c>
      <c r="H1232">
        <v>0.81420000000000003</v>
      </c>
      <c r="I1232">
        <v>48.2</v>
      </c>
      <c r="J1232">
        <v>46.1</v>
      </c>
      <c r="K1232">
        <v>20.399999999999999</v>
      </c>
      <c r="L1232">
        <v>19.8</v>
      </c>
      <c r="M1232">
        <v>34.1</v>
      </c>
      <c r="N1232">
        <v>26.6</v>
      </c>
      <c r="O1232">
        <v>39.1</v>
      </c>
      <c r="P1232">
        <v>39.9</v>
      </c>
      <c r="Q1232">
        <v>48.7</v>
      </c>
      <c r="R1232">
        <v>44.2</v>
      </c>
      <c r="S1232">
        <v>31.7</v>
      </c>
      <c r="T1232">
        <v>33.299999999999997</v>
      </c>
      <c r="U1232">
        <v>66.599999999999994</v>
      </c>
      <c r="V1232">
        <v>-1.8</v>
      </c>
      <c r="W1232" cm="1">
        <f t="array" ref="W1232">_xlfn.IFS(OR(X1232="N/A",X1232="NA"),0,OR(X1232="R64",X1232="R68"),1,X1232="R32",2,X1232="S16",3,X1232="E8",4,X1232="F4",5,X1232="2ND",6,X1232="Champions",7)</f>
        <v>0</v>
      </c>
      <c r="X1232" t="s">
        <v>90</v>
      </c>
      <c r="Y1232" t="s">
        <v>90</v>
      </c>
      <c r="Z1232">
        <v>2017</v>
      </c>
    </row>
    <row r="1233" spans="1:26" x14ac:dyDescent="0.3">
      <c r="A1233" t="s">
        <v>87</v>
      </c>
      <c r="B1233" t="s">
        <v>29</v>
      </c>
      <c r="C1233">
        <v>32</v>
      </c>
      <c r="D1233">
        <v>18</v>
      </c>
      <c r="E1233" s="1">
        <f t="shared" si="19"/>
        <v>0.5625</v>
      </c>
      <c r="F1233">
        <v>112.4</v>
      </c>
      <c r="G1233">
        <v>102.5</v>
      </c>
      <c r="H1233">
        <v>0.74250000000000005</v>
      </c>
      <c r="I1233">
        <v>51.1</v>
      </c>
      <c r="J1233">
        <v>50.6</v>
      </c>
      <c r="K1233">
        <v>17.899999999999999</v>
      </c>
      <c r="L1233">
        <v>19.899999999999999</v>
      </c>
      <c r="M1233">
        <v>30.3</v>
      </c>
      <c r="N1233">
        <v>33.299999999999997</v>
      </c>
      <c r="O1233">
        <v>42.5</v>
      </c>
      <c r="P1233">
        <v>38.799999999999997</v>
      </c>
      <c r="Q1233">
        <v>48.5</v>
      </c>
      <c r="R1233">
        <v>48.7</v>
      </c>
      <c r="S1233">
        <v>36.6</v>
      </c>
      <c r="T1233">
        <v>35.700000000000003</v>
      </c>
      <c r="U1233">
        <v>75.2</v>
      </c>
      <c r="V1233">
        <v>-2.4</v>
      </c>
      <c r="W1233" cm="1">
        <f t="array" ref="W1233">_xlfn.IFS(OR(X1233="N/A",X1233="NA"),0,OR(X1233="R64",X1233="R68"),1,X1233="R32",2,X1233="S16",3,X1233="E8",4,X1233="F4",5,X1233="2ND",6,X1233="Champions",7)</f>
        <v>0</v>
      </c>
      <c r="X1233" t="s">
        <v>90</v>
      </c>
      <c r="Y1233" t="s">
        <v>90</v>
      </c>
      <c r="Z1233">
        <v>2017</v>
      </c>
    </row>
    <row r="1234" spans="1:26" x14ac:dyDescent="0.3">
      <c r="A1234" t="s">
        <v>365</v>
      </c>
      <c r="B1234" t="s">
        <v>29</v>
      </c>
      <c r="C1234">
        <v>33</v>
      </c>
      <c r="D1234">
        <v>19</v>
      </c>
      <c r="E1234" s="1">
        <f t="shared" si="19"/>
        <v>0.5757575757575758</v>
      </c>
      <c r="F1234">
        <v>107.9</v>
      </c>
      <c r="G1234">
        <v>95.9</v>
      </c>
      <c r="H1234">
        <v>0.79610000000000003</v>
      </c>
      <c r="I1234">
        <v>48.1</v>
      </c>
      <c r="J1234">
        <v>47.2</v>
      </c>
      <c r="K1234">
        <v>18.600000000000001</v>
      </c>
      <c r="L1234">
        <v>16.7</v>
      </c>
      <c r="M1234">
        <v>28.9</v>
      </c>
      <c r="N1234">
        <v>28.2</v>
      </c>
      <c r="O1234">
        <v>40.700000000000003</v>
      </c>
      <c r="P1234">
        <v>34.200000000000003</v>
      </c>
      <c r="Q1234">
        <v>48.3</v>
      </c>
      <c r="R1234">
        <v>45.4</v>
      </c>
      <c r="S1234">
        <v>31.8</v>
      </c>
      <c r="T1234">
        <v>33.6</v>
      </c>
      <c r="U1234">
        <v>68.5</v>
      </c>
      <c r="V1234">
        <v>0.3</v>
      </c>
      <c r="W1234" cm="1">
        <f t="array" ref="W1234">_xlfn.IFS(OR(X1234="N/A",X1234="NA"),0,OR(X1234="R64",X1234="R68"),1,X1234="R32",2,X1234="S16",3,X1234="E8",4,X1234="F4",5,X1234="2ND",6,X1234="Champions",7)</f>
        <v>0</v>
      </c>
      <c r="X1234" t="s">
        <v>90</v>
      </c>
      <c r="Y1234" t="s">
        <v>90</v>
      </c>
      <c r="Z1234">
        <v>2017</v>
      </c>
    </row>
    <row r="1235" spans="1:26" x14ac:dyDescent="0.3">
      <c r="A1235" t="s">
        <v>366</v>
      </c>
      <c r="B1235" t="s">
        <v>29</v>
      </c>
      <c r="C1235">
        <v>31</v>
      </c>
      <c r="D1235">
        <v>10</v>
      </c>
      <c r="E1235" s="1">
        <f t="shared" si="19"/>
        <v>0.32258064516129031</v>
      </c>
      <c r="F1235">
        <v>108.3</v>
      </c>
      <c r="G1235">
        <v>109.4</v>
      </c>
      <c r="H1235">
        <v>0.47099999999999997</v>
      </c>
      <c r="I1235">
        <v>50.2</v>
      </c>
      <c r="J1235">
        <v>54.6</v>
      </c>
      <c r="K1235">
        <v>19.8</v>
      </c>
      <c r="L1235">
        <v>16.899999999999999</v>
      </c>
      <c r="M1235">
        <v>31.2</v>
      </c>
      <c r="N1235">
        <v>31.3</v>
      </c>
      <c r="O1235">
        <v>31.5</v>
      </c>
      <c r="P1235">
        <v>36.9</v>
      </c>
      <c r="Q1235">
        <v>50.2</v>
      </c>
      <c r="R1235">
        <v>52.9</v>
      </c>
      <c r="S1235">
        <v>33.6</v>
      </c>
      <c r="T1235">
        <v>38.200000000000003</v>
      </c>
      <c r="U1235">
        <v>73.400000000000006</v>
      </c>
      <c r="V1235">
        <v>-8.8000000000000007</v>
      </c>
      <c r="W1235" cm="1">
        <f t="array" ref="W1235">_xlfn.IFS(OR(X1235="N/A",X1235="NA"),0,OR(X1235="R64",X1235="R68"),1,X1235="R32",2,X1235="S16",3,X1235="E8",4,X1235="F4",5,X1235="2ND",6,X1235="Champions",7)</f>
        <v>0</v>
      </c>
      <c r="X1235" t="s">
        <v>90</v>
      </c>
      <c r="Y1235" t="s">
        <v>90</v>
      </c>
      <c r="Z1235">
        <v>2017</v>
      </c>
    </row>
    <row r="1236" spans="1:26" x14ac:dyDescent="0.3">
      <c r="A1236" t="s">
        <v>367</v>
      </c>
      <c r="B1236" t="s">
        <v>29</v>
      </c>
      <c r="C1236">
        <v>36</v>
      </c>
      <c r="D1236">
        <v>22</v>
      </c>
      <c r="E1236" s="1">
        <f t="shared" si="19"/>
        <v>0.61111111111111116</v>
      </c>
      <c r="F1236">
        <v>110.3</v>
      </c>
      <c r="G1236">
        <v>100.3</v>
      </c>
      <c r="H1236">
        <v>0.74939999999999996</v>
      </c>
      <c r="I1236">
        <v>48.8</v>
      </c>
      <c r="J1236">
        <v>49.8</v>
      </c>
      <c r="K1236">
        <v>19.3</v>
      </c>
      <c r="L1236">
        <v>18.8</v>
      </c>
      <c r="M1236">
        <v>33.9</v>
      </c>
      <c r="N1236">
        <v>30</v>
      </c>
      <c r="O1236">
        <v>42.8</v>
      </c>
      <c r="P1236">
        <v>35.6</v>
      </c>
      <c r="Q1236">
        <v>46.8</v>
      </c>
      <c r="R1236">
        <v>46.7</v>
      </c>
      <c r="S1236">
        <v>34.700000000000003</v>
      </c>
      <c r="T1236">
        <v>36.299999999999997</v>
      </c>
      <c r="U1236">
        <v>72.7</v>
      </c>
      <c r="V1236">
        <v>-1.3</v>
      </c>
      <c r="W1236" cm="1">
        <f t="array" ref="W1236">_xlfn.IFS(OR(X1236="N/A",X1236="NA"),0,OR(X1236="R64",X1236="R68"),1,X1236="R32",2,X1236="S16",3,X1236="E8",4,X1236="F4",5,X1236="2ND",6,X1236="Champions",7)</f>
        <v>0</v>
      </c>
      <c r="X1236" t="s">
        <v>90</v>
      </c>
      <c r="Y1236" t="s">
        <v>90</v>
      </c>
      <c r="Z1236">
        <v>2017</v>
      </c>
    </row>
    <row r="1237" spans="1:26" x14ac:dyDescent="0.3">
      <c r="A1237" t="s">
        <v>359</v>
      </c>
      <c r="B1237" t="s">
        <v>29</v>
      </c>
      <c r="C1237">
        <v>32</v>
      </c>
      <c r="D1237">
        <v>16</v>
      </c>
      <c r="E1237" s="1">
        <f t="shared" si="19"/>
        <v>0.5</v>
      </c>
      <c r="F1237">
        <v>104.1</v>
      </c>
      <c r="G1237">
        <v>98.3</v>
      </c>
      <c r="H1237">
        <v>0.65669999999999995</v>
      </c>
      <c r="I1237">
        <v>51.1</v>
      </c>
      <c r="J1237">
        <v>48.1</v>
      </c>
      <c r="K1237">
        <v>19</v>
      </c>
      <c r="L1237">
        <v>19.7</v>
      </c>
      <c r="M1237">
        <v>27.1</v>
      </c>
      <c r="N1237">
        <v>30.1</v>
      </c>
      <c r="O1237">
        <v>33.9</v>
      </c>
      <c r="P1237">
        <v>37.9</v>
      </c>
      <c r="Q1237">
        <v>50.4</v>
      </c>
      <c r="R1237">
        <v>48.6</v>
      </c>
      <c r="S1237">
        <v>34.700000000000003</v>
      </c>
      <c r="T1237">
        <v>31.5</v>
      </c>
      <c r="U1237">
        <v>70.2</v>
      </c>
      <c r="V1237">
        <v>-5.3</v>
      </c>
      <c r="W1237" cm="1">
        <f t="array" ref="W1237">_xlfn.IFS(OR(X1237="N/A",X1237="NA"),0,OR(X1237="R64",X1237="R68"),1,X1237="R32",2,X1237="S16",3,X1237="E8",4,X1237="F4",5,X1237="2ND",6,X1237="Champions",7)</f>
        <v>0</v>
      </c>
      <c r="X1237" t="s">
        <v>90</v>
      </c>
      <c r="Y1237" t="s">
        <v>90</v>
      </c>
      <c r="Z1237">
        <v>2017</v>
      </c>
    </row>
    <row r="1238" spans="1:26" x14ac:dyDescent="0.3">
      <c r="A1238" t="s">
        <v>360</v>
      </c>
      <c r="B1238" t="s">
        <v>29</v>
      </c>
      <c r="C1238">
        <v>32</v>
      </c>
      <c r="D1238">
        <v>8</v>
      </c>
      <c r="E1238" s="1">
        <f t="shared" si="19"/>
        <v>0.25</v>
      </c>
      <c r="F1238">
        <v>101.3</v>
      </c>
      <c r="G1238">
        <v>100</v>
      </c>
      <c r="H1238">
        <v>0.53859999999999997</v>
      </c>
      <c r="I1238">
        <v>45.2</v>
      </c>
      <c r="J1238">
        <v>49.6</v>
      </c>
      <c r="K1238">
        <v>16.899999999999999</v>
      </c>
      <c r="L1238">
        <v>19.2</v>
      </c>
      <c r="M1238">
        <v>28.2</v>
      </c>
      <c r="N1238">
        <v>30.2</v>
      </c>
      <c r="O1238">
        <v>38.700000000000003</v>
      </c>
      <c r="P1238">
        <v>42.6</v>
      </c>
      <c r="Q1238">
        <v>45</v>
      </c>
      <c r="R1238">
        <v>48.3</v>
      </c>
      <c r="S1238">
        <v>30.4</v>
      </c>
      <c r="T1238">
        <v>34.4</v>
      </c>
      <c r="U1238">
        <v>69.7</v>
      </c>
      <c r="V1238">
        <v>-12.5</v>
      </c>
      <c r="W1238" cm="1">
        <f t="array" ref="W1238">_xlfn.IFS(OR(X1238="N/A",X1238="NA"),0,OR(X1238="R64",X1238="R68"),1,X1238="R32",2,X1238="S16",3,X1238="E8",4,X1238="F4",5,X1238="2ND",6,X1238="Champions",7)</f>
        <v>0</v>
      </c>
      <c r="X1238" t="s">
        <v>90</v>
      </c>
      <c r="Y1238" t="s">
        <v>90</v>
      </c>
      <c r="Z1238">
        <v>2017</v>
      </c>
    </row>
    <row r="1239" spans="1:26" x14ac:dyDescent="0.3">
      <c r="A1239" t="s">
        <v>361</v>
      </c>
      <c r="B1239" t="s">
        <v>29</v>
      </c>
      <c r="C1239">
        <v>31</v>
      </c>
      <c r="D1239">
        <v>16</v>
      </c>
      <c r="E1239" s="1">
        <f t="shared" si="19"/>
        <v>0.5161290322580645</v>
      </c>
      <c r="F1239">
        <v>109.3</v>
      </c>
      <c r="G1239">
        <v>96.3</v>
      </c>
      <c r="H1239">
        <v>0.81</v>
      </c>
      <c r="I1239">
        <v>46.8</v>
      </c>
      <c r="J1239">
        <v>48.6</v>
      </c>
      <c r="K1239">
        <v>17.399999999999999</v>
      </c>
      <c r="L1239">
        <v>19.3</v>
      </c>
      <c r="M1239">
        <v>31.8</v>
      </c>
      <c r="N1239">
        <v>30.1</v>
      </c>
      <c r="O1239">
        <v>42.9</v>
      </c>
      <c r="P1239">
        <v>43.3</v>
      </c>
      <c r="Q1239">
        <v>46</v>
      </c>
      <c r="R1239">
        <v>46.2</v>
      </c>
      <c r="S1239">
        <v>32.4</v>
      </c>
      <c r="T1239">
        <v>35.5</v>
      </c>
      <c r="U1239">
        <v>70.8</v>
      </c>
      <c r="V1239">
        <v>-2.2000000000000002</v>
      </c>
      <c r="W1239" cm="1">
        <f t="array" ref="W1239">_xlfn.IFS(OR(X1239="N/A",X1239="NA"),0,OR(X1239="R64",X1239="R68"),1,X1239="R32",2,X1239="S16",3,X1239="E8",4,X1239="F4",5,X1239="2ND",6,X1239="Champions",7)</f>
        <v>0</v>
      </c>
      <c r="X1239" t="s">
        <v>90</v>
      </c>
      <c r="Y1239" t="s">
        <v>90</v>
      </c>
      <c r="Z1239">
        <v>2017</v>
      </c>
    </row>
    <row r="1240" spans="1:26" x14ac:dyDescent="0.3">
      <c r="A1240" t="s">
        <v>362</v>
      </c>
      <c r="B1240" t="s">
        <v>29</v>
      </c>
      <c r="C1240">
        <v>31</v>
      </c>
      <c r="D1240">
        <v>16</v>
      </c>
      <c r="E1240" s="1">
        <f t="shared" si="19"/>
        <v>0.5161290322580645</v>
      </c>
      <c r="F1240">
        <v>108.3</v>
      </c>
      <c r="G1240">
        <v>95.6</v>
      </c>
      <c r="H1240">
        <v>0.80710000000000004</v>
      </c>
      <c r="I1240">
        <v>51.2</v>
      </c>
      <c r="J1240">
        <v>47.2</v>
      </c>
      <c r="K1240">
        <v>21.2</v>
      </c>
      <c r="L1240">
        <v>17.399999999999999</v>
      </c>
      <c r="M1240">
        <v>37.4</v>
      </c>
      <c r="N1240">
        <v>31.2</v>
      </c>
      <c r="O1240">
        <v>33.299999999999997</v>
      </c>
      <c r="P1240">
        <v>28.1</v>
      </c>
      <c r="Q1240">
        <v>52.1</v>
      </c>
      <c r="R1240">
        <v>43.7</v>
      </c>
      <c r="S1240">
        <v>32.9</v>
      </c>
      <c r="T1240">
        <v>35.200000000000003</v>
      </c>
      <c r="U1240">
        <v>65.8</v>
      </c>
      <c r="V1240">
        <v>-2.9</v>
      </c>
      <c r="W1240" cm="1">
        <f t="array" ref="W1240">_xlfn.IFS(OR(X1240="N/A",X1240="NA"),0,OR(X1240="R64",X1240="R68"),1,X1240="R32",2,X1240="S16",3,X1240="E8",4,X1240="F4",5,X1240="2ND",6,X1240="Champions",7)</f>
        <v>0</v>
      </c>
      <c r="X1240" t="s">
        <v>90</v>
      </c>
      <c r="Y1240" t="s">
        <v>90</v>
      </c>
      <c r="Z1240">
        <v>2017</v>
      </c>
    </row>
    <row r="1241" spans="1:26" x14ac:dyDescent="0.3">
      <c r="A1241" t="s">
        <v>365</v>
      </c>
      <c r="B1241" t="s">
        <v>29</v>
      </c>
      <c r="C1241">
        <v>33</v>
      </c>
      <c r="D1241">
        <v>18</v>
      </c>
      <c r="E1241" s="1">
        <f t="shared" si="19"/>
        <v>0.54545454545454541</v>
      </c>
      <c r="F1241">
        <v>107.5</v>
      </c>
      <c r="G1241">
        <v>95.3</v>
      </c>
      <c r="H1241">
        <v>0.80069999999999997</v>
      </c>
      <c r="I1241">
        <v>47.5</v>
      </c>
      <c r="J1241">
        <v>45.6</v>
      </c>
      <c r="K1241">
        <v>19.2</v>
      </c>
      <c r="L1241">
        <v>14.5</v>
      </c>
      <c r="M1241">
        <v>34.799999999999997</v>
      </c>
      <c r="N1241">
        <v>28.9</v>
      </c>
      <c r="O1241">
        <v>40.1</v>
      </c>
      <c r="P1241">
        <v>27.7</v>
      </c>
      <c r="Q1241">
        <v>47.4</v>
      </c>
      <c r="R1241">
        <v>43.1</v>
      </c>
      <c r="S1241">
        <v>31.8</v>
      </c>
      <c r="T1241">
        <v>33.200000000000003</v>
      </c>
      <c r="U1241">
        <v>65.599999999999994</v>
      </c>
      <c r="V1241">
        <v>-1.1000000000000001</v>
      </c>
      <c r="W1241" cm="1">
        <f t="array" ref="W1241">_xlfn.IFS(OR(X1241="N/A",X1241="NA"),0,OR(X1241="R64",X1241="R68"),1,X1241="R32",2,X1241="S16",3,X1241="E8",4,X1241="F4",5,X1241="2ND",6,X1241="Champions",7)</f>
        <v>0</v>
      </c>
      <c r="X1241" t="s">
        <v>90</v>
      </c>
      <c r="Y1241" t="s">
        <v>90</v>
      </c>
      <c r="Z1241">
        <v>2018</v>
      </c>
    </row>
    <row r="1242" spans="1:26" x14ac:dyDescent="0.3">
      <c r="A1242" t="s">
        <v>366</v>
      </c>
      <c r="B1242" t="s">
        <v>29</v>
      </c>
      <c r="C1242">
        <v>33</v>
      </c>
      <c r="D1242">
        <v>18</v>
      </c>
      <c r="E1242" s="1">
        <f t="shared" si="19"/>
        <v>0.54545454545454541</v>
      </c>
      <c r="F1242">
        <v>114.2</v>
      </c>
      <c r="G1242">
        <v>102.7</v>
      </c>
      <c r="H1242">
        <v>0.77210000000000001</v>
      </c>
      <c r="I1242">
        <v>54.5</v>
      </c>
      <c r="J1242">
        <v>52.7</v>
      </c>
      <c r="K1242">
        <v>16.600000000000001</v>
      </c>
      <c r="L1242">
        <v>19.600000000000001</v>
      </c>
      <c r="M1242">
        <v>29.2</v>
      </c>
      <c r="N1242">
        <v>31.6</v>
      </c>
      <c r="O1242">
        <v>32.5</v>
      </c>
      <c r="P1242">
        <v>32.700000000000003</v>
      </c>
      <c r="Q1242">
        <v>56.3</v>
      </c>
      <c r="R1242">
        <v>52.6</v>
      </c>
      <c r="S1242">
        <v>34.6</v>
      </c>
      <c r="T1242">
        <v>35.299999999999997</v>
      </c>
      <c r="U1242">
        <v>69.5</v>
      </c>
      <c r="V1242">
        <v>-1.9</v>
      </c>
      <c r="W1242" cm="1">
        <f t="array" ref="W1242">_xlfn.IFS(OR(X1242="N/A",X1242="NA"),0,OR(X1242="R64",X1242="R68"),1,X1242="R32",2,X1242="S16",3,X1242="E8",4,X1242="F4",5,X1242="2ND",6,X1242="Champions",7)</f>
        <v>0</v>
      </c>
      <c r="X1242" t="s">
        <v>90</v>
      </c>
      <c r="Y1242" t="s">
        <v>90</v>
      </c>
      <c r="Z1242">
        <v>2018</v>
      </c>
    </row>
    <row r="1243" spans="1:26" x14ac:dyDescent="0.3">
      <c r="A1243" t="s">
        <v>367</v>
      </c>
      <c r="B1243" t="s">
        <v>29</v>
      </c>
      <c r="C1243">
        <v>32</v>
      </c>
      <c r="D1243">
        <v>12</v>
      </c>
      <c r="E1243" s="1">
        <f t="shared" si="19"/>
        <v>0.375</v>
      </c>
      <c r="F1243">
        <v>110.4</v>
      </c>
      <c r="G1243">
        <v>103.9</v>
      </c>
      <c r="H1243">
        <v>0.66869999999999996</v>
      </c>
      <c r="I1243">
        <v>48.3</v>
      </c>
      <c r="J1243">
        <v>51.5</v>
      </c>
      <c r="K1243">
        <v>15.9</v>
      </c>
      <c r="L1243">
        <v>17.3</v>
      </c>
      <c r="M1243">
        <v>31.3</v>
      </c>
      <c r="N1243">
        <v>30.7</v>
      </c>
      <c r="O1243">
        <v>33.799999999999997</v>
      </c>
      <c r="P1243">
        <v>36.9</v>
      </c>
      <c r="Q1243">
        <v>48.7</v>
      </c>
      <c r="R1243">
        <v>48.1</v>
      </c>
      <c r="S1243">
        <v>31.9</v>
      </c>
      <c r="T1243">
        <v>37.799999999999997</v>
      </c>
      <c r="U1243">
        <v>71</v>
      </c>
      <c r="V1243">
        <v>-7</v>
      </c>
      <c r="W1243" cm="1">
        <f t="array" ref="W1243">_xlfn.IFS(OR(X1243="N/A",X1243="NA"),0,OR(X1243="R64",X1243="R68"),1,X1243="R32",2,X1243="S16",3,X1243="E8",4,X1243="F4",5,X1243="2ND",6,X1243="Champions",7)</f>
        <v>0</v>
      </c>
      <c r="X1243" t="s">
        <v>90</v>
      </c>
      <c r="Y1243" t="s">
        <v>90</v>
      </c>
      <c r="Z1243">
        <v>2018</v>
      </c>
    </row>
    <row r="1244" spans="1:26" x14ac:dyDescent="0.3">
      <c r="A1244" t="s">
        <v>359</v>
      </c>
      <c r="B1244" t="s">
        <v>29</v>
      </c>
      <c r="C1244">
        <v>36</v>
      </c>
      <c r="D1244">
        <v>25</v>
      </c>
      <c r="E1244" s="1">
        <f t="shared" si="19"/>
        <v>0.69444444444444442</v>
      </c>
      <c r="F1244">
        <v>111.2</v>
      </c>
      <c r="G1244">
        <v>96.6</v>
      </c>
      <c r="H1244">
        <v>0.83430000000000004</v>
      </c>
      <c r="I1244">
        <v>52.2</v>
      </c>
      <c r="J1244">
        <v>48.3</v>
      </c>
      <c r="K1244">
        <v>19.100000000000001</v>
      </c>
      <c r="L1244">
        <v>19.5</v>
      </c>
      <c r="M1244">
        <v>32.1</v>
      </c>
      <c r="N1244">
        <v>30.7</v>
      </c>
      <c r="O1244">
        <v>31.7</v>
      </c>
      <c r="P1244">
        <v>29.7</v>
      </c>
      <c r="Q1244">
        <v>55.2</v>
      </c>
      <c r="R1244">
        <v>47.2</v>
      </c>
      <c r="S1244">
        <v>31.5</v>
      </c>
      <c r="T1244">
        <v>33.299999999999997</v>
      </c>
      <c r="U1244">
        <v>68.599999999999994</v>
      </c>
      <c r="V1244">
        <v>0</v>
      </c>
      <c r="W1244" cm="1">
        <f t="array" ref="W1244">_xlfn.IFS(OR(X1244="N/A",X1244="NA"),0,OR(X1244="R64",X1244="R68"),1,X1244="R32",2,X1244="S16",3,X1244="E8",4,X1244="F4",5,X1244="2ND",6,X1244="Champions",7)</f>
        <v>0</v>
      </c>
      <c r="X1244" t="s">
        <v>90</v>
      </c>
      <c r="Y1244" t="s">
        <v>90</v>
      </c>
      <c r="Z1244">
        <v>2018</v>
      </c>
    </row>
    <row r="1245" spans="1:26" x14ac:dyDescent="0.3">
      <c r="A1245" t="s">
        <v>86</v>
      </c>
      <c r="B1245" t="s">
        <v>29</v>
      </c>
      <c r="C1245">
        <v>32</v>
      </c>
      <c r="D1245">
        <v>17</v>
      </c>
      <c r="E1245" s="1">
        <f t="shared" si="19"/>
        <v>0.53125</v>
      </c>
      <c r="F1245">
        <v>104.7</v>
      </c>
      <c r="G1245">
        <v>94.8</v>
      </c>
      <c r="H1245">
        <v>0.75900000000000001</v>
      </c>
      <c r="I1245">
        <v>46.2</v>
      </c>
      <c r="J1245">
        <v>49.3</v>
      </c>
      <c r="K1245">
        <v>19.7</v>
      </c>
      <c r="L1245">
        <v>21</v>
      </c>
      <c r="M1245">
        <v>33.6</v>
      </c>
      <c r="N1245">
        <v>27.5</v>
      </c>
      <c r="O1245">
        <v>42.8</v>
      </c>
      <c r="P1245">
        <v>43.1</v>
      </c>
      <c r="Q1245">
        <v>43.5</v>
      </c>
      <c r="R1245">
        <v>48.7</v>
      </c>
      <c r="S1245">
        <v>33.799999999999997</v>
      </c>
      <c r="T1245">
        <v>33.5</v>
      </c>
      <c r="U1245">
        <v>69.8</v>
      </c>
      <c r="V1245">
        <v>-3.1</v>
      </c>
      <c r="W1245" cm="1">
        <f t="array" ref="W1245">_xlfn.IFS(OR(X1245="N/A",X1245="NA"),0,OR(X1245="R64",X1245="R68"),1,X1245="R32",2,X1245="S16",3,X1245="E8",4,X1245="F4",5,X1245="2ND",6,X1245="Champions",7)</f>
        <v>0</v>
      </c>
      <c r="X1245" t="s">
        <v>90</v>
      </c>
      <c r="Y1245" t="s">
        <v>90</v>
      </c>
      <c r="Z1245">
        <v>2018</v>
      </c>
    </row>
    <row r="1246" spans="1:26" x14ac:dyDescent="0.3">
      <c r="A1246" t="s">
        <v>363</v>
      </c>
      <c r="B1246" t="s">
        <v>29</v>
      </c>
      <c r="C1246">
        <v>32</v>
      </c>
      <c r="D1246">
        <v>12</v>
      </c>
      <c r="E1246" s="1">
        <f t="shared" si="19"/>
        <v>0.375</v>
      </c>
      <c r="F1246">
        <v>114.7</v>
      </c>
      <c r="G1246">
        <v>105.9</v>
      </c>
      <c r="H1246">
        <v>0.71419999999999995</v>
      </c>
      <c r="I1246">
        <v>51.8</v>
      </c>
      <c r="J1246">
        <v>52.4</v>
      </c>
      <c r="K1246">
        <v>17.7</v>
      </c>
      <c r="L1246">
        <v>14.7</v>
      </c>
      <c r="M1246">
        <v>28.6</v>
      </c>
      <c r="N1246">
        <v>27.7</v>
      </c>
      <c r="O1246">
        <v>36.200000000000003</v>
      </c>
      <c r="P1246">
        <v>36.5</v>
      </c>
      <c r="Q1246">
        <v>50.8</v>
      </c>
      <c r="R1246">
        <v>50.7</v>
      </c>
      <c r="S1246">
        <v>35.299999999999997</v>
      </c>
      <c r="T1246">
        <v>37.4</v>
      </c>
      <c r="U1246">
        <v>67</v>
      </c>
      <c r="V1246">
        <v>-6</v>
      </c>
      <c r="W1246" cm="1">
        <f t="array" ref="W1246">_xlfn.IFS(OR(X1246="N/A",X1246="NA"),0,OR(X1246="R64",X1246="R68"),1,X1246="R32",2,X1246="S16",3,X1246="E8",4,X1246="F4",5,X1246="2ND",6,X1246="Champions",7)</f>
        <v>0</v>
      </c>
      <c r="X1246" t="s">
        <v>90</v>
      </c>
      <c r="Y1246" t="s">
        <v>90</v>
      </c>
      <c r="Z1246">
        <v>2018</v>
      </c>
    </row>
    <row r="1247" spans="1:26" x14ac:dyDescent="0.3">
      <c r="A1247" t="s">
        <v>358</v>
      </c>
      <c r="B1247" t="s">
        <v>29</v>
      </c>
      <c r="C1247">
        <v>34</v>
      </c>
      <c r="D1247">
        <v>18</v>
      </c>
      <c r="E1247" s="1">
        <f t="shared" si="19"/>
        <v>0.52941176470588236</v>
      </c>
      <c r="F1247">
        <v>107.4</v>
      </c>
      <c r="G1247">
        <v>95.6</v>
      </c>
      <c r="H1247">
        <v>0.79310000000000003</v>
      </c>
      <c r="I1247">
        <v>50.3</v>
      </c>
      <c r="J1247">
        <v>48.9</v>
      </c>
      <c r="K1247">
        <v>19.5</v>
      </c>
      <c r="L1247">
        <v>16.899999999999999</v>
      </c>
      <c r="M1247">
        <v>31.5</v>
      </c>
      <c r="N1247">
        <v>28</v>
      </c>
      <c r="O1247">
        <v>38</v>
      </c>
      <c r="P1247">
        <v>29.6</v>
      </c>
      <c r="Q1247">
        <v>49.9</v>
      </c>
      <c r="R1247">
        <v>48.5</v>
      </c>
      <c r="S1247">
        <v>34</v>
      </c>
      <c r="T1247">
        <v>33.299999999999997</v>
      </c>
      <c r="U1247">
        <v>70.099999999999994</v>
      </c>
      <c r="V1247">
        <v>-0.2</v>
      </c>
      <c r="W1247" cm="1">
        <f t="array" ref="W1247">_xlfn.IFS(OR(X1247="N/A",X1247="NA"),0,OR(X1247="R64",X1247="R68"),1,X1247="R32",2,X1247="S16",3,X1247="E8",4,X1247="F4",5,X1247="2ND",6,X1247="Champions",7)</f>
        <v>0</v>
      </c>
      <c r="X1247" t="s">
        <v>90</v>
      </c>
      <c r="Y1247" t="s">
        <v>90</v>
      </c>
      <c r="Z1247">
        <v>2019</v>
      </c>
    </row>
    <row r="1248" spans="1:26" x14ac:dyDescent="0.3">
      <c r="A1248" t="s">
        <v>364</v>
      </c>
      <c r="B1248" t="s">
        <v>29</v>
      </c>
      <c r="C1248">
        <v>34</v>
      </c>
      <c r="D1248">
        <v>18</v>
      </c>
      <c r="E1248" s="1">
        <f t="shared" si="19"/>
        <v>0.52941176470588236</v>
      </c>
      <c r="F1248">
        <v>109.3</v>
      </c>
      <c r="G1248">
        <v>96.7</v>
      </c>
      <c r="H1248">
        <v>0.80459999999999998</v>
      </c>
      <c r="I1248">
        <v>51</v>
      </c>
      <c r="J1248">
        <v>49.4</v>
      </c>
      <c r="K1248">
        <v>18.3</v>
      </c>
      <c r="L1248">
        <v>22.5</v>
      </c>
      <c r="M1248">
        <v>28.3</v>
      </c>
      <c r="N1248">
        <v>34.799999999999997</v>
      </c>
      <c r="O1248">
        <v>38.4</v>
      </c>
      <c r="P1248">
        <v>41.7</v>
      </c>
      <c r="Q1248">
        <v>50.6</v>
      </c>
      <c r="R1248">
        <v>48.9</v>
      </c>
      <c r="S1248">
        <v>34.5</v>
      </c>
      <c r="T1248">
        <v>33.299999999999997</v>
      </c>
      <c r="U1248">
        <v>71.900000000000006</v>
      </c>
      <c r="V1248">
        <v>-2.2000000000000002</v>
      </c>
      <c r="W1248" cm="1">
        <f t="array" ref="W1248">_xlfn.IFS(OR(X1248="N/A",X1248="NA"),0,OR(X1248="R64",X1248="R68"),1,X1248="R32",2,X1248="S16",3,X1248="E8",4,X1248="F4",5,X1248="2ND",6,X1248="Champions",7)</f>
        <v>0</v>
      </c>
      <c r="X1248" t="s">
        <v>90</v>
      </c>
      <c r="Y1248" t="s">
        <v>90</v>
      </c>
      <c r="Z1248">
        <v>2019</v>
      </c>
    </row>
    <row r="1249" spans="1:26" x14ac:dyDescent="0.3">
      <c r="A1249" t="s">
        <v>365</v>
      </c>
      <c r="B1249" t="s">
        <v>29</v>
      </c>
      <c r="C1249">
        <v>32</v>
      </c>
      <c r="D1249">
        <v>11</v>
      </c>
      <c r="E1249" s="1">
        <f t="shared" si="19"/>
        <v>0.34375</v>
      </c>
      <c r="F1249">
        <v>105</v>
      </c>
      <c r="G1249">
        <v>100</v>
      </c>
      <c r="H1249">
        <v>0.63439999999999996</v>
      </c>
      <c r="I1249">
        <v>50.1</v>
      </c>
      <c r="J1249">
        <v>48.5</v>
      </c>
      <c r="K1249">
        <v>22.5</v>
      </c>
      <c r="L1249">
        <v>15.5</v>
      </c>
      <c r="M1249">
        <v>32.700000000000003</v>
      </c>
      <c r="N1249">
        <v>31</v>
      </c>
      <c r="O1249">
        <v>41.3</v>
      </c>
      <c r="P1249">
        <v>29.9</v>
      </c>
      <c r="Q1249">
        <v>51.1</v>
      </c>
      <c r="R1249">
        <v>47.8</v>
      </c>
      <c r="S1249">
        <v>32.200000000000003</v>
      </c>
      <c r="T1249">
        <v>33.200000000000003</v>
      </c>
      <c r="U1249">
        <v>70.2</v>
      </c>
      <c r="V1249">
        <v>-7.4</v>
      </c>
      <c r="W1249" cm="1">
        <f t="array" ref="W1249">_xlfn.IFS(OR(X1249="N/A",X1249="NA"),0,OR(X1249="R64",X1249="R68"),1,X1249="R32",2,X1249="S16",3,X1249="E8",4,X1249="F4",5,X1249="2ND",6,X1249="Champions",7)</f>
        <v>0</v>
      </c>
      <c r="X1249" t="s">
        <v>90</v>
      </c>
      <c r="Y1249" t="s">
        <v>90</v>
      </c>
      <c r="Z1249">
        <v>2019</v>
      </c>
    </row>
    <row r="1250" spans="1:26" x14ac:dyDescent="0.3">
      <c r="A1250" t="s">
        <v>360</v>
      </c>
      <c r="B1250" t="s">
        <v>29</v>
      </c>
      <c r="C1250">
        <v>32</v>
      </c>
      <c r="D1250">
        <v>15</v>
      </c>
      <c r="E1250" s="1">
        <f t="shared" si="19"/>
        <v>0.46875</v>
      </c>
      <c r="F1250">
        <v>107.3</v>
      </c>
      <c r="G1250">
        <v>95</v>
      </c>
      <c r="H1250">
        <v>0.80110000000000003</v>
      </c>
      <c r="I1250">
        <v>50.5</v>
      </c>
      <c r="J1250">
        <v>49.4</v>
      </c>
      <c r="K1250">
        <v>21</v>
      </c>
      <c r="L1250">
        <v>18.100000000000001</v>
      </c>
      <c r="M1250">
        <v>31.9</v>
      </c>
      <c r="N1250">
        <v>25.7</v>
      </c>
      <c r="O1250">
        <v>29.8</v>
      </c>
      <c r="P1250">
        <v>38.1</v>
      </c>
      <c r="Q1250">
        <v>47.6</v>
      </c>
      <c r="R1250">
        <v>50.6</v>
      </c>
      <c r="S1250">
        <v>36.299999999999997</v>
      </c>
      <c r="T1250">
        <v>31.9</v>
      </c>
      <c r="U1250">
        <v>66.099999999999994</v>
      </c>
      <c r="V1250">
        <v>-3</v>
      </c>
      <c r="W1250" cm="1">
        <f t="array" ref="W1250">_xlfn.IFS(OR(X1250="N/A",X1250="NA"),0,OR(X1250="R64",X1250="R68"),1,X1250="R32",2,X1250="S16",3,X1250="E8",4,X1250="F4",5,X1250="2ND",6,X1250="Champions",7)</f>
        <v>0</v>
      </c>
      <c r="X1250" t="s">
        <v>90</v>
      </c>
      <c r="Y1250" t="s">
        <v>90</v>
      </c>
      <c r="Z1250">
        <v>2019</v>
      </c>
    </row>
    <row r="1251" spans="1:26" x14ac:dyDescent="0.3">
      <c r="A1251" t="s">
        <v>86</v>
      </c>
      <c r="B1251" t="s">
        <v>29</v>
      </c>
      <c r="C1251">
        <v>31</v>
      </c>
      <c r="D1251">
        <v>16</v>
      </c>
      <c r="E1251" s="1">
        <f t="shared" si="19"/>
        <v>0.5161290322580645</v>
      </c>
      <c r="F1251">
        <v>107.8</v>
      </c>
      <c r="G1251">
        <v>96.3</v>
      </c>
      <c r="H1251">
        <v>0.78610000000000002</v>
      </c>
      <c r="I1251">
        <v>48.3</v>
      </c>
      <c r="J1251">
        <v>49.5</v>
      </c>
      <c r="K1251">
        <v>19.2</v>
      </c>
      <c r="L1251">
        <v>20.3</v>
      </c>
      <c r="M1251">
        <v>31.8</v>
      </c>
      <c r="N1251">
        <v>31.1</v>
      </c>
      <c r="O1251">
        <v>36.200000000000003</v>
      </c>
      <c r="P1251">
        <v>39.6</v>
      </c>
      <c r="Q1251">
        <v>44.9</v>
      </c>
      <c r="R1251">
        <v>48.2</v>
      </c>
      <c r="S1251">
        <v>36.5</v>
      </c>
      <c r="T1251">
        <v>34.200000000000003</v>
      </c>
      <c r="U1251">
        <v>71.8</v>
      </c>
      <c r="V1251">
        <v>-2.1</v>
      </c>
      <c r="W1251" cm="1">
        <f t="array" ref="W1251">_xlfn.IFS(OR(X1251="N/A",X1251="NA"),0,OR(X1251="R64",X1251="R68"),1,X1251="R32",2,X1251="S16",3,X1251="E8",4,X1251="F4",5,X1251="2ND",6,X1251="Champions",7)</f>
        <v>0</v>
      </c>
      <c r="X1251" t="s">
        <v>90</v>
      </c>
      <c r="Y1251" t="s">
        <v>90</v>
      </c>
      <c r="Z1251">
        <v>2019</v>
      </c>
    </row>
    <row r="1252" spans="1:26" x14ac:dyDescent="0.3">
      <c r="A1252" t="s">
        <v>362</v>
      </c>
      <c r="B1252" t="s">
        <v>29</v>
      </c>
      <c r="C1252">
        <v>32</v>
      </c>
      <c r="D1252">
        <v>14</v>
      </c>
      <c r="E1252" s="1">
        <f t="shared" si="19"/>
        <v>0.4375</v>
      </c>
      <c r="F1252">
        <v>106.4</v>
      </c>
      <c r="G1252">
        <v>98.3</v>
      </c>
      <c r="H1252">
        <v>0.71289999999999998</v>
      </c>
      <c r="I1252">
        <v>49.3</v>
      </c>
      <c r="J1252">
        <v>49.3</v>
      </c>
      <c r="K1252">
        <v>20</v>
      </c>
      <c r="L1252">
        <v>18.5</v>
      </c>
      <c r="M1252">
        <v>32.700000000000003</v>
      </c>
      <c r="N1252">
        <v>32.5</v>
      </c>
      <c r="O1252">
        <v>34.200000000000003</v>
      </c>
      <c r="P1252">
        <v>27</v>
      </c>
      <c r="Q1252">
        <v>51</v>
      </c>
      <c r="R1252">
        <v>49.1</v>
      </c>
      <c r="S1252">
        <v>30.8</v>
      </c>
      <c r="T1252">
        <v>33.1</v>
      </c>
      <c r="U1252">
        <v>69</v>
      </c>
      <c r="V1252">
        <v>-4.4000000000000004</v>
      </c>
      <c r="W1252" cm="1">
        <f t="array" ref="W1252">_xlfn.IFS(OR(X1252="N/A",X1252="NA"),0,OR(X1252="R64",X1252="R68"),1,X1252="R32",2,X1252="S16",3,X1252="E8",4,X1252="F4",5,X1252="2ND",6,X1252="Champions",7)</f>
        <v>0</v>
      </c>
      <c r="X1252" t="s">
        <v>90</v>
      </c>
      <c r="Y1252" t="s">
        <v>90</v>
      </c>
      <c r="Z1252">
        <v>2019</v>
      </c>
    </row>
    <row r="1253" spans="1:26" x14ac:dyDescent="0.3">
      <c r="A1253" t="s">
        <v>363</v>
      </c>
      <c r="B1253" t="s">
        <v>29</v>
      </c>
      <c r="C1253">
        <v>32</v>
      </c>
      <c r="D1253">
        <v>9</v>
      </c>
      <c r="E1253" s="1">
        <f t="shared" si="19"/>
        <v>0.28125</v>
      </c>
      <c r="F1253">
        <v>100.3</v>
      </c>
      <c r="G1253">
        <v>100.1</v>
      </c>
      <c r="H1253">
        <v>0.50619999999999998</v>
      </c>
      <c r="I1253">
        <v>48.6</v>
      </c>
      <c r="J1253">
        <v>49.5</v>
      </c>
      <c r="K1253">
        <v>20.5</v>
      </c>
      <c r="L1253">
        <v>16.399999999999999</v>
      </c>
      <c r="M1253">
        <v>29</v>
      </c>
      <c r="N1253">
        <v>29.3</v>
      </c>
      <c r="O1253">
        <v>40.6</v>
      </c>
      <c r="P1253">
        <v>33.299999999999997</v>
      </c>
      <c r="Q1253">
        <v>50</v>
      </c>
      <c r="R1253">
        <v>48</v>
      </c>
      <c r="S1253">
        <v>31.1</v>
      </c>
      <c r="T1253">
        <v>34.9</v>
      </c>
      <c r="U1253">
        <v>68.900000000000006</v>
      </c>
      <c r="V1253">
        <v>-9.1</v>
      </c>
      <c r="W1253" cm="1">
        <f t="array" ref="W1253">_xlfn.IFS(OR(X1253="N/A",X1253="NA"),0,OR(X1253="R64",X1253="R68"),1,X1253="R32",2,X1253="S16",3,X1253="E8",4,X1253="F4",5,X1253="2ND",6,X1253="Champions",7)</f>
        <v>0</v>
      </c>
      <c r="X1253" t="s">
        <v>90</v>
      </c>
      <c r="Y1253" t="s">
        <v>90</v>
      </c>
      <c r="Z1253">
        <v>2019</v>
      </c>
    </row>
    <row r="1254" spans="1:26" x14ac:dyDescent="0.3">
      <c r="A1254" t="s">
        <v>368</v>
      </c>
      <c r="B1254" t="s">
        <v>61</v>
      </c>
      <c r="C1254">
        <v>28</v>
      </c>
      <c r="D1254">
        <v>7</v>
      </c>
      <c r="E1254" s="1">
        <f t="shared" si="19"/>
        <v>0.25</v>
      </c>
      <c r="F1254">
        <v>90.6</v>
      </c>
      <c r="G1254">
        <v>111.3</v>
      </c>
      <c r="H1254">
        <v>8.5400000000000004E-2</v>
      </c>
      <c r="I1254">
        <v>47.3</v>
      </c>
      <c r="J1254">
        <v>55.3</v>
      </c>
      <c r="K1254">
        <v>19.8</v>
      </c>
      <c r="L1254">
        <v>20.8</v>
      </c>
      <c r="M1254">
        <v>24.1</v>
      </c>
      <c r="N1254">
        <v>33.9</v>
      </c>
      <c r="O1254">
        <v>28.3</v>
      </c>
      <c r="P1254">
        <v>44.7</v>
      </c>
      <c r="Q1254">
        <v>42</v>
      </c>
      <c r="R1254">
        <v>55.2</v>
      </c>
      <c r="S1254">
        <v>37.799999999999997</v>
      </c>
      <c r="T1254">
        <v>37</v>
      </c>
      <c r="U1254">
        <v>64</v>
      </c>
      <c r="V1254">
        <v>-16.8</v>
      </c>
      <c r="W1254" cm="1">
        <f t="array" ref="W1254">_xlfn.IFS(OR(X1254="N/A",X1254="NA"),0,OR(X1254="R64",X1254="R68"),1,X1254="R32",2,X1254="S16",3,X1254="E8",4,X1254="F4",5,X1254="2ND",6,X1254="Champions",7)</f>
        <v>0</v>
      </c>
      <c r="X1254" t="s">
        <v>90</v>
      </c>
      <c r="Y1254" t="s">
        <v>90</v>
      </c>
      <c r="Z1254">
        <v>2015</v>
      </c>
    </row>
    <row r="1255" spans="1:26" x14ac:dyDescent="0.3">
      <c r="A1255" t="s">
        <v>369</v>
      </c>
      <c r="B1255" t="s">
        <v>61</v>
      </c>
      <c r="C1255">
        <v>29</v>
      </c>
      <c r="D1255">
        <v>2</v>
      </c>
      <c r="E1255" s="1">
        <f t="shared" si="19"/>
        <v>6.8965517241379309E-2</v>
      </c>
      <c r="F1255">
        <v>89.1</v>
      </c>
      <c r="G1255">
        <v>116.3</v>
      </c>
      <c r="H1255">
        <v>4.4699999999999997E-2</v>
      </c>
      <c r="I1255">
        <v>48.8</v>
      </c>
      <c r="J1255">
        <v>55</v>
      </c>
      <c r="K1255">
        <v>25.6</v>
      </c>
      <c r="L1255">
        <v>18.3</v>
      </c>
      <c r="M1255">
        <v>28</v>
      </c>
      <c r="N1255">
        <v>36.700000000000003</v>
      </c>
      <c r="O1255">
        <v>39.299999999999997</v>
      </c>
      <c r="P1255">
        <v>42.5</v>
      </c>
      <c r="Q1255">
        <v>46.5</v>
      </c>
      <c r="R1255">
        <v>54.4</v>
      </c>
      <c r="S1255">
        <v>35.299999999999997</v>
      </c>
      <c r="T1255">
        <v>37.6</v>
      </c>
      <c r="U1255">
        <v>69.900000000000006</v>
      </c>
      <c r="V1255">
        <v>-23</v>
      </c>
      <c r="W1255" cm="1">
        <f t="array" ref="W1255">_xlfn.IFS(OR(X1255="N/A",X1255="NA"),0,OR(X1255="R64",X1255="R68"),1,X1255="R32",2,X1255="S16",3,X1255="E8",4,X1255="F4",5,X1255="2ND",6,X1255="Champions",7)</f>
        <v>0</v>
      </c>
      <c r="X1255" t="s">
        <v>90</v>
      </c>
      <c r="Y1255" t="s">
        <v>90</v>
      </c>
      <c r="Z1255">
        <v>2015</v>
      </c>
    </row>
    <row r="1256" spans="1:26" x14ac:dyDescent="0.3">
      <c r="A1256" t="s">
        <v>370</v>
      </c>
      <c r="B1256" t="s">
        <v>61</v>
      </c>
      <c r="C1256">
        <v>24</v>
      </c>
      <c r="D1256">
        <v>8</v>
      </c>
      <c r="E1256" s="1">
        <f t="shared" si="19"/>
        <v>0.33333333333333331</v>
      </c>
      <c r="F1256">
        <v>98.6</v>
      </c>
      <c r="G1256">
        <v>115.7</v>
      </c>
      <c r="H1256">
        <v>0.13769999999999999</v>
      </c>
      <c r="I1256">
        <v>47.4</v>
      </c>
      <c r="J1256">
        <v>52.8</v>
      </c>
      <c r="K1256">
        <v>21.4</v>
      </c>
      <c r="L1256">
        <v>17.2</v>
      </c>
      <c r="M1256">
        <v>37.6</v>
      </c>
      <c r="N1256">
        <v>31.5</v>
      </c>
      <c r="O1256">
        <v>39.4</v>
      </c>
      <c r="P1256">
        <v>43.7</v>
      </c>
      <c r="Q1256">
        <v>47.5</v>
      </c>
      <c r="R1256">
        <v>51</v>
      </c>
      <c r="S1256">
        <v>31.5</v>
      </c>
      <c r="T1256">
        <v>37.9</v>
      </c>
      <c r="U1256">
        <v>66.7</v>
      </c>
      <c r="V1256">
        <v>-12</v>
      </c>
      <c r="W1256" cm="1">
        <f t="array" ref="W1256">_xlfn.IFS(OR(X1256="N/A",X1256="NA"),0,OR(X1256="R64",X1256="R68"),1,X1256="R32",2,X1256="S16",3,X1256="E8",4,X1256="F4",5,X1256="2ND",6,X1256="Champions",7)</f>
        <v>0</v>
      </c>
      <c r="X1256" t="s">
        <v>90</v>
      </c>
      <c r="Y1256" t="s">
        <v>90</v>
      </c>
      <c r="Z1256">
        <v>2015</v>
      </c>
    </row>
    <row r="1257" spans="1:26" x14ac:dyDescent="0.3">
      <c r="A1257" t="s">
        <v>371</v>
      </c>
      <c r="B1257" t="s">
        <v>61</v>
      </c>
      <c r="C1257">
        <v>25</v>
      </c>
      <c r="D1257">
        <v>14</v>
      </c>
      <c r="E1257" s="1">
        <f t="shared" si="19"/>
        <v>0.56000000000000005</v>
      </c>
      <c r="F1257">
        <v>104.1</v>
      </c>
      <c r="G1257">
        <v>111.9</v>
      </c>
      <c r="H1257">
        <v>0.30280000000000001</v>
      </c>
      <c r="I1257">
        <v>52</v>
      </c>
      <c r="J1257">
        <v>51.4</v>
      </c>
      <c r="K1257">
        <v>15.7</v>
      </c>
      <c r="L1257">
        <v>17.899999999999999</v>
      </c>
      <c r="M1257">
        <v>25.7</v>
      </c>
      <c r="N1257">
        <v>31.5</v>
      </c>
      <c r="O1257">
        <v>45.3</v>
      </c>
      <c r="P1257">
        <v>39.6</v>
      </c>
      <c r="Q1257">
        <v>51.8</v>
      </c>
      <c r="R1257">
        <v>50.6</v>
      </c>
      <c r="S1257">
        <v>35</v>
      </c>
      <c r="T1257">
        <v>35.5</v>
      </c>
      <c r="U1257">
        <v>67.7</v>
      </c>
      <c r="V1257">
        <v>-6</v>
      </c>
      <c r="W1257" cm="1">
        <f t="array" ref="W1257">_xlfn.IFS(OR(X1257="N/A",X1257="NA"),0,OR(X1257="R64",X1257="R68"),1,X1257="R32",2,X1257="S16",3,X1257="E8",4,X1257="F4",5,X1257="2ND",6,X1257="Champions",7)</f>
        <v>0</v>
      </c>
      <c r="X1257" t="s">
        <v>90</v>
      </c>
      <c r="Y1257" t="s">
        <v>90</v>
      </c>
      <c r="Z1257">
        <v>2015</v>
      </c>
    </row>
    <row r="1258" spans="1:26" x14ac:dyDescent="0.3">
      <c r="A1258" t="s">
        <v>372</v>
      </c>
      <c r="B1258" t="s">
        <v>61</v>
      </c>
      <c r="C1258">
        <v>26</v>
      </c>
      <c r="D1258">
        <v>11</v>
      </c>
      <c r="E1258" s="1">
        <f t="shared" si="19"/>
        <v>0.42307692307692307</v>
      </c>
      <c r="F1258">
        <v>97.4</v>
      </c>
      <c r="G1258">
        <v>107.6</v>
      </c>
      <c r="H1258">
        <v>0.2414</v>
      </c>
      <c r="I1258">
        <v>49.7</v>
      </c>
      <c r="J1258">
        <v>52.8</v>
      </c>
      <c r="K1258">
        <v>23.4</v>
      </c>
      <c r="L1258">
        <v>20.399999999999999</v>
      </c>
      <c r="M1258">
        <v>34.6</v>
      </c>
      <c r="N1258">
        <v>32.9</v>
      </c>
      <c r="O1258">
        <v>41.9</v>
      </c>
      <c r="P1258">
        <v>46</v>
      </c>
      <c r="Q1258">
        <v>50.7</v>
      </c>
      <c r="R1258">
        <v>50.8</v>
      </c>
      <c r="S1258">
        <v>31.9</v>
      </c>
      <c r="T1258">
        <v>37.6</v>
      </c>
      <c r="U1258">
        <v>66.5</v>
      </c>
      <c r="V1258">
        <v>-9.9</v>
      </c>
      <c r="W1258" cm="1">
        <f t="array" ref="W1258">_xlfn.IFS(OR(X1258="N/A",X1258="NA"),0,OR(X1258="R64",X1258="R68"),1,X1258="R32",2,X1258="S16",3,X1258="E8",4,X1258="F4",5,X1258="2ND",6,X1258="Champions",7)</f>
        <v>0</v>
      </c>
      <c r="X1258" t="s">
        <v>90</v>
      </c>
      <c r="Y1258" t="s">
        <v>90</v>
      </c>
      <c r="Z1258">
        <v>2015</v>
      </c>
    </row>
    <row r="1259" spans="1:26" x14ac:dyDescent="0.3">
      <c r="A1259" t="s">
        <v>373</v>
      </c>
      <c r="B1259" t="s">
        <v>61</v>
      </c>
      <c r="C1259">
        <v>27</v>
      </c>
      <c r="D1259">
        <v>11</v>
      </c>
      <c r="E1259" s="1">
        <f t="shared" si="19"/>
        <v>0.40740740740740738</v>
      </c>
      <c r="F1259">
        <v>99.2</v>
      </c>
      <c r="G1259">
        <v>110.4</v>
      </c>
      <c r="H1259">
        <v>0.2258</v>
      </c>
      <c r="I1259">
        <v>46.4</v>
      </c>
      <c r="J1259">
        <v>51.9</v>
      </c>
      <c r="K1259">
        <v>16</v>
      </c>
      <c r="L1259">
        <v>18.5</v>
      </c>
      <c r="M1259">
        <v>33.700000000000003</v>
      </c>
      <c r="N1259">
        <v>34.4</v>
      </c>
      <c r="O1259">
        <v>30.9</v>
      </c>
      <c r="P1259">
        <v>34.9</v>
      </c>
      <c r="Q1259">
        <v>45.9</v>
      </c>
      <c r="R1259">
        <v>53.1</v>
      </c>
      <c r="S1259">
        <v>31.6</v>
      </c>
      <c r="T1259">
        <v>33.1</v>
      </c>
      <c r="U1259">
        <v>63.3</v>
      </c>
      <c r="V1259">
        <v>-11.2</v>
      </c>
      <c r="W1259" cm="1">
        <f t="array" ref="W1259">_xlfn.IFS(OR(X1259="N/A",X1259="NA"),0,OR(X1259="R64",X1259="R68"),1,X1259="R32",2,X1259="S16",3,X1259="E8",4,X1259="F4",5,X1259="2ND",6,X1259="Champions",7)</f>
        <v>0</v>
      </c>
      <c r="X1259" t="s">
        <v>90</v>
      </c>
      <c r="Y1259" t="s">
        <v>90</v>
      </c>
      <c r="Z1259">
        <v>2015</v>
      </c>
    </row>
    <row r="1260" spans="1:26" x14ac:dyDescent="0.3">
      <c r="A1260" t="s">
        <v>374</v>
      </c>
      <c r="B1260" t="s">
        <v>61</v>
      </c>
      <c r="C1260">
        <v>26</v>
      </c>
      <c r="D1260">
        <v>8</v>
      </c>
      <c r="E1260" s="1">
        <f t="shared" si="19"/>
        <v>0.30769230769230771</v>
      </c>
      <c r="F1260">
        <v>95.7</v>
      </c>
      <c r="G1260">
        <v>109.4</v>
      </c>
      <c r="H1260">
        <v>0.17680000000000001</v>
      </c>
      <c r="I1260">
        <v>46.5</v>
      </c>
      <c r="J1260">
        <v>54.8</v>
      </c>
      <c r="K1260">
        <v>22.2</v>
      </c>
      <c r="L1260">
        <v>21.2</v>
      </c>
      <c r="M1260">
        <v>35.700000000000003</v>
      </c>
      <c r="N1260">
        <v>32.9</v>
      </c>
      <c r="O1260">
        <v>45.9</v>
      </c>
      <c r="P1260">
        <v>44</v>
      </c>
      <c r="Q1260">
        <v>45.2</v>
      </c>
      <c r="R1260">
        <v>53.9</v>
      </c>
      <c r="S1260">
        <v>33.9</v>
      </c>
      <c r="T1260">
        <v>37.799999999999997</v>
      </c>
      <c r="U1260">
        <v>67.5</v>
      </c>
      <c r="V1260">
        <v>-13.3</v>
      </c>
      <c r="W1260" cm="1">
        <f t="array" ref="W1260">_xlfn.IFS(OR(X1260="N/A",X1260="NA"),0,OR(X1260="R64",X1260="R68"),1,X1260="R32",2,X1260="S16",3,X1260="E8",4,X1260="F4",5,X1260="2ND",6,X1260="Champions",7)</f>
        <v>0</v>
      </c>
      <c r="X1260" t="s">
        <v>90</v>
      </c>
      <c r="Y1260" t="s">
        <v>90</v>
      </c>
      <c r="Z1260">
        <v>2015</v>
      </c>
    </row>
    <row r="1261" spans="1:26" x14ac:dyDescent="0.3">
      <c r="A1261" t="s">
        <v>375</v>
      </c>
      <c r="B1261" t="s">
        <v>61</v>
      </c>
      <c r="C1261">
        <v>26</v>
      </c>
      <c r="D1261">
        <v>7</v>
      </c>
      <c r="E1261" s="1">
        <f t="shared" si="19"/>
        <v>0.26923076923076922</v>
      </c>
      <c r="F1261">
        <v>89.6</v>
      </c>
      <c r="G1261">
        <v>105.5</v>
      </c>
      <c r="H1261">
        <v>0.1321</v>
      </c>
      <c r="I1261">
        <v>47.8</v>
      </c>
      <c r="J1261">
        <v>50</v>
      </c>
      <c r="K1261">
        <v>25</v>
      </c>
      <c r="L1261">
        <v>20.3</v>
      </c>
      <c r="M1261">
        <v>30.1</v>
      </c>
      <c r="N1261">
        <v>34.5</v>
      </c>
      <c r="O1261">
        <v>42.4</v>
      </c>
      <c r="P1261">
        <v>50.7</v>
      </c>
      <c r="Q1261">
        <v>48.4</v>
      </c>
      <c r="R1261">
        <v>48.3</v>
      </c>
      <c r="S1261">
        <v>31.2</v>
      </c>
      <c r="T1261">
        <v>35.700000000000003</v>
      </c>
      <c r="U1261">
        <v>66.8</v>
      </c>
      <c r="V1261">
        <v>-13.9</v>
      </c>
      <c r="W1261" cm="1">
        <f t="array" ref="W1261">_xlfn.IFS(OR(X1261="N/A",X1261="NA"),0,OR(X1261="R64",X1261="R68"),1,X1261="R32",2,X1261="S16",3,X1261="E8",4,X1261="F4",5,X1261="2ND",6,X1261="Champions",7)</f>
        <v>0</v>
      </c>
      <c r="X1261" t="s">
        <v>90</v>
      </c>
      <c r="Y1261" t="s">
        <v>90</v>
      </c>
      <c r="Z1261">
        <v>2015</v>
      </c>
    </row>
    <row r="1262" spans="1:26" x14ac:dyDescent="0.3">
      <c r="A1262" t="s">
        <v>376</v>
      </c>
      <c r="B1262" t="s">
        <v>61</v>
      </c>
      <c r="C1262">
        <v>28</v>
      </c>
      <c r="D1262">
        <v>15</v>
      </c>
      <c r="E1262" s="1">
        <f t="shared" si="19"/>
        <v>0.5357142857142857</v>
      </c>
      <c r="F1262">
        <v>109.3</v>
      </c>
      <c r="G1262">
        <v>115.9</v>
      </c>
      <c r="H1262">
        <v>0.33800000000000002</v>
      </c>
      <c r="I1262">
        <v>52.9</v>
      </c>
      <c r="J1262">
        <v>54.4</v>
      </c>
      <c r="K1262">
        <v>15.9</v>
      </c>
      <c r="L1262">
        <v>19.600000000000001</v>
      </c>
      <c r="M1262">
        <v>29.8</v>
      </c>
      <c r="N1262">
        <v>38.9</v>
      </c>
      <c r="O1262">
        <v>35.1</v>
      </c>
      <c r="P1262">
        <v>36.9</v>
      </c>
      <c r="Q1262">
        <v>51.6</v>
      </c>
      <c r="R1262">
        <v>51.8</v>
      </c>
      <c r="S1262">
        <v>36.799999999999997</v>
      </c>
      <c r="T1262">
        <v>40.1</v>
      </c>
      <c r="U1262">
        <v>73.099999999999994</v>
      </c>
      <c r="V1262">
        <v>-6.4</v>
      </c>
      <c r="W1262" cm="1">
        <f t="array" ref="W1262">_xlfn.IFS(OR(X1262="N/A",X1262="NA"),0,OR(X1262="R64",X1262="R68"),1,X1262="R32",2,X1262="S16",3,X1262="E8",4,X1262="F4",5,X1262="2ND",6,X1262="Champions",7)</f>
        <v>0</v>
      </c>
      <c r="X1262" t="s">
        <v>90</v>
      </c>
      <c r="Y1262" t="s">
        <v>90</v>
      </c>
      <c r="Z1262">
        <v>2015</v>
      </c>
    </row>
    <row r="1263" spans="1:26" x14ac:dyDescent="0.3">
      <c r="A1263" t="s">
        <v>377</v>
      </c>
      <c r="B1263" t="s">
        <v>61</v>
      </c>
      <c r="C1263">
        <v>31</v>
      </c>
      <c r="D1263">
        <v>22</v>
      </c>
      <c r="E1263" s="1">
        <f t="shared" si="19"/>
        <v>0.70967741935483875</v>
      </c>
      <c r="F1263">
        <v>101.6</v>
      </c>
      <c r="G1263">
        <v>94.4</v>
      </c>
      <c r="H1263">
        <v>0.69910000000000005</v>
      </c>
      <c r="I1263">
        <v>47.6</v>
      </c>
      <c r="J1263">
        <v>45.1</v>
      </c>
      <c r="K1263">
        <v>19.7</v>
      </c>
      <c r="L1263">
        <v>20.399999999999999</v>
      </c>
      <c r="M1263">
        <v>36</v>
      </c>
      <c r="N1263">
        <v>27.3</v>
      </c>
      <c r="O1263">
        <v>46.3</v>
      </c>
      <c r="P1263">
        <v>41.1</v>
      </c>
      <c r="Q1263">
        <v>47.3</v>
      </c>
      <c r="R1263">
        <v>43.9</v>
      </c>
      <c r="S1263">
        <v>32.1</v>
      </c>
      <c r="T1263">
        <v>32.200000000000003</v>
      </c>
      <c r="U1263">
        <v>65</v>
      </c>
      <c r="V1263">
        <v>-3.4</v>
      </c>
      <c r="W1263" cm="1">
        <f t="array" ref="W1263">_xlfn.IFS(OR(X1263="N/A",X1263="NA"),0,OR(X1263="R64",X1263="R68"),1,X1263="R32",2,X1263="S16",3,X1263="E8",4,X1263="F4",5,X1263="2ND",6,X1263="Champions",7)</f>
        <v>0</v>
      </c>
      <c r="X1263" t="s">
        <v>90</v>
      </c>
      <c r="Y1263" t="s">
        <v>90</v>
      </c>
      <c r="Z1263">
        <v>2015</v>
      </c>
    </row>
    <row r="1264" spans="1:26" x14ac:dyDescent="0.3">
      <c r="A1264" t="s">
        <v>378</v>
      </c>
      <c r="B1264" t="s">
        <v>61</v>
      </c>
      <c r="C1264">
        <v>31</v>
      </c>
      <c r="D1264">
        <v>8</v>
      </c>
      <c r="E1264" s="1">
        <f t="shared" si="19"/>
        <v>0.25806451612903225</v>
      </c>
      <c r="F1264">
        <v>94.4</v>
      </c>
      <c r="G1264">
        <v>107.1</v>
      </c>
      <c r="H1264">
        <v>0.18990000000000001</v>
      </c>
      <c r="I1264">
        <v>50.9</v>
      </c>
      <c r="J1264">
        <v>50.4</v>
      </c>
      <c r="K1264">
        <v>22.5</v>
      </c>
      <c r="L1264">
        <v>19.399999999999999</v>
      </c>
      <c r="M1264">
        <v>29.1</v>
      </c>
      <c r="N1264">
        <v>32.200000000000003</v>
      </c>
      <c r="O1264">
        <v>32.5</v>
      </c>
      <c r="P1264">
        <v>33.9</v>
      </c>
      <c r="Q1264">
        <v>53</v>
      </c>
      <c r="R1264">
        <v>48.6</v>
      </c>
      <c r="S1264">
        <v>31.2</v>
      </c>
      <c r="T1264">
        <v>35.799999999999997</v>
      </c>
      <c r="U1264">
        <v>66.8</v>
      </c>
      <c r="V1264">
        <v>-17.5</v>
      </c>
      <c r="W1264" cm="1">
        <f t="array" ref="W1264">_xlfn.IFS(OR(X1264="N/A",X1264="NA"),0,OR(X1264="R64",X1264="R68"),1,X1264="R32",2,X1264="S16",3,X1264="E8",4,X1264="F4",5,X1264="2ND",6,X1264="Champions",7)</f>
        <v>0</v>
      </c>
      <c r="X1264" t="s">
        <v>90</v>
      </c>
      <c r="Y1264" t="s">
        <v>90</v>
      </c>
      <c r="Z1264">
        <v>2015</v>
      </c>
    </row>
    <row r="1265" spans="1:26" x14ac:dyDescent="0.3">
      <c r="A1265" t="s">
        <v>379</v>
      </c>
      <c r="B1265" t="s">
        <v>61</v>
      </c>
      <c r="C1265">
        <v>32</v>
      </c>
      <c r="D1265">
        <v>18</v>
      </c>
      <c r="E1265" s="1">
        <f t="shared" si="19"/>
        <v>0.5625</v>
      </c>
      <c r="F1265">
        <v>99.3</v>
      </c>
      <c r="G1265">
        <v>103</v>
      </c>
      <c r="H1265">
        <v>0.39600000000000002</v>
      </c>
      <c r="I1265">
        <v>49.2</v>
      </c>
      <c r="J1265">
        <v>48.3</v>
      </c>
      <c r="K1265">
        <v>19.399999999999999</v>
      </c>
      <c r="L1265">
        <v>20.6</v>
      </c>
      <c r="M1265">
        <v>30.3</v>
      </c>
      <c r="N1265">
        <v>33.1</v>
      </c>
      <c r="O1265">
        <v>51</v>
      </c>
      <c r="P1265">
        <v>46.1</v>
      </c>
      <c r="Q1265">
        <v>48.7</v>
      </c>
      <c r="R1265">
        <v>48.3</v>
      </c>
      <c r="S1265">
        <v>33.5</v>
      </c>
      <c r="T1265">
        <v>32.200000000000003</v>
      </c>
      <c r="U1265">
        <v>63.1</v>
      </c>
      <c r="V1265">
        <v>-8.8000000000000007</v>
      </c>
      <c r="W1265" cm="1">
        <f t="array" ref="W1265">_xlfn.IFS(OR(X1265="N/A",X1265="NA"),0,OR(X1265="R64",X1265="R68"),1,X1265="R32",2,X1265="S16",3,X1265="E8",4,X1265="F4",5,X1265="2ND",6,X1265="Champions",7)</f>
        <v>0</v>
      </c>
      <c r="X1265" t="s">
        <v>90</v>
      </c>
      <c r="Y1265" t="s">
        <v>90</v>
      </c>
      <c r="Z1265">
        <v>2015</v>
      </c>
    </row>
    <row r="1266" spans="1:26" x14ac:dyDescent="0.3">
      <c r="A1266" t="s">
        <v>368</v>
      </c>
      <c r="B1266" t="s">
        <v>61</v>
      </c>
      <c r="C1266">
        <v>27</v>
      </c>
      <c r="D1266">
        <v>9</v>
      </c>
      <c r="E1266" s="1">
        <f t="shared" si="19"/>
        <v>0.33333333333333331</v>
      </c>
      <c r="F1266">
        <v>96.3</v>
      </c>
      <c r="G1266">
        <v>111.8</v>
      </c>
      <c r="H1266">
        <v>0.15290000000000001</v>
      </c>
      <c r="I1266">
        <v>50.5</v>
      </c>
      <c r="J1266">
        <v>54.6</v>
      </c>
      <c r="K1266">
        <v>19.2</v>
      </c>
      <c r="L1266">
        <v>19.2</v>
      </c>
      <c r="M1266">
        <v>24.5</v>
      </c>
      <c r="N1266">
        <v>27.6</v>
      </c>
      <c r="O1266">
        <v>40.299999999999997</v>
      </c>
      <c r="P1266">
        <v>46.5</v>
      </c>
      <c r="Q1266">
        <v>48.4</v>
      </c>
      <c r="R1266">
        <v>54.2</v>
      </c>
      <c r="S1266">
        <v>36.299999999999997</v>
      </c>
      <c r="T1266">
        <v>36.9</v>
      </c>
      <c r="U1266">
        <v>68.400000000000006</v>
      </c>
      <c r="V1266">
        <v>-14.4</v>
      </c>
      <c r="W1266" cm="1">
        <f t="array" ref="W1266">_xlfn.IFS(OR(X1266="N/A",X1266="NA"),0,OR(X1266="R64",X1266="R68"),1,X1266="R32",2,X1266="S16",3,X1266="E8",4,X1266="F4",5,X1266="2ND",6,X1266="Champions",7)</f>
        <v>0</v>
      </c>
      <c r="X1266" t="s">
        <v>90</v>
      </c>
      <c r="Y1266" t="s">
        <v>90</v>
      </c>
      <c r="Z1266">
        <v>2016</v>
      </c>
    </row>
    <row r="1267" spans="1:26" x14ac:dyDescent="0.3">
      <c r="A1267" t="s">
        <v>369</v>
      </c>
      <c r="B1267" t="s">
        <v>61</v>
      </c>
      <c r="C1267">
        <v>28</v>
      </c>
      <c r="D1267">
        <v>7</v>
      </c>
      <c r="E1267" s="1">
        <f t="shared" si="19"/>
        <v>0.25</v>
      </c>
      <c r="F1267">
        <v>99.8</v>
      </c>
      <c r="G1267">
        <v>117.8</v>
      </c>
      <c r="H1267">
        <v>0.12909999999999999</v>
      </c>
      <c r="I1267">
        <v>49.9</v>
      </c>
      <c r="J1267">
        <v>53.8</v>
      </c>
      <c r="K1267">
        <v>19.7</v>
      </c>
      <c r="L1267">
        <v>15.8</v>
      </c>
      <c r="M1267">
        <v>31.3</v>
      </c>
      <c r="N1267">
        <v>29.8</v>
      </c>
      <c r="O1267">
        <v>41.9</v>
      </c>
      <c r="P1267">
        <v>38.700000000000003</v>
      </c>
      <c r="Q1267">
        <v>47.4</v>
      </c>
      <c r="R1267">
        <v>51.5</v>
      </c>
      <c r="S1267">
        <v>37.200000000000003</v>
      </c>
      <c r="T1267">
        <v>38.700000000000003</v>
      </c>
      <c r="U1267">
        <v>72.900000000000006</v>
      </c>
      <c r="V1267">
        <v>-16</v>
      </c>
      <c r="W1267" cm="1">
        <f t="array" ref="W1267">_xlfn.IFS(OR(X1267="N/A",X1267="NA"),0,OR(X1267="R64",X1267="R68"),1,X1267="R32",2,X1267="S16",3,X1267="E8",4,X1267="F4",5,X1267="2ND",6,X1267="Champions",7)</f>
        <v>0</v>
      </c>
      <c r="X1267" t="s">
        <v>90</v>
      </c>
      <c r="Y1267" t="s">
        <v>90</v>
      </c>
      <c r="Z1267">
        <v>2016</v>
      </c>
    </row>
    <row r="1268" spans="1:26" x14ac:dyDescent="0.3">
      <c r="A1268" t="s">
        <v>370</v>
      </c>
      <c r="B1268" t="s">
        <v>61</v>
      </c>
      <c r="C1268">
        <v>30</v>
      </c>
      <c r="D1268">
        <v>13</v>
      </c>
      <c r="E1268" s="1">
        <f t="shared" si="19"/>
        <v>0.43333333333333335</v>
      </c>
      <c r="F1268">
        <v>100.2</v>
      </c>
      <c r="G1268">
        <v>112.8</v>
      </c>
      <c r="H1268">
        <v>0.20269999999999999</v>
      </c>
      <c r="I1268">
        <v>50.5</v>
      </c>
      <c r="J1268">
        <v>50.9</v>
      </c>
      <c r="K1268">
        <v>21.1</v>
      </c>
      <c r="L1268">
        <v>16.7</v>
      </c>
      <c r="M1268">
        <v>29.6</v>
      </c>
      <c r="N1268">
        <v>31.9</v>
      </c>
      <c r="O1268">
        <v>44.9</v>
      </c>
      <c r="P1268">
        <v>36.700000000000003</v>
      </c>
      <c r="Q1268">
        <v>49.3</v>
      </c>
      <c r="R1268">
        <v>49.1</v>
      </c>
      <c r="S1268">
        <v>35.5</v>
      </c>
      <c r="T1268">
        <v>36.299999999999997</v>
      </c>
      <c r="U1268">
        <v>71.099999999999994</v>
      </c>
      <c r="V1268">
        <v>-10.8</v>
      </c>
      <c r="W1268" cm="1">
        <f t="array" ref="W1268">_xlfn.IFS(OR(X1268="N/A",X1268="NA"),0,OR(X1268="R64",X1268="R68"),1,X1268="R32",2,X1268="S16",3,X1268="E8",4,X1268="F4",5,X1268="2ND",6,X1268="Champions",7)</f>
        <v>0</v>
      </c>
      <c r="X1268" t="s">
        <v>90</v>
      </c>
      <c r="Y1268" t="s">
        <v>90</v>
      </c>
      <c r="Z1268">
        <v>2016</v>
      </c>
    </row>
    <row r="1269" spans="1:26" x14ac:dyDescent="0.3">
      <c r="A1269" t="s">
        <v>371</v>
      </c>
      <c r="B1269" t="s">
        <v>61</v>
      </c>
      <c r="C1269">
        <v>25</v>
      </c>
      <c r="D1269">
        <v>14</v>
      </c>
      <c r="E1269" s="1">
        <f t="shared" si="19"/>
        <v>0.56000000000000005</v>
      </c>
      <c r="F1269">
        <v>99.6</v>
      </c>
      <c r="G1269">
        <v>110.7</v>
      </c>
      <c r="H1269">
        <v>0.22739999999999999</v>
      </c>
      <c r="I1269">
        <v>49.9</v>
      </c>
      <c r="J1269">
        <v>52.9</v>
      </c>
      <c r="K1269">
        <v>17.8</v>
      </c>
      <c r="L1269">
        <v>18.2</v>
      </c>
      <c r="M1269">
        <v>22.5</v>
      </c>
      <c r="N1269">
        <v>28.8</v>
      </c>
      <c r="O1269">
        <v>35.5</v>
      </c>
      <c r="P1269">
        <v>38.1</v>
      </c>
      <c r="Q1269">
        <v>44.7</v>
      </c>
      <c r="R1269">
        <v>52.4</v>
      </c>
      <c r="S1269">
        <v>38.9</v>
      </c>
      <c r="T1269">
        <v>35.9</v>
      </c>
      <c r="U1269">
        <v>68.3</v>
      </c>
      <c r="V1269">
        <v>-6.3</v>
      </c>
      <c r="W1269" cm="1">
        <f t="array" ref="W1269">_xlfn.IFS(OR(X1269="N/A",X1269="NA"),0,OR(X1269="R64",X1269="R68"),1,X1269="R32",2,X1269="S16",3,X1269="E8",4,X1269="F4",5,X1269="2ND",6,X1269="Champions",7)</f>
        <v>0</v>
      </c>
      <c r="X1269" t="s">
        <v>90</v>
      </c>
      <c r="Y1269" t="s">
        <v>90</v>
      </c>
      <c r="Z1269">
        <v>2016</v>
      </c>
    </row>
    <row r="1270" spans="1:26" x14ac:dyDescent="0.3">
      <c r="A1270" t="s">
        <v>372</v>
      </c>
      <c r="B1270" t="s">
        <v>61</v>
      </c>
      <c r="C1270">
        <v>26</v>
      </c>
      <c r="D1270">
        <v>7</v>
      </c>
      <c r="E1270" s="1">
        <f t="shared" si="19"/>
        <v>0.26923076923076922</v>
      </c>
      <c r="F1270">
        <v>95.3</v>
      </c>
      <c r="G1270">
        <v>112.8</v>
      </c>
      <c r="H1270">
        <v>0.12540000000000001</v>
      </c>
      <c r="I1270">
        <v>47.4</v>
      </c>
      <c r="J1270">
        <v>52</v>
      </c>
      <c r="K1270">
        <v>20.5</v>
      </c>
      <c r="L1270">
        <v>19.399999999999999</v>
      </c>
      <c r="M1270">
        <v>33.4</v>
      </c>
      <c r="N1270">
        <v>31.9</v>
      </c>
      <c r="O1270">
        <v>42.6</v>
      </c>
      <c r="P1270">
        <v>46.6</v>
      </c>
      <c r="Q1270">
        <v>46.7</v>
      </c>
      <c r="R1270">
        <v>51.4</v>
      </c>
      <c r="S1270">
        <v>32.6</v>
      </c>
      <c r="T1270">
        <v>35.6</v>
      </c>
      <c r="U1270">
        <v>72.8</v>
      </c>
      <c r="V1270">
        <v>-15.9</v>
      </c>
      <c r="W1270" cm="1">
        <f t="array" ref="W1270">_xlfn.IFS(OR(X1270="N/A",X1270="NA"),0,OR(X1270="R64",X1270="R68"),1,X1270="R32",2,X1270="S16",3,X1270="E8",4,X1270="F4",5,X1270="2ND",6,X1270="Champions",7)</f>
        <v>0</v>
      </c>
      <c r="X1270" t="s">
        <v>90</v>
      </c>
      <c r="Y1270" t="s">
        <v>90</v>
      </c>
      <c r="Z1270">
        <v>2016</v>
      </c>
    </row>
    <row r="1271" spans="1:26" x14ac:dyDescent="0.3">
      <c r="A1271" t="s">
        <v>373</v>
      </c>
      <c r="B1271" t="s">
        <v>61</v>
      </c>
      <c r="C1271">
        <v>26</v>
      </c>
      <c r="D1271">
        <v>7</v>
      </c>
      <c r="E1271" s="1">
        <f t="shared" si="19"/>
        <v>0.26923076923076922</v>
      </c>
      <c r="F1271">
        <v>97</v>
      </c>
      <c r="G1271">
        <v>114.5</v>
      </c>
      <c r="H1271">
        <v>0.1298</v>
      </c>
      <c r="I1271">
        <v>46.7</v>
      </c>
      <c r="J1271">
        <v>52.3</v>
      </c>
      <c r="K1271">
        <v>17.7</v>
      </c>
      <c r="L1271">
        <v>16.100000000000001</v>
      </c>
      <c r="M1271">
        <v>28.1</v>
      </c>
      <c r="N1271">
        <v>33</v>
      </c>
      <c r="O1271">
        <v>36.200000000000003</v>
      </c>
      <c r="P1271">
        <v>37.700000000000003</v>
      </c>
      <c r="Q1271">
        <v>44.9</v>
      </c>
      <c r="R1271">
        <v>50.8</v>
      </c>
      <c r="S1271">
        <v>33.200000000000003</v>
      </c>
      <c r="T1271">
        <v>37.299999999999997</v>
      </c>
      <c r="U1271">
        <v>69.3</v>
      </c>
      <c r="V1271">
        <v>-14.1</v>
      </c>
      <c r="W1271" cm="1">
        <f t="array" ref="W1271">_xlfn.IFS(OR(X1271="N/A",X1271="NA"),0,OR(X1271="R64",X1271="R68"),1,X1271="R32",2,X1271="S16",3,X1271="E8",4,X1271="F4",5,X1271="2ND",6,X1271="Champions",7)</f>
        <v>0</v>
      </c>
      <c r="X1271" t="s">
        <v>90</v>
      </c>
      <c r="Y1271" t="s">
        <v>90</v>
      </c>
      <c r="Z1271">
        <v>2016</v>
      </c>
    </row>
    <row r="1272" spans="1:26" x14ac:dyDescent="0.3">
      <c r="A1272" t="s">
        <v>374</v>
      </c>
      <c r="B1272" t="s">
        <v>61</v>
      </c>
      <c r="C1272">
        <v>27</v>
      </c>
      <c r="D1272">
        <v>7</v>
      </c>
      <c r="E1272" s="1">
        <f t="shared" si="19"/>
        <v>0.25925925925925924</v>
      </c>
      <c r="F1272">
        <v>95.3</v>
      </c>
      <c r="G1272">
        <v>111.8</v>
      </c>
      <c r="H1272">
        <v>0.1371</v>
      </c>
      <c r="I1272">
        <v>45.1</v>
      </c>
      <c r="J1272">
        <v>52.9</v>
      </c>
      <c r="K1272">
        <v>19.7</v>
      </c>
      <c r="L1272">
        <v>21.4</v>
      </c>
      <c r="M1272">
        <v>34.799999999999997</v>
      </c>
      <c r="N1272">
        <v>33.5</v>
      </c>
      <c r="O1272">
        <v>43.2</v>
      </c>
      <c r="P1272">
        <v>43</v>
      </c>
      <c r="Q1272">
        <v>43.8</v>
      </c>
      <c r="R1272">
        <v>51.5</v>
      </c>
      <c r="S1272">
        <v>32.5</v>
      </c>
      <c r="T1272">
        <v>37</v>
      </c>
      <c r="U1272">
        <v>72.7</v>
      </c>
      <c r="V1272">
        <v>-16.5</v>
      </c>
      <c r="W1272" cm="1">
        <f t="array" ref="W1272">_xlfn.IFS(OR(X1272="N/A",X1272="NA"),0,OR(X1272="R64",X1272="R68"),1,X1272="R32",2,X1272="S16",3,X1272="E8",4,X1272="F4",5,X1272="2ND",6,X1272="Champions",7)</f>
        <v>0</v>
      </c>
      <c r="X1272" t="s">
        <v>90</v>
      </c>
      <c r="Y1272" t="s">
        <v>90</v>
      </c>
      <c r="Z1272">
        <v>2016</v>
      </c>
    </row>
    <row r="1273" spans="1:26" x14ac:dyDescent="0.3">
      <c r="A1273" t="s">
        <v>375</v>
      </c>
      <c r="B1273" t="s">
        <v>61</v>
      </c>
      <c r="C1273">
        <v>31</v>
      </c>
      <c r="D1273">
        <v>8</v>
      </c>
      <c r="E1273" s="1">
        <f t="shared" si="19"/>
        <v>0.25806451612903225</v>
      </c>
      <c r="F1273">
        <v>91.2</v>
      </c>
      <c r="G1273">
        <v>107.2</v>
      </c>
      <c r="H1273">
        <v>0.13550000000000001</v>
      </c>
      <c r="I1273">
        <v>47.1</v>
      </c>
      <c r="J1273">
        <v>50.8</v>
      </c>
      <c r="K1273">
        <v>22</v>
      </c>
      <c r="L1273">
        <v>18.2</v>
      </c>
      <c r="M1273">
        <v>25</v>
      </c>
      <c r="N1273">
        <v>34.5</v>
      </c>
      <c r="O1273">
        <v>40.4</v>
      </c>
      <c r="P1273">
        <v>39.700000000000003</v>
      </c>
      <c r="Q1273">
        <v>47.7</v>
      </c>
      <c r="R1273">
        <v>49.3</v>
      </c>
      <c r="S1273">
        <v>30.9</v>
      </c>
      <c r="T1273">
        <v>35.9</v>
      </c>
      <c r="U1273">
        <v>69.8</v>
      </c>
      <c r="V1273">
        <v>-16.7</v>
      </c>
      <c r="W1273" cm="1">
        <f t="array" ref="W1273">_xlfn.IFS(OR(X1273="N/A",X1273="NA"),0,OR(X1273="R64",X1273="R68"),1,X1273="R32",2,X1273="S16",3,X1273="E8",4,X1273="F4",5,X1273="2ND",6,X1273="Champions",7)</f>
        <v>0</v>
      </c>
      <c r="X1273" t="s">
        <v>90</v>
      </c>
      <c r="Y1273" t="s">
        <v>90</v>
      </c>
      <c r="Z1273">
        <v>2016</v>
      </c>
    </row>
    <row r="1274" spans="1:26" x14ac:dyDescent="0.3">
      <c r="A1274" t="s">
        <v>376</v>
      </c>
      <c r="B1274" t="s">
        <v>61</v>
      </c>
      <c r="C1274">
        <v>24</v>
      </c>
      <c r="D1274">
        <v>5</v>
      </c>
      <c r="E1274" s="1">
        <f t="shared" si="19"/>
        <v>0.20833333333333334</v>
      </c>
      <c r="F1274">
        <v>100.8</v>
      </c>
      <c r="G1274">
        <v>118.2</v>
      </c>
      <c r="H1274">
        <v>0.13780000000000001</v>
      </c>
      <c r="I1274">
        <v>50.2</v>
      </c>
      <c r="J1274">
        <v>55.1</v>
      </c>
      <c r="K1274">
        <v>19.5</v>
      </c>
      <c r="L1274">
        <v>18.600000000000001</v>
      </c>
      <c r="M1274">
        <v>27.3</v>
      </c>
      <c r="N1274">
        <v>38.6</v>
      </c>
      <c r="O1274">
        <v>35.200000000000003</v>
      </c>
      <c r="P1274">
        <v>36.1</v>
      </c>
      <c r="Q1274">
        <v>49.5</v>
      </c>
      <c r="R1274">
        <v>54.8</v>
      </c>
      <c r="S1274">
        <v>34.299999999999997</v>
      </c>
      <c r="T1274">
        <v>37.1</v>
      </c>
      <c r="U1274">
        <v>74.2</v>
      </c>
      <c r="V1274">
        <v>-14.4</v>
      </c>
      <c r="W1274" cm="1">
        <f t="array" ref="W1274">_xlfn.IFS(OR(X1274="N/A",X1274="NA"),0,OR(X1274="R64",X1274="R68"),1,X1274="R32",2,X1274="S16",3,X1274="E8",4,X1274="F4",5,X1274="2ND",6,X1274="Champions",7)</f>
        <v>0</v>
      </c>
      <c r="X1274" t="s">
        <v>90</v>
      </c>
      <c r="Y1274" t="s">
        <v>90</v>
      </c>
      <c r="Z1274">
        <v>2016</v>
      </c>
    </row>
    <row r="1275" spans="1:26" x14ac:dyDescent="0.3">
      <c r="A1275" t="s">
        <v>377</v>
      </c>
      <c r="B1275" t="s">
        <v>61</v>
      </c>
      <c r="C1275">
        <v>30</v>
      </c>
      <c r="D1275">
        <v>15</v>
      </c>
      <c r="E1275" s="1">
        <f t="shared" si="19"/>
        <v>0.5</v>
      </c>
      <c r="F1275">
        <v>101.1</v>
      </c>
      <c r="G1275">
        <v>107.4</v>
      </c>
      <c r="H1275">
        <v>0.33229999999999998</v>
      </c>
      <c r="I1275">
        <v>49.3</v>
      </c>
      <c r="J1275">
        <v>51.9</v>
      </c>
      <c r="K1275">
        <v>16.899999999999999</v>
      </c>
      <c r="L1275">
        <v>18.7</v>
      </c>
      <c r="M1275">
        <v>28.8</v>
      </c>
      <c r="N1275">
        <v>23.7</v>
      </c>
      <c r="O1275">
        <v>36.6</v>
      </c>
      <c r="P1275">
        <v>44.8</v>
      </c>
      <c r="Q1275">
        <v>48</v>
      </c>
      <c r="R1275">
        <v>50.9</v>
      </c>
      <c r="S1275">
        <v>34.1</v>
      </c>
      <c r="T1275">
        <v>35.6</v>
      </c>
      <c r="U1275">
        <v>67.8</v>
      </c>
      <c r="V1275">
        <v>-8.9</v>
      </c>
      <c r="W1275" cm="1">
        <f t="array" ref="W1275">_xlfn.IFS(OR(X1275="N/A",X1275="NA"),0,OR(X1275="R64",X1275="R68"),1,X1275="R32",2,X1275="S16",3,X1275="E8",4,X1275="F4",5,X1275="2ND",6,X1275="Champions",7)</f>
        <v>0</v>
      </c>
      <c r="X1275" t="s">
        <v>90</v>
      </c>
      <c r="Y1275" t="s">
        <v>90</v>
      </c>
      <c r="Z1275">
        <v>2016</v>
      </c>
    </row>
    <row r="1276" spans="1:26" x14ac:dyDescent="0.3">
      <c r="A1276" t="s">
        <v>378</v>
      </c>
      <c r="B1276" t="s">
        <v>61</v>
      </c>
      <c r="C1276">
        <v>31</v>
      </c>
      <c r="D1276">
        <v>10</v>
      </c>
      <c r="E1276" s="1">
        <f t="shared" si="19"/>
        <v>0.32258064516129031</v>
      </c>
      <c r="F1276">
        <v>96.2</v>
      </c>
      <c r="G1276">
        <v>112.1</v>
      </c>
      <c r="H1276">
        <v>0.14680000000000001</v>
      </c>
      <c r="I1276">
        <v>51.1</v>
      </c>
      <c r="J1276">
        <v>52.1</v>
      </c>
      <c r="K1276">
        <v>21.5</v>
      </c>
      <c r="L1276">
        <v>19.100000000000001</v>
      </c>
      <c r="M1276">
        <v>29.4</v>
      </c>
      <c r="N1276">
        <v>33.6</v>
      </c>
      <c r="O1276">
        <v>37</v>
      </c>
      <c r="P1276">
        <v>41.9</v>
      </c>
      <c r="Q1276">
        <v>49.1</v>
      </c>
      <c r="R1276">
        <v>49.5</v>
      </c>
      <c r="S1276">
        <v>36.5</v>
      </c>
      <c r="T1276">
        <v>37.5</v>
      </c>
      <c r="U1276">
        <v>69</v>
      </c>
      <c r="V1276">
        <v>-15.8</v>
      </c>
      <c r="W1276" cm="1">
        <f t="array" ref="W1276">_xlfn.IFS(OR(X1276="N/A",X1276="NA"),0,OR(X1276="R64",X1276="R68"),1,X1276="R32",2,X1276="S16",3,X1276="E8",4,X1276="F4",5,X1276="2ND",6,X1276="Champions",7)</f>
        <v>0</v>
      </c>
      <c r="X1276" t="s">
        <v>90</v>
      </c>
      <c r="Y1276" t="s">
        <v>90</v>
      </c>
      <c r="Z1276">
        <v>2016</v>
      </c>
    </row>
    <row r="1277" spans="1:26" x14ac:dyDescent="0.3">
      <c r="A1277" t="s">
        <v>379</v>
      </c>
      <c r="B1277" t="s">
        <v>61</v>
      </c>
      <c r="C1277">
        <v>31</v>
      </c>
      <c r="D1277">
        <v>23</v>
      </c>
      <c r="E1277" s="1">
        <f t="shared" si="19"/>
        <v>0.74193548387096775</v>
      </c>
      <c r="F1277">
        <v>100.7</v>
      </c>
      <c r="G1277">
        <v>103.4</v>
      </c>
      <c r="H1277">
        <v>0.42509999999999998</v>
      </c>
      <c r="I1277">
        <v>49.2</v>
      </c>
      <c r="J1277">
        <v>48.9</v>
      </c>
      <c r="K1277">
        <v>17.7</v>
      </c>
      <c r="L1277">
        <v>22.5</v>
      </c>
      <c r="M1277">
        <v>30.9</v>
      </c>
      <c r="N1277">
        <v>33.200000000000003</v>
      </c>
      <c r="O1277">
        <v>37.700000000000003</v>
      </c>
      <c r="P1277">
        <v>44.5</v>
      </c>
      <c r="Q1277">
        <v>48.2</v>
      </c>
      <c r="R1277">
        <v>46.6</v>
      </c>
      <c r="S1277">
        <v>34.1</v>
      </c>
      <c r="T1277">
        <v>35.200000000000003</v>
      </c>
      <c r="U1277">
        <v>69.3</v>
      </c>
      <c r="V1277">
        <v>-1.9</v>
      </c>
      <c r="W1277" cm="1">
        <f t="array" ref="W1277">_xlfn.IFS(OR(X1277="N/A",X1277="NA"),0,OR(X1277="R64",X1277="R68"),1,X1277="R32",2,X1277="S16",3,X1277="E8",4,X1277="F4",5,X1277="2ND",6,X1277="Champions",7)</f>
        <v>0</v>
      </c>
      <c r="X1277" t="s">
        <v>90</v>
      </c>
      <c r="Y1277" t="s">
        <v>90</v>
      </c>
      <c r="Z1277">
        <v>2016</v>
      </c>
    </row>
    <row r="1278" spans="1:26" x14ac:dyDescent="0.3">
      <c r="A1278" t="s">
        <v>368</v>
      </c>
      <c r="B1278" t="s">
        <v>61</v>
      </c>
      <c r="C1278">
        <v>25</v>
      </c>
      <c r="D1278">
        <v>13</v>
      </c>
      <c r="E1278" s="1">
        <f t="shared" si="19"/>
        <v>0.52</v>
      </c>
      <c r="F1278">
        <v>97.5</v>
      </c>
      <c r="G1278">
        <v>107.5</v>
      </c>
      <c r="H1278">
        <v>0.245</v>
      </c>
      <c r="I1278">
        <v>52.5</v>
      </c>
      <c r="J1278">
        <v>52.8</v>
      </c>
      <c r="K1278">
        <v>21</v>
      </c>
      <c r="L1278">
        <v>21.4</v>
      </c>
      <c r="M1278">
        <v>23</v>
      </c>
      <c r="N1278">
        <v>31.7</v>
      </c>
      <c r="O1278">
        <v>34.700000000000003</v>
      </c>
      <c r="P1278">
        <v>44.3</v>
      </c>
      <c r="Q1278">
        <v>50.7</v>
      </c>
      <c r="R1278">
        <v>52.1</v>
      </c>
      <c r="S1278">
        <v>37.1</v>
      </c>
      <c r="T1278">
        <v>36.1</v>
      </c>
      <c r="U1278">
        <v>67.099999999999994</v>
      </c>
      <c r="V1278">
        <v>-12.5</v>
      </c>
      <c r="W1278" cm="1">
        <f t="array" ref="W1278">_xlfn.IFS(OR(X1278="N/A",X1278="NA"),0,OR(X1278="R64",X1278="R68"),1,X1278="R32",2,X1278="S16",3,X1278="E8",4,X1278="F4",5,X1278="2ND",6,X1278="Champions",7)</f>
        <v>0</v>
      </c>
      <c r="X1278" t="s">
        <v>90</v>
      </c>
      <c r="Y1278" t="s">
        <v>90</v>
      </c>
      <c r="Z1278">
        <v>2017</v>
      </c>
    </row>
    <row r="1279" spans="1:26" x14ac:dyDescent="0.3">
      <c r="A1279" t="s">
        <v>369</v>
      </c>
      <c r="B1279" t="s">
        <v>61</v>
      </c>
      <c r="C1279">
        <v>32</v>
      </c>
      <c r="D1279">
        <v>8</v>
      </c>
      <c r="E1279" s="1">
        <f t="shared" si="19"/>
        <v>0.25</v>
      </c>
      <c r="F1279">
        <v>102.9</v>
      </c>
      <c r="G1279">
        <v>117.5</v>
      </c>
      <c r="H1279">
        <v>0.1794</v>
      </c>
      <c r="I1279">
        <v>49.8</v>
      </c>
      <c r="J1279">
        <v>55.1</v>
      </c>
      <c r="K1279">
        <v>19.100000000000001</v>
      </c>
      <c r="L1279">
        <v>15.7</v>
      </c>
      <c r="M1279">
        <v>28.8</v>
      </c>
      <c r="N1279">
        <v>31.7</v>
      </c>
      <c r="O1279">
        <v>35.9</v>
      </c>
      <c r="P1279">
        <v>32</v>
      </c>
      <c r="Q1279">
        <v>46.7</v>
      </c>
      <c r="R1279">
        <v>52.2</v>
      </c>
      <c r="S1279">
        <v>37.5</v>
      </c>
      <c r="T1279">
        <v>39.200000000000003</v>
      </c>
      <c r="U1279">
        <v>72.400000000000006</v>
      </c>
      <c r="V1279">
        <v>-17.399999999999999</v>
      </c>
      <c r="W1279" cm="1">
        <f t="array" ref="W1279">_xlfn.IFS(OR(X1279="N/A",X1279="NA"),0,OR(X1279="R64",X1279="R68"),1,X1279="R32",2,X1279="S16",3,X1279="E8",4,X1279="F4",5,X1279="2ND",6,X1279="Champions",7)</f>
        <v>0</v>
      </c>
      <c r="X1279" t="s">
        <v>90</v>
      </c>
      <c r="Y1279" t="s">
        <v>90</v>
      </c>
      <c r="Z1279">
        <v>2017</v>
      </c>
    </row>
    <row r="1280" spans="1:26" x14ac:dyDescent="0.3">
      <c r="A1280" t="s">
        <v>370</v>
      </c>
      <c r="B1280" t="s">
        <v>61</v>
      </c>
      <c r="C1280">
        <v>27</v>
      </c>
      <c r="D1280">
        <v>17</v>
      </c>
      <c r="E1280" s="1">
        <f t="shared" si="19"/>
        <v>0.62962962962962965</v>
      </c>
      <c r="F1280">
        <v>103.9</v>
      </c>
      <c r="G1280">
        <v>110.7</v>
      </c>
      <c r="H1280">
        <v>0.3266</v>
      </c>
      <c r="I1280">
        <v>49.1</v>
      </c>
      <c r="J1280">
        <v>53.2</v>
      </c>
      <c r="K1280">
        <v>19.3</v>
      </c>
      <c r="L1280">
        <v>18.5</v>
      </c>
      <c r="M1280">
        <v>35.700000000000003</v>
      </c>
      <c r="N1280">
        <v>28.6</v>
      </c>
      <c r="O1280">
        <v>37.799999999999997</v>
      </c>
      <c r="P1280">
        <v>38.700000000000003</v>
      </c>
      <c r="Q1280">
        <v>48.6</v>
      </c>
      <c r="R1280">
        <v>52.6</v>
      </c>
      <c r="S1280">
        <v>33.5</v>
      </c>
      <c r="T1280">
        <v>36.200000000000003</v>
      </c>
      <c r="U1280">
        <v>71.599999999999994</v>
      </c>
      <c r="V1280">
        <v>-7.7</v>
      </c>
      <c r="W1280" cm="1">
        <f t="array" ref="W1280">_xlfn.IFS(OR(X1280="N/A",X1280="NA"),0,OR(X1280="R64",X1280="R68"),1,X1280="R32",2,X1280="S16",3,X1280="E8",4,X1280="F4",5,X1280="2ND",6,X1280="Champions",7)</f>
        <v>0</v>
      </c>
      <c r="X1280" t="s">
        <v>90</v>
      </c>
      <c r="Y1280" t="s">
        <v>90</v>
      </c>
      <c r="Z1280">
        <v>2017</v>
      </c>
    </row>
    <row r="1281" spans="1:26" x14ac:dyDescent="0.3">
      <c r="A1281" t="s">
        <v>371</v>
      </c>
      <c r="B1281" t="s">
        <v>61</v>
      </c>
      <c r="C1281">
        <v>25</v>
      </c>
      <c r="D1281">
        <v>12</v>
      </c>
      <c r="E1281" s="1">
        <f t="shared" si="19"/>
        <v>0.48</v>
      </c>
      <c r="F1281">
        <v>100.7</v>
      </c>
      <c r="G1281">
        <v>113.7</v>
      </c>
      <c r="H1281">
        <v>0.1993</v>
      </c>
      <c r="I1281">
        <v>51.4</v>
      </c>
      <c r="J1281">
        <v>51.5</v>
      </c>
      <c r="K1281">
        <v>18.600000000000001</v>
      </c>
      <c r="L1281">
        <v>16.600000000000001</v>
      </c>
      <c r="M1281">
        <v>22.2</v>
      </c>
      <c r="N1281">
        <v>32.4</v>
      </c>
      <c r="O1281">
        <v>43.6</v>
      </c>
      <c r="P1281">
        <v>38.9</v>
      </c>
      <c r="Q1281">
        <v>48.2</v>
      </c>
      <c r="R1281">
        <v>51.8</v>
      </c>
      <c r="S1281">
        <v>37.799999999999997</v>
      </c>
      <c r="T1281">
        <v>33.700000000000003</v>
      </c>
      <c r="U1281">
        <v>73.099999999999994</v>
      </c>
      <c r="V1281">
        <v>-13.2</v>
      </c>
      <c r="W1281" cm="1">
        <f t="array" ref="W1281">_xlfn.IFS(OR(X1281="N/A",X1281="NA"),0,OR(X1281="R64",X1281="R68"),1,X1281="R32",2,X1281="S16",3,X1281="E8",4,X1281="F4",5,X1281="2ND",6,X1281="Champions",7)</f>
        <v>0</v>
      </c>
      <c r="X1281" t="s">
        <v>90</v>
      </c>
      <c r="Y1281" t="s">
        <v>90</v>
      </c>
      <c r="Z1281">
        <v>2017</v>
      </c>
    </row>
    <row r="1282" spans="1:26" x14ac:dyDescent="0.3">
      <c r="A1282" t="s">
        <v>372</v>
      </c>
      <c r="B1282" t="s">
        <v>61</v>
      </c>
      <c r="C1282">
        <v>30</v>
      </c>
      <c r="D1282">
        <v>19</v>
      </c>
      <c r="E1282" s="1">
        <f t="shared" si="19"/>
        <v>0.6333333333333333</v>
      </c>
      <c r="F1282">
        <v>102.4</v>
      </c>
      <c r="G1282">
        <v>108.2</v>
      </c>
      <c r="H1282">
        <v>0.3458</v>
      </c>
      <c r="I1282">
        <v>51</v>
      </c>
      <c r="J1282">
        <v>51.9</v>
      </c>
      <c r="K1282">
        <v>19.5</v>
      </c>
      <c r="L1282">
        <v>21</v>
      </c>
      <c r="M1282">
        <v>31.2</v>
      </c>
      <c r="N1282">
        <v>29.4</v>
      </c>
      <c r="O1282">
        <v>40.299999999999997</v>
      </c>
      <c r="P1282">
        <v>42.2</v>
      </c>
      <c r="Q1282">
        <v>49.3</v>
      </c>
      <c r="R1282">
        <v>53.1</v>
      </c>
      <c r="S1282">
        <v>35.799999999999997</v>
      </c>
      <c r="T1282">
        <v>32.9</v>
      </c>
      <c r="U1282">
        <v>69.2</v>
      </c>
      <c r="V1282">
        <v>-10.7</v>
      </c>
      <c r="W1282" cm="1">
        <f t="array" ref="W1282">_xlfn.IFS(OR(X1282="N/A",X1282="NA"),0,OR(X1282="R64",X1282="R68"),1,X1282="R32",2,X1282="S16",3,X1282="E8",4,X1282="F4",5,X1282="2ND",6,X1282="Champions",7)</f>
        <v>0</v>
      </c>
      <c r="X1282" t="s">
        <v>90</v>
      </c>
      <c r="Y1282" t="s">
        <v>90</v>
      </c>
      <c r="Z1282">
        <v>2017</v>
      </c>
    </row>
    <row r="1283" spans="1:26" x14ac:dyDescent="0.3">
      <c r="A1283" t="s">
        <v>373</v>
      </c>
      <c r="B1283" t="s">
        <v>61</v>
      </c>
      <c r="C1283">
        <v>26</v>
      </c>
      <c r="D1283">
        <v>7</v>
      </c>
      <c r="E1283" s="1">
        <f t="shared" ref="E1283:E1346" si="20">D1283/C1283</f>
        <v>0.26923076923076922</v>
      </c>
      <c r="F1283">
        <v>95.6</v>
      </c>
      <c r="G1283">
        <v>110.2</v>
      </c>
      <c r="H1283">
        <v>0.1628</v>
      </c>
      <c r="I1283">
        <v>47.5</v>
      </c>
      <c r="J1283">
        <v>50.6</v>
      </c>
      <c r="K1283">
        <v>19.8</v>
      </c>
      <c r="L1283">
        <v>17.899999999999999</v>
      </c>
      <c r="M1283">
        <v>25.4</v>
      </c>
      <c r="N1283">
        <v>36.200000000000003</v>
      </c>
      <c r="O1283">
        <v>34.4</v>
      </c>
      <c r="P1283">
        <v>39.1</v>
      </c>
      <c r="Q1283">
        <v>46.2</v>
      </c>
      <c r="R1283">
        <v>49.7</v>
      </c>
      <c r="S1283">
        <v>33.4</v>
      </c>
      <c r="T1283">
        <v>35.1</v>
      </c>
      <c r="U1283">
        <v>71.599999999999994</v>
      </c>
      <c r="V1283">
        <v>-16</v>
      </c>
      <c r="W1283" cm="1">
        <f t="array" ref="W1283">_xlfn.IFS(OR(X1283="N/A",X1283="NA"),0,OR(X1283="R64",X1283="R68"),1,X1283="R32",2,X1283="S16",3,X1283="E8",4,X1283="F4",5,X1283="2ND",6,X1283="Champions",7)</f>
        <v>0</v>
      </c>
      <c r="X1283" t="s">
        <v>90</v>
      </c>
      <c r="Y1283" t="s">
        <v>90</v>
      </c>
      <c r="Z1283">
        <v>2017</v>
      </c>
    </row>
    <row r="1284" spans="1:26" x14ac:dyDescent="0.3">
      <c r="A1284" t="s">
        <v>375</v>
      </c>
      <c r="B1284" t="s">
        <v>61</v>
      </c>
      <c r="C1284">
        <v>27</v>
      </c>
      <c r="D1284">
        <v>14</v>
      </c>
      <c r="E1284" s="1">
        <f t="shared" si="20"/>
        <v>0.51851851851851849</v>
      </c>
      <c r="F1284">
        <v>100.3</v>
      </c>
      <c r="G1284">
        <v>112.4</v>
      </c>
      <c r="H1284">
        <v>0.2132</v>
      </c>
      <c r="I1284">
        <v>49.5</v>
      </c>
      <c r="J1284">
        <v>55.6</v>
      </c>
      <c r="K1284">
        <v>20.399999999999999</v>
      </c>
      <c r="L1284">
        <v>20.399999999999999</v>
      </c>
      <c r="M1284">
        <v>26.8</v>
      </c>
      <c r="N1284">
        <v>37.6</v>
      </c>
      <c r="O1284">
        <v>35.799999999999997</v>
      </c>
      <c r="P1284">
        <v>33.5</v>
      </c>
      <c r="Q1284">
        <v>49</v>
      </c>
      <c r="R1284">
        <v>51.7</v>
      </c>
      <c r="S1284">
        <v>33.5</v>
      </c>
      <c r="T1284">
        <v>41.7</v>
      </c>
      <c r="U1284">
        <v>71</v>
      </c>
      <c r="V1284">
        <v>-11.9</v>
      </c>
      <c r="W1284" cm="1">
        <f t="array" ref="W1284">_xlfn.IFS(OR(X1284="N/A",X1284="NA"),0,OR(X1284="R64",X1284="R68"),1,X1284="R32",2,X1284="S16",3,X1284="E8",4,X1284="F4",5,X1284="2ND",6,X1284="Champions",7)</f>
        <v>0</v>
      </c>
      <c r="X1284" t="s">
        <v>90</v>
      </c>
      <c r="Y1284" t="s">
        <v>90</v>
      </c>
      <c r="Z1284">
        <v>2017</v>
      </c>
    </row>
    <row r="1285" spans="1:26" x14ac:dyDescent="0.3">
      <c r="A1285" t="s">
        <v>376</v>
      </c>
      <c r="B1285" t="s">
        <v>61</v>
      </c>
      <c r="C1285">
        <v>25</v>
      </c>
      <c r="D1285">
        <v>13</v>
      </c>
      <c r="E1285" s="1">
        <f t="shared" si="20"/>
        <v>0.52</v>
      </c>
      <c r="F1285">
        <v>100</v>
      </c>
      <c r="G1285">
        <v>112.5</v>
      </c>
      <c r="H1285">
        <v>0.2056</v>
      </c>
      <c r="I1285">
        <v>50.1</v>
      </c>
      <c r="J1285">
        <v>53.9</v>
      </c>
      <c r="K1285">
        <v>20.8</v>
      </c>
      <c r="L1285">
        <v>19.2</v>
      </c>
      <c r="M1285">
        <v>29.6</v>
      </c>
      <c r="N1285">
        <v>32.4</v>
      </c>
      <c r="O1285">
        <v>41</v>
      </c>
      <c r="P1285">
        <v>39.4</v>
      </c>
      <c r="Q1285">
        <v>47.9</v>
      </c>
      <c r="R1285">
        <v>52.5</v>
      </c>
      <c r="S1285">
        <v>36.299999999999997</v>
      </c>
      <c r="T1285">
        <v>37.799999999999997</v>
      </c>
      <c r="U1285">
        <v>72.3</v>
      </c>
      <c r="V1285">
        <v>-12</v>
      </c>
      <c r="W1285" cm="1">
        <f t="array" ref="W1285">_xlfn.IFS(OR(X1285="N/A",X1285="NA"),0,OR(X1285="R64",X1285="R68"),1,X1285="R32",2,X1285="S16",3,X1285="E8",4,X1285="F4",5,X1285="2ND",6,X1285="Champions",7)</f>
        <v>0</v>
      </c>
      <c r="X1285" t="s">
        <v>90</v>
      </c>
      <c r="Y1285" t="s">
        <v>90</v>
      </c>
      <c r="Z1285">
        <v>2017</v>
      </c>
    </row>
    <row r="1286" spans="1:26" x14ac:dyDescent="0.3">
      <c r="A1286" t="s">
        <v>377</v>
      </c>
      <c r="B1286" t="s">
        <v>61</v>
      </c>
      <c r="C1286">
        <v>30</v>
      </c>
      <c r="D1286">
        <v>21</v>
      </c>
      <c r="E1286" s="1">
        <f t="shared" si="20"/>
        <v>0.7</v>
      </c>
      <c r="F1286">
        <v>95.8</v>
      </c>
      <c r="G1286">
        <v>102.9</v>
      </c>
      <c r="H1286">
        <v>0.30530000000000002</v>
      </c>
      <c r="I1286">
        <v>47.1</v>
      </c>
      <c r="J1286">
        <v>50</v>
      </c>
      <c r="K1286">
        <v>19.3</v>
      </c>
      <c r="L1286">
        <v>22.2</v>
      </c>
      <c r="M1286">
        <v>31.6</v>
      </c>
      <c r="N1286">
        <v>27.4</v>
      </c>
      <c r="O1286">
        <v>36.299999999999997</v>
      </c>
      <c r="P1286">
        <v>48.2</v>
      </c>
      <c r="Q1286">
        <v>47.7</v>
      </c>
      <c r="R1286">
        <v>48.8</v>
      </c>
      <c r="S1286">
        <v>30.6</v>
      </c>
      <c r="T1286">
        <v>34.700000000000003</v>
      </c>
      <c r="U1286">
        <v>71.599999999999994</v>
      </c>
      <c r="V1286">
        <v>-8.6</v>
      </c>
      <c r="W1286" cm="1">
        <f t="array" ref="W1286">_xlfn.IFS(OR(X1286="N/A",X1286="NA"),0,OR(X1286="R64",X1286="R68"),1,X1286="R32",2,X1286="S16",3,X1286="E8",4,X1286="F4",5,X1286="2ND",6,X1286="Champions",7)</f>
        <v>0</v>
      </c>
      <c r="X1286" t="s">
        <v>90</v>
      </c>
      <c r="Y1286" t="s">
        <v>90</v>
      </c>
      <c r="Z1286">
        <v>2017</v>
      </c>
    </row>
    <row r="1287" spans="1:26" x14ac:dyDescent="0.3">
      <c r="A1287" t="s">
        <v>378</v>
      </c>
      <c r="B1287" t="s">
        <v>61</v>
      </c>
      <c r="C1287">
        <v>30</v>
      </c>
      <c r="D1287">
        <v>16</v>
      </c>
      <c r="E1287" s="1">
        <f t="shared" si="20"/>
        <v>0.53333333333333333</v>
      </c>
      <c r="F1287">
        <v>96.3</v>
      </c>
      <c r="G1287">
        <v>103.1</v>
      </c>
      <c r="H1287">
        <v>0.31409999999999999</v>
      </c>
      <c r="I1287">
        <v>50.2</v>
      </c>
      <c r="J1287">
        <v>49</v>
      </c>
      <c r="K1287">
        <v>22.8</v>
      </c>
      <c r="L1287">
        <v>21.6</v>
      </c>
      <c r="M1287">
        <v>35</v>
      </c>
      <c r="N1287">
        <v>30.8</v>
      </c>
      <c r="O1287">
        <v>37</v>
      </c>
      <c r="P1287">
        <v>39.6</v>
      </c>
      <c r="Q1287">
        <v>48.3</v>
      </c>
      <c r="R1287">
        <v>47.6</v>
      </c>
      <c r="S1287">
        <v>36.1</v>
      </c>
      <c r="T1287">
        <v>34.5</v>
      </c>
      <c r="U1287">
        <v>68.8</v>
      </c>
      <c r="V1287">
        <v>-11.9</v>
      </c>
      <c r="W1287" cm="1">
        <f t="array" ref="W1287">_xlfn.IFS(OR(X1287="N/A",X1287="NA"),0,OR(X1287="R64",X1287="R68"),1,X1287="R32",2,X1287="S16",3,X1287="E8",4,X1287="F4",5,X1287="2ND",6,X1287="Champions",7)</f>
        <v>0</v>
      </c>
      <c r="X1287" t="s">
        <v>90</v>
      </c>
      <c r="Y1287" t="s">
        <v>90</v>
      </c>
      <c r="Z1287">
        <v>2017</v>
      </c>
    </row>
    <row r="1288" spans="1:26" x14ac:dyDescent="0.3">
      <c r="A1288" t="s">
        <v>380</v>
      </c>
      <c r="B1288" t="s">
        <v>61</v>
      </c>
      <c r="C1288">
        <v>30</v>
      </c>
      <c r="D1288">
        <v>18</v>
      </c>
      <c r="E1288" s="1">
        <f t="shared" si="20"/>
        <v>0.6</v>
      </c>
      <c r="F1288">
        <v>95.4</v>
      </c>
      <c r="G1288">
        <v>102.9</v>
      </c>
      <c r="H1288">
        <v>0.29430000000000001</v>
      </c>
      <c r="I1288">
        <v>49.2</v>
      </c>
      <c r="J1288">
        <v>52.1</v>
      </c>
      <c r="K1288">
        <v>24.8</v>
      </c>
      <c r="L1288">
        <v>22.9</v>
      </c>
      <c r="M1288">
        <v>34.700000000000003</v>
      </c>
      <c r="N1288">
        <v>28.4</v>
      </c>
      <c r="O1288">
        <v>40.6</v>
      </c>
      <c r="P1288">
        <v>44.4</v>
      </c>
      <c r="Q1288">
        <v>50.3</v>
      </c>
      <c r="R1288">
        <v>52</v>
      </c>
      <c r="S1288">
        <v>31.4</v>
      </c>
      <c r="T1288">
        <v>34.9</v>
      </c>
      <c r="U1288">
        <v>67.599999999999994</v>
      </c>
      <c r="V1288">
        <v>-9.5</v>
      </c>
      <c r="W1288" cm="1">
        <f t="array" ref="W1288">_xlfn.IFS(OR(X1288="N/A",X1288="NA"),0,OR(X1288="R64",X1288="R68"),1,X1288="R32",2,X1288="S16",3,X1288="E8",4,X1288="F4",5,X1288="2ND",6,X1288="Champions",7)</f>
        <v>0</v>
      </c>
      <c r="X1288" t="s">
        <v>90</v>
      </c>
      <c r="Y1288" t="s">
        <v>90</v>
      </c>
      <c r="Z1288">
        <v>2017</v>
      </c>
    </row>
    <row r="1289" spans="1:26" x14ac:dyDescent="0.3">
      <c r="A1289" t="s">
        <v>379</v>
      </c>
      <c r="B1289" t="s">
        <v>61</v>
      </c>
      <c r="C1289">
        <v>33</v>
      </c>
      <c r="D1289">
        <v>24</v>
      </c>
      <c r="E1289" s="1">
        <f t="shared" si="20"/>
        <v>0.72727272727272729</v>
      </c>
      <c r="F1289">
        <v>102.3</v>
      </c>
      <c r="G1289">
        <v>102.3</v>
      </c>
      <c r="H1289">
        <v>0.502</v>
      </c>
      <c r="I1289">
        <v>51.3</v>
      </c>
      <c r="J1289">
        <v>51.6</v>
      </c>
      <c r="K1289">
        <v>18.8</v>
      </c>
      <c r="L1289">
        <v>23</v>
      </c>
      <c r="M1289">
        <v>29.3</v>
      </c>
      <c r="N1289">
        <v>31.1</v>
      </c>
      <c r="O1289">
        <v>37.1</v>
      </c>
      <c r="P1289">
        <v>41.2</v>
      </c>
      <c r="Q1289">
        <v>52.1</v>
      </c>
      <c r="R1289">
        <v>51.3</v>
      </c>
      <c r="S1289">
        <v>32.799999999999997</v>
      </c>
      <c r="T1289">
        <v>34.6</v>
      </c>
      <c r="U1289">
        <v>69.599999999999994</v>
      </c>
      <c r="V1289">
        <v>-6.5</v>
      </c>
      <c r="W1289" cm="1">
        <f t="array" ref="W1289">_xlfn.IFS(OR(X1289="N/A",X1289="NA"),0,OR(X1289="R64",X1289="R68"),1,X1289="R32",2,X1289="S16",3,X1289="E8",4,X1289="F4",5,X1289="2ND",6,X1289="Champions",7)</f>
        <v>0</v>
      </c>
      <c r="X1289" t="s">
        <v>90</v>
      </c>
      <c r="Y1289" t="s">
        <v>90</v>
      </c>
      <c r="Z1289">
        <v>2017</v>
      </c>
    </row>
    <row r="1290" spans="1:26" x14ac:dyDescent="0.3">
      <c r="A1290" t="s">
        <v>368</v>
      </c>
      <c r="B1290" t="s">
        <v>61</v>
      </c>
      <c r="C1290">
        <v>28</v>
      </c>
      <c r="D1290">
        <v>16</v>
      </c>
      <c r="E1290" s="1">
        <f t="shared" si="20"/>
        <v>0.5714285714285714</v>
      </c>
      <c r="F1290">
        <v>96.5</v>
      </c>
      <c r="G1290">
        <v>106.6</v>
      </c>
      <c r="H1290">
        <v>0.24229999999999999</v>
      </c>
      <c r="I1290">
        <v>50.4</v>
      </c>
      <c r="J1290">
        <v>51.4</v>
      </c>
      <c r="K1290">
        <v>20.3</v>
      </c>
      <c r="L1290">
        <v>21.6</v>
      </c>
      <c r="M1290">
        <v>27.3</v>
      </c>
      <c r="N1290">
        <v>29.7</v>
      </c>
      <c r="O1290">
        <v>31.5</v>
      </c>
      <c r="P1290">
        <v>43.2</v>
      </c>
      <c r="Q1290">
        <v>51.9</v>
      </c>
      <c r="R1290">
        <v>52.3</v>
      </c>
      <c r="S1290">
        <v>31.8</v>
      </c>
      <c r="T1290">
        <v>33.200000000000003</v>
      </c>
      <c r="U1290">
        <v>69.8</v>
      </c>
      <c r="V1290">
        <v>-11.3</v>
      </c>
      <c r="W1290" cm="1">
        <f t="array" ref="W1290">_xlfn.IFS(OR(X1290="N/A",X1290="NA"),0,OR(X1290="R64",X1290="R68"),1,X1290="R32",2,X1290="S16",3,X1290="E8",4,X1290="F4",5,X1290="2ND",6,X1290="Champions",7)</f>
        <v>0</v>
      </c>
      <c r="X1290" t="s">
        <v>90</v>
      </c>
      <c r="Y1290" t="s">
        <v>90</v>
      </c>
      <c r="Z1290">
        <v>2018</v>
      </c>
    </row>
    <row r="1291" spans="1:26" x14ac:dyDescent="0.3">
      <c r="A1291" t="s">
        <v>369</v>
      </c>
      <c r="B1291" t="s">
        <v>61</v>
      </c>
      <c r="C1291">
        <v>34</v>
      </c>
      <c r="D1291">
        <v>18</v>
      </c>
      <c r="E1291" s="1">
        <f t="shared" si="20"/>
        <v>0.52941176470588236</v>
      </c>
      <c r="F1291">
        <v>104.2</v>
      </c>
      <c r="G1291">
        <v>109.8</v>
      </c>
      <c r="H1291">
        <v>0.35420000000000001</v>
      </c>
      <c r="I1291">
        <v>51.7</v>
      </c>
      <c r="J1291">
        <v>50.9</v>
      </c>
      <c r="K1291">
        <v>18.3</v>
      </c>
      <c r="L1291">
        <v>19</v>
      </c>
      <c r="M1291">
        <v>27.2</v>
      </c>
      <c r="N1291">
        <v>33.1</v>
      </c>
      <c r="O1291">
        <v>36.1</v>
      </c>
      <c r="P1291">
        <v>37.9</v>
      </c>
      <c r="Q1291">
        <v>50.7</v>
      </c>
      <c r="R1291">
        <v>49.4</v>
      </c>
      <c r="S1291">
        <v>35.6</v>
      </c>
      <c r="T1291">
        <v>36</v>
      </c>
      <c r="U1291">
        <v>73.900000000000006</v>
      </c>
      <c r="V1291">
        <v>-10.6</v>
      </c>
      <c r="W1291" cm="1">
        <f t="array" ref="W1291">_xlfn.IFS(OR(X1291="N/A",X1291="NA"),0,OR(X1291="R64",X1291="R68"),1,X1291="R32",2,X1291="S16",3,X1291="E8",4,X1291="F4",5,X1291="2ND",6,X1291="Champions",7)</f>
        <v>0</v>
      </c>
      <c r="X1291" t="s">
        <v>90</v>
      </c>
      <c r="Y1291" t="s">
        <v>90</v>
      </c>
      <c r="Z1291">
        <v>2018</v>
      </c>
    </row>
    <row r="1292" spans="1:26" x14ac:dyDescent="0.3">
      <c r="A1292" t="s">
        <v>370</v>
      </c>
      <c r="B1292" t="s">
        <v>61</v>
      </c>
      <c r="C1292">
        <v>28</v>
      </c>
      <c r="D1292">
        <v>6</v>
      </c>
      <c r="E1292" s="1">
        <f t="shared" si="20"/>
        <v>0.21428571428571427</v>
      </c>
      <c r="F1292">
        <v>99.2</v>
      </c>
      <c r="G1292">
        <v>115.4</v>
      </c>
      <c r="H1292">
        <v>0.14910000000000001</v>
      </c>
      <c r="I1292">
        <v>46</v>
      </c>
      <c r="J1292">
        <v>56.1</v>
      </c>
      <c r="K1292">
        <v>18.8</v>
      </c>
      <c r="L1292">
        <v>18.8</v>
      </c>
      <c r="M1292">
        <v>34</v>
      </c>
      <c r="N1292">
        <v>31.2</v>
      </c>
      <c r="O1292">
        <v>35.5</v>
      </c>
      <c r="P1292">
        <v>38.6</v>
      </c>
      <c r="Q1292">
        <v>44.4</v>
      </c>
      <c r="R1292">
        <v>54.2</v>
      </c>
      <c r="S1292">
        <v>32.799999999999997</v>
      </c>
      <c r="T1292">
        <v>39.700000000000003</v>
      </c>
      <c r="U1292">
        <v>74.599999999999994</v>
      </c>
      <c r="V1292">
        <v>-18.899999999999999</v>
      </c>
      <c r="W1292" cm="1">
        <f t="array" ref="W1292">_xlfn.IFS(OR(X1292="N/A",X1292="NA"),0,OR(X1292="R64",X1292="R68"),1,X1292="R32",2,X1292="S16",3,X1292="E8",4,X1292="F4",5,X1292="2ND",6,X1292="Champions",7)</f>
        <v>0</v>
      </c>
      <c r="X1292" t="s">
        <v>90</v>
      </c>
      <c r="Y1292" t="s">
        <v>90</v>
      </c>
      <c r="Z1292">
        <v>2018</v>
      </c>
    </row>
    <row r="1293" spans="1:26" x14ac:dyDescent="0.3">
      <c r="A1293" t="s">
        <v>371</v>
      </c>
      <c r="B1293" t="s">
        <v>61</v>
      </c>
      <c r="C1293">
        <v>24</v>
      </c>
      <c r="D1293">
        <v>7</v>
      </c>
      <c r="E1293" s="1">
        <f t="shared" si="20"/>
        <v>0.29166666666666669</v>
      </c>
      <c r="F1293">
        <v>94.5</v>
      </c>
      <c r="G1293">
        <v>113.9</v>
      </c>
      <c r="H1293">
        <v>0.1047</v>
      </c>
      <c r="I1293">
        <v>47.6</v>
      </c>
      <c r="J1293">
        <v>52.5</v>
      </c>
      <c r="K1293">
        <v>23.2</v>
      </c>
      <c r="L1293">
        <v>17.7</v>
      </c>
      <c r="M1293">
        <v>26.9</v>
      </c>
      <c r="N1293">
        <v>35.4</v>
      </c>
      <c r="O1293">
        <v>41.1</v>
      </c>
      <c r="P1293">
        <v>33.799999999999997</v>
      </c>
      <c r="Q1293">
        <v>45.4</v>
      </c>
      <c r="R1293">
        <v>50.6</v>
      </c>
      <c r="S1293">
        <v>34.6</v>
      </c>
      <c r="T1293">
        <v>37.6</v>
      </c>
      <c r="U1293">
        <v>70.599999999999994</v>
      </c>
      <c r="V1293">
        <v>-16.5</v>
      </c>
      <c r="W1293" cm="1">
        <f t="array" ref="W1293">_xlfn.IFS(OR(X1293="N/A",X1293="NA"),0,OR(X1293="R64",X1293="R68"),1,X1293="R32",2,X1293="S16",3,X1293="E8",4,X1293="F4",5,X1293="2ND",6,X1293="Champions",7)</f>
        <v>0</v>
      </c>
      <c r="X1293" t="s">
        <v>90</v>
      </c>
      <c r="Y1293" t="s">
        <v>90</v>
      </c>
      <c r="Z1293">
        <v>2018</v>
      </c>
    </row>
    <row r="1294" spans="1:26" x14ac:dyDescent="0.3">
      <c r="A1294" t="s">
        <v>372</v>
      </c>
      <c r="B1294" t="s">
        <v>61</v>
      </c>
      <c r="C1294">
        <v>29</v>
      </c>
      <c r="D1294">
        <v>19</v>
      </c>
      <c r="E1294" s="1">
        <f t="shared" si="20"/>
        <v>0.65517241379310343</v>
      </c>
      <c r="F1294">
        <v>101.1</v>
      </c>
      <c r="G1294">
        <v>105.1</v>
      </c>
      <c r="H1294">
        <v>0.39090000000000003</v>
      </c>
      <c r="I1294">
        <v>48.5</v>
      </c>
      <c r="J1294">
        <v>51.7</v>
      </c>
      <c r="K1294">
        <v>17.899999999999999</v>
      </c>
      <c r="L1294">
        <v>21.9</v>
      </c>
      <c r="M1294">
        <v>31.7</v>
      </c>
      <c r="N1294">
        <v>27.8</v>
      </c>
      <c r="O1294">
        <v>36.299999999999997</v>
      </c>
      <c r="P1294">
        <v>38.299999999999997</v>
      </c>
      <c r="Q1294">
        <v>46.7</v>
      </c>
      <c r="R1294">
        <v>51.3</v>
      </c>
      <c r="S1294">
        <v>34.4</v>
      </c>
      <c r="T1294">
        <v>35</v>
      </c>
      <c r="U1294">
        <v>68.8</v>
      </c>
      <c r="V1294">
        <v>-9.6999999999999993</v>
      </c>
      <c r="W1294" cm="1">
        <f t="array" ref="W1294">_xlfn.IFS(OR(X1294="N/A",X1294="NA"),0,OR(X1294="R64",X1294="R68"),1,X1294="R32",2,X1294="S16",3,X1294="E8",4,X1294="F4",5,X1294="2ND",6,X1294="Champions",7)</f>
        <v>0</v>
      </c>
      <c r="X1294" t="s">
        <v>90</v>
      </c>
      <c r="Y1294" t="s">
        <v>90</v>
      </c>
      <c r="Z1294">
        <v>2018</v>
      </c>
    </row>
    <row r="1295" spans="1:26" x14ac:dyDescent="0.3">
      <c r="A1295" t="s">
        <v>373</v>
      </c>
      <c r="B1295" t="s">
        <v>61</v>
      </c>
      <c r="C1295">
        <v>25</v>
      </c>
      <c r="D1295">
        <v>12</v>
      </c>
      <c r="E1295" s="1">
        <f t="shared" si="20"/>
        <v>0.48</v>
      </c>
      <c r="F1295">
        <v>99.2</v>
      </c>
      <c r="G1295">
        <v>111</v>
      </c>
      <c r="H1295">
        <v>0.2155</v>
      </c>
      <c r="I1295">
        <v>48.8</v>
      </c>
      <c r="J1295">
        <v>49.8</v>
      </c>
      <c r="K1295">
        <v>19</v>
      </c>
      <c r="L1295">
        <v>15.2</v>
      </c>
      <c r="M1295">
        <v>29.3</v>
      </c>
      <c r="N1295">
        <v>33.299999999999997</v>
      </c>
      <c r="O1295">
        <v>32.700000000000003</v>
      </c>
      <c r="P1295">
        <v>31.5</v>
      </c>
      <c r="Q1295">
        <v>47.3</v>
      </c>
      <c r="R1295">
        <v>48.4</v>
      </c>
      <c r="S1295">
        <v>34.6</v>
      </c>
      <c r="T1295">
        <v>35</v>
      </c>
      <c r="U1295">
        <v>71</v>
      </c>
      <c r="V1295">
        <v>-12.6</v>
      </c>
      <c r="W1295" cm="1">
        <f t="array" ref="W1295">_xlfn.IFS(OR(X1295="N/A",X1295="NA"),0,OR(X1295="R64",X1295="R68"),1,X1295="R32",2,X1295="S16",3,X1295="E8",4,X1295="F4",5,X1295="2ND",6,X1295="Champions",7)</f>
        <v>0</v>
      </c>
      <c r="X1295" t="s">
        <v>90</v>
      </c>
      <c r="Y1295" t="s">
        <v>90</v>
      </c>
      <c r="Z1295">
        <v>2018</v>
      </c>
    </row>
    <row r="1296" spans="1:26" x14ac:dyDescent="0.3">
      <c r="A1296" t="s">
        <v>374</v>
      </c>
      <c r="B1296" t="s">
        <v>61</v>
      </c>
      <c r="C1296">
        <v>30</v>
      </c>
      <c r="D1296">
        <v>16</v>
      </c>
      <c r="E1296" s="1">
        <f t="shared" si="20"/>
        <v>0.53333333333333333</v>
      </c>
      <c r="F1296">
        <v>97</v>
      </c>
      <c r="G1296">
        <v>108.1</v>
      </c>
      <c r="H1296">
        <v>0.22220000000000001</v>
      </c>
      <c r="I1296">
        <v>48.8</v>
      </c>
      <c r="J1296">
        <v>53.2</v>
      </c>
      <c r="K1296">
        <v>21.9</v>
      </c>
      <c r="L1296">
        <v>22.3</v>
      </c>
      <c r="M1296">
        <v>32.6</v>
      </c>
      <c r="N1296">
        <v>30.9</v>
      </c>
      <c r="O1296">
        <v>41.5</v>
      </c>
      <c r="P1296">
        <v>38.299999999999997</v>
      </c>
      <c r="Q1296">
        <v>47.3</v>
      </c>
      <c r="R1296">
        <v>51.6</v>
      </c>
      <c r="S1296">
        <v>35.6</v>
      </c>
      <c r="T1296">
        <v>37.6</v>
      </c>
      <c r="U1296">
        <v>67.099999999999994</v>
      </c>
      <c r="V1296">
        <v>-10.7</v>
      </c>
      <c r="W1296" cm="1">
        <f t="array" ref="W1296">_xlfn.IFS(OR(X1296="N/A",X1296="NA"),0,OR(X1296="R64",X1296="R68"),1,X1296="R32",2,X1296="S16",3,X1296="E8",4,X1296="F4",5,X1296="2ND",6,X1296="Champions",7)</f>
        <v>0</v>
      </c>
      <c r="X1296" t="s">
        <v>90</v>
      </c>
      <c r="Y1296" t="s">
        <v>90</v>
      </c>
      <c r="Z1296">
        <v>2018</v>
      </c>
    </row>
    <row r="1297" spans="1:26" x14ac:dyDescent="0.3">
      <c r="A1297" t="s">
        <v>375</v>
      </c>
      <c r="B1297" t="s">
        <v>61</v>
      </c>
      <c r="C1297">
        <v>28</v>
      </c>
      <c r="D1297">
        <v>21</v>
      </c>
      <c r="E1297" s="1">
        <f t="shared" si="20"/>
        <v>0.75</v>
      </c>
      <c r="F1297">
        <v>101.8</v>
      </c>
      <c r="G1297">
        <v>103.8</v>
      </c>
      <c r="H1297">
        <v>0.44650000000000001</v>
      </c>
      <c r="I1297">
        <v>51.9</v>
      </c>
      <c r="J1297">
        <v>50.2</v>
      </c>
      <c r="K1297">
        <v>20.399999999999999</v>
      </c>
      <c r="L1297">
        <v>21.1</v>
      </c>
      <c r="M1297">
        <v>30.5</v>
      </c>
      <c r="N1297">
        <v>30.6</v>
      </c>
      <c r="O1297">
        <v>37.299999999999997</v>
      </c>
      <c r="P1297">
        <v>45.2</v>
      </c>
      <c r="Q1297">
        <v>51.6</v>
      </c>
      <c r="R1297">
        <v>49.7</v>
      </c>
      <c r="S1297">
        <v>34.799999999999997</v>
      </c>
      <c r="T1297">
        <v>34.1</v>
      </c>
      <c r="U1297">
        <v>75.2</v>
      </c>
      <c r="V1297">
        <v>-6.3</v>
      </c>
      <c r="W1297" cm="1">
        <f t="array" ref="W1297">_xlfn.IFS(OR(X1297="N/A",X1297="NA"),0,OR(X1297="R64",X1297="R68"),1,X1297="R32",2,X1297="S16",3,X1297="E8",4,X1297="F4",5,X1297="2ND",6,X1297="Champions",7)</f>
        <v>0</v>
      </c>
      <c r="X1297" t="s">
        <v>90</v>
      </c>
      <c r="Y1297" t="s">
        <v>90</v>
      </c>
      <c r="Z1297">
        <v>2018</v>
      </c>
    </row>
    <row r="1298" spans="1:26" x14ac:dyDescent="0.3">
      <c r="A1298" t="s">
        <v>376</v>
      </c>
      <c r="B1298" t="s">
        <v>61</v>
      </c>
      <c r="C1298">
        <v>25</v>
      </c>
      <c r="D1298">
        <v>4</v>
      </c>
      <c r="E1298" s="1">
        <f t="shared" si="20"/>
        <v>0.16</v>
      </c>
      <c r="F1298">
        <v>88.2</v>
      </c>
      <c r="G1298">
        <v>109.9</v>
      </c>
      <c r="H1298">
        <v>7.4300000000000005E-2</v>
      </c>
      <c r="I1298">
        <v>44.3</v>
      </c>
      <c r="J1298">
        <v>54.1</v>
      </c>
      <c r="K1298">
        <v>24.7</v>
      </c>
      <c r="L1298">
        <v>19.100000000000001</v>
      </c>
      <c r="M1298">
        <v>32.4</v>
      </c>
      <c r="N1298">
        <v>34.5</v>
      </c>
      <c r="O1298">
        <v>33.200000000000003</v>
      </c>
      <c r="P1298">
        <v>40.1</v>
      </c>
      <c r="Q1298">
        <v>44.9</v>
      </c>
      <c r="R1298">
        <v>53.1</v>
      </c>
      <c r="S1298">
        <v>28.3</v>
      </c>
      <c r="T1298">
        <v>37.200000000000003</v>
      </c>
      <c r="U1298">
        <v>70.5</v>
      </c>
      <c r="V1298">
        <v>-18.100000000000001</v>
      </c>
      <c r="W1298" cm="1">
        <f t="array" ref="W1298">_xlfn.IFS(OR(X1298="N/A",X1298="NA"),0,OR(X1298="R64",X1298="R68"),1,X1298="R32",2,X1298="S16",3,X1298="E8",4,X1298="F4",5,X1298="2ND",6,X1298="Champions",7)</f>
        <v>0</v>
      </c>
      <c r="X1298" t="s">
        <v>90</v>
      </c>
      <c r="Y1298" t="s">
        <v>90</v>
      </c>
      <c r="Z1298">
        <v>2018</v>
      </c>
    </row>
    <row r="1299" spans="1:26" x14ac:dyDescent="0.3">
      <c r="A1299" t="s">
        <v>377</v>
      </c>
      <c r="B1299" t="s">
        <v>61</v>
      </c>
      <c r="C1299">
        <v>32</v>
      </c>
      <c r="D1299">
        <v>21</v>
      </c>
      <c r="E1299" s="1">
        <f t="shared" si="20"/>
        <v>0.65625</v>
      </c>
      <c r="F1299">
        <v>101</v>
      </c>
      <c r="G1299">
        <v>106.1</v>
      </c>
      <c r="H1299">
        <v>0.3629</v>
      </c>
      <c r="I1299">
        <v>48.2</v>
      </c>
      <c r="J1299">
        <v>51.8</v>
      </c>
      <c r="K1299">
        <v>18.8</v>
      </c>
      <c r="L1299">
        <v>20.100000000000001</v>
      </c>
      <c r="M1299">
        <v>32.5</v>
      </c>
      <c r="N1299">
        <v>27.4</v>
      </c>
      <c r="O1299">
        <v>34</v>
      </c>
      <c r="P1299">
        <v>37.6</v>
      </c>
      <c r="Q1299">
        <v>47</v>
      </c>
      <c r="R1299">
        <v>53.1</v>
      </c>
      <c r="S1299">
        <v>33.700000000000003</v>
      </c>
      <c r="T1299">
        <v>33.299999999999997</v>
      </c>
      <c r="U1299">
        <v>68.099999999999994</v>
      </c>
      <c r="V1299">
        <v>-9.4</v>
      </c>
      <c r="W1299" cm="1">
        <f t="array" ref="W1299">_xlfn.IFS(OR(X1299="N/A",X1299="NA"),0,OR(X1299="R64",X1299="R68"),1,X1299="R32",2,X1299="S16",3,X1299="E8",4,X1299="F4",5,X1299="2ND",6,X1299="Champions",7)</f>
        <v>0</v>
      </c>
      <c r="X1299" t="s">
        <v>90</v>
      </c>
      <c r="Y1299" t="s">
        <v>90</v>
      </c>
      <c r="Z1299">
        <v>2018</v>
      </c>
    </row>
    <row r="1300" spans="1:26" x14ac:dyDescent="0.3">
      <c r="A1300" t="s">
        <v>378</v>
      </c>
      <c r="B1300" t="s">
        <v>61</v>
      </c>
      <c r="C1300">
        <v>31</v>
      </c>
      <c r="D1300">
        <v>22</v>
      </c>
      <c r="E1300" s="1">
        <f t="shared" si="20"/>
        <v>0.70967741935483875</v>
      </c>
      <c r="F1300">
        <v>102.7</v>
      </c>
      <c r="G1300">
        <v>104.8</v>
      </c>
      <c r="H1300">
        <v>0.44259999999999999</v>
      </c>
      <c r="I1300">
        <v>51.2</v>
      </c>
      <c r="J1300">
        <v>49.6</v>
      </c>
      <c r="K1300">
        <v>19.600000000000001</v>
      </c>
      <c r="L1300">
        <v>20.3</v>
      </c>
      <c r="M1300">
        <v>29.5</v>
      </c>
      <c r="N1300">
        <v>33.6</v>
      </c>
      <c r="O1300">
        <v>35.299999999999997</v>
      </c>
      <c r="P1300">
        <v>29</v>
      </c>
      <c r="Q1300">
        <v>50.9</v>
      </c>
      <c r="R1300">
        <v>48.4</v>
      </c>
      <c r="S1300">
        <v>34.4</v>
      </c>
      <c r="T1300">
        <v>34.6</v>
      </c>
      <c r="U1300">
        <v>67.2</v>
      </c>
      <c r="V1300">
        <v>-6.5</v>
      </c>
      <c r="W1300" cm="1">
        <f t="array" ref="W1300">_xlfn.IFS(OR(X1300="N/A",X1300="NA"),0,OR(X1300="R64",X1300="R68"),1,X1300="R32",2,X1300="S16",3,X1300="E8",4,X1300="F4",5,X1300="2ND",6,X1300="Champions",7)</f>
        <v>0</v>
      </c>
      <c r="X1300" t="s">
        <v>90</v>
      </c>
      <c r="Y1300" t="s">
        <v>90</v>
      </c>
      <c r="Z1300">
        <v>2018</v>
      </c>
    </row>
    <row r="1301" spans="1:26" x14ac:dyDescent="0.3">
      <c r="A1301" t="s">
        <v>379</v>
      </c>
      <c r="B1301" t="s">
        <v>61</v>
      </c>
      <c r="C1301">
        <v>26</v>
      </c>
      <c r="D1301">
        <v>11</v>
      </c>
      <c r="E1301" s="1">
        <f t="shared" si="20"/>
        <v>0.42307692307692307</v>
      </c>
      <c r="F1301">
        <v>93.7</v>
      </c>
      <c r="G1301">
        <v>107.9</v>
      </c>
      <c r="H1301">
        <v>0.16370000000000001</v>
      </c>
      <c r="I1301">
        <v>48.1</v>
      </c>
      <c r="J1301">
        <v>52.3</v>
      </c>
      <c r="K1301">
        <v>23</v>
      </c>
      <c r="L1301">
        <v>21.2</v>
      </c>
      <c r="M1301">
        <v>28.8</v>
      </c>
      <c r="N1301">
        <v>29.3</v>
      </c>
      <c r="O1301">
        <v>37</v>
      </c>
      <c r="P1301">
        <v>46.1</v>
      </c>
      <c r="Q1301">
        <v>46.7</v>
      </c>
      <c r="R1301">
        <v>51.6</v>
      </c>
      <c r="S1301">
        <v>34.4</v>
      </c>
      <c r="T1301">
        <v>35.5</v>
      </c>
      <c r="U1301">
        <v>69</v>
      </c>
      <c r="V1301">
        <v>-14</v>
      </c>
      <c r="W1301" cm="1">
        <f t="array" ref="W1301">_xlfn.IFS(OR(X1301="N/A",X1301="NA"),0,OR(X1301="R64",X1301="R68"),1,X1301="R32",2,X1301="S16",3,X1301="E8",4,X1301="F4",5,X1301="2ND",6,X1301="Champions",7)</f>
        <v>0</v>
      </c>
      <c r="X1301" t="s">
        <v>90</v>
      </c>
      <c r="Y1301" t="s">
        <v>90</v>
      </c>
      <c r="Z1301">
        <v>2018</v>
      </c>
    </row>
    <row r="1302" spans="1:26" x14ac:dyDescent="0.3">
      <c r="A1302" t="s">
        <v>369</v>
      </c>
      <c r="B1302" t="s">
        <v>61</v>
      </c>
      <c r="C1302">
        <v>30</v>
      </c>
      <c r="D1302">
        <v>14</v>
      </c>
      <c r="E1302" s="1">
        <f t="shared" si="20"/>
        <v>0.46666666666666667</v>
      </c>
      <c r="F1302">
        <v>98.6</v>
      </c>
      <c r="G1302">
        <v>110.7</v>
      </c>
      <c r="H1302">
        <v>0.2097</v>
      </c>
      <c r="I1302">
        <v>49.1</v>
      </c>
      <c r="J1302">
        <v>51.9</v>
      </c>
      <c r="K1302">
        <v>19.7</v>
      </c>
      <c r="L1302">
        <v>18</v>
      </c>
      <c r="M1302">
        <v>24.5</v>
      </c>
      <c r="N1302">
        <v>30.9</v>
      </c>
      <c r="O1302">
        <v>34.200000000000003</v>
      </c>
      <c r="P1302">
        <v>34.299999999999997</v>
      </c>
      <c r="Q1302">
        <v>46.3</v>
      </c>
      <c r="R1302">
        <v>51.2</v>
      </c>
      <c r="S1302">
        <v>35.299999999999997</v>
      </c>
      <c r="T1302">
        <v>35.299999999999997</v>
      </c>
      <c r="U1302">
        <v>72</v>
      </c>
      <c r="V1302">
        <v>-13.4</v>
      </c>
      <c r="W1302" cm="1">
        <f t="array" ref="W1302">_xlfn.IFS(OR(X1302="N/A",X1302="NA"),0,OR(X1302="R64",X1302="R68"),1,X1302="R32",2,X1302="S16",3,X1302="E8",4,X1302="F4",5,X1302="2ND",6,X1302="Champions",7)</f>
        <v>0</v>
      </c>
      <c r="X1302" t="s">
        <v>90</v>
      </c>
      <c r="Y1302" t="s">
        <v>90</v>
      </c>
      <c r="Z1302">
        <v>2019</v>
      </c>
    </row>
    <row r="1303" spans="1:26" x14ac:dyDescent="0.3">
      <c r="A1303" t="s">
        <v>370</v>
      </c>
      <c r="B1303" t="s">
        <v>61</v>
      </c>
      <c r="C1303">
        <v>28</v>
      </c>
      <c r="D1303">
        <v>12</v>
      </c>
      <c r="E1303" s="1">
        <f t="shared" si="20"/>
        <v>0.42857142857142855</v>
      </c>
      <c r="F1303">
        <v>102.2</v>
      </c>
      <c r="G1303">
        <v>112.1</v>
      </c>
      <c r="H1303">
        <v>0.2576</v>
      </c>
      <c r="I1303">
        <v>49.6</v>
      </c>
      <c r="J1303">
        <v>55.7</v>
      </c>
      <c r="K1303">
        <v>19.5</v>
      </c>
      <c r="L1303">
        <v>20.2</v>
      </c>
      <c r="M1303">
        <v>33.799999999999997</v>
      </c>
      <c r="N1303">
        <v>29.6</v>
      </c>
      <c r="O1303">
        <v>42.4</v>
      </c>
      <c r="P1303">
        <v>35.700000000000003</v>
      </c>
      <c r="Q1303">
        <v>49.3</v>
      </c>
      <c r="R1303">
        <v>54.3</v>
      </c>
      <c r="S1303">
        <v>33.4</v>
      </c>
      <c r="T1303">
        <v>39</v>
      </c>
      <c r="U1303">
        <v>75.099999999999994</v>
      </c>
      <c r="V1303">
        <v>-13.1</v>
      </c>
      <c r="W1303" cm="1">
        <f t="array" ref="W1303">_xlfn.IFS(OR(X1303="N/A",X1303="NA"),0,OR(X1303="R64",X1303="R68"),1,X1303="R32",2,X1303="S16",3,X1303="E8",4,X1303="F4",5,X1303="2ND",6,X1303="Champions",7)</f>
        <v>0</v>
      </c>
      <c r="X1303" t="s">
        <v>90</v>
      </c>
      <c r="Y1303" t="s">
        <v>90</v>
      </c>
      <c r="Z1303">
        <v>2019</v>
      </c>
    </row>
    <row r="1304" spans="1:26" x14ac:dyDescent="0.3">
      <c r="A1304" t="s">
        <v>371</v>
      </c>
      <c r="B1304" t="s">
        <v>61</v>
      </c>
      <c r="C1304">
        <v>27</v>
      </c>
      <c r="D1304">
        <v>6</v>
      </c>
      <c r="E1304" s="1">
        <f t="shared" si="20"/>
        <v>0.22222222222222221</v>
      </c>
      <c r="F1304">
        <v>97.2</v>
      </c>
      <c r="G1304">
        <v>119.2</v>
      </c>
      <c r="H1304">
        <v>8.7499999999999994E-2</v>
      </c>
      <c r="I1304">
        <v>51.9</v>
      </c>
      <c r="J1304">
        <v>59.3</v>
      </c>
      <c r="K1304">
        <v>24.1</v>
      </c>
      <c r="L1304">
        <v>19.7</v>
      </c>
      <c r="M1304">
        <v>23.1</v>
      </c>
      <c r="N1304">
        <v>32.700000000000003</v>
      </c>
      <c r="O1304">
        <v>34.799999999999997</v>
      </c>
      <c r="P1304">
        <v>39.1</v>
      </c>
      <c r="Q1304">
        <v>51.4</v>
      </c>
      <c r="R1304">
        <v>61.2</v>
      </c>
      <c r="S1304">
        <v>35.1</v>
      </c>
      <c r="T1304">
        <v>37.6</v>
      </c>
      <c r="U1304">
        <v>66.400000000000006</v>
      </c>
      <c r="V1304">
        <v>-20.2</v>
      </c>
      <c r="W1304" cm="1">
        <f t="array" ref="W1304">_xlfn.IFS(OR(X1304="N/A",X1304="NA"),0,OR(X1304="R64",X1304="R68"),1,X1304="R32",2,X1304="S16",3,X1304="E8",4,X1304="F4",5,X1304="2ND",6,X1304="Champions",7)</f>
        <v>0</v>
      </c>
      <c r="X1304" t="s">
        <v>90</v>
      </c>
      <c r="Y1304" t="s">
        <v>90</v>
      </c>
      <c r="Z1304">
        <v>2019</v>
      </c>
    </row>
    <row r="1305" spans="1:26" x14ac:dyDescent="0.3">
      <c r="A1305" t="s">
        <v>372</v>
      </c>
      <c r="B1305" t="s">
        <v>61</v>
      </c>
      <c r="C1305">
        <v>29</v>
      </c>
      <c r="D1305">
        <v>20</v>
      </c>
      <c r="E1305" s="1">
        <f t="shared" si="20"/>
        <v>0.68965517241379315</v>
      </c>
      <c r="F1305">
        <v>103</v>
      </c>
      <c r="G1305">
        <v>107</v>
      </c>
      <c r="H1305">
        <v>0.39050000000000001</v>
      </c>
      <c r="I1305">
        <v>49.3</v>
      </c>
      <c r="J1305">
        <v>52.2</v>
      </c>
      <c r="K1305">
        <v>20</v>
      </c>
      <c r="L1305">
        <v>19.8</v>
      </c>
      <c r="M1305">
        <v>36.200000000000003</v>
      </c>
      <c r="N1305">
        <v>27.4</v>
      </c>
      <c r="O1305">
        <v>42.3</v>
      </c>
      <c r="P1305">
        <v>35.700000000000003</v>
      </c>
      <c r="Q1305">
        <v>48.8</v>
      </c>
      <c r="R1305">
        <v>52.3</v>
      </c>
      <c r="S1305">
        <v>33.6</v>
      </c>
      <c r="T1305">
        <v>34.6</v>
      </c>
      <c r="U1305">
        <v>69.7</v>
      </c>
      <c r="V1305">
        <v>-9</v>
      </c>
      <c r="W1305" cm="1">
        <f t="array" ref="W1305">_xlfn.IFS(OR(X1305="N/A",X1305="NA"),0,OR(X1305="R64",X1305="R68"),1,X1305="R32",2,X1305="S16",3,X1305="E8",4,X1305="F4",5,X1305="2ND",6,X1305="Champions",7)</f>
        <v>0</v>
      </c>
      <c r="X1305" t="s">
        <v>90</v>
      </c>
      <c r="Y1305" t="s">
        <v>90</v>
      </c>
      <c r="Z1305">
        <v>2019</v>
      </c>
    </row>
    <row r="1306" spans="1:26" x14ac:dyDescent="0.3">
      <c r="A1306" t="s">
        <v>373</v>
      </c>
      <c r="B1306" t="s">
        <v>61</v>
      </c>
      <c r="C1306">
        <v>27</v>
      </c>
      <c r="D1306">
        <v>9</v>
      </c>
      <c r="E1306" s="1">
        <f t="shared" si="20"/>
        <v>0.33333333333333331</v>
      </c>
      <c r="F1306">
        <v>96.3</v>
      </c>
      <c r="G1306">
        <v>113.6</v>
      </c>
      <c r="H1306">
        <v>0.13059999999999999</v>
      </c>
      <c r="I1306">
        <v>49.8</v>
      </c>
      <c r="J1306">
        <v>54.2</v>
      </c>
      <c r="K1306">
        <v>21.3</v>
      </c>
      <c r="L1306">
        <v>17.7</v>
      </c>
      <c r="M1306">
        <v>29.7</v>
      </c>
      <c r="N1306">
        <v>31.9</v>
      </c>
      <c r="O1306">
        <v>38.799999999999997</v>
      </c>
      <c r="P1306">
        <v>29.3</v>
      </c>
      <c r="Q1306">
        <v>51.3</v>
      </c>
      <c r="R1306">
        <v>53.8</v>
      </c>
      <c r="S1306">
        <v>31</v>
      </c>
      <c r="T1306">
        <v>36.5</v>
      </c>
      <c r="U1306">
        <v>67.5</v>
      </c>
      <c r="V1306">
        <v>-17.399999999999999</v>
      </c>
      <c r="W1306" cm="1">
        <f t="array" ref="W1306">_xlfn.IFS(OR(X1306="N/A",X1306="NA"),0,OR(X1306="R64",X1306="R68"),1,X1306="R32",2,X1306="S16",3,X1306="E8",4,X1306="F4",5,X1306="2ND",6,X1306="Champions",7)</f>
        <v>0</v>
      </c>
      <c r="X1306" t="s">
        <v>90</v>
      </c>
      <c r="Y1306" t="s">
        <v>90</v>
      </c>
      <c r="Z1306">
        <v>2019</v>
      </c>
    </row>
    <row r="1307" spans="1:26" x14ac:dyDescent="0.3">
      <c r="A1307" t="s">
        <v>374</v>
      </c>
      <c r="B1307" t="s">
        <v>61</v>
      </c>
      <c r="C1307">
        <v>29</v>
      </c>
      <c r="D1307">
        <v>19</v>
      </c>
      <c r="E1307" s="1">
        <f t="shared" si="20"/>
        <v>0.65517241379310343</v>
      </c>
      <c r="F1307">
        <v>96.2</v>
      </c>
      <c r="G1307">
        <v>105.2</v>
      </c>
      <c r="H1307">
        <v>0.2631</v>
      </c>
      <c r="I1307">
        <v>48</v>
      </c>
      <c r="J1307">
        <v>50</v>
      </c>
      <c r="K1307">
        <v>21.8</v>
      </c>
      <c r="L1307">
        <v>22.5</v>
      </c>
      <c r="M1307">
        <v>32.799999999999997</v>
      </c>
      <c r="N1307">
        <v>34.200000000000003</v>
      </c>
      <c r="O1307">
        <v>36</v>
      </c>
      <c r="P1307">
        <v>40.4</v>
      </c>
      <c r="Q1307">
        <v>47.2</v>
      </c>
      <c r="R1307">
        <v>50.5</v>
      </c>
      <c r="S1307">
        <v>33.299999999999997</v>
      </c>
      <c r="T1307">
        <v>32.700000000000003</v>
      </c>
      <c r="U1307">
        <v>69.7</v>
      </c>
      <c r="V1307">
        <v>-8.6999999999999993</v>
      </c>
      <c r="W1307" cm="1">
        <f t="array" ref="W1307">_xlfn.IFS(OR(X1307="N/A",X1307="NA"),0,OR(X1307="R64",X1307="R68"),1,X1307="R32",2,X1307="S16",3,X1307="E8",4,X1307="F4",5,X1307="2ND",6,X1307="Champions",7)</f>
        <v>0</v>
      </c>
      <c r="X1307" t="s">
        <v>90</v>
      </c>
      <c r="Y1307" t="s">
        <v>90</v>
      </c>
      <c r="Z1307">
        <v>2019</v>
      </c>
    </row>
    <row r="1308" spans="1:26" x14ac:dyDescent="0.3">
      <c r="A1308" t="s">
        <v>375</v>
      </c>
      <c r="B1308" t="s">
        <v>61</v>
      </c>
      <c r="C1308">
        <v>27</v>
      </c>
      <c r="D1308">
        <v>14</v>
      </c>
      <c r="E1308" s="1">
        <f t="shared" si="20"/>
        <v>0.51851851851851849</v>
      </c>
      <c r="F1308">
        <v>98.3</v>
      </c>
      <c r="G1308">
        <v>110.3</v>
      </c>
      <c r="H1308">
        <v>0.2102</v>
      </c>
      <c r="I1308">
        <v>50.1</v>
      </c>
      <c r="J1308">
        <v>51</v>
      </c>
      <c r="K1308">
        <v>17.2</v>
      </c>
      <c r="L1308">
        <v>18.100000000000001</v>
      </c>
      <c r="M1308">
        <v>23.5</v>
      </c>
      <c r="N1308">
        <v>33.6</v>
      </c>
      <c r="O1308">
        <v>21.9</v>
      </c>
      <c r="P1308">
        <v>36</v>
      </c>
      <c r="Q1308">
        <v>45.4</v>
      </c>
      <c r="R1308">
        <v>53.5</v>
      </c>
      <c r="S1308">
        <v>37</v>
      </c>
      <c r="T1308">
        <v>30.7</v>
      </c>
      <c r="U1308">
        <v>70.2</v>
      </c>
      <c r="V1308">
        <v>-12.6</v>
      </c>
      <c r="W1308" cm="1">
        <f t="array" ref="W1308">_xlfn.IFS(OR(X1308="N/A",X1308="NA"),0,OR(X1308="R64",X1308="R68"),1,X1308="R32",2,X1308="S16",3,X1308="E8",4,X1308="F4",5,X1308="2ND",6,X1308="Champions",7)</f>
        <v>0</v>
      </c>
      <c r="X1308" t="s">
        <v>90</v>
      </c>
      <c r="Y1308" t="s">
        <v>90</v>
      </c>
      <c r="Z1308">
        <v>2019</v>
      </c>
    </row>
    <row r="1309" spans="1:26" x14ac:dyDescent="0.3">
      <c r="A1309" t="s">
        <v>376</v>
      </c>
      <c r="B1309" t="s">
        <v>61</v>
      </c>
      <c r="C1309">
        <v>28</v>
      </c>
      <c r="D1309">
        <v>11</v>
      </c>
      <c r="E1309" s="1">
        <f t="shared" si="20"/>
        <v>0.39285714285714285</v>
      </c>
      <c r="F1309">
        <v>89</v>
      </c>
      <c r="G1309">
        <v>109.4</v>
      </c>
      <c r="H1309">
        <v>8.5000000000000006E-2</v>
      </c>
      <c r="I1309">
        <v>44.7</v>
      </c>
      <c r="J1309">
        <v>51.2</v>
      </c>
      <c r="K1309">
        <v>22.7</v>
      </c>
      <c r="L1309">
        <v>19.5</v>
      </c>
      <c r="M1309">
        <v>28.9</v>
      </c>
      <c r="N1309">
        <v>34.700000000000003</v>
      </c>
      <c r="O1309">
        <v>33.6</v>
      </c>
      <c r="P1309">
        <v>36.5</v>
      </c>
      <c r="Q1309">
        <v>46.2</v>
      </c>
      <c r="R1309">
        <v>48.1</v>
      </c>
      <c r="S1309">
        <v>28</v>
      </c>
      <c r="T1309">
        <v>37.5</v>
      </c>
      <c r="U1309">
        <v>69.900000000000006</v>
      </c>
      <c r="V1309">
        <v>-14.9</v>
      </c>
      <c r="W1309" cm="1">
        <f t="array" ref="W1309">_xlfn.IFS(OR(X1309="N/A",X1309="NA"),0,OR(X1309="R64",X1309="R68"),1,X1309="R32",2,X1309="S16",3,X1309="E8",4,X1309="F4",5,X1309="2ND",6,X1309="Champions",7)</f>
        <v>0</v>
      </c>
      <c r="X1309" t="s">
        <v>90</v>
      </c>
      <c r="Y1309" t="s">
        <v>90</v>
      </c>
      <c r="Z1309">
        <v>2019</v>
      </c>
    </row>
    <row r="1310" spans="1:26" x14ac:dyDescent="0.3">
      <c r="A1310" t="s">
        <v>377</v>
      </c>
      <c r="B1310" t="s">
        <v>61</v>
      </c>
      <c r="C1310">
        <v>30</v>
      </c>
      <c r="D1310">
        <v>21</v>
      </c>
      <c r="E1310" s="1">
        <f t="shared" si="20"/>
        <v>0.7</v>
      </c>
      <c r="F1310">
        <v>105.6</v>
      </c>
      <c r="G1310">
        <v>106.4</v>
      </c>
      <c r="H1310">
        <v>0.47699999999999998</v>
      </c>
      <c r="I1310">
        <v>51.8</v>
      </c>
      <c r="J1310">
        <v>51.2</v>
      </c>
      <c r="K1310">
        <v>18.3</v>
      </c>
      <c r="L1310">
        <v>21.2</v>
      </c>
      <c r="M1310">
        <v>29.7</v>
      </c>
      <c r="N1310">
        <v>28.6</v>
      </c>
      <c r="O1310">
        <v>26</v>
      </c>
      <c r="P1310">
        <v>43.3</v>
      </c>
      <c r="Q1310">
        <v>48.6</v>
      </c>
      <c r="R1310">
        <v>51.4</v>
      </c>
      <c r="S1310">
        <v>37.5</v>
      </c>
      <c r="T1310">
        <v>34</v>
      </c>
      <c r="U1310">
        <v>67.7</v>
      </c>
      <c r="V1310">
        <v>-6.7</v>
      </c>
      <c r="W1310" cm="1">
        <f t="array" ref="W1310">_xlfn.IFS(OR(X1310="N/A",X1310="NA"),0,OR(X1310="R64",X1310="R68"),1,X1310="R32",2,X1310="S16",3,X1310="E8",4,X1310="F4",5,X1310="2ND",6,X1310="Champions",7)</f>
        <v>0</v>
      </c>
      <c r="X1310" t="s">
        <v>90</v>
      </c>
      <c r="Y1310" t="s">
        <v>90</v>
      </c>
      <c r="Z1310">
        <v>2019</v>
      </c>
    </row>
    <row r="1311" spans="1:26" x14ac:dyDescent="0.3">
      <c r="A1311" t="s">
        <v>378</v>
      </c>
      <c r="B1311" t="s">
        <v>61</v>
      </c>
      <c r="C1311">
        <v>31</v>
      </c>
      <c r="D1311">
        <v>17</v>
      </c>
      <c r="E1311" s="1">
        <f t="shared" si="20"/>
        <v>0.54838709677419351</v>
      </c>
      <c r="F1311">
        <v>98.9</v>
      </c>
      <c r="G1311">
        <v>105.4</v>
      </c>
      <c r="H1311">
        <v>0.3256</v>
      </c>
      <c r="I1311">
        <v>50.4</v>
      </c>
      <c r="J1311">
        <v>50.2</v>
      </c>
      <c r="K1311">
        <v>24.1</v>
      </c>
      <c r="L1311">
        <v>20.9</v>
      </c>
      <c r="M1311">
        <v>32.5</v>
      </c>
      <c r="N1311">
        <v>28.2</v>
      </c>
      <c r="O1311">
        <v>37.200000000000003</v>
      </c>
      <c r="P1311">
        <v>39.299999999999997</v>
      </c>
      <c r="Q1311">
        <v>50.4</v>
      </c>
      <c r="R1311">
        <v>50.6</v>
      </c>
      <c r="S1311">
        <v>33.6</v>
      </c>
      <c r="T1311">
        <v>32.9</v>
      </c>
      <c r="U1311">
        <v>66.8</v>
      </c>
      <c r="V1311">
        <v>-10.8</v>
      </c>
      <c r="W1311" cm="1">
        <f t="array" ref="W1311">_xlfn.IFS(OR(X1311="N/A",X1311="NA"),0,OR(X1311="R64",X1311="R68"),1,X1311="R32",2,X1311="S16",3,X1311="E8",4,X1311="F4",5,X1311="2ND",6,X1311="Champions",7)</f>
        <v>0</v>
      </c>
      <c r="X1311" t="s">
        <v>90</v>
      </c>
      <c r="Y1311" t="s">
        <v>90</v>
      </c>
      <c r="Z1311">
        <v>2019</v>
      </c>
    </row>
    <row r="1312" spans="1:26" x14ac:dyDescent="0.3">
      <c r="A1312" t="s">
        <v>380</v>
      </c>
      <c r="B1312" t="s">
        <v>61</v>
      </c>
      <c r="C1312">
        <v>26</v>
      </c>
      <c r="D1312">
        <v>14</v>
      </c>
      <c r="E1312" s="1">
        <f t="shared" si="20"/>
        <v>0.53846153846153844</v>
      </c>
      <c r="F1312">
        <v>94.5</v>
      </c>
      <c r="G1312">
        <v>108.8</v>
      </c>
      <c r="H1312">
        <v>0.16550000000000001</v>
      </c>
      <c r="I1312">
        <v>48.4</v>
      </c>
      <c r="J1312">
        <v>52.6</v>
      </c>
      <c r="K1312">
        <v>20.5</v>
      </c>
      <c r="L1312">
        <v>21.5</v>
      </c>
      <c r="M1312">
        <v>29.1</v>
      </c>
      <c r="N1312">
        <v>32.9</v>
      </c>
      <c r="O1312">
        <v>36.200000000000003</v>
      </c>
      <c r="P1312">
        <v>36.1</v>
      </c>
      <c r="Q1312">
        <v>47.6</v>
      </c>
      <c r="R1312">
        <v>49.9</v>
      </c>
      <c r="S1312">
        <v>33.299999999999997</v>
      </c>
      <c r="T1312">
        <v>37.4</v>
      </c>
      <c r="U1312">
        <v>70</v>
      </c>
      <c r="V1312">
        <v>-11.9</v>
      </c>
      <c r="W1312" cm="1">
        <f t="array" ref="W1312">_xlfn.IFS(OR(X1312="N/A",X1312="NA"),0,OR(X1312="R64",X1312="R68"),1,X1312="R32",2,X1312="S16",3,X1312="E8",4,X1312="F4",5,X1312="2ND",6,X1312="Champions",7)</f>
        <v>0</v>
      </c>
      <c r="X1312" t="s">
        <v>90</v>
      </c>
      <c r="Y1312" t="s">
        <v>90</v>
      </c>
      <c r="Z1312">
        <v>2019</v>
      </c>
    </row>
    <row r="1313" spans="1:26" x14ac:dyDescent="0.3">
      <c r="A1313" t="s">
        <v>379</v>
      </c>
      <c r="B1313" t="s">
        <v>61</v>
      </c>
      <c r="C1313">
        <v>28</v>
      </c>
      <c r="D1313">
        <v>14</v>
      </c>
      <c r="E1313" s="1">
        <f t="shared" si="20"/>
        <v>0.5</v>
      </c>
      <c r="F1313">
        <v>93.9</v>
      </c>
      <c r="G1313">
        <v>104.1</v>
      </c>
      <c r="H1313">
        <v>0.23549999999999999</v>
      </c>
      <c r="I1313">
        <v>47.9</v>
      </c>
      <c r="J1313">
        <v>48.6</v>
      </c>
      <c r="K1313">
        <v>22.3</v>
      </c>
      <c r="L1313">
        <v>20.100000000000001</v>
      </c>
      <c r="M1313">
        <v>31.1</v>
      </c>
      <c r="N1313">
        <v>27.5</v>
      </c>
      <c r="O1313">
        <v>29.8</v>
      </c>
      <c r="P1313">
        <v>41.7</v>
      </c>
      <c r="Q1313">
        <v>47.6</v>
      </c>
      <c r="R1313">
        <v>46.1</v>
      </c>
      <c r="S1313">
        <v>32.299999999999997</v>
      </c>
      <c r="T1313">
        <v>34.9</v>
      </c>
      <c r="U1313">
        <v>66.3</v>
      </c>
      <c r="V1313">
        <v>-13.7</v>
      </c>
      <c r="W1313" cm="1">
        <f t="array" ref="W1313">_xlfn.IFS(OR(X1313="N/A",X1313="NA"),0,OR(X1313="R64",X1313="R68"),1,X1313="R32",2,X1313="S16",3,X1313="E8",4,X1313="F4",5,X1313="2ND",6,X1313="Champions",7)</f>
        <v>0</v>
      </c>
      <c r="X1313" t="s">
        <v>90</v>
      </c>
      <c r="Y1313" t="s">
        <v>90</v>
      </c>
      <c r="Z1313">
        <v>2019</v>
      </c>
    </row>
    <row r="1314" spans="1:26" x14ac:dyDescent="0.3">
      <c r="A1314" t="s">
        <v>381</v>
      </c>
      <c r="B1314" t="s">
        <v>72</v>
      </c>
      <c r="C1314">
        <v>30</v>
      </c>
      <c r="D1314">
        <v>12</v>
      </c>
      <c r="E1314" s="1">
        <f t="shared" si="20"/>
        <v>0.4</v>
      </c>
      <c r="F1314">
        <v>103.5</v>
      </c>
      <c r="G1314">
        <v>107.5</v>
      </c>
      <c r="H1314">
        <v>0.39429999999999998</v>
      </c>
      <c r="I1314">
        <v>56.2</v>
      </c>
      <c r="J1314">
        <v>52.9</v>
      </c>
      <c r="K1314">
        <v>19.100000000000001</v>
      </c>
      <c r="L1314">
        <v>20.399999999999999</v>
      </c>
      <c r="M1314">
        <v>19.3</v>
      </c>
      <c r="N1314">
        <v>29.6</v>
      </c>
      <c r="O1314">
        <v>31.2</v>
      </c>
      <c r="P1314">
        <v>51.2</v>
      </c>
      <c r="Q1314">
        <v>55.5</v>
      </c>
      <c r="R1314">
        <v>51.7</v>
      </c>
      <c r="S1314">
        <v>38</v>
      </c>
      <c r="T1314">
        <v>37.1</v>
      </c>
      <c r="U1314">
        <v>57.9</v>
      </c>
      <c r="V1314">
        <v>-12.5</v>
      </c>
      <c r="W1314" cm="1">
        <f t="array" ref="W1314">_xlfn.IFS(OR(X1314="N/A",X1314="NA"),0,OR(X1314="R64",X1314="R68"),1,X1314="R32",2,X1314="S16",3,X1314="E8",4,X1314="F4",5,X1314="2ND",6,X1314="Champions",7)</f>
        <v>0</v>
      </c>
      <c r="X1314" t="s">
        <v>90</v>
      </c>
      <c r="Y1314" t="s">
        <v>90</v>
      </c>
      <c r="Z1314">
        <v>2015</v>
      </c>
    </row>
    <row r="1315" spans="1:26" x14ac:dyDescent="0.3">
      <c r="A1315" t="s">
        <v>382</v>
      </c>
      <c r="B1315" t="s">
        <v>72</v>
      </c>
      <c r="C1315">
        <v>28</v>
      </c>
      <c r="D1315">
        <v>13</v>
      </c>
      <c r="E1315" s="1">
        <f t="shared" si="20"/>
        <v>0.4642857142857143</v>
      </c>
      <c r="F1315">
        <v>104.5</v>
      </c>
      <c r="G1315">
        <v>107.5</v>
      </c>
      <c r="H1315">
        <v>0.41799999999999998</v>
      </c>
      <c r="I1315">
        <v>53.3</v>
      </c>
      <c r="J1315">
        <v>51.3</v>
      </c>
      <c r="K1315">
        <v>18.7</v>
      </c>
      <c r="L1315">
        <v>16</v>
      </c>
      <c r="M1315">
        <v>25.1</v>
      </c>
      <c r="N1315">
        <v>26.6</v>
      </c>
      <c r="O1315">
        <v>41.1</v>
      </c>
      <c r="P1315">
        <v>27.7</v>
      </c>
      <c r="Q1315">
        <v>52.6</v>
      </c>
      <c r="R1315">
        <v>49.9</v>
      </c>
      <c r="S1315">
        <v>36.299999999999997</v>
      </c>
      <c r="T1315">
        <v>36</v>
      </c>
      <c r="U1315">
        <v>65</v>
      </c>
      <c r="V1315">
        <v>-9.1999999999999993</v>
      </c>
      <c r="W1315" cm="1">
        <f t="array" ref="W1315">_xlfn.IFS(OR(X1315="N/A",X1315="NA"),0,OR(X1315="R64",X1315="R68"),1,X1315="R32",2,X1315="S16",3,X1315="E8",4,X1315="F4",5,X1315="2ND",6,X1315="Champions",7)</f>
        <v>0</v>
      </c>
      <c r="X1315" t="s">
        <v>90</v>
      </c>
      <c r="Y1315" t="s">
        <v>90</v>
      </c>
      <c r="Z1315">
        <v>2015</v>
      </c>
    </row>
    <row r="1316" spans="1:26" x14ac:dyDescent="0.3">
      <c r="A1316" t="s">
        <v>230</v>
      </c>
      <c r="B1316" t="s">
        <v>72</v>
      </c>
      <c r="C1316">
        <v>31</v>
      </c>
      <c r="D1316">
        <v>10</v>
      </c>
      <c r="E1316" s="1">
        <f t="shared" si="20"/>
        <v>0.32258064516129031</v>
      </c>
      <c r="F1316">
        <v>92.4</v>
      </c>
      <c r="G1316">
        <v>101.2</v>
      </c>
      <c r="H1316">
        <v>0.25800000000000001</v>
      </c>
      <c r="I1316">
        <v>46.5</v>
      </c>
      <c r="J1316">
        <v>51.3</v>
      </c>
      <c r="K1316">
        <v>23.6</v>
      </c>
      <c r="L1316">
        <v>20.9</v>
      </c>
      <c r="M1316">
        <v>31.1</v>
      </c>
      <c r="N1316">
        <v>28.3</v>
      </c>
      <c r="O1316">
        <v>32.799999999999997</v>
      </c>
      <c r="P1316">
        <v>41.8</v>
      </c>
      <c r="Q1316">
        <v>47.3</v>
      </c>
      <c r="R1316">
        <v>48.5</v>
      </c>
      <c r="S1316">
        <v>29.6</v>
      </c>
      <c r="T1316">
        <v>38.299999999999997</v>
      </c>
      <c r="U1316">
        <v>64.099999999999994</v>
      </c>
      <c r="V1316">
        <v>-14.5</v>
      </c>
      <c r="W1316" cm="1">
        <f t="array" ref="W1316">_xlfn.IFS(OR(X1316="N/A",X1316="NA"),0,OR(X1316="R64",X1316="R68"),1,X1316="R32",2,X1316="S16",3,X1316="E8",4,X1316="F4",5,X1316="2ND",6,X1316="Champions",7)</f>
        <v>0</v>
      </c>
      <c r="X1316" t="s">
        <v>90</v>
      </c>
      <c r="Y1316" t="s">
        <v>90</v>
      </c>
      <c r="Z1316">
        <v>2015</v>
      </c>
    </row>
    <row r="1317" spans="1:26" x14ac:dyDescent="0.3">
      <c r="A1317" t="s">
        <v>383</v>
      </c>
      <c r="B1317" t="s">
        <v>72</v>
      </c>
      <c r="C1317">
        <v>28</v>
      </c>
      <c r="D1317">
        <v>11</v>
      </c>
      <c r="E1317" s="1">
        <f t="shared" si="20"/>
        <v>0.39285714285714285</v>
      </c>
      <c r="F1317">
        <v>100.3</v>
      </c>
      <c r="G1317">
        <v>108</v>
      </c>
      <c r="H1317">
        <v>0.2994</v>
      </c>
      <c r="I1317">
        <v>49.3</v>
      </c>
      <c r="J1317">
        <v>53.3</v>
      </c>
      <c r="K1317">
        <v>18.3</v>
      </c>
      <c r="L1317">
        <v>20.3</v>
      </c>
      <c r="M1317">
        <v>30.5</v>
      </c>
      <c r="N1317">
        <v>28.9</v>
      </c>
      <c r="O1317">
        <v>42.6</v>
      </c>
      <c r="P1317">
        <v>38.9</v>
      </c>
      <c r="Q1317">
        <v>49.2</v>
      </c>
      <c r="R1317">
        <v>51.7</v>
      </c>
      <c r="S1317">
        <v>33.1</v>
      </c>
      <c r="T1317">
        <v>37.6</v>
      </c>
      <c r="U1317">
        <v>74.2</v>
      </c>
      <c r="V1317">
        <v>-12.8</v>
      </c>
      <c r="W1317" cm="1">
        <f t="array" ref="W1317">_xlfn.IFS(OR(X1317="N/A",X1317="NA"),0,OR(X1317="R64",X1317="R68"),1,X1317="R32",2,X1317="S16",3,X1317="E8",4,X1317="F4",5,X1317="2ND",6,X1317="Champions",7)</f>
        <v>0</v>
      </c>
      <c r="X1317" t="s">
        <v>90</v>
      </c>
      <c r="Y1317" t="s">
        <v>90</v>
      </c>
      <c r="Z1317">
        <v>2015</v>
      </c>
    </row>
    <row r="1318" spans="1:26" x14ac:dyDescent="0.3">
      <c r="A1318" t="s">
        <v>384</v>
      </c>
      <c r="B1318" t="s">
        <v>72</v>
      </c>
      <c r="C1318">
        <v>32</v>
      </c>
      <c r="D1318">
        <v>17</v>
      </c>
      <c r="E1318" s="1">
        <f t="shared" si="20"/>
        <v>0.53125</v>
      </c>
      <c r="F1318">
        <v>104.1</v>
      </c>
      <c r="G1318">
        <v>107.5</v>
      </c>
      <c r="H1318">
        <v>0.41060000000000002</v>
      </c>
      <c r="I1318">
        <v>48.1</v>
      </c>
      <c r="J1318">
        <v>51</v>
      </c>
      <c r="K1318">
        <v>17.600000000000001</v>
      </c>
      <c r="L1318">
        <v>18.600000000000001</v>
      </c>
      <c r="M1318">
        <v>29.5</v>
      </c>
      <c r="N1318">
        <v>31.3</v>
      </c>
      <c r="O1318">
        <v>44.5</v>
      </c>
      <c r="P1318">
        <v>37.799999999999997</v>
      </c>
      <c r="Q1318">
        <v>45.6</v>
      </c>
      <c r="R1318">
        <v>48.8</v>
      </c>
      <c r="S1318">
        <v>35.799999999999997</v>
      </c>
      <c r="T1318">
        <v>37.5</v>
      </c>
      <c r="U1318">
        <v>65.8</v>
      </c>
      <c r="V1318">
        <v>-8.4</v>
      </c>
      <c r="W1318" cm="1">
        <f t="array" ref="W1318">_xlfn.IFS(OR(X1318="N/A",X1318="NA"),0,OR(X1318="R64",X1318="R68"),1,X1318="R32",2,X1318="S16",3,X1318="E8",4,X1318="F4",5,X1318="2ND",6,X1318="Champions",7)</f>
        <v>0</v>
      </c>
      <c r="X1318" t="s">
        <v>90</v>
      </c>
      <c r="Y1318" t="s">
        <v>90</v>
      </c>
      <c r="Z1318">
        <v>2015</v>
      </c>
    </row>
    <row r="1319" spans="1:26" x14ac:dyDescent="0.3">
      <c r="A1319" t="s">
        <v>385</v>
      </c>
      <c r="B1319" t="s">
        <v>72</v>
      </c>
      <c r="C1319">
        <v>31</v>
      </c>
      <c r="D1319">
        <v>15</v>
      </c>
      <c r="E1319" s="1">
        <f t="shared" si="20"/>
        <v>0.4838709677419355</v>
      </c>
      <c r="F1319">
        <v>101</v>
      </c>
      <c r="G1319">
        <v>106.4</v>
      </c>
      <c r="H1319">
        <v>0.35580000000000001</v>
      </c>
      <c r="I1319">
        <v>47.1</v>
      </c>
      <c r="J1319">
        <v>51</v>
      </c>
      <c r="K1319">
        <v>16.7</v>
      </c>
      <c r="L1319">
        <v>17.5</v>
      </c>
      <c r="M1319">
        <v>31</v>
      </c>
      <c r="N1319">
        <v>27</v>
      </c>
      <c r="O1319">
        <v>33.700000000000003</v>
      </c>
      <c r="P1319">
        <v>35.6</v>
      </c>
      <c r="Q1319">
        <v>44.2</v>
      </c>
      <c r="R1319">
        <v>51.1</v>
      </c>
      <c r="S1319">
        <v>35.799999999999997</v>
      </c>
      <c r="T1319">
        <v>33.9</v>
      </c>
      <c r="U1319">
        <v>65.900000000000006</v>
      </c>
      <c r="V1319">
        <v>-10.7</v>
      </c>
      <c r="W1319" cm="1">
        <f t="array" ref="W1319">_xlfn.IFS(OR(X1319="N/A",X1319="NA"),0,OR(X1319="R64",X1319="R68"),1,X1319="R32",2,X1319="S16",3,X1319="E8",4,X1319="F4",5,X1319="2ND",6,X1319="Champions",7)</f>
        <v>0</v>
      </c>
      <c r="X1319" t="s">
        <v>90</v>
      </c>
      <c r="Y1319" t="s">
        <v>90</v>
      </c>
      <c r="Z1319">
        <v>2015</v>
      </c>
    </row>
    <row r="1320" spans="1:26" x14ac:dyDescent="0.3">
      <c r="A1320" t="s">
        <v>386</v>
      </c>
      <c r="B1320" t="s">
        <v>72</v>
      </c>
      <c r="C1320">
        <v>33</v>
      </c>
      <c r="D1320">
        <v>22</v>
      </c>
      <c r="E1320" s="1">
        <f t="shared" si="20"/>
        <v>0.66666666666666663</v>
      </c>
      <c r="F1320">
        <v>106.7</v>
      </c>
      <c r="G1320">
        <v>100.2</v>
      </c>
      <c r="H1320">
        <v>0.67269999999999996</v>
      </c>
      <c r="I1320">
        <v>51.9</v>
      </c>
      <c r="J1320">
        <v>47.2</v>
      </c>
      <c r="K1320">
        <v>16.899999999999999</v>
      </c>
      <c r="L1320">
        <v>18.100000000000001</v>
      </c>
      <c r="M1320">
        <v>28.8</v>
      </c>
      <c r="N1320">
        <v>28.2</v>
      </c>
      <c r="O1320">
        <v>40.4</v>
      </c>
      <c r="P1320">
        <v>41.2</v>
      </c>
      <c r="Q1320">
        <v>48.6</v>
      </c>
      <c r="R1320">
        <v>45</v>
      </c>
      <c r="S1320">
        <v>38.1</v>
      </c>
      <c r="T1320">
        <v>34.700000000000003</v>
      </c>
      <c r="U1320">
        <v>66.400000000000006</v>
      </c>
      <c r="V1320">
        <v>-4.7</v>
      </c>
      <c r="W1320" cm="1">
        <f t="array" ref="W1320">_xlfn.IFS(OR(X1320="N/A",X1320="NA"),0,OR(X1320="R64",X1320="R68"),1,X1320="R32",2,X1320="S16",3,X1320="E8",4,X1320="F4",5,X1320="2ND",6,X1320="Champions",7)</f>
        <v>0</v>
      </c>
      <c r="X1320" t="s">
        <v>90</v>
      </c>
      <c r="Y1320" t="s">
        <v>90</v>
      </c>
      <c r="Z1320">
        <v>2015</v>
      </c>
    </row>
    <row r="1321" spans="1:26" x14ac:dyDescent="0.3">
      <c r="A1321" t="s">
        <v>387</v>
      </c>
      <c r="B1321" t="s">
        <v>72</v>
      </c>
      <c r="C1321">
        <v>26</v>
      </c>
      <c r="D1321">
        <v>6</v>
      </c>
      <c r="E1321" s="1">
        <f t="shared" si="20"/>
        <v>0.23076923076923078</v>
      </c>
      <c r="F1321">
        <v>89.4</v>
      </c>
      <c r="G1321">
        <v>106.8</v>
      </c>
      <c r="H1321">
        <v>0.1153</v>
      </c>
      <c r="I1321">
        <v>45.3</v>
      </c>
      <c r="J1321">
        <v>50.7</v>
      </c>
      <c r="K1321">
        <v>18.3</v>
      </c>
      <c r="L1321">
        <v>16.7</v>
      </c>
      <c r="M1321">
        <v>20</v>
      </c>
      <c r="N1321">
        <v>28.9</v>
      </c>
      <c r="O1321">
        <v>30.3</v>
      </c>
      <c r="P1321">
        <v>37.1</v>
      </c>
      <c r="Q1321">
        <v>41.2</v>
      </c>
      <c r="R1321">
        <v>49.4</v>
      </c>
      <c r="S1321">
        <v>35.200000000000003</v>
      </c>
      <c r="T1321">
        <v>35.5</v>
      </c>
      <c r="U1321">
        <v>67</v>
      </c>
      <c r="V1321">
        <v>-15.4</v>
      </c>
      <c r="W1321" cm="1">
        <f t="array" ref="W1321">_xlfn.IFS(OR(X1321="N/A",X1321="NA"),0,OR(X1321="R64",X1321="R68"),1,X1321="R32",2,X1321="S16",3,X1321="E8",4,X1321="F4",5,X1321="2ND",6,X1321="Champions",7)</f>
        <v>0</v>
      </c>
      <c r="X1321" t="s">
        <v>90</v>
      </c>
      <c r="Y1321" t="s">
        <v>90</v>
      </c>
      <c r="Z1321">
        <v>2015</v>
      </c>
    </row>
    <row r="1322" spans="1:26" x14ac:dyDescent="0.3">
      <c r="A1322" t="s">
        <v>381</v>
      </c>
      <c r="B1322" t="s">
        <v>72</v>
      </c>
      <c r="C1322">
        <v>31</v>
      </c>
      <c r="D1322">
        <v>16</v>
      </c>
      <c r="E1322" s="1">
        <f t="shared" si="20"/>
        <v>0.5161290322580645</v>
      </c>
      <c r="F1322">
        <v>102.2</v>
      </c>
      <c r="G1322">
        <v>103.7</v>
      </c>
      <c r="H1322">
        <v>0.45729999999999998</v>
      </c>
      <c r="I1322">
        <v>55.7</v>
      </c>
      <c r="J1322">
        <v>52</v>
      </c>
      <c r="K1322">
        <v>20.8</v>
      </c>
      <c r="L1322">
        <v>22.7</v>
      </c>
      <c r="M1322">
        <v>20</v>
      </c>
      <c r="N1322">
        <v>31</v>
      </c>
      <c r="O1322">
        <v>36.6</v>
      </c>
      <c r="P1322">
        <v>43.3</v>
      </c>
      <c r="Q1322">
        <v>54.3</v>
      </c>
      <c r="R1322">
        <v>49.9</v>
      </c>
      <c r="S1322">
        <v>38.299999999999997</v>
      </c>
      <c r="T1322">
        <v>37.200000000000003</v>
      </c>
      <c r="U1322">
        <v>62</v>
      </c>
      <c r="V1322">
        <v>-10.199999999999999</v>
      </c>
      <c r="W1322" cm="1">
        <f t="array" ref="W1322">_xlfn.IFS(OR(X1322="N/A",X1322="NA"),0,OR(X1322="R64",X1322="R68"),1,X1322="R32",2,X1322="S16",3,X1322="E8",4,X1322="F4",5,X1322="2ND",6,X1322="Champions",7)</f>
        <v>0</v>
      </c>
      <c r="X1322" t="s">
        <v>90</v>
      </c>
      <c r="Y1322" t="s">
        <v>90</v>
      </c>
      <c r="Z1322">
        <v>2016</v>
      </c>
    </row>
    <row r="1323" spans="1:26" x14ac:dyDescent="0.3">
      <c r="A1323" t="s">
        <v>382</v>
      </c>
      <c r="B1323" t="s">
        <v>72</v>
      </c>
      <c r="C1323">
        <v>32</v>
      </c>
      <c r="D1323">
        <v>22</v>
      </c>
      <c r="E1323" s="1">
        <f t="shared" si="20"/>
        <v>0.6875</v>
      </c>
      <c r="F1323">
        <v>110.4</v>
      </c>
      <c r="G1323">
        <v>108.4</v>
      </c>
      <c r="H1323">
        <v>0.55220000000000002</v>
      </c>
      <c r="I1323">
        <v>54</v>
      </c>
      <c r="J1323">
        <v>52.9</v>
      </c>
      <c r="K1323">
        <v>17.3</v>
      </c>
      <c r="L1323">
        <v>15.7</v>
      </c>
      <c r="M1323">
        <v>28.1</v>
      </c>
      <c r="N1323">
        <v>26.5</v>
      </c>
      <c r="O1323">
        <v>33.4</v>
      </c>
      <c r="P1323">
        <v>30</v>
      </c>
      <c r="Q1323">
        <v>49</v>
      </c>
      <c r="R1323">
        <v>50.2</v>
      </c>
      <c r="S1323">
        <v>40.299999999999997</v>
      </c>
      <c r="T1323">
        <v>38.700000000000003</v>
      </c>
      <c r="U1323">
        <v>70.3</v>
      </c>
      <c r="V1323">
        <v>-2.7</v>
      </c>
      <c r="W1323" cm="1">
        <f t="array" ref="W1323">_xlfn.IFS(OR(X1323="N/A",X1323="NA"),0,OR(X1323="R64",X1323="R68"),1,X1323="R32",2,X1323="S16",3,X1323="E8",4,X1323="F4",5,X1323="2ND",6,X1323="Champions",7)</f>
        <v>0</v>
      </c>
      <c r="X1323" t="s">
        <v>90</v>
      </c>
      <c r="Y1323" t="s">
        <v>90</v>
      </c>
      <c r="Z1323">
        <v>2016</v>
      </c>
    </row>
    <row r="1324" spans="1:26" x14ac:dyDescent="0.3">
      <c r="A1324" t="s">
        <v>230</v>
      </c>
      <c r="B1324" t="s">
        <v>72</v>
      </c>
      <c r="C1324">
        <v>31</v>
      </c>
      <c r="D1324">
        <v>12</v>
      </c>
      <c r="E1324" s="1">
        <f t="shared" si="20"/>
        <v>0.38709677419354838</v>
      </c>
      <c r="F1324">
        <v>97.8</v>
      </c>
      <c r="G1324">
        <v>102.1</v>
      </c>
      <c r="H1324">
        <v>0.37940000000000002</v>
      </c>
      <c r="I1324">
        <v>46.9</v>
      </c>
      <c r="J1324">
        <v>51.1</v>
      </c>
      <c r="K1324">
        <v>18.899999999999999</v>
      </c>
      <c r="L1324">
        <v>18.100000000000001</v>
      </c>
      <c r="M1324">
        <v>27.7</v>
      </c>
      <c r="N1324">
        <v>28.1</v>
      </c>
      <c r="O1324">
        <v>31.9</v>
      </c>
      <c r="P1324">
        <v>38.9</v>
      </c>
      <c r="Q1324">
        <v>45.6</v>
      </c>
      <c r="R1324">
        <v>51.3</v>
      </c>
      <c r="S1324">
        <v>33.299999999999997</v>
      </c>
      <c r="T1324">
        <v>33.799999999999997</v>
      </c>
      <c r="U1324">
        <v>69.599999999999994</v>
      </c>
      <c r="V1324">
        <v>-11</v>
      </c>
      <c r="W1324" cm="1">
        <f t="array" ref="W1324">_xlfn.IFS(OR(X1324="N/A",X1324="NA"),0,OR(X1324="R64",X1324="R68"),1,X1324="R32",2,X1324="S16",3,X1324="E8",4,X1324="F4",5,X1324="2ND",6,X1324="Champions",7)</f>
        <v>0</v>
      </c>
      <c r="X1324" t="s">
        <v>90</v>
      </c>
      <c r="Y1324" t="s">
        <v>90</v>
      </c>
      <c r="Z1324">
        <v>2016</v>
      </c>
    </row>
    <row r="1325" spans="1:26" x14ac:dyDescent="0.3">
      <c r="A1325" t="s">
        <v>383</v>
      </c>
      <c r="B1325" t="s">
        <v>72</v>
      </c>
      <c r="C1325">
        <v>30</v>
      </c>
      <c r="D1325">
        <v>16</v>
      </c>
      <c r="E1325" s="1">
        <f t="shared" si="20"/>
        <v>0.53333333333333333</v>
      </c>
      <c r="F1325">
        <v>108.1</v>
      </c>
      <c r="G1325">
        <v>107.8</v>
      </c>
      <c r="H1325">
        <v>0.50839999999999996</v>
      </c>
      <c r="I1325">
        <v>51.9</v>
      </c>
      <c r="J1325">
        <v>53.1</v>
      </c>
      <c r="K1325">
        <v>16.600000000000001</v>
      </c>
      <c r="L1325">
        <v>20.3</v>
      </c>
      <c r="M1325">
        <v>28.1</v>
      </c>
      <c r="N1325">
        <v>31.6</v>
      </c>
      <c r="O1325">
        <v>42.6</v>
      </c>
      <c r="P1325">
        <v>38.5</v>
      </c>
      <c r="Q1325">
        <v>52.6</v>
      </c>
      <c r="R1325">
        <v>52.7</v>
      </c>
      <c r="S1325">
        <v>33.6</v>
      </c>
      <c r="T1325">
        <v>35.9</v>
      </c>
      <c r="U1325">
        <v>77.2</v>
      </c>
      <c r="V1325">
        <v>-7.6</v>
      </c>
      <c r="W1325" cm="1">
        <f t="array" ref="W1325">_xlfn.IFS(OR(X1325="N/A",X1325="NA"),0,OR(X1325="R64",X1325="R68"),1,X1325="R32",2,X1325="S16",3,X1325="E8",4,X1325="F4",5,X1325="2ND",6,X1325="Champions",7)</f>
        <v>0</v>
      </c>
      <c r="X1325" t="s">
        <v>90</v>
      </c>
      <c r="Y1325" t="s">
        <v>90</v>
      </c>
      <c r="Z1325">
        <v>2016</v>
      </c>
    </row>
    <row r="1326" spans="1:26" x14ac:dyDescent="0.3">
      <c r="A1326" t="s">
        <v>388</v>
      </c>
      <c r="B1326" t="s">
        <v>72</v>
      </c>
      <c r="C1326">
        <v>31</v>
      </c>
      <c r="D1326">
        <v>18</v>
      </c>
      <c r="E1326" s="1">
        <f t="shared" si="20"/>
        <v>0.58064516129032262</v>
      </c>
      <c r="F1326">
        <v>100.1</v>
      </c>
      <c r="G1326">
        <v>99.8</v>
      </c>
      <c r="H1326">
        <v>0.50980000000000003</v>
      </c>
      <c r="I1326">
        <v>49.9</v>
      </c>
      <c r="J1326">
        <v>47.7</v>
      </c>
      <c r="K1326">
        <v>16.2</v>
      </c>
      <c r="L1326">
        <v>16.899999999999999</v>
      </c>
      <c r="M1326">
        <v>25.6</v>
      </c>
      <c r="N1326">
        <v>26.2</v>
      </c>
      <c r="O1326">
        <v>33.9</v>
      </c>
      <c r="P1326">
        <v>31.8</v>
      </c>
      <c r="Q1326">
        <v>49.1</v>
      </c>
      <c r="R1326">
        <v>47.2</v>
      </c>
      <c r="S1326">
        <v>34.1</v>
      </c>
      <c r="T1326">
        <v>32.4</v>
      </c>
      <c r="U1326">
        <v>65.400000000000006</v>
      </c>
      <c r="V1326">
        <v>-7.2</v>
      </c>
      <c r="W1326" cm="1">
        <f t="array" ref="W1326">_xlfn.IFS(OR(X1326="N/A",X1326="NA"),0,OR(X1326="R64",X1326="R68"),1,X1326="R32",2,X1326="S16",3,X1326="E8",4,X1326="F4",5,X1326="2ND",6,X1326="Champions",7)</f>
        <v>0</v>
      </c>
      <c r="X1326" t="s">
        <v>90</v>
      </c>
      <c r="Y1326" t="s">
        <v>90</v>
      </c>
      <c r="Z1326">
        <v>2016</v>
      </c>
    </row>
    <row r="1327" spans="1:26" x14ac:dyDescent="0.3">
      <c r="A1327" t="s">
        <v>384</v>
      </c>
      <c r="B1327" t="s">
        <v>72</v>
      </c>
      <c r="C1327">
        <v>29</v>
      </c>
      <c r="D1327">
        <v>12</v>
      </c>
      <c r="E1327" s="1">
        <f t="shared" si="20"/>
        <v>0.41379310344827586</v>
      </c>
      <c r="F1327">
        <v>106.4</v>
      </c>
      <c r="G1327">
        <v>107</v>
      </c>
      <c r="H1327">
        <v>0.48499999999999999</v>
      </c>
      <c r="I1327">
        <v>50.5</v>
      </c>
      <c r="J1327">
        <v>52.1</v>
      </c>
      <c r="K1327">
        <v>17.3</v>
      </c>
      <c r="L1327">
        <v>15.9</v>
      </c>
      <c r="M1327">
        <v>28.1</v>
      </c>
      <c r="N1327">
        <v>30</v>
      </c>
      <c r="O1327">
        <v>36.6</v>
      </c>
      <c r="P1327">
        <v>33</v>
      </c>
      <c r="Q1327">
        <v>48</v>
      </c>
      <c r="R1327">
        <v>50.2</v>
      </c>
      <c r="S1327">
        <v>38</v>
      </c>
      <c r="T1327">
        <v>37.4</v>
      </c>
      <c r="U1327">
        <v>69.8</v>
      </c>
      <c r="V1327">
        <v>-9.4</v>
      </c>
      <c r="W1327" cm="1">
        <f t="array" ref="W1327">_xlfn.IFS(OR(X1327="N/A",X1327="NA"),0,OR(X1327="R64",X1327="R68"),1,X1327="R32",2,X1327="S16",3,X1327="E8",4,X1327="F4",5,X1327="2ND",6,X1327="Champions",7)</f>
        <v>0</v>
      </c>
      <c r="X1327" t="s">
        <v>90</v>
      </c>
      <c r="Y1327" t="s">
        <v>90</v>
      </c>
      <c r="Z1327">
        <v>2016</v>
      </c>
    </row>
    <row r="1328" spans="1:26" x14ac:dyDescent="0.3">
      <c r="A1328" t="s">
        <v>385</v>
      </c>
      <c r="B1328" t="s">
        <v>72</v>
      </c>
      <c r="C1328">
        <v>30</v>
      </c>
      <c r="D1328">
        <v>12</v>
      </c>
      <c r="E1328" s="1">
        <f t="shared" si="20"/>
        <v>0.4</v>
      </c>
      <c r="F1328">
        <v>104.7</v>
      </c>
      <c r="G1328">
        <v>109.9</v>
      </c>
      <c r="H1328">
        <v>0.36249999999999999</v>
      </c>
      <c r="I1328">
        <v>51.7</v>
      </c>
      <c r="J1328">
        <v>54.2</v>
      </c>
      <c r="K1328">
        <v>16.399999999999999</v>
      </c>
      <c r="L1328">
        <v>19</v>
      </c>
      <c r="M1328">
        <v>25</v>
      </c>
      <c r="N1328">
        <v>30.2</v>
      </c>
      <c r="O1328">
        <v>30.1</v>
      </c>
      <c r="P1328">
        <v>40.9</v>
      </c>
      <c r="Q1328">
        <v>50.5</v>
      </c>
      <c r="R1328">
        <v>50.9</v>
      </c>
      <c r="S1328">
        <v>36.4</v>
      </c>
      <c r="T1328">
        <v>39.799999999999997</v>
      </c>
      <c r="U1328">
        <v>71.5</v>
      </c>
      <c r="V1328">
        <v>-11.6</v>
      </c>
      <c r="W1328" cm="1">
        <f t="array" ref="W1328">_xlfn.IFS(OR(X1328="N/A",X1328="NA"),0,OR(X1328="R64",X1328="R68"),1,X1328="R32",2,X1328="S16",3,X1328="E8",4,X1328="F4",5,X1328="2ND",6,X1328="Champions",7)</f>
        <v>0</v>
      </c>
      <c r="X1328" t="s">
        <v>90</v>
      </c>
      <c r="Y1328" t="s">
        <v>90</v>
      </c>
      <c r="Z1328">
        <v>2016</v>
      </c>
    </row>
    <row r="1329" spans="1:26" x14ac:dyDescent="0.3">
      <c r="A1329" t="s">
        <v>387</v>
      </c>
      <c r="B1329" t="s">
        <v>72</v>
      </c>
      <c r="C1329">
        <v>24</v>
      </c>
      <c r="D1329">
        <v>7</v>
      </c>
      <c r="E1329" s="1">
        <f t="shared" si="20"/>
        <v>0.29166666666666669</v>
      </c>
      <c r="F1329">
        <v>99.5</v>
      </c>
      <c r="G1329">
        <v>106.2</v>
      </c>
      <c r="H1329">
        <v>0.32050000000000001</v>
      </c>
      <c r="I1329">
        <v>49.3</v>
      </c>
      <c r="J1329">
        <v>50.1</v>
      </c>
      <c r="K1329">
        <v>18.2</v>
      </c>
      <c r="L1329">
        <v>15.2</v>
      </c>
      <c r="M1329">
        <v>25.5</v>
      </c>
      <c r="N1329">
        <v>27</v>
      </c>
      <c r="O1329">
        <v>32</v>
      </c>
      <c r="P1329">
        <v>42.4</v>
      </c>
      <c r="Q1329">
        <v>46</v>
      </c>
      <c r="R1329">
        <v>46.4</v>
      </c>
      <c r="S1329">
        <v>37.799999999999997</v>
      </c>
      <c r="T1329">
        <v>39.1</v>
      </c>
      <c r="U1329">
        <v>68.599999999999994</v>
      </c>
      <c r="V1329">
        <v>-11.4</v>
      </c>
      <c r="W1329" cm="1">
        <f t="array" ref="W1329">_xlfn.IFS(OR(X1329="N/A",X1329="NA"),0,OR(X1329="R64",X1329="R68"),1,X1329="R32",2,X1329="S16",3,X1329="E8",4,X1329="F4",5,X1329="2ND",6,X1329="Champions",7)</f>
        <v>0</v>
      </c>
      <c r="X1329" t="s">
        <v>90</v>
      </c>
      <c r="Y1329" t="s">
        <v>90</v>
      </c>
      <c r="Z1329">
        <v>2016</v>
      </c>
    </row>
    <row r="1330" spans="1:26" x14ac:dyDescent="0.3">
      <c r="A1330" t="s">
        <v>381</v>
      </c>
      <c r="B1330" t="s">
        <v>72</v>
      </c>
      <c r="C1330">
        <v>30</v>
      </c>
      <c r="D1330">
        <v>16</v>
      </c>
      <c r="E1330" s="1">
        <f t="shared" si="20"/>
        <v>0.53333333333333333</v>
      </c>
      <c r="F1330">
        <v>105.5</v>
      </c>
      <c r="G1330">
        <v>109.4</v>
      </c>
      <c r="H1330">
        <v>0.39600000000000002</v>
      </c>
      <c r="I1330">
        <v>54.8</v>
      </c>
      <c r="J1330">
        <v>51.4</v>
      </c>
      <c r="K1330">
        <v>19.399999999999999</v>
      </c>
      <c r="L1330">
        <v>15.5</v>
      </c>
      <c r="M1330">
        <v>28.8</v>
      </c>
      <c r="N1330">
        <v>24.7</v>
      </c>
      <c r="O1330">
        <v>34.6</v>
      </c>
      <c r="P1330">
        <v>39.1</v>
      </c>
      <c r="Q1330">
        <v>52.1</v>
      </c>
      <c r="R1330">
        <v>50</v>
      </c>
      <c r="S1330">
        <v>40.200000000000003</v>
      </c>
      <c r="T1330">
        <v>35.799999999999997</v>
      </c>
      <c r="U1330">
        <v>68.099999999999994</v>
      </c>
      <c r="V1330">
        <v>-9.4</v>
      </c>
      <c r="W1330" cm="1">
        <f t="array" ref="W1330">_xlfn.IFS(OR(X1330="N/A",X1330="NA"),0,OR(X1330="R64",X1330="R68"),1,X1330="R32",2,X1330="S16",3,X1330="E8",4,X1330="F4",5,X1330="2ND",6,X1330="Champions",7)</f>
        <v>0</v>
      </c>
      <c r="X1330" t="s">
        <v>90</v>
      </c>
      <c r="Y1330" t="s">
        <v>90</v>
      </c>
      <c r="Z1330">
        <v>2017</v>
      </c>
    </row>
    <row r="1331" spans="1:26" x14ac:dyDescent="0.3">
      <c r="A1331" t="s">
        <v>389</v>
      </c>
      <c r="B1331" t="s">
        <v>72</v>
      </c>
      <c r="C1331">
        <v>30</v>
      </c>
      <c r="D1331">
        <v>20</v>
      </c>
      <c r="E1331" s="1">
        <f t="shared" si="20"/>
        <v>0.66666666666666663</v>
      </c>
      <c r="F1331">
        <v>107.1</v>
      </c>
      <c r="G1331">
        <v>106.7</v>
      </c>
      <c r="H1331">
        <v>0.51100000000000001</v>
      </c>
      <c r="I1331">
        <v>56.4</v>
      </c>
      <c r="J1331">
        <v>53.5</v>
      </c>
      <c r="K1331">
        <v>17.8</v>
      </c>
      <c r="L1331">
        <v>17.8</v>
      </c>
      <c r="M1331">
        <v>28.8</v>
      </c>
      <c r="N1331">
        <v>24.6</v>
      </c>
      <c r="O1331">
        <v>25.8</v>
      </c>
      <c r="P1331">
        <v>32.299999999999997</v>
      </c>
      <c r="Q1331">
        <v>54.9</v>
      </c>
      <c r="R1331">
        <v>49.9</v>
      </c>
      <c r="S1331">
        <v>39</v>
      </c>
      <c r="T1331">
        <v>39.1</v>
      </c>
      <c r="U1331">
        <v>72.900000000000006</v>
      </c>
      <c r="V1331">
        <v>-6.9</v>
      </c>
      <c r="W1331" cm="1">
        <f t="array" ref="W1331">_xlfn.IFS(OR(X1331="N/A",X1331="NA"),0,OR(X1331="R64",X1331="R68"),1,X1331="R32",2,X1331="S16",3,X1331="E8",4,X1331="F4",5,X1331="2ND",6,X1331="Champions",7)</f>
        <v>0</v>
      </c>
      <c r="X1331" t="s">
        <v>90</v>
      </c>
      <c r="Y1331" t="s">
        <v>90</v>
      </c>
      <c r="Z1331">
        <v>2017</v>
      </c>
    </row>
    <row r="1332" spans="1:26" x14ac:dyDescent="0.3">
      <c r="A1332" t="s">
        <v>230</v>
      </c>
      <c r="B1332" t="s">
        <v>72</v>
      </c>
      <c r="C1332">
        <v>30</v>
      </c>
      <c r="D1332">
        <v>14</v>
      </c>
      <c r="E1332" s="1">
        <f t="shared" si="20"/>
        <v>0.46666666666666667</v>
      </c>
      <c r="F1332">
        <v>105.4</v>
      </c>
      <c r="G1332">
        <v>109.1</v>
      </c>
      <c r="H1332">
        <v>0.4022</v>
      </c>
      <c r="I1332">
        <v>51.6</v>
      </c>
      <c r="J1332">
        <v>54.4</v>
      </c>
      <c r="K1332">
        <v>16.8</v>
      </c>
      <c r="L1332">
        <v>19</v>
      </c>
      <c r="M1332">
        <v>29.6</v>
      </c>
      <c r="N1332">
        <v>29.4</v>
      </c>
      <c r="O1332">
        <v>33.200000000000003</v>
      </c>
      <c r="P1332">
        <v>43.3</v>
      </c>
      <c r="Q1332">
        <v>48.5</v>
      </c>
      <c r="R1332">
        <v>54.1</v>
      </c>
      <c r="S1332">
        <v>37.799999999999997</v>
      </c>
      <c r="T1332">
        <v>36.6</v>
      </c>
      <c r="U1332">
        <v>70.900000000000006</v>
      </c>
      <c r="V1332">
        <v>-11.3</v>
      </c>
      <c r="W1332" cm="1">
        <f t="array" ref="W1332">_xlfn.IFS(OR(X1332="N/A",X1332="NA"),0,OR(X1332="R64",X1332="R68"),1,X1332="R32",2,X1332="S16",3,X1332="E8",4,X1332="F4",5,X1332="2ND",6,X1332="Champions",7)</f>
        <v>0</v>
      </c>
      <c r="X1332" t="s">
        <v>90</v>
      </c>
      <c r="Y1332" t="s">
        <v>90</v>
      </c>
      <c r="Z1332">
        <v>2017</v>
      </c>
    </row>
    <row r="1333" spans="1:26" x14ac:dyDescent="0.3">
      <c r="A1333" t="s">
        <v>383</v>
      </c>
      <c r="B1333" t="s">
        <v>72</v>
      </c>
      <c r="C1333">
        <v>31</v>
      </c>
      <c r="D1333">
        <v>18</v>
      </c>
      <c r="E1333" s="1">
        <f t="shared" si="20"/>
        <v>0.58064516129032262</v>
      </c>
      <c r="F1333">
        <v>106.8</v>
      </c>
      <c r="G1333">
        <v>108</v>
      </c>
      <c r="H1333">
        <v>0.46839999999999998</v>
      </c>
      <c r="I1333">
        <v>52.3</v>
      </c>
      <c r="J1333">
        <v>54</v>
      </c>
      <c r="K1333">
        <v>18.3</v>
      </c>
      <c r="L1333">
        <v>19.3</v>
      </c>
      <c r="M1333">
        <v>28.9</v>
      </c>
      <c r="N1333">
        <v>31.3</v>
      </c>
      <c r="O1333">
        <v>40.6</v>
      </c>
      <c r="P1333">
        <v>33.700000000000003</v>
      </c>
      <c r="Q1333">
        <v>49</v>
      </c>
      <c r="R1333">
        <v>53</v>
      </c>
      <c r="S1333">
        <v>38.4</v>
      </c>
      <c r="T1333">
        <v>37</v>
      </c>
      <c r="U1333">
        <v>75.099999999999994</v>
      </c>
      <c r="V1333">
        <v>-7.2</v>
      </c>
      <c r="W1333" cm="1">
        <f t="array" ref="W1333">_xlfn.IFS(OR(X1333="N/A",X1333="NA"),0,OR(X1333="R64",X1333="R68"),1,X1333="R32",2,X1333="S16",3,X1333="E8",4,X1333="F4",5,X1333="2ND",6,X1333="Champions",7)</f>
        <v>0</v>
      </c>
      <c r="X1333" t="s">
        <v>90</v>
      </c>
      <c r="Y1333" t="s">
        <v>90</v>
      </c>
      <c r="Z1333">
        <v>2017</v>
      </c>
    </row>
    <row r="1334" spans="1:26" x14ac:dyDescent="0.3">
      <c r="A1334" t="s">
        <v>388</v>
      </c>
      <c r="B1334" t="s">
        <v>72</v>
      </c>
      <c r="C1334">
        <v>28</v>
      </c>
      <c r="D1334">
        <v>19</v>
      </c>
      <c r="E1334" s="1">
        <f t="shared" si="20"/>
        <v>0.6785714285714286</v>
      </c>
      <c r="F1334">
        <v>102.7</v>
      </c>
      <c r="G1334">
        <v>104.5</v>
      </c>
      <c r="H1334">
        <v>0.45090000000000002</v>
      </c>
      <c r="I1334">
        <v>52.2</v>
      </c>
      <c r="J1334">
        <v>50.4</v>
      </c>
      <c r="K1334">
        <v>16.899999999999999</v>
      </c>
      <c r="L1334">
        <v>17.2</v>
      </c>
      <c r="M1334">
        <v>25</v>
      </c>
      <c r="N1334">
        <v>28</v>
      </c>
      <c r="O1334">
        <v>39.700000000000003</v>
      </c>
      <c r="P1334">
        <v>31.3</v>
      </c>
      <c r="Q1334">
        <v>50.8</v>
      </c>
      <c r="R1334">
        <v>46.7</v>
      </c>
      <c r="S1334">
        <v>36.299999999999997</v>
      </c>
      <c r="T1334">
        <v>37.799999999999997</v>
      </c>
      <c r="U1334">
        <v>68.2</v>
      </c>
      <c r="V1334">
        <v>-6</v>
      </c>
      <c r="W1334" cm="1">
        <f t="array" ref="W1334">_xlfn.IFS(OR(X1334="N/A",X1334="NA"),0,OR(X1334="R64",X1334="R68"),1,X1334="R32",2,X1334="S16",3,X1334="E8",4,X1334="F4",5,X1334="2ND",6,X1334="Champions",7)</f>
        <v>0</v>
      </c>
      <c r="X1334" t="s">
        <v>90</v>
      </c>
      <c r="Y1334" t="s">
        <v>90</v>
      </c>
      <c r="Z1334">
        <v>2017</v>
      </c>
    </row>
    <row r="1335" spans="1:26" x14ac:dyDescent="0.3">
      <c r="A1335" t="s">
        <v>384</v>
      </c>
      <c r="B1335" t="s">
        <v>72</v>
      </c>
      <c r="C1335">
        <v>28</v>
      </c>
      <c r="D1335">
        <v>8</v>
      </c>
      <c r="E1335" s="1">
        <f t="shared" si="20"/>
        <v>0.2857142857142857</v>
      </c>
      <c r="F1335">
        <v>103</v>
      </c>
      <c r="G1335">
        <v>109.4</v>
      </c>
      <c r="H1335">
        <v>0.3327</v>
      </c>
      <c r="I1335">
        <v>49.6</v>
      </c>
      <c r="J1335">
        <v>54.7</v>
      </c>
      <c r="K1335">
        <v>16.7</v>
      </c>
      <c r="L1335">
        <v>16.100000000000001</v>
      </c>
      <c r="M1335">
        <v>25</v>
      </c>
      <c r="N1335">
        <v>29.4</v>
      </c>
      <c r="O1335">
        <v>30.6</v>
      </c>
      <c r="P1335">
        <v>32</v>
      </c>
      <c r="Q1335">
        <v>47.9</v>
      </c>
      <c r="R1335">
        <v>51.8</v>
      </c>
      <c r="S1335">
        <v>35.4</v>
      </c>
      <c r="T1335">
        <v>39.6</v>
      </c>
      <c r="U1335">
        <v>70.7</v>
      </c>
      <c r="V1335">
        <v>-15</v>
      </c>
      <c r="W1335" cm="1">
        <f t="array" ref="W1335">_xlfn.IFS(OR(X1335="N/A",X1335="NA"),0,OR(X1335="R64",X1335="R68"),1,X1335="R32",2,X1335="S16",3,X1335="E8",4,X1335="F4",5,X1335="2ND",6,X1335="Champions",7)</f>
        <v>0</v>
      </c>
      <c r="X1335" t="s">
        <v>90</v>
      </c>
      <c r="Y1335" t="s">
        <v>90</v>
      </c>
      <c r="Z1335">
        <v>2017</v>
      </c>
    </row>
    <row r="1336" spans="1:26" x14ac:dyDescent="0.3">
      <c r="A1336" t="s">
        <v>385</v>
      </c>
      <c r="B1336" t="s">
        <v>72</v>
      </c>
      <c r="C1336">
        <v>32</v>
      </c>
      <c r="D1336">
        <v>22</v>
      </c>
      <c r="E1336" s="1">
        <f t="shared" si="20"/>
        <v>0.6875</v>
      </c>
      <c r="F1336">
        <v>102.8</v>
      </c>
      <c r="G1336">
        <v>102.9</v>
      </c>
      <c r="H1336">
        <v>0.49859999999999999</v>
      </c>
      <c r="I1336">
        <v>49.6</v>
      </c>
      <c r="J1336">
        <v>50.8</v>
      </c>
      <c r="K1336">
        <v>16.2</v>
      </c>
      <c r="L1336">
        <v>18.5</v>
      </c>
      <c r="M1336">
        <v>27.5</v>
      </c>
      <c r="N1336">
        <v>27.3</v>
      </c>
      <c r="O1336">
        <v>42.7</v>
      </c>
      <c r="P1336">
        <v>31.9</v>
      </c>
      <c r="Q1336">
        <v>48.8</v>
      </c>
      <c r="R1336">
        <v>47.7</v>
      </c>
      <c r="S1336">
        <v>34.200000000000003</v>
      </c>
      <c r="T1336">
        <v>37.5</v>
      </c>
      <c r="U1336">
        <v>72.099999999999994</v>
      </c>
      <c r="V1336">
        <v>-5.7</v>
      </c>
      <c r="W1336" cm="1">
        <f t="array" ref="W1336">_xlfn.IFS(OR(X1336="N/A",X1336="NA"),0,OR(X1336="R64",X1336="R68"),1,X1336="R32",2,X1336="S16",3,X1336="E8",4,X1336="F4",5,X1336="2ND",6,X1336="Champions",7)</f>
        <v>0</v>
      </c>
      <c r="X1336" t="s">
        <v>90</v>
      </c>
      <c r="Y1336" t="s">
        <v>90</v>
      </c>
      <c r="Z1336">
        <v>2017</v>
      </c>
    </row>
    <row r="1337" spans="1:26" x14ac:dyDescent="0.3">
      <c r="A1337" t="s">
        <v>387</v>
      </c>
      <c r="B1337" t="s">
        <v>72</v>
      </c>
      <c r="C1337">
        <v>26</v>
      </c>
      <c r="D1337">
        <v>8</v>
      </c>
      <c r="E1337" s="1">
        <f t="shared" si="20"/>
        <v>0.30769230769230771</v>
      </c>
      <c r="F1337">
        <v>96.7</v>
      </c>
      <c r="G1337">
        <v>107.9</v>
      </c>
      <c r="H1337">
        <v>0.221</v>
      </c>
      <c r="I1337">
        <v>50.4</v>
      </c>
      <c r="J1337">
        <v>51.2</v>
      </c>
      <c r="K1337">
        <v>18.399999999999999</v>
      </c>
      <c r="L1337">
        <v>13.8</v>
      </c>
      <c r="M1337">
        <v>18.899999999999999</v>
      </c>
      <c r="N1337">
        <v>25.4</v>
      </c>
      <c r="O1337">
        <v>29</v>
      </c>
      <c r="P1337">
        <v>40.700000000000003</v>
      </c>
      <c r="Q1337">
        <v>45.1</v>
      </c>
      <c r="R1337">
        <v>46.2</v>
      </c>
      <c r="S1337">
        <v>38.700000000000003</v>
      </c>
      <c r="T1337">
        <v>41.5</v>
      </c>
      <c r="U1337">
        <v>70</v>
      </c>
      <c r="V1337">
        <v>-15.3</v>
      </c>
      <c r="W1337" cm="1">
        <f t="array" ref="W1337">_xlfn.IFS(OR(X1337="N/A",X1337="NA"),0,OR(X1337="R64",X1337="R68"),1,X1337="R32",2,X1337="S16",3,X1337="E8",4,X1337="F4",5,X1337="2ND",6,X1337="Champions",7)</f>
        <v>0</v>
      </c>
      <c r="X1337" t="s">
        <v>90</v>
      </c>
      <c r="Y1337" t="s">
        <v>90</v>
      </c>
      <c r="Z1337">
        <v>2017</v>
      </c>
    </row>
    <row r="1338" spans="1:26" x14ac:dyDescent="0.3">
      <c r="A1338" t="s">
        <v>381</v>
      </c>
      <c r="B1338" t="s">
        <v>72</v>
      </c>
      <c r="C1338">
        <v>28</v>
      </c>
      <c r="D1338">
        <v>15</v>
      </c>
      <c r="E1338" s="1">
        <f t="shared" si="20"/>
        <v>0.5357142857142857</v>
      </c>
      <c r="F1338">
        <v>102</v>
      </c>
      <c r="G1338">
        <v>105.2</v>
      </c>
      <c r="H1338">
        <v>0.4133</v>
      </c>
      <c r="I1338">
        <v>52.4</v>
      </c>
      <c r="J1338">
        <v>51.3</v>
      </c>
      <c r="K1338">
        <v>21.8</v>
      </c>
      <c r="L1338">
        <v>15.7</v>
      </c>
      <c r="M1338">
        <v>30.6</v>
      </c>
      <c r="N1338">
        <v>24.9</v>
      </c>
      <c r="O1338">
        <v>32.799999999999997</v>
      </c>
      <c r="P1338">
        <v>37</v>
      </c>
      <c r="Q1338">
        <v>49.2</v>
      </c>
      <c r="R1338">
        <v>52</v>
      </c>
      <c r="S1338">
        <v>39.5</v>
      </c>
      <c r="T1338">
        <v>33.5</v>
      </c>
      <c r="U1338">
        <v>67.5</v>
      </c>
      <c r="V1338">
        <v>-9.6</v>
      </c>
      <c r="W1338" cm="1">
        <f t="array" ref="W1338">_xlfn.IFS(OR(X1338="N/A",X1338="NA"),0,OR(X1338="R64",X1338="R68"),1,X1338="R32",2,X1338="S16",3,X1338="E8",4,X1338="F4",5,X1338="2ND",6,X1338="Champions",7)</f>
        <v>0</v>
      </c>
      <c r="X1338" t="s">
        <v>90</v>
      </c>
      <c r="Y1338" t="s">
        <v>90</v>
      </c>
      <c r="Z1338">
        <v>2018</v>
      </c>
    </row>
    <row r="1339" spans="1:26" x14ac:dyDescent="0.3">
      <c r="A1339" t="s">
        <v>389</v>
      </c>
      <c r="B1339" t="s">
        <v>72</v>
      </c>
      <c r="C1339">
        <v>29</v>
      </c>
      <c r="D1339">
        <v>18</v>
      </c>
      <c r="E1339" s="1">
        <f t="shared" si="20"/>
        <v>0.62068965517241381</v>
      </c>
      <c r="F1339">
        <v>106.9</v>
      </c>
      <c r="G1339">
        <v>108.2</v>
      </c>
      <c r="H1339">
        <v>0.4657</v>
      </c>
      <c r="I1339">
        <v>52.9</v>
      </c>
      <c r="J1339">
        <v>53.8</v>
      </c>
      <c r="K1339">
        <v>15.7</v>
      </c>
      <c r="L1339">
        <v>19.899999999999999</v>
      </c>
      <c r="M1339">
        <v>25.6</v>
      </c>
      <c r="N1339">
        <v>26.6</v>
      </c>
      <c r="O1339">
        <v>31.6</v>
      </c>
      <c r="P1339">
        <v>29.7</v>
      </c>
      <c r="Q1339">
        <v>51.3</v>
      </c>
      <c r="R1339">
        <v>53.4</v>
      </c>
      <c r="S1339">
        <v>36.6</v>
      </c>
      <c r="T1339">
        <v>36.4</v>
      </c>
      <c r="U1339">
        <v>73.8</v>
      </c>
      <c r="V1339">
        <v>-8.1999999999999993</v>
      </c>
      <c r="W1339" cm="1">
        <f t="array" ref="W1339">_xlfn.IFS(OR(X1339="N/A",X1339="NA"),0,OR(X1339="R64",X1339="R68"),1,X1339="R32",2,X1339="S16",3,X1339="E8",4,X1339="F4",5,X1339="2ND",6,X1339="Champions",7)</f>
        <v>0</v>
      </c>
      <c r="X1339" t="s">
        <v>90</v>
      </c>
      <c r="Y1339" t="s">
        <v>90</v>
      </c>
      <c r="Z1339">
        <v>2018</v>
      </c>
    </row>
    <row r="1340" spans="1:26" x14ac:dyDescent="0.3">
      <c r="A1340" t="s">
        <v>383</v>
      </c>
      <c r="B1340" t="s">
        <v>72</v>
      </c>
      <c r="C1340">
        <v>29</v>
      </c>
      <c r="D1340">
        <v>9</v>
      </c>
      <c r="E1340" s="1">
        <f t="shared" si="20"/>
        <v>0.31034482758620691</v>
      </c>
      <c r="F1340">
        <v>103</v>
      </c>
      <c r="G1340">
        <v>114.6</v>
      </c>
      <c r="H1340">
        <v>0.22750000000000001</v>
      </c>
      <c r="I1340">
        <v>51.3</v>
      </c>
      <c r="J1340">
        <v>55.8</v>
      </c>
      <c r="K1340">
        <v>18</v>
      </c>
      <c r="L1340">
        <v>15.7</v>
      </c>
      <c r="M1340">
        <v>24.9</v>
      </c>
      <c r="N1340">
        <v>30.7</v>
      </c>
      <c r="O1340">
        <v>27.3</v>
      </c>
      <c r="P1340">
        <v>28.2</v>
      </c>
      <c r="Q1340">
        <v>50</v>
      </c>
      <c r="R1340">
        <v>54.7</v>
      </c>
      <c r="S1340">
        <v>35.799999999999997</v>
      </c>
      <c r="T1340">
        <v>38.4</v>
      </c>
      <c r="U1340">
        <v>71.7</v>
      </c>
      <c r="V1340">
        <v>-13.9</v>
      </c>
      <c r="W1340" cm="1">
        <f t="array" ref="W1340">_xlfn.IFS(OR(X1340="N/A",X1340="NA"),0,OR(X1340="R64",X1340="R68"),1,X1340="R32",2,X1340="S16",3,X1340="E8",4,X1340="F4",5,X1340="2ND",6,X1340="Champions",7)</f>
        <v>0</v>
      </c>
      <c r="X1340" t="s">
        <v>90</v>
      </c>
      <c r="Y1340" t="s">
        <v>90</v>
      </c>
      <c r="Z1340">
        <v>2018</v>
      </c>
    </row>
    <row r="1341" spans="1:26" x14ac:dyDescent="0.3">
      <c r="A1341" t="s">
        <v>388</v>
      </c>
      <c r="B1341" t="s">
        <v>72</v>
      </c>
      <c r="C1341">
        <v>29</v>
      </c>
      <c r="D1341">
        <v>15</v>
      </c>
      <c r="E1341" s="1">
        <f t="shared" si="20"/>
        <v>0.51724137931034486</v>
      </c>
      <c r="F1341">
        <v>103.3</v>
      </c>
      <c r="G1341">
        <v>104.9</v>
      </c>
      <c r="H1341">
        <v>0.4541</v>
      </c>
      <c r="I1341">
        <v>53.7</v>
      </c>
      <c r="J1341">
        <v>49.6</v>
      </c>
      <c r="K1341">
        <v>18.399999999999999</v>
      </c>
      <c r="L1341">
        <v>14.4</v>
      </c>
      <c r="M1341">
        <v>23</v>
      </c>
      <c r="N1341">
        <v>25.2</v>
      </c>
      <c r="O1341">
        <v>30.4</v>
      </c>
      <c r="P1341">
        <v>33.5</v>
      </c>
      <c r="Q1341">
        <v>52.5</v>
      </c>
      <c r="R1341">
        <v>47.8</v>
      </c>
      <c r="S1341">
        <v>36.799999999999997</v>
      </c>
      <c r="T1341">
        <v>35.299999999999997</v>
      </c>
      <c r="U1341">
        <v>67.599999999999994</v>
      </c>
      <c r="V1341">
        <v>-10</v>
      </c>
      <c r="W1341" cm="1">
        <f t="array" ref="W1341">_xlfn.IFS(OR(X1341="N/A",X1341="NA"),0,OR(X1341="R64",X1341="R68"),1,X1341="R32",2,X1341="S16",3,X1341="E8",4,X1341="F4",5,X1341="2ND",6,X1341="Champions",7)</f>
        <v>0</v>
      </c>
      <c r="X1341" t="s">
        <v>90</v>
      </c>
      <c r="Y1341" t="s">
        <v>90</v>
      </c>
      <c r="Z1341">
        <v>2018</v>
      </c>
    </row>
    <row r="1342" spans="1:26" x14ac:dyDescent="0.3">
      <c r="A1342" t="s">
        <v>384</v>
      </c>
      <c r="B1342" t="s">
        <v>72</v>
      </c>
      <c r="C1342">
        <v>28</v>
      </c>
      <c r="D1342">
        <v>11</v>
      </c>
      <c r="E1342" s="1">
        <f t="shared" si="20"/>
        <v>0.39285714285714285</v>
      </c>
      <c r="F1342">
        <v>104.8</v>
      </c>
      <c r="G1342">
        <v>111.8</v>
      </c>
      <c r="H1342">
        <v>0.32219999999999999</v>
      </c>
      <c r="I1342">
        <v>48.9</v>
      </c>
      <c r="J1342">
        <v>54.2</v>
      </c>
      <c r="K1342">
        <v>19</v>
      </c>
      <c r="L1342">
        <v>15.3</v>
      </c>
      <c r="M1342">
        <v>35</v>
      </c>
      <c r="N1342">
        <v>30.9</v>
      </c>
      <c r="O1342">
        <v>24.3</v>
      </c>
      <c r="P1342">
        <v>31.2</v>
      </c>
      <c r="Q1342">
        <v>47.7</v>
      </c>
      <c r="R1342">
        <v>53.9</v>
      </c>
      <c r="S1342">
        <v>34.200000000000003</v>
      </c>
      <c r="T1342">
        <v>36.5</v>
      </c>
      <c r="U1342">
        <v>66.7</v>
      </c>
      <c r="V1342">
        <v>-12</v>
      </c>
      <c r="W1342" cm="1">
        <f t="array" ref="W1342">_xlfn.IFS(OR(X1342="N/A",X1342="NA"),0,OR(X1342="R64",X1342="R68"),1,X1342="R32",2,X1342="S16",3,X1342="E8",4,X1342="F4",5,X1342="2ND",6,X1342="Champions",7)</f>
        <v>0</v>
      </c>
      <c r="X1342" t="s">
        <v>90</v>
      </c>
      <c r="Y1342" t="s">
        <v>90</v>
      </c>
      <c r="Z1342">
        <v>2018</v>
      </c>
    </row>
    <row r="1343" spans="1:26" x14ac:dyDescent="0.3">
      <c r="A1343" t="s">
        <v>385</v>
      </c>
      <c r="B1343" t="s">
        <v>72</v>
      </c>
      <c r="C1343">
        <v>31</v>
      </c>
      <c r="D1343">
        <v>26</v>
      </c>
      <c r="E1343" s="1">
        <f t="shared" si="20"/>
        <v>0.83870967741935487</v>
      </c>
      <c r="F1343">
        <v>108.3</v>
      </c>
      <c r="G1343">
        <v>98.6</v>
      </c>
      <c r="H1343">
        <v>0.74580000000000002</v>
      </c>
      <c r="I1343">
        <v>52.1</v>
      </c>
      <c r="J1343">
        <v>48.4</v>
      </c>
      <c r="K1343">
        <v>15.7</v>
      </c>
      <c r="L1343">
        <v>19.899999999999999</v>
      </c>
      <c r="M1343">
        <v>29.4</v>
      </c>
      <c r="N1343">
        <v>27.1</v>
      </c>
      <c r="O1343">
        <v>35.700000000000003</v>
      </c>
      <c r="P1343">
        <v>29.7</v>
      </c>
      <c r="Q1343">
        <v>51.9</v>
      </c>
      <c r="R1343">
        <v>47.1</v>
      </c>
      <c r="S1343">
        <v>35</v>
      </c>
      <c r="T1343">
        <v>33.700000000000003</v>
      </c>
      <c r="U1343">
        <v>71.7</v>
      </c>
      <c r="V1343">
        <v>-1.8</v>
      </c>
      <c r="W1343" cm="1">
        <f t="array" ref="W1343">_xlfn.IFS(OR(X1343="N/A",X1343="NA"),0,OR(X1343="R64",X1343="R68"),1,X1343="R32",2,X1343="S16",3,X1343="E8",4,X1343="F4",5,X1343="2ND",6,X1343="Champions",7)</f>
        <v>0</v>
      </c>
      <c r="X1343" t="s">
        <v>90</v>
      </c>
      <c r="Y1343" t="s">
        <v>90</v>
      </c>
      <c r="Z1343">
        <v>2018</v>
      </c>
    </row>
    <row r="1344" spans="1:26" x14ac:dyDescent="0.3">
      <c r="A1344" t="s">
        <v>387</v>
      </c>
      <c r="B1344" t="s">
        <v>72</v>
      </c>
      <c r="C1344">
        <v>24</v>
      </c>
      <c r="D1344">
        <v>12</v>
      </c>
      <c r="E1344" s="1">
        <f t="shared" si="20"/>
        <v>0.5</v>
      </c>
      <c r="F1344">
        <v>96.4</v>
      </c>
      <c r="G1344">
        <v>106.1</v>
      </c>
      <c r="H1344">
        <v>0.2487</v>
      </c>
      <c r="I1344">
        <v>49.9</v>
      </c>
      <c r="J1344">
        <v>51.2</v>
      </c>
      <c r="K1344">
        <v>18.600000000000001</v>
      </c>
      <c r="L1344">
        <v>14.5</v>
      </c>
      <c r="M1344">
        <v>18</v>
      </c>
      <c r="N1344">
        <v>27.2</v>
      </c>
      <c r="O1344">
        <v>28.3</v>
      </c>
      <c r="P1344">
        <v>29.3</v>
      </c>
      <c r="Q1344">
        <v>48.6</v>
      </c>
      <c r="R1344">
        <v>48.9</v>
      </c>
      <c r="S1344">
        <v>34.9</v>
      </c>
      <c r="T1344">
        <v>36.6</v>
      </c>
      <c r="U1344">
        <v>69.2</v>
      </c>
      <c r="V1344">
        <v>-11</v>
      </c>
      <c r="W1344" cm="1">
        <f t="array" ref="W1344">_xlfn.IFS(OR(X1344="N/A",X1344="NA"),0,OR(X1344="R64",X1344="R68"),1,X1344="R32",2,X1344="S16",3,X1344="E8",4,X1344="F4",5,X1344="2ND",6,X1344="Champions",7)</f>
        <v>0</v>
      </c>
      <c r="X1344" t="s">
        <v>90</v>
      </c>
      <c r="Y1344" t="s">
        <v>90</v>
      </c>
      <c r="Z1344">
        <v>2018</v>
      </c>
    </row>
    <row r="1345" spans="1:26" x14ac:dyDescent="0.3">
      <c r="A1345" t="s">
        <v>381</v>
      </c>
      <c r="B1345" t="s">
        <v>72</v>
      </c>
      <c r="C1345">
        <v>29</v>
      </c>
      <c r="D1345">
        <v>8</v>
      </c>
      <c r="E1345" s="1">
        <f t="shared" si="20"/>
        <v>0.27586206896551724</v>
      </c>
      <c r="F1345">
        <v>98.3</v>
      </c>
      <c r="G1345">
        <v>111.5</v>
      </c>
      <c r="H1345">
        <v>0.19159999999999999</v>
      </c>
      <c r="I1345">
        <v>50.2</v>
      </c>
      <c r="J1345">
        <v>56.5</v>
      </c>
      <c r="K1345">
        <v>19.7</v>
      </c>
      <c r="L1345">
        <v>15.7</v>
      </c>
      <c r="M1345">
        <v>26.4</v>
      </c>
      <c r="N1345">
        <v>22.9</v>
      </c>
      <c r="O1345">
        <v>26.2</v>
      </c>
      <c r="P1345">
        <v>28.3</v>
      </c>
      <c r="Q1345">
        <v>47.8</v>
      </c>
      <c r="R1345">
        <v>51.7</v>
      </c>
      <c r="S1345">
        <v>36.200000000000003</v>
      </c>
      <c r="T1345">
        <v>41.8</v>
      </c>
      <c r="U1345">
        <v>68.8</v>
      </c>
      <c r="V1345">
        <v>-16.100000000000001</v>
      </c>
      <c r="W1345" cm="1">
        <f t="array" ref="W1345">_xlfn.IFS(OR(X1345="N/A",X1345="NA"),0,OR(X1345="R64",X1345="R68"),1,X1345="R32",2,X1345="S16",3,X1345="E8",4,X1345="F4",5,X1345="2ND",6,X1345="Champions",7)</f>
        <v>0</v>
      </c>
      <c r="X1345" t="s">
        <v>90</v>
      </c>
      <c r="Y1345" t="s">
        <v>90</v>
      </c>
      <c r="Z1345">
        <v>2019</v>
      </c>
    </row>
    <row r="1346" spans="1:26" x14ac:dyDescent="0.3">
      <c r="A1346" t="s">
        <v>389</v>
      </c>
      <c r="B1346" t="s">
        <v>72</v>
      </c>
      <c r="C1346">
        <v>30</v>
      </c>
      <c r="D1346">
        <v>18</v>
      </c>
      <c r="E1346" s="1">
        <f t="shared" si="20"/>
        <v>0.6</v>
      </c>
      <c r="F1346">
        <v>106.5</v>
      </c>
      <c r="G1346">
        <v>107.1</v>
      </c>
      <c r="H1346">
        <v>0.4839</v>
      </c>
      <c r="I1346">
        <v>55.8</v>
      </c>
      <c r="J1346">
        <v>54</v>
      </c>
      <c r="K1346">
        <v>16.8</v>
      </c>
      <c r="L1346">
        <v>17.100000000000001</v>
      </c>
      <c r="M1346">
        <v>23.1</v>
      </c>
      <c r="N1346">
        <v>28.6</v>
      </c>
      <c r="O1346">
        <v>26.9</v>
      </c>
      <c r="P1346">
        <v>25</v>
      </c>
      <c r="Q1346">
        <v>55.8</v>
      </c>
      <c r="R1346">
        <v>52</v>
      </c>
      <c r="S1346">
        <v>37.200000000000003</v>
      </c>
      <c r="T1346">
        <v>38</v>
      </c>
      <c r="U1346">
        <v>73.099999999999994</v>
      </c>
      <c r="V1346">
        <v>-9.5</v>
      </c>
      <c r="W1346" cm="1">
        <f t="array" ref="W1346">_xlfn.IFS(OR(X1346="N/A",X1346="NA"),0,OR(X1346="R64",X1346="R68"),1,X1346="R32",2,X1346="S16",3,X1346="E8",4,X1346="F4",5,X1346="2ND",6,X1346="Champions",7)</f>
        <v>0</v>
      </c>
      <c r="X1346" t="s">
        <v>90</v>
      </c>
      <c r="Y1346" t="s">
        <v>90</v>
      </c>
      <c r="Z1346">
        <v>2019</v>
      </c>
    </row>
    <row r="1347" spans="1:26" x14ac:dyDescent="0.3">
      <c r="A1347" t="s">
        <v>383</v>
      </c>
      <c r="B1347" t="s">
        <v>72</v>
      </c>
      <c r="C1347">
        <v>31</v>
      </c>
      <c r="D1347">
        <v>21</v>
      </c>
      <c r="E1347" s="1">
        <f t="shared" ref="E1347:E1410" si="21">D1347/C1347</f>
        <v>0.67741935483870963</v>
      </c>
      <c r="F1347">
        <v>108.4</v>
      </c>
      <c r="G1347">
        <v>109.5</v>
      </c>
      <c r="H1347">
        <v>0.47220000000000001</v>
      </c>
      <c r="I1347">
        <v>54.4</v>
      </c>
      <c r="J1347">
        <v>55</v>
      </c>
      <c r="K1347">
        <v>13.5</v>
      </c>
      <c r="L1347">
        <v>16.8</v>
      </c>
      <c r="M1347">
        <v>24.8</v>
      </c>
      <c r="N1347">
        <v>25.6</v>
      </c>
      <c r="O1347">
        <v>24.1</v>
      </c>
      <c r="P1347">
        <v>27.1</v>
      </c>
      <c r="Q1347">
        <v>51.8</v>
      </c>
      <c r="R1347">
        <v>55.2</v>
      </c>
      <c r="S1347">
        <v>39.299999999999997</v>
      </c>
      <c r="T1347">
        <v>36.5</v>
      </c>
      <c r="U1347">
        <v>69.5</v>
      </c>
      <c r="V1347">
        <v>-4.5999999999999996</v>
      </c>
      <c r="W1347" cm="1">
        <f t="array" ref="W1347">_xlfn.IFS(OR(X1347="N/A",X1347="NA"),0,OR(X1347="R64",X1347="R68"),1,X1347="R32",2,X1347="S16",3,X1347="E8",4,X1347="F4",5,X1347="2ND",6,X1347="Champions",7)</f>
        <v>0</v>
      </c>
      <c r="X1347" t="s">
        <v>90</v>
      </c>
      <c r="Y1347" t="s">
        <v>90</v>
      </c>
      <c r="Z1347">
        <v>2019</v>
      </c>
    </row>
    <row r="1348" spans="1:26" x14ac:dyDescent="0.3">
      <c r="A1348" t="s">
        <v>384</v>
      </c>
      <c r="B1348" t="s">
        <v>72</v>
      </c>
      <c r="C1348">
        <v>30</v>
      </c>
      <c r="D1348">
        <v>11</v>
      </c>
      <c r="E1348" s="1">
        <f t="shared" si="21"/>
        <v>0.36666666666666664</v>
      </c>
      <c r="F1348">
        <v>103.6</v>
      </c>
      <c r="G1348">
        <v>112.6</v>
      </c>
      <c r="H1348">
        <v>0.27689999999999998</v>
      </c>
      <c r="I1348">
        <v>52.2</v>
      </c>
      <c r="J1348">
        <v>54.1</v>
      </c>
      <c r="K1348">
        <v>20.399999999999999</v>
      </c>
      <c r="L1348">
        <v>14.5</v>
      </c>
      <c r="M1348">
        <v>29.8</v>
      </c>
      <c r="N1348">
        <v>27.1</v>
      </c>
      <c r="O1348">
        <v>26.1</v>
      </c>
      <c r="P1348">
        <v>32.700000000000003</v>
      </c>
      <c r="Q1348">
        <v>50.7</v>
      </c>
      <c r="R1348">
        <v>51.3</v>
      </c>
      <c r="S1348">
        <v>36.4</v>
      </c>
      <c r="T1348">
        <v>39</v>
      </c>
      <c r="U1348">
        <v>68.599999999999994</v>
      </c>
      <c r="V1348">
        <v>-14.3</v>
      </c>
      <c r="W1348" cm="1">
        <f t="array" ref="W1348">_xlfn.IFS(OR(X1348="N/A",X1348="NA"),0,OR(X1348="R64",X1348="R68"),1,X1348="R32",2,X1348="S16",3,X1348="E8",4,X1348="F4",5,X1348="2ND",6,X1348="Champions",7)</f>
        <v>0</v>
      </c>
      <c r="X1348" t="s">
        <v>90</v>
      </c>
      <c r="Y1348" t="s">
        <v>90</v>
      </c>
      <c r="Z1348">
        <v>2019</v>
      </c>
    </row>
    <row r="1349" spans="1:26" x14ac:dyDescent="0.3">
      <c r="A1349" t="s">
        <v>385</v>
      </c>
      <c r="B1349" t="s">
        <v>72</v>
      </c>
      <c r="C1349">
        <v>28</v>
      </c>
      <c r="D1349">
        <v>13</v>
      </c>
      <c r="E1349" s="1">
        <f t="shared" si="21"/>
        <v>0.4642857142857143</v>
      </c>
      <c r="F1349">
        <v>100.2</v>
      </c>
      <c r="G1349">
        <v>104.9</v>
      </c>
      <c r="H1349">
        <v>0.37109999999999999</v>
      </c>
      <c r="I1349">
        <v>50.1</v>
      </c>
      <c r="J1349">
        <v>51.7</v>
      </c>
      <c r="K1349">
        <v>16.100000000000001</v>
      </c>
      <c r="L1349">
        <v>17.399999999999999</v>
      </c>
      <c r="M1349">
        <v>21.5</v>
      </c>
      <c r="N1349">
        <v>25.6</v>
      </c>
      <c r="O1349">
        <v>35.9</v>
      </c>
      <c r="P1349">
        <v>35.200000000000003</v>
      </c>
      <c r="Q1349">
        <v>49.6</v>
      </c>
      <c r="R1349">
        <v>50.7</v>
      </c>
      <c r="S1349">
        <v>33.9</v>
      </c>
      <c r="T1349">
        <v>35.799999999999997</v>
      </c>
      <c r="U1349">
        <v>68.3</v>
      </c>
      <c r="V1349">
        <v>-11.7</v>
      </c>
      <c r="W1349" cm="1">
        <f t="array" ref="W1349">_xlfn.IFS(OR(X1349="N/A",X1349="NA"),0,OR(X1349="R64",X1349="R68"),1,X1349="R32",2,X1349="S16",3,X1349="E8",4,X1349="F4",5,X1349="2ND",6,X1349="Champions",7)</f>
        <v>0</v>
      </c>
      <c r="X1349" t="s">
        <v>90</v>
      </c>
      <c r="Y1349" t="s">
        <v>90</v>
      </c>
      <c r="Z1349">
        <v>2019</v>
      </c>
    </row>
    <row r="1350" spans="1:26" x14ac:dyDescent="0.3">
      <c r="A1350" t="s">
        <v>386</v>
      </c>
      <c r="B1350" t="s">
        <v>72</v>
      </c>
      <c r="C1350">
        <v>32</v>
      </c>
      <c r="D1350">
        <v>24</v>
      </c>
      <c r="E1350" s="1">
        <f t="shared" si="21"/>
        <v>0.75</v>
      </c>
      <c r="F1350">
        <v>111.3</v>
      </c>
      <c r="G1350">
        <v>104.2</v>
      </c>
      <c r="H1350">
        <v>0.68220000000000003</v>
      </c>
      <c r="I1350">
        <v>58.5</v>
      </c>
      <c r="J1350">
        <v>50.2</v>
      </c>
      <c r="K1350">
        <v>16.3</v>
      </c>
      <c r="L1350">
        <v>15.6</v>
      </c>
      <c r="M1350">
        <v>23.9</v>
      </c>
      <c r="N1350">
        <v>22.7</v>
      </c>
      <c r="O1350">
        <v>31.9</v>
      </c>
      <c r="P1350">
        <v>23.7</v>
      </c>
      <c r="Q1350">
        <v>56.2</v>
      </c>
      <c r="R1350">
        <v>48.8</v>
      </c>
      <c r="S1350">
        <v>41.2</v>
      </c>
      <c r="T1350">
        <v>34.5</v>
      </c>
      <c r="U1350">
        <v>72.400000000000006</v>
      </c>
      <c r="V1350">
        <v>-3.4</v>
      </c>
      <c r="W1350" cm="1">
        <f t="array" ref="W1350">_xlfn.IFS(OR(X1350="N/A",X1350="NA"),0,OR(X1350="R64",X1350="R68"),1,X1350="R32",2,X1350="S16",3,X1350="E8",4,X1350="F4",5,X1350="2ND",6,X1350="Champions",7)</f>
        <v>0</v>
      </c>
      <c r="X1350" t="s">
        <v>90</v>
      </c>
      <c r="Y1350" t="s">
        <v>90</v>
      </c>
      <c r="Z1350">
        <v>2019</v>
      </c>
    </row>
    <row r="1351" spans="1:26" x14ac:dyDescent="0.3">
      <c r="A1351" t="s">
        <v>387</v>
      </c>
      <c r="B1351" t="s">
        <v>72</v>
      </c>
      <c r="C1351">
        <v>29</v>
      </c>
      <c r="D1351">
        <v>10</v>
      </c>
      <c r="E1351" s="1">
        <f t="shared" si="21"/>
        <v>0.34482758620689657</v>
      </c>
      <c r="F1351">
        <v>96.9</v>
      </c>
      <c r="G1351">
        <v>106.8</v>
      </c>
      <c r="H1351">
        <v>0.24629999999999999</v>
      </c>
      <c r="I1351">
        <v>49.8</v>
      </c>
      <c r="J1351">
        <v>52.2</v>
      </c>
      <c r="K1351">
        <v>16.3</v>
      </c>
      <c r="L1351">
        <v>14.5</v>
      </c>
      <c r="M1351">
        <v>22.6</v>
      </c>
      <c r="N1351">
        <v>25.5</v>
      </c>
      <c r="O1351">
        <v>23.2</v>
      </c>
      <c r="P1351">
        <v>28.1</v>
      </c>
      <c r="Q1351">
        <v>45.9</v>
      </c>
      <c r="R1351">
        <v>48.4</v>
      </c>
      <c r="S1351">
        <v>38.200000000000003</v>
      </c>
      <c r="T1351">
        <v>38.9</v>
      </c>
      <c r="U1351">
        <v>68.7</v>
      </c>
      <c r="V1351">
        <v>-16</v>
      </c>
      <c r="W1351" cm="1">
        <f t="array" ref="W1351">_xlfn.IFS(OR(X1351="N/A",X1351="NA"),0,OR(X1351="R64",X1351="R68"),1,X1351="R32",2,X1351="S16",3,X1351="E8",4,X1351="F4",5,X1351="2ND",6,X1351="Champions",7)</f>
        <v>0</v>
      </c>
      <c r="X1351" t="s">
        <v>90</v>
      </c>
      <c r="Y1351" t="s">
        <v>90</v>
      </c>
      <c r="Z1351">
        <v>2019</v>
      </c>
    </row>
    <row r="1352" spans="1:26" x14ac:dyDescent="0.3">
      <c r="A1352" t="s">
        <v>390</v>
      </c>
      <c r="B1352" t="s">
        <v>76</v>
      </c>
      <c r="C1352">
        <v>28</v>
      </c>
      <c r="D1352">
        <v>8</v>
      </c>
      <c r="E1352" s="1">
        <f t="shared" si="21"/>
        <v>0.2857142857142857</v>
      </c>
      <c r="F1352">
        <v>92.8</v>
      </c>
      <c r="G1352">
        <v>113.9</v>
      </c>
      <c r="H1352">
        <v>8.6699999999999999E-2</v>
      </c>
      <c r="I1352">
        <v>44.7</v>
      </c>
      <c r="J1352">
        <v>50.5</v>
      </c>
      <c r="K1352">
        <v>21.9</v>
      </c>
      <c r="L1352">
        <v>18.3</v>
      </c>
      <c r="M1352">
        <v>35.200000000000003</v>
      </c>
      <c r="N1352">
        <v>36.4</v>
      </c>
      <c r="O1352">
        <v>41.6</v>
      </c>
      <c r="P1352">
        <v>41.3</v>
      </c>
      <c r="Q1352">
        <v>45.4</v>
      </c>
      <c r="R1352">
        <v>50.7</v>
      </c>
      <c r="S1352">
        <v>29.1</v>
      </c>
      <c r="T1352">
        <v>33.299999999999997</v>
      </c>
      <c r="U1352">
        <v>63.5</v>
      </c>
      <c r="V1352">
        <v>-15.9</v>
      </c>
      <c r="W1352" cm="1">
        <f t="array" ref="W1352">_xlfn.IFS(OR(X1352="N/A",X1352="NA"),0,OR(X1352="R64",X1352="R68"),1,X1352="R32",2,X1352="S16",3,X1352="E8",4,X1352="F4",5,X1352="2ND",6,X1352="Champions",7)</f>
        <v>0</v>
      </c>
      <c r="X1352" t="s">
        <v>90</v>
      </c>
      <c r="Y1352" t="s">
        <v>90</v>
      </c>
      <c r="Z1352">
        <v>2015</v>
      </c>
    </row>
    <row r="1353" spans="1:26" x14ac:dyDescent="0.3">
      <c r="A1353" t="s">
        <v>391</v>
      </c>
      <c r="B1353" t="s">
        <v>76</v>
      </c>
      <c r="C1353">
        <v>27</v>
      </c>
      <c r="D1353">
        <v>17</v>
      </c>
      <c r="E1353" s="1">
        <f t="shared" si="21"/>
        <v>0.62962962962962965</v>
      </c>
      <c r="F1353">
        <v>94.4</v>
      </c>
      <c r="G1353">
        <v>105.2</v>
      </c>
      <c r="H1353">
        <v>0.22489999999999999</v>
      </c>
      <c r="I1353">
        <v>48.2</v>
      </c>
      <c r="J1353">
        <v>46.9</v>
      </c>
      <c r="K1353">
        <v>19.7</v>
      </c>
      <c r="L1353">
        <v>19.2</v>
      </c>
      <c r="M1353">
        <v>36</v>
      </c>
      <c r="N1353">
        <v>29.2</v>
      </c>
      <c r="O1353">
        <v>34.6</v>
      </c>
      <c r="P1353">
        <v>35.6</v>
      </c>
      <c r="Q1353">
        <v>46.4</v>
      </c>
      <c r="R1353">
        <v>45.3</v>
      </c>
      <c r="S1353">
        <v>35.4</v>
      </c>
      <c r="T1353">
        <v>33.6</v>
      </c>
      <c r="U1353">
        <v>68</v>
      </c>
      <c r="V1353">
        <v>-7.2</v>
      </c>
      <c r="W1353" cm="1">
        <f t="array" ref="W1353">_xlfn.IFS(OR(X1353="N/A",X1353="NA"),0,OR(X1353="R64",X1353="R68"),1,X1353="R32",2,X1353="S16",3,X1353="E8",4,X1353="F4",5,X1353="2ND",6,X1353="Champions",7)</f>
        <v>0</v>
      </c>
      <c r="X1353" t="s">
        <v>90</v>
      </c>
      <c r="Y1353" t="s">
        <v>90</v>
      </c>
      <c r="Z1353">
        <v>2015</v>
      </c>
    </row>
    <row r="1354" spans="1:26" x14ac:dyDescent="0.3">
      <c r="A1354" t="s">
        <v>392</v>
      </c>
      <c r="B1354" t="s">
        <v>76</v>
      </c>
      <c r="C1354">
        <v>30</v>
      </c>
      <c r="D1354">
        <v>5</v>
      </c>
      <c r="E1354" s="1">
        <f t="shared" si="21"/>
        <v>0.16666666666666666</v>
      </c>
      <c r="F1354">
        <v>91.6</v>
      </c>
      <c r="G1354">
        <v>118.2</v>
      </c>
      <c r="H1354">
        <v>5.0200000000000002E-2</v>
      </c>
      <c r="I1354">
        <v>43.1</v>
      </c>
      <c r="J1354">
        <v>52.8</v>
      </c>
      <c r="K1354">
        <v>17.2</v>
      </c>
      <c r="L1354">
        <v>18.600000000000001</v>
      </c>
      <c r="M1354">
        <v>30.2</v>
      </c>
      <c r="N1354">
        <v>35.9</v>
      </c>
      <c r="O1354">
        <v>37.5</v>
      </c>
      <c r="P1354">
        <v>39.9</v>
      </c>
      <c r="Q1354">
        <v>43.3</v>
      </c>
      <c r="R1354">
        <v>50.9</v>
      </c>
      <c r="S1354">
        <v>28.4</v>
      </c>
      <c r="T1354">
        <v>38.200000000000003</v>
      </c>
      <c r="U1354">
        <v>66.900000000000006</v>
      </c>
      <c r="V1354">
        <v>-20.6</v>
      </c>
      <c r="W1354" cm="1">
        <f t="array" ref="W1354">_xlfn.IFS(OR(X1354="N/A",X1354="NA"),0,OR(X1354="R64",X1354="R68"),1,X1354="R32",2,X1354="S16",3,X1354="E8",4,X1354="F4",5,X1354="2ND",6,X1354="Champions",7)</f>
        <v>0</v>
      </c>
      <c r="X1354" t="s">
        <v>90</v>
      </c>
      <c r="Y1354" t="s">
        <v>90</v>
      </c>
      <c r="Z1354">
        <v>2015</v>
      </c>
    </row>
    <row r="1355" spans="1:26" x14ac:dyDescent="0.3">
      <c r="A1355" t="s">
        <v>393</v>
      </c>
      <c r="B1355" t="s">
        <v>76</v>
      </c>
      <c r="C1355">
        <v>32</v>
      </c>
      <c r="D1355">
        <v>12</v>
      </c>
      <c r="E1355" s="1">
        <f t="shared" si="21"/>
        <v>0.375</v>
      </c>
      <c r="F1355">
        <v>90.1</v>
      </c>
      <c r="G1355">
        <v>108.7</v>
      </c>
      <c r="H1355">
        <v>0.10349999999999999</v>
      </c>
      <c r="I1355">
        <v>46.3</v>
      </c>
      <c r="J1355">
        <v>51.2</v>
      </c>
      <c r="K1355">
        <v>23.5</v>
      </c>
      <c r="L1355">
        <v>24.9</v>
      </c>
      <c r="M1355">
        <v>30.5</v>
      </c>
      <c r="N1355">
        <v>39.5</v>
      </c>
      <c r="O1355">
        <v>35.6</v>
      </c>
      <c r="P1355">
        <v>48.8</v>
      </c>
      <c r="Q1355">
        <v>44.2</v>
      </c>
      <c r="R1355">
        <v>48.8</v>
      </c>
      <c r="S1355">
        <v>33.299999999999997</v>
      </c>
      <c r="T1355">
        <v>36.9</v>
      </c>
      <c r="U1355">
        <v>64.099999999999994</v>
      </c>
      <c r="V1355">
        <v>-15.1</v>
      </c>
      <c r="W1355" cm="1">
        <f t="array" ref="W1355">_xlfn.IFS(OR(X1355="N/A",X1355="NA"),0,OR(X1355="R64",X1355="R68"),1,X1355="R32",2,X1355="S16",3,X1355="E8",4,X1355="F4",5,X1355="2ND",6,X1355="Champions",7)</f>
        <v>0</v>
      </c>
      <c r="X1355" t="s">
        <v>90</v>
      </c>
      <c r="Y1355" t="s">
        <v>90</v>
      </c>
      <c r="Z1355">
        <v>2015</v>
      </c>
    </row>
    <row r="1356" spans="1:26" x14ac:dyDescent="0.3">
      <c r="A1356" t="s">
        <v>394</v>
      </c>
      <c r="B1356" t="s">
        <v>76</v>
      </c>
      <c r="C1356">
        <v>27</v>
      </c>
      <c r="D1356">
        <v>0</v>
      </c>
      <c r="E1356" s="1">
        <f t="shared" si="21"/>
        <v>0</v>
      </c>
      <c r="F1356">
        <v>76.7</v>
      </c>
      <c r="G1356">
        <v>117</v>
      </c>
      <c r="H1356">
        <v>7.7000000000000002E-3</v>
      </c>
      <c r="I1356">
        <v>39.4</v>
      </c>
      <c r="J1356">
        <v>52.2</v>
      </c>
      <c r="K1356">
        <v>26.1</v>
      </c>
      <c r="L1356">
        <v>16.899999999999999</v>
      </c>
      <c r="M1356">
        <v>28.9</v>
      </c>
      <c r="N1356">
        <v>36.4</v>
      </c>
      <c r="O1356">
        <v>39.6</v>
      </c>
      <c r="P1356">
        <v>38.700000000000003</v>
      </c>
      <c r="Q1356">
        <v>38.4</v>
      </c>
      <c r="R1356">
        <v>54.3</v>
      </c>
      <c r="S1356">
        <v>28.3</v>
      </c>
      <c r="T1356">
        <v>32.1</v>
      </c>
      <c r="U1356">
        <v>65.5</v>
      </c>
      <c r="V1356">
        <v>-22.3</v>
      </c>
      <c r="W1356" cm="1">
        <f t="array" ref="W1356">_xlfn.IFS(OR(X1356="N/A",X1356="NA"),0,OR(X1356="R64",X1356="R68"),1,X1356="R32",2,X1356="S16",3,X1356="E8",4,X1356="F4",5,X1356="2ND",6,X1356="Champions",7)</f>
        <v>0</v>
      </c>
      <c r="X1356" t="s">
        <v>90</v>
      </c>
      <c r="Y1356" t="s">
        <v>90</v>
      </c>
      <c r="Z1356">
        <v>2015</v>
      </c>
    </row>
    <row r="1357" spans="1:26" x14ac:dyDescent="0.3">
      <c r="A1357" t="s">
        <v>395</v>
      </c>
      <c r="B1357" t="s">
        <v>76</v>
      </c>
      <c r="C1357">
        <v>32</v>
      </c>
      <c r="D1357">
        <v>11</v>
      </c>
      <c r="E1357" s="1">
        <f t="shared" si="21"/>
        <v>0.34375</v>
      </c>
      <c r="F1357">
        <v>88.6</v>
      </c>
      <c r="G1357">
        <v>102.5</v>
      </c>
      <c r="H1357">
        <v>0.15809999999999999</v>
      </c>
      <c r="I1357">
        <v>42.9</v>
      </c>
      <c r="J1357">
        <v>48.6</v>
      </c>
      <c r="K1357">
        <v>21.9</v>
      </c>
      <c r="L1357">
        <v>22.7</v>
      </c>
      <c r="M1357">
        <v>37.700000000000003</v>
      </c>
      <c r="N1357">
        <v>28.1</v>
      </c>
      <c r="O1357">
        <v>32.9</v>
      </c>
      <c r="P1357">
        <v>54.1</v>
      </c>
      <c r="Q1357">
        <v>43.7</v>
      </c>
      <c r="R1357">
        <v>47.2</v>
      </c>
      <c r="S1357">
        <v>27.4</v>
      </c>
      <c r="T1357">
        <v>34.1</v>
      </c>
      <c r="U1357">
        <v>64.2</v>
      </c>
      <c r="V1357">
        <v>-16.899999999999999</v>
      </c>
      <c r="W1357" cm="1">
        <f t="array" ref="W1357">_xlfn.IFS(OR(X1357="N/A",X1357="NA"),0,OR(X1357="R64",X1357="R68"),1,X1357="R32",2,X1357="S16",3,X1357="E8",4,X1357="F4",5,X1357="2ND",6,X1357="Champions",7)</f>
        <v>0</v>
      </c>
      <c r="X1357" t="s">
        <v>90</v>
      </c>
      <c r="Y1357" t="s">
        <v>90</v>
      </c>
      <c r="Z1357">
        <v>2015</v>
      </c>
    </row>
    <row r="1358" spans="1:26" x14ac:dyDescent="0.3">
      <c r="A1358" t="s">
        <v>396</v>
      </c>
      <c r="B1358" t="s">
        <v>76</v>
      </c>
      <c r="C1358">
        <v>32</v>
      </c>
      <c r="D1358">
        <v>6</v>
      </c>
      <c r="E1358" s="1">
        <f t="shared" si="21"/>
        <v>0.1875</v>
      </c>
      <c r="F1358">
        <v>89</v>
      </c>
      <c r="G1358">
        <v>116.3</v>
      </c>
      <c r="H1358">
        <v>4.3900000000000002E-2</v>
      </c>
      <c r="I1358">
        <v>42.7</v>
      </c>
      <c r="J1358">
        <v>54.5</v>
      </c>
      <c r="K1358">
        <v>20.9</v>
      </c>
      <c r="L1358">
        <v>20.8</v>
      </c>
      <c r="M1358">
        <v>30.1</v>
      </c>
      <c r="N1358">
        <v>39.700000000000003</v>
      </c>
      <c r="O1358">
        <v>33</v>
      </c>
      <c r="P1358">
        <v>36.700000000000003</v>
      </c>
      <c r="Q1358">
        <v>41.7</v>
      </c>
      <c r="R1358">
        <v>55.1</v>
      </c>
      <c r="S1358">
        <v>30.3</v>
      </c>
      <c r="T1358">
        <v>35.5</v>
      </c>
      <c r="U1358">
        <v>71.099999999999994</v>
      </c>
      <c r="V1358">
        <v>-20.8</v>
      </c>
      <c r="W1358" cm="1">
        <f t="array" ref="W1358">_xlfn.IFS(OR(X1358="N/A",X1358="NA"),0,OR(X1358="R64",X1358="R68"),1,X1358="R32",2,X1358="S16",3,X1358="E8",4,X1358="F4",5,X1358="2ND",6,X1358="Champions",7)</f>
        <v>0</v>
      </c>
      <c r="X1358" t="s">
        <v>90</v>
      </c>
      <c r="Y1358" t="s">
        <v>90</v>
      </c>
      <c r="Z1358">
        <v>2015</v>
      </c>
    </row>
    <row r="1359" spans="1:26" x14ac:dyDescent="0.3">
      <c r="A1359" t="s">
        <v>397</v>
      </c>
      <c r="B1359" t="s">
        <v>76</v>
      </c>
      <c r="C1359">
        <v>32</v>
      </c>
      <c r="D1359">
        <v>14</v>
      </c>
      <c r="E1359" s="1">
        <f t="shared" si="21"/>
        <v>0.4375</v>
      </c>
      <c r="F1359">
        <v>95.6</v>
      </c>
      <c r="G1359">
        <v>106.9</v>
      </c>
      <c r="H1359">
        <v>0.2165</v>
      </c>
      <c r="I1359">
        <v>47.5</v>
      </c>
      <c r="J1359">
        <v>48.4</v>
      </c>
      <c r="K1359">
        <v>20.7</v>
      </c>
      <c r="L1359">
        <v>24.3</v>
      </c>
      <c r="M1359">
        <v>32.1</v>
      </c>
      <c r="N1359">
        <v>40.1</v>
      </c>
      <c r="O1359">
        <v>30.9</v>
      </c>
      <c r="P1359">
        <v>51.2</v>
      </c>
      <c r="Q1359">
        <v>46.7</v>
      </c>
      <c r="R1359">
        <v>50.1</v>
      </c>
      <c r="S1359">
        <v>33.1</v>
      </c>
      <c r="T1359">
        <v>29.8</v>
      </c>
      <c r="U1359">
        <v>69</v>
      </c>
      <c r="V1359">
        <v>-12.3</v>
      </c>
      <c r="W1359" cm="1">
        <f t="array" ref="W1359">_xlfn.IFS(OR(X1359="N/A",X1359="NA"),0,OR(X1359="R64",X1359="R68"),1,X1359="R32",2,X1359="S16",3,X1359="E8",4,X1359="F4",5,X1359="2ND",6,X1359="Champions",7)</f>
        <v>0</v>
      </c>
      <c r="X1359" t="s">
        <v>90</v>
      </c>
      <c r="Y1359" t="s">
        <v>90</v>
      </c>
      <c r="Z1359">
        <v>2015</v>
      </c>
    </row>
    <row r="1360" spans="1:26" x14ac:dyDescent="0.3">
      <c r="A1360" t="s">
        <v>398</v>
      </c>
      <c r="B1360" t="s">
        <v>76</v>
      </c>
      <c r="C1360">
        <v>32</v>
      </c>
      <c r="D1360">
        <v>15</v>
      </c>
      <c r="E1360" s="1">
        <f t="shared" si="21"/>
        <v>0.46875</v>
      </c>
      <c r="F1360">
        <v>90.9</v>
      </c>
      <c r="G1360">
        <v>102.6</v>
      </c>
      <c r="H1360">
        <v>0.2001</v>
      </c>
      <c r="I1360">
        <v>45.1</v>
      </c>
      <c r="J1360">
        <v>44</v>
      </c>
      <c r="K1360">
        <v>20.100000000000001</v>
      </c>
      <c r="L1360">
        <v>20.6</v>
      </c>
      <c r="M1360">
        <v>32.1</v>
      </c>
      <c r="N1360">
        <v>34.700000000000003</v>
      </c>
      <c r="O1360">
        <v>40.5</v>
      </c>
      <c r="P1360">
        <v>45.6</v>
      </c>
      <c r="Q1360">
        <v>44.9</v>
      </c>
      <c r="R1360">
        <v>43.7</v>
      </c>
      <c r="S1360">
        <v>30.6</v>
      </c>
      <c r="T1360">
        <v>29.8</v>
      </c>
      <c r="U1360">
        <v>65.099999999999994</v>
      </c>
      <c r="V1360">
        <v>-11.7</v>
      </c>
      <c r="W1360" cm="1">
        <f t="array" ref="W1360">_xlfn.IFS(OR(X1360="N/A",X1360="NA"),0,OR(X1360="R64",X1360="R68"),1,X1360="R32",2,X1360="S16",3,X1360="E8",4,X1360="F4",5,X1360="2ND",6,X1360="Champions",7)</f>
        <v>0</v>
      </c>
      <c r="X1360" t="s">
        <v>90</v>
      </c>
      <c r="Y1360" t="s">
        <v>90</v>
      </c>
      <c r="Z1360">
        <v>2015</v>
      </c>
    </row>
    <row r="1361" spans="1:26" x14ac:dyDescent="0.3">
      <c r="A1361" t="s">
        <v>390</v>
      </c>
      <c r="B1361" t="s">
        <v>76</v>
      </c>
      <c r="C1361">
        <v>28</v>
      </c>
      <c r="D1361">
        <v>10</v>
      </c>
      <c r="E1361" s="1">
        <f t="shared" si="21"/>
        <v>0.35714285714285715</v>
      </c>
      <c r="F1361">
        <v>98.3</v>
      </c>
      <c r="G1361">
        <v>113.6</v>
      </c>
      <c r="H1361">
        <v>0.15989999999999999</v>
      </c>
      <c r="I1361">
        <v>46.6</v>
      </c>
      <c r="J1361">
        <v>50.5</v>
      </c>
      <c r="K1361">
        <v>17.600000000000001</v>
      </c>
      <c r="L1361">
        <v>17</v>
      </c>
      <c r="M1361">
        <v>31.6</v>
      </c>
      <c r="N1361">
        <v>31.7</v>
      </c>
      <c r="O1361">
        <v>38.4</v>
      </c>
      <c r="P1361">
        <v>39.5</v>
      </c>
      <c r="Q1361">
        <v>49</v>
      </c>
      <c r="R1361">
        <v>51.7</v>
      </c>
      <c r="S1361">
        <v>28.4</v>
      </c>
      <c r="T1361">
        <v>32.1</v>
      </c>
      <c r="U1361">
        <v>66.2</v>
      </c>
      <c r="V1361">
        <v>-15.1</v>
      </c>
      <c r="W1361" cm="1">
        <f t="array" ref="W1361">_xlfn.IFS(OR(X1361="N/A",X1361="NA"),0,OR(X1361="R64",X1361="R68"),1,X1361="R32",2,X1361="S16",3,X1361="E8",4,X1361="F4",5,X1361="2ND",6,X1361="Champions",7)</f>
        <v>0</v>
      </c>
      <c r="X1361" t="s">
        <v>90</v>
      </c>
      <c r="Y1361" t="s">
        <v>90</v>
      </c>
      <c r="Z1361">
        <v>2016</v>
      </c>
    </row>
    <row r="1362" spans="1:26" x14ac:dyDescent="0.3">
      <c r="A1362" t="s">
        <v>391</v>
      </c>
      <c r="B1362" t="s">
        <v>76</v>
      </c>
      <c r="C1362">
        <v>29</v>
      </c>
      <c r="D1362">
        <v>12</v>
      </c>
      <c r="E1362" s="1">
        <f t="shared" si="21"/>
        <v>0.41379310344827586</v>
      </c>
      <c r="F1362">
        <v>98</v>
      </c>
      <c r="G1362">
        <v>110.8</v>
      </c>
      <c r="H1362">
        <v>0.19700000000000001</v>
      </c>
      <c r="I1362">
        <v>45.8</v>
      </c>
      <c r="J1362">
        <v>51.2</v>
      </c>
      <c r="K1362">
        <v>17.2</v>
      </c>
      <c r="L1362">
        <v>18.3</v>
      </c>
      <c r="M1362">
        <v>31.4</v>
      </c>
      <c r="N1362">
        <v>30</v>
      </c>
      <c r="O1362">
        <v>31.7</v>
      </c>
      <c r="P1362">
        <v>45</v>
      </c>
      <c r="Q1362">
        <v>43.6</v>
      </c>
      <c r="R1362">
        <v>51.6</v>
      </c>
      <c r="S1362">
        <v>33.299999999999997</v>
      </c>
      <c r="T1362">
        <v>33.700000000000003</v>
      </c>
      <c r="U1362">
        <v>69.8</v>
      </c>
      <c r="V1362">
        <v>-13.1</v>
      </c>
      <c r="W1362" cm="1">
        <f t="array" ref="W1362">_xlfn.IFS(OR(X1362="N/A",X1362="NA"),0,OR(X1362="R64",X1362="R68"),1,X1362="R32",2,X1362="S16",3,X1362="E8",4,X1362="F4",5,X1362="2ND",6,X1362="Champions",7)</f>
        <v>0</v>
      </c>
      <c r="X1362" t="s">
        <v>90</v>
      </c>
      <c r="Y1362" t="s">
        <v>90</v>
      </c>
      <c r="Z1362">
        <v>2016</v>
      </c>
    </row>
    <row r="1363" spans="1:26" x14ac:dyDescent="0.3">
      <c r="A1363" t="s">
        <v>392</v>
      </c>
      <c r="B1363" t="s">
        <v>76</v>
      </c>
      <c r="C1363">
        <v>28</v>
      </c>
      <c r="D1363">
        <v>13</v>
      </c>
      <c r="E1363" s="1">
        <f t="shared" si="21"/>
        <v>0.4642857142857143</v>
      </c>
      <c r="F1363">
        <v>96.8</v>
      </c>
      <c r="G1363">
        <v>111.5</v>
      </c>
      <c r="H1363">
        <v>0.16470000000000001</v>
      </c>
      <c r="I1363">
        <v>45.6</v>
      </c>
      <c r="J1363">
        <v>51</v>
      </c>
      <c r="K1363">
        <v>21.1</v>
      </c>
      <c r="L1363">
        <v>17.3</v>
      </c>
      <c r="M1363">
        <v>34.799999999999997</v>
      </c>
      <c r="N1363">
        <v>31.9</v>
      </c>
      <c r="O1363">
        <v>38.4</v>
      </c>
      <c r="P1363">
        <v>39.700000000000003</v>
      </c>
      <c r="Q1363">
        <v>45.3</v>
      </c>
      <c r="R1363">
        <v>48.6</v>
      </c>
      <c r="S1363">
        <v>30.8</v>
      </c>
      <c r="T1363">
        <v>37</v>
      </c>
      <c r="U1363">
        <v>66.5</v>
      </c>
      <c r="V1363">
        <v>-11.5</v>
      </c>
      <c r="W1363" cm="1">
        <f t="array" ref="W1363">_xlfn.IFS(OR(X1363="N/A",X1363="NA"),0,OR(X1363="R64",X1363="R68"),1,X1363="R32",2,X1363="S16",3,X1363="E8",4,X1363="F4",5,X1363="2ND",6,X1363="Champions",7)</f>
        <v>0</v>
      </c>
      <c r="X1363" t="s">
        <v>90</v>
      </c>
      <c r="Y1363" t="s">
        <v>90</v>
      </c>
      <c r="Z1363">
        <v>2016</v>
      </c>
    </row>
    <row r="1364" spans="1:26" x14ac:dyDescent="0.3">
      <c r="A1364" t="s">
        <v>393</v>
      </c>
      <c r="B1364" t="s">
        <v>76</v>
      </c>
      <c r="C1364">
        <v>33</v>
      </c>
      <c r="D1364">
        <v>8</v>
      </c>
      <c r="E1364" s="1">
        <f t="shared" si="21"/>
        <v>0.24242424242424243</v>
      </c>
      <c r="F1364">
        <v>87.8</v>
      </c>
      <c r="G1364">
        <v>109.6</v>
      </c>
      <c r="H1364">
        <v>7.1900000000000006E-2</v>
      </c>
      <c r="I1364">
        <v>45</v>
      </c>
      <c r="J1364">
        <v>49.2</v>
      </c>
      <c r="K1364">
        <v>23.8</v>
      </c>
      <c r="L1364">
        <v>20.2</v>
      </c>
      <c r="M1364">
        <v>27.7</v>
      </c>
      <c r="N1364">
        <v>37.4</v>
      </c>
      <c r="O1364">
        <v>30.1</v>
      </c>
      <c r="P1364">
        <v>53.7</v>
      </c>
      <c r="Q1364">
        <v>44.7</v>
      </c>
      <c r="R1364">
        <v>49.6</v>
      </c>
      <c r="S1364">
        <v>30.3</v>
      </c>
      <c r="T1364">
        <v>32.299999999999997</v>
      </c>
      <c r="U1364">
        <v>65.8</v>
      </c>
      <c r="V1364">
        <v>-17.8</v>
      </c>
      <c r="W1364" cm="1">
        <f t="array" ref="W1364">_xlfn.IFS(OR(X1364="N/A",X1364="NA"),0,OR(X1364="R64",X1364="R68"),1,X1364="R32",2,X1364="S16",3,X1364="E8",4,X1364="F4",5,X1364="2ND",6,X1364="Champions",7)</f>
        <v>0</v>
      </c>
      <c r="X1364" t="s">
        <v>90</v>
      </c>
      <c r="Y1364" t="s">
        <v>90</v>
      </c>
      <c r="Z1364">
        <v>2016</v>
      </c>
    </row>
    <row r="1365" spans="1:26" x14ac:dyDescent="0.3">
      <c r="A1365" t="s">
        <v>394</v>
      </c>
      <c r="B1365" t="s">
        <v>76</v>
      </c>
      <c r="C1365">
        <v>28</v>
      </c>
      <c r="D1365">
        <v>4</v>
      </c>
      <c r="E1365" s="1">
        <f t="shared" si="21"/>
        <v>0.14285714285714285</v>
      </c>
      <c r="F1365">
        <v>85.9</v>
      </c>
      <c r="G1365">
        <v>110.5</v>
      </c>
      <c r="H1365">
        <v>5.2299999999999999E-2</v>
      </c>
      <c r="I1365">
        <v>43.8</v>
      </c>
      <c r="J1365">
        <v>50.8</v>
      </c>
      <c r="K1365">
        <v>21.7</v>
      </c>
      <c r="L1365">
        <v>20</v>
      </c>
      <c r="M1365">
        <v>24.9</v>
      </c>
      <c r="N1365">
        <v>32.5</v>
      </c>
      <c r="O1365">
        <v>44.2</v>
      </c>
      <c r="P1365">
        <v>41.4</v>
      </c>
      <c r="Q1365">
        <v>45.3</v>
      </c>
      <c r="R1365">
        <v>51.5</v>
      </c>
      <c r="S1365">
        <v>27.4</v>
      </c>
      <c r="T1365">
        <v>33.1</v>
      </c>
      <c r="U1365">
        <v>66.900000000000006</v>
      </c>
      <c r="V1365">
        <v>-19.7</v>
      </c>
      <c r="W1365" cm="1">
        <f t="array" ref="W1365">_xlfn.IFS(OR(X1365="N/A",X1365="NA"),0,OR(X1365="R64",X1365="R68"),1,X1365="R32",2,X1365="S16",3,X1365="E8",4,X1365="F4",5,X1365="2ND",6,X1365="Champions",7)</f>
        <v>0</v>
      </c>
      <c r="X1365" t="s">
        <v>90</v>
      </c>
      <c r="Y1365" t="s">
        <v>90</v>
      </c>
      <c r="Z1365">
        <v>2016</v>
      </c>
    </row>
    <row r="1366" spans="1:26" x14ac:dyDescent="0.3">
      <c r="A1366" t="s">
        <v>395</v>
      </c>
      <c r="B1366" t="s">
        <v>76</v>
      </c>
      <c r="C1366">
        <v>34</v>
      </c>
      <c r="D1366">
        <v>18</v>
      </c>
      <c r="E1366" s="1">
        <f t="shared" si="21"/>
        <v>0.52941176470588236</v>
      </c>
      <c r="F1366">
        <v>94.1</v>
      </c>
      <c r="G1366">
        <v>101.1</v>
      </c>
      <c r="H1366">
        <v>0.30559999999999998</v>
      </c>
      <c r="I1366">
        <v>45.7</v>
      </c>
      <c r="J1366">
        <v>45.5</v>
      </c>
      <c r="K1366">
        <v>17.8</v>
      </c>
      <c r="L1366">
        <v>20.7</v>
      </c>
      <c r="M1366">
        <v>32.299999999999997</v>
      </c>
      <c r="N1366">
        <v>28.4</v>
      </c>
      <c r="O1366">
        <v>30.4</v>
      </c>
      <c r="P1366">
        <v>48.1</v>
      </c>
      <c r="Q1366">
        <v>45.4</v>
      </c>
      <c r="R1366">
        <v>44.6</v>
      </c>
      <c r="S1366">
        <v>30.8</v>
      </c>
      <c r="T1366">
        <v>31.5</v>
      </c>
      <c r="U1366">
        <v>68.2</v>
      </c>
      <c r="V1366">
        <v>-10.7</v>
      </c>
      <c r="W1366" cm="1">
        <f t="array" ref="W1366">_xlfn.IFS(OR(X1366="N/A",X1366="NA"),0,OR(X1366="R64",X1366="R68"),1,X1366="R32",2,X1366="S16",3,X1366="E8",4,X1366="F4",5,X1366="2ND",6,X1366="Champions",7)</f>
        <v>0</v>
      </c>
      <c r="X1366" t="s">
        <v>90</v>
      </c>
      <c r="Y1366" t="s">
        <v>90</v>
      </c>
      <c r="Z1366">
        <v>2016</v>
      </c>
    </row>
    <row r="1367" spans="1:26" x14ac:dyDescent="0.3">
      <c r="A1367" t="s">
        <v>396</v>
      </c>
      <c r="B1367" t="s">
        <v>76</v>
      </c>
      <c r="C1367">
        <v>35</v>
      </c>
      <c r="D1367">
        <v>8</v>
      </c>
      <c r="E1367" s="1">
        <f t="shared" si="21"/>
        <v>0.22857142857142856</v>
      </c>
      <c r="F1367">
        <v>90.2</v>
      </c>
      <c r="G1367">
        <v>111</v>
      </c>
      <c r="H1367">
        <v>8.4400000000000003E-2</v>
      </c>
      <c r="I1367">
        <v>43</v>
      </c>
      <c r="J1367">
        <v>51</v>
      </c>
      <c r="K1367">
        <v>18.5</v>
      </c>
      <c r="L1367">
        <v>19.399999999999999</v>
      </c>
      <c r="M1367">
        <v>27.1</v>
      </c>
      <c r="N1367">
        <v>34.6</v>
      </c>
      <c r="O1367">
        <v>31.3</v>
      </c>
      <c r="P1367">
        <v>35.200000000000003</v>
      </c>
      <c r="Q1367">
        <v>42</v>
      </c>
      <c r="R1367">
        <v>54.5</v>
      </c>
      <c r="S1367">
        <v>30.3</v>
      </c>
      <c r="T1367">
        <v>30.3</v>
      </c>
      <c r="U1367">
        <v>72.2</v>
      </c>
      <c r="V1367">
        <v>-21.6</v>
      </c>
      <c r="W1367" cm="1">
        <f t="array" ref="W1367">_xlfn.IFS(OR(X1367="N/A",X1367="NA"),0,OR(X1367="R64",X1367="R68"),1,X1367="R32",2,X1367="S16",3,X1367="E8",4,X1367="F4",5,X1367="2ND",6,X1367="Champions",7)</f>
        <v>0</v>
      </c>
      <c r="X1367" t="s">
        <v>90</v>
      </c>
      <c r="Y1367" t="s">
        <v>90</v>
      </c>
      <c r="Z1367">
        <v>2016</v>
      </c>
    </row>
    <row r="1368" spans="1:26" x14ac:dyDescent="0.3">
      <c r="A1368" t="s">
        <v>397</v>
      </c>
      <c r="B1368" t="s">
        <v>76</v>
      </c>
      <c r="C1368">
        <v>31</v>
      </c>
      <c r="D1368">
        <v>7</v>
      </c>
      <c r="E1368" s="1">
        <f t="shared" si="21"/>
        <v>0.22580645161290322</v>
      </c>
      <c r="F1368">
        <v>88.3</v>
      </c>
      <c r="G1368">
        <v>107.1</v>
      </c>
      <c r="H1368">
        <v>9.8699999999999996E-2</v>
      </c>
      <c r="I1368">
        <v>41.8</v>
      </c>
      <c r="J1368">
        <v>50.7</v>
      </c>
      <c r="K1368">
        <v>21.8</v>
      </c>
      <c r="L1368">
        <v>23.4</v>
      </c>
      <c r="M1368">
        <v>30.7</v>
      </c>
      <c r="N1368">
        <v>36.299999999999997</v>
      </c>
      <c r="O1368">
        <v>36.4</v>
      </c>
      <c r="P1368">
        <v>47.4</v>
      </c>
      <c r="Q1368">
        <v>42.1</v>
      </c>
      <c r="R1368">
        <v>53</v>
      </c>
      <c r="S1368">
        <v>27.3</v>
      </c>
      <c r="T1368">
        <v>30.6</v>
      </c>
      <c r="U1368">
        <v>69.7</v>
      </c>
      <c r="V1368">
        <v>-18.3</v>
      </c>
      <c r="W1368" cm="1">
        <f t="array" ref="W1368">_xlfn.IFS(OR(X1368="N/A",X1368="NA"),0,OR(X1368="R64",X1368="R68"),1,X1368="R32",2,X1368="S16",3,X1368="E8",4,X1368="F4",5,X1368="2ND",6,X1368="Champions",7)</f>
        <v>0</v>
      </c>
      <c r="X1368" t="s">
        <v>90</v>
      </c>
      <c r="Y1368" t="s">
        <v>90</v>
      </c>
      <c r="Z1368">
        <v>2016</v>
      </c>
    </row>
    <row r="1369" spans="1:26" x14ac:dyDescent="0.3">
      <c r="A1369" t="s">
        <v>399</v>
      </c>
      <c r="B1369" t="s">
        <v>76</v>
      </c>
      <c r="C1369">
        <v>33</v>
      </c>
      <c r="D1369">
        <v>18</v>
      </c>
      <c r="E1369" s="1">
        <f t="shared" si="21"/>
        <v>0.54545454545454541</v>
      </c>
      <c r="F1369">
        <v>105</v>
      </c>
      <c r="G1369">
        <v>108.7</v>
      </c>
      <c r="H1369">
        <v>0.40279999999999999</v>
      </c>
      <c r="I1369">
        <v>51.8</v>
      </c>
      <c r="J1369">
        <v>49.2</v>
      </c>
      <c r="K1369">
        <v>19.3</v>
      </c>
      <c r="L1369">
        <v>15.8</v>
      </c>
      <c r="M1369">
        <v>35.299999999999997</v>
      </c>
      <c r="N1369">
        <v>28.4</v>
      </c>
      <c r="O1369">
        <v>41.5</v>
      </c>
      <c r="P1369">
        <v>24.6</v>
      </c>
      <c r="Q1369">
        <v>52.3</v>
      </c>
      <c r="R1369">
        <v>48.7</v>
      </c>
      <c r="S1369">
        <v>33.799999999999997</v>
      </c>
      <c r="T1369">
        <v>33.5</v>
      </c>
      <c r="U1369">
        <v>68.400000000000006</v>
      </c>
      <c r="V1369">
        <v>-7.7</v>
      </c>
      <c r="W1369" cm="1">
        <f t="array" ref="W1369">_xlfn.IFS(OR(X1369="N/A",X1369="NA"),0,OR(X1369="R64",X1369="R68"),1,X1369="R32",2,X1369="S16",3,X1369="E8",4,X1369="F4",5,X1369="2ND",6,X1369="Champions",7)</f>
        <v>0</v>
      </c>
      <c r="X1369" t="s">
        <v>90</v>
      </c>
      <c r="Y1369" t="s">
        <v>90</v>
      </c>
      <c r="Z1369">
        <v>2016</v>
      </c>
    </row>
    <row r="1370" spans="1:26" x14ac:dyDescent="0.3">
      <c r="A1370" t="s">
        <v>390</v>
      </c>
      <c r="B1370" t="s">
        <v>76</v>
      </c>
      <c r="C1370">
        <v>29</v>
      </c>
      <c r="D1370">
        <v>2</v>
      </c>
      <c r="E1370" s="1">
        <f t="shared" si="21"/>
        <v>6.8965517241379309E-2</v>
      </c>
      <c r="F1370">
        <v>90.4</v>
      </c>
      <c r="G1370">
        <v>123.6</v>
      </c>
      <c r="H1370">
        <v>2.6599999999999999E-2</v>
      </c>
      <c r="I1370">
        <v>44.3</v>
      </c>
      <c r="J1370">
        <v>53.7</v>
      </c>
      <c r="K1370">
        <v>19.8</v>
      </c>
      <c r="L1370">
        <v>14</v>
      </c>
      <c r="M1370">
        <v>29.3</v>
      </c>
      <c r="N1370">
        <v>36.200000000000003</v>
      </c>
      <c r="O1370">
        <v>39.5</v>
      </c>
      <c r="P1370">
        <v>33.700000000000003</v>
      </c>
      <c r="Q1370">
        <v>45.6</v>
      </c>
      <c r="R1370">
        <v>53.2</v>
      </c>
      <c r="S1370">
        <v>27.5</v>
      </c>
      <c r="T1370">
        <v>36.299999999999997</v>
      </c>
      <c r="U1370">
        <v>65.7</v>
      </c>
      <c r="V1370">
        <v>-24</v>
      </c>
      <c r="W1370" cm="1">
        <f t="array" ref="W1370">_xlfn.IFS(OR(X1370="N/A",X1370="NA"),0,OR(X1370="R64",X1370="R68"),1,X1370="R32",2,X1370="S16",3,X1370="E8",4,X1370="F4",5,X1370="2ND",6,X1370="Champions",7)</f>
        <v>0</v>
      </c>
      <c r="X1370" t="s">
        <v>90</v>
      </c>
      <c r="Y1370" t="s">
        <v>90</v>
      </c>
      <c r="Z1370">
        <v>2017</v>
      </c>
    </row>
    <row r="1371" spans="1:26" x14ac:dyDescent="0.3">
      <c r="A1371" t="s">
        <v>391</v>
      </c>
      <c r="B1371" t="s">
        <v>76</v>
      </c>
      <c r="C1371">
        <v>30</v>
      </c>
      <c r="D1371">
        <v>8</v>
      </c>
      <c r="E1371" s="1">
        <f t="shared" si="21"/>
        <v>0.26666666666666666</v>
      </c>
      <c r="F1371">
        <v>90.2</v>
      </c>
      <c r="G1371">
        <v>114.1</v>
      </c>
      <c r="H1371">
        <v>6.25E-2</v>
      </c>
      <c r="I1371">
        <v>44.3</v>
      </c>
      <c r="J1371">
        <v>50.3</v>
      </c>
      <c r="K1371">
        <v>22</v>
      </c>
      <c r="L1371">
        <v>18</v>
      </c>
      <c r="M1371">
        <v>34.5</v>
      </c>
      <c r="N1371">
        <v>31.8</v>
      </c>
      <c r="O1371">
        <v>34.6</v>
      </c>
      <c r="P1371">
        <v>42.6</v>
      </c>
      <c r="Q1371">
        <v>44.4</v>
      </c>
      <c r="R1371">
        <v>49.7</v>
      </c>
      <c r="S1371">
        <v>29.4</v>
      </c>
      <c r="T1371">
        <v>34.5</v>
      </c>
      <c r="U1371">
        <v>70</v>
      </c>
      <c r="V1371">
        <v>-19.2</v>
      </c>
      <c r="W1371" cm="1">
        <f t="array" ref="W1371">_xlfn.IFS(OR(X1371="N/A",X1371="NA"),0,OR(X1371="R64",X1371="R68"),1,X1371="R32",2,X1371="S16",3,X1371="E8",4,X1371="F4",5,X1371="2ND",6,X1371="Champions",7)</f>
        <v>0</v>
      </c>
      <c r="X1371" t="s">
        <v>90</v>
      </c>
      <c r="Y1371" t="s">
        <v>90</v>
      </c>
      <c r="Z1371">
        <v>2017</v>
      </c>
    </row>
    <row r="1372" spans="1:26" x14ac:dyDescent="0.3">
      <c r="A1372" t="s">
        <v>392</v>
      </c>
      <c r="B1372" t="s">
        <v>76</v>
      </c>
      <c r="C1372">
        <v>29</v>
      </c>
      <c r="D1372">
        <v>18</v>
      </c>
      <c r="E1372" s="1">
        <f t="shared" si="21"/>
        <v>0.62068965517241381</v>
      </c>
      <c r="F1372">
        <v>94.1</v>
      </c>
      <c r="G1372">
        <v>106.7</v>
      </c>
      <c r="H1372">
        <v>0.19059999999999999</v>
      </c>
      <c r="I1372">
        <v>47.9</v>
      </c>
      <c r="J1372">
        <v>47.3</v>
      </c>
      <c r="K1372">
        <v>20.399999999999999</v>
      </c>
      <c r="L1372">
        <v>18.600000000000001</v>
      </c>
      <c r="M1372">
        <v>31.9</v>
      </c>
      <c r="N1372">
        <v>31.2</v>
      </c>
      <c r="O1372">
        <v>32.799999999999997</v>
      </c>
      <c r="P1372">
        <v>39.799999999999997</v>
      </c>
      <c r="Q1372">
        <v>47.9</v>
      </c>
      <c r="R1372">
        <v>48.3</v>
      </c>
      <c r="S1372">
        <v>32</v>
      </c>
      <c r="T1372">
        <v>30.2</v>
      </c>
      <c r="U1372">
        <v>69</v>
      </c>
      <c r="V1372">
        <v>-9.6999999999999993</v>
      </c>
      <c r="W1372" cm="1">
        <f t="array" ref="W1372">_xlfn.IFS(OR(X1372="N/A",X1372="NA"),0,OR(X1372="R64",X1372="R68"),1,X1372="R32",2,X1372="S16",3,X1372="E8",4,X1372="F4",5,X1372="2ND",6,X1372="Champions",7)</f>
        <v>0</v>
      </c>
      <c r="X1372" t="s">
        <v>90</v>
      </c>
      <c r="Y1372" t="s">
        <v>90</v>
      </c>
      <c r="Z1372">
        <v>2017</v>
      </c>
    </row>
    <row r="1373" spans="1:26" x14ac:dyDescent="0.3">
      <c r="A1373" t="s">
        <v>393</v>
      </c>
      <c r="B1373" t="s">
        <v>76</v>
      </c>
      <c r="C1373">
        <v>30</v>
      </c>
      <c r="D1373">
        <v>6</v>
      </c>
      <c r="E1373" s="1">
        <f t="shared" si="21"/>
        <v>0.2</v>
      </c>
      <c r="F1373">
        <v>84</v>
      </c>
      <c r="G1373">
        <v>110.8</v>
      </c>
      <c r="H1373">
        <v>3.9600000000000003E-2</v>
      </c>
      <c r="I1373">
        <v>46</v>
      </c>
      <c r="J1373">
        <v>52.2</v>
      </c>
      <c r="K1373">
        <v>25.9</v>
      </c>
      <c r="L1373">
        <v>23.5</v>
      </c>
      <c r="M1373">
        <v>29.9</v>
      </c>
      <c r="N1373">
        <v>35.4</v>
      </c>
      <c r="O1373">
        <v>32.799999999999997</v>
      </c>
      <c r="P1373">
        <v>58.5</v>
      </c>
      <c r="Q1373">
        <v>42.9</v>
      </c>
      <c r="R1373">
        <v>54.3</v>
      </c>
      <c r="S1373">
        <v>34.4</v>
      </c>
      <c r="T1373">
        <v>32.6</v>
      </c>
      <c r="U1373">
        <v>69</v>
      </c>
      <c r="V1373">
        <v>-20.2</v>
      </c>
      <c r="W1373" cm="1">
        <f t="array" ref="W1373">_xlfn.IFS(OR(X1373="N/A",X1373="NA"),0,OR(X1373="R64",X1373="R68"),1,X1373="R32",2,X1373="S16",3,X1373="E8",4,X1373="F4",5,X1373="2ND",6,X1373="Champions",7)</f>
        <v>0</v>
      </c>
      <c r="X1373" t="s">
        <v>90</v>
      </c>
      <c r="Y1373" t="s">
        <v>90</v>
      </c>
      <c r="Z1373">
        <v>2017</v>
      </c>
    </row>
    <row r="1374" spans="1:26" x14ac:dyDescent="0.3">
      <c r="A1374" t="s">
        <v>394</v>
      </c>
      <c r="B1374" t="s">
        <v>76</v>
      </c>
      <c r="C1374">
        <v>30</v>
      </c>
      <c r="D1374">
        <v>15</v>
      </c>
      <c r="E1374" s="1">
        <f t="shared" si="21"/>
        <v>0.5</v>
      </c>
      <c r="F1374">
        <v>94.7</v>
      </c>
      <c r="G1374">
        <v>112.9</v>
      </c>
      <c r="H1374">
        <v>0.11749999999999999</v>
      </c>
      <c r="I1374">
        <v>46.8</v>
      </c>
      <c r="J1374">
        <v>55.5</v>
      </c>
      <c r="K1374">
        <v>20.2</v>
      </c>
      <c r="L1374">
        <v>24.3</v>
      </c>
      <c r="M1374">
        <v>32</v>
      </c>
      <c r="N1374">
        <v>35</v>
      </c>
      <c r="O1374">
        <v>38.1</v>
      </c>
      <c r="P1374">
        <v>42.2</v>
      </c>
      <c r="Q1374">
        <v>46.6</v>
      </c>
      <c r="R1374">
        <v>54.8</v>
      </c>
      <c r="S1374">
        <v>31.5</v>
      </c>
      <c r="T1374">
        <v>37.799999999999997</v>
      </c>
      <c r="U1374">
        <v>68.5</v>
      </c>
      <c r="V1374">
        <v>-13.6</v>
      </c>
      <c r="W1374" cm="1">
        <f t="array" ref="W1374">_xlfn.IFS(OR(X1374="N/A",X1374="NA"),0,OR(X1374="R64",X1374="R68"),1,X1374="R32",2,X1374="S16",3,X1374="E8",4,X1374="F4",5,X1374="2ND",6,X1374="Champions",7)</f>
        <v>0</v>
      </c>
      <c r="X1374" t="s">
        <v>90</v>
      </c>
      <c r="Y1374" t="s">
        <v>90</v>
      </c>
      <c r="Z1374">
        <v>2017</v>
      </c>
    </row>
    <row r="1375" spans="1:26" x14ac:dyDescent="0.3">
      <c r="A1375" t="s">
        <v>395</v>
      </c>
      <c r="B1375" t="s">
        <v>76</v>
      </c>
      <c r="C1375">
        <v>29</v>
      </c>
      <c r="D1375">
        <v>14</v>
      </c>
      <c r="E1375" s="1">
        <f t="shared" si="21"/>
        <v>0.48275862068965519</v>
      </c>
      <c r="F1375">
        <v>92.2</v>
      </c>
      <c r="G1375">
        <v>108.8</v>
      </c>
      <c r="H1375">
        <v>0.1295</v>
      </c>
      <c r="I1375">
        <v>44.2</v>
      </c>
      <c r="J1375">
        <v>49.6</v>
      </c>
      <c r="K1375">
        <v>18.5</v>
      </c>
      <c r="L1375">
        <v>19.8</v>
      </c>
      <c r="M1375">
        <v>34</v>
      </c>
      <c r="N1375">
        <v>28.7</v>
      </c>
      <c r="O1375">
        <v>33.700000000000003</v>
      </c>
      <c r="P1375">
        <v>48.4</v>
      </c>
      <c r="Q1375">
        <v>44</v>
      </c>
      <c r="R1375">
        <v>49.6</v>
      </c>
      <c r="S1375">
        <v>29.8</v>
      </c>
      <c r="T1375">
        <v>33.1</v>
      </c>
      <c r="U1375">
        <v>65.599999999999994</v>
      </c>
      <c r="V1375">
        <v>-13.6</v>
      </c>
      <c r="W1375" cm="1">
        <f t="array" ref="W1375">_xlfn.IFS(OR(X1375="N/A",X1375="NA"),0,OR(X1375="R64",X1375="R68"),1,X1375="R32",2,X1375="S16",3,X1375="E8",4,X1375="F4",5,X1375="2ND",6,X1375="Champions",7)</f>
        <v>0</v>
      </c>
      <c r="X1375" t="s">
        <v>90</v>
      </c>
      <c r="Y1375" t="s">
        <v>90</v>
      </c>
      <c r="Z1375">
        <v>2017</v>
      </c>
    </row>
    <row r="1376" spans="1:26" x14ac:dyDescent="0.3">
      <c r="A1376" t="s">
        <v>396</v>
      </c>
      <c r="B1376" t="s">
        <v>76</v>
      </c>
      <c r="C1376">
        <v>32</v>
      </c>
      <c r="D1376">
        <v>7</v>
      </c>
      <c r="E1376" s="1">
        <f t="shared" si="21"/>
        <v>0.21875</v>
      </c>
      <c r="F1376">
        <v>94.6</v>
      </c>
      <c r="G1376">
        <v>118.8</v>
      </c>
      <c r="H1376">
        <v>6.8400000000000002E-2</v>
      </c>
      <c r="I1376">
        <v>46.6</v>
      </c>
      <c r="J1376">
        <v>56.4</v>
      </c>
      <c r="K1376">
        <v>19.7</v>
      </c>
      <c r="L1376">
        <v>19.5</v>
      </c>
      <c r="M1376">
        <v>30.4</v>
      </c>
      <c r="N1376">
        <v>33.9</v>
      </c>
      <c r="O1376">
        <v>33.5</v>
      </c>
      <c r="P1376">
        <v>37.799999999999997</v>
      </c>
      <c r="Q1376">
        <v>44.9</v>
      </c>
      <c r="R1376">
        <v>56</v>
      </c>
      <c r="S1376">
        <v>34.299999999999997</v>
      </c>
      <c r="T1376">
        <v>38.1</v>
      </c>
      <c r="U1376">
        <v>72.400000000000006</v>
      </c>
      <c r="V1376">
        <v>-18.2</v>
      </c>
      <c r="W1376" cm="1">
        <f t="array" ref="W1376">_xlfn.IFS(OR(X1376="N/A",X1376="NA"),0,OR(X1376="R64",X1376="R68"),1,X1376="R32",2,X1376="S16",3,X1376="E8",4,X1376="F4",5,X1376="2ND",6,X1376="Champions",7)</f>
        <v>0</v>
      </c>
      <c r="X1376" t="s">
        <v>90</v>
      </c>
      <c r="Y1376" t="s">
        <v>90</v>
      </c>
      <c r="Z1376">
        <v>2017</v>
      </c>
    </row>
    <row r="1377" spans="1:26" x14ac:dyDescent="0.3">
      <c r="A1377" t="s">
        <v>397</v>
      </c>
      <c r="B1377" t="s">
        <v>76</v>
      </c>
      <c r="C1377">
        <v>31</v>
      </c>
      <c r="D1377">
        <v>13</v>
      </c>
      <c r="E1377" s="1">
        <f t="shared" si="21"/>
        <v>0.41935483870967744</v>
      </c>
      <c r="F1377">
        <v>96.9</v>
      </c>
      <c r="G1377">
        <v>111.2</v>
      </c>
      <c r="H1377">
        <v>0.17050000000000001</v>
      </c>
      <c r="I1377">
        <v>48.6</v>
      </c>
      <c r="J1377">
        <v>52.9</v>
      </c>
      <c r="K1377">
        <v>18.8</v>
      </c>
      <c r="L1377">
        <v>21.7</v>
      </c>
      <c r="M1377">
        <v>24.7</v>
      </c>
      <c r="N1377">
        <v>35</v>
      </c>
      <c r="O1377">
        <v>35.4</v>
      </c>
      <c r="P1377">
        <v>49.5</v>
      </c>
      <c r="Q1377">
        <v>46.4</v>
      </c>
      <c r="R1377">
        <v>52.2</v>
      </c>
      <c r="S1377">
        <v>34.9</v>
      </c>
      <c r="T1377">
        <v>36.200000000000003</v>
      </c>
      <c r="U1377">
        <v>69.7</v>
      </c>
      <c r="V1377">
        <v>-13.9</v>
      </c>
      <c r="W1377" cm="1">
        <f t="array" ref="W1377">_xlfn.IFS(OR(X1377="N/A",X1377="NA"),0,OR(X1377="R64",X1377="R68"),1,X1377="R32",2,X1377="S16",3,X1377="E8",4,X1377="F4",5,X1377="2ND",6,X1377="Champions",7)</f>
        <v>0</v>
      </c>
      <c r="X1377" t="s">
        <v>90</v>
      </c>
      <c r="Y1377" t="s">
        <v>90</v>
      </c>
      <c r="Z1377">
        <v>2017</v>
      </c>
    </row>
    <row r="1378" spans="1:26" x14ac:dyDescent="0.3">
      <c r="A1378" t="s">
        <v>398</v>
      </c>
      <c r="B1378" t="s">
        <v>76</v>
      </c>
      <c r="C1378">
        <v>30</v>
      </c>
      <c r="D1378">
        <v>15</v>
      </c>
      <c r="E1378" s="1">
        <f t="shared" si="21"/>
        <v>0.5</v>
      </c>
      <c r="F1378">
        <v>96.7</v>
      </c>
      <c r="G1378">
        <v>114.7</v>
      </c>
      <c r="H1378">
        <v>0.1225</v>
      </c>
      <c r="I1378">
        <v>47.8</v>
      </c>
      <c r="J1378">
        <v>48.4</v>
      </c>
      <c r="K1378">
        <v>19.8</v>
      </c>
      <c r="L1378">
        <v>17.2</v>
      </c>
      <c r="M1378">
        <v>34.200000000000003</v>
      </c>
      <c r="N1378">
        <v>33.700000000000003</v>
      </c>
      <c r="O1378">
        <v>42.8</v>
      </c>
      <c r="P1378">
        <v>37.799999999999997</v>
      </c>
      <c r="Q1378">
        <v>47.6</v>
      </c>
      <c r="R1378">
        <v>48.3</v>
      </c>
      <c r="S1378">
        <v>32.1</v>
      </c>
      <c r="T1378">
        <v>32.4</v>
      </c>
      <c r="U1378">
        <v>69.8</v>
      </c>
      <c r="V1378">
        <v>-13.5</v>
      </c>
      <c r="W1378" cm="1">
        <f t="array" ref="W1378">_xlfn.IFS(OR(X1378="N/A",X1378="NA"),0,OR(X1378="R64",X1378="R68"),1,X1378="R32",2,X1378="S16",3,X1378="E8",4,X1378="F4",5,X1378="2ND",6,X1378="Champions",7)</f>
        <v>0</v>
      </c>
      <c r="X1378" t="s">
        <v>90</v>
      </c>
      <c r="Y1378" t="s">
        <v>90</v>
      </c>
      <c r="Z1378">
        <v>2017</v>
      </c>
    </row>
    <row r="1379" spans="1:26" x14ac:dyDescent="0.3">
      <c r="A1379" t="s">
        <v>390</v>
      </c>
      <c r="B1379" t="s">
        <v>76</v>
      </c>
      <c r="C1379">
        <v>31</v>
      </c>
      <c r="D1379">
        <v>3</v>
      </c>
      <c r="E1379" s="1">
        <f t="shared" si="21"/>
        <v>9.6774193548387094E-2</v>
      </c>
      <c r="F1379">
        <v>87.6</v>
      </c>
      <c r="G1379">
        <v>115</v>
      </c>
      <c r="H1379">
        <v>4.19E-2</v>
      </c>
      <c r="I1379">
        <v>45</v>
      </c>
      <c r="J1379">
        <v>54</v>
      </c>
      <c r="K1379">
        <v>24.2</v>
      </c>
      <c r="L1379">
        <v>16.600000000000001</v>
      </c>
      <c r="M1379">
        <v>30</v>
      </c>
      <c r="N1379">
        <v>32.5</v>
      </c>
      <c r="O1379">
        <v>31.4</v>
      </c>
      <c r="P1379">
        <v>29.8</v>
      </c>
      <c r="Q1379">
        <v>44.8</v>
      </c>
      <c r="R1379">
        <v>52.3</v>
      </c>
      <c r="S1379">
        <v>30.3</v>
      </c>
      <c r="T1379">
        <v>38.4</v>
      </c>
      <c r="U1379">
        <v>67.5</v>
      </c>
      <c r="V1379">
        <v>-23</v>
      </c>
      <c r="W1379" cm="1">
        <f t="array" ref="W1379">_xlfn.IFS(OR(X1379="N/A",X1379="NA"),0,OR(X1379="R64",X1379="R68"),1,X1379="R32",2,X1379="S16",3,X1379="E8",4,X1379="F4",5,X1379="2ND",6,X1379="Champions",7)</f>
        <v>0</v>
      </c>
      <c r="X1379" t="s">
        <v>90</v>
      </c>
      <c r="Y1379" t="s">
        <v>90</v>
      </c>
      <c r="Z1379">
        <v>2018</v>
      </c>
    </row>
    <row r="1380" spans="1:26" x14ac:dyDescent="0.3">
      <c r="A1380" t="s">
        <v>391</v>
      </c>
      <c r="B1380" t="s">
        <v>76</v>
      </c>
      <c r="C1380">
        <v>31</v>
      </c>
      <c r="D1380">
        <v>8</v>
      </c>
      <c r="E1380" s="1">
        <f t="shared" si="21"/>
        <v>0.25806451612903225</v>
      </c>
      <c r="F1380">
        <v>94.3</v>
      </c>
      <c r="G1380">
        <v>115.9</v>
      </c>
      <c r="H1380">
        <v>8.5800000000000001E-2</v>
      </c>
      <c r="I1380">
        <v>46.5</v>
      </c>
      <c r="J1380">
        <v>51.9</v>
      </c>
      <c r="K1380">
        <v>19.899999999999999</v>
      </c>
      <c r="L1380">
        <v>18.3</v>
      </c>
      <c r="M1380">
        <v>31.9</v>
      </c>
      <c r="N1380">
        <v>34.700000000000003</v>
      </c>
      <c r="O1380">
        <v>35.200000000000003</v>
      </c>
      <c r="P1380">
        <v>46.6</v>
      </c>
      <c r="Q1380">
        <v>45.2</v>
      </c>
      <c r="R1380">
        <v>49.4</v>
      </c>
      <c r="S1380">
        <v>32.799999999999997</v>
      </c>
      <c r="T1380">
        <v>37.700000000000003</v>
      </c>
      <c r="U1380">
        <v>70.2</v>
      </c>
      <c r="V1380">
        <v>-18.2</v>
      </c>
      <c r="W1380" cm="1">
        <f t="array" ref="W1380">_xlfn.IFS(OR(X1380="N/A",X1380="NA"),0,OR(X1380="R64",X1380="R68"),1,X1380="R32",2,X1380="S16",3,X1380="E8",4,X1380="F4",5,X1380="2ND",6,X1380="Champions",7)</f>
        <v>0</v>
      </c>
      <c r="X1380" t="s">
        <v>90</v>
      </c>
      <c r="Y1380" t="s">
        <v>90</v>
      </c>
      <c r="Z1380">
        <v>2018</v>
      </c>
    </row>
    <row r="1381" spans="1:26" x14ac:dyDescent="0.3">
      <c r="A1381" t="s">
        <v>392</v>
      </c>
      <c r="B1381" t="s">
        <v>76</v>
      </c>
      <c r="C1381">
        <v>28</v>
      </c>
      <c r="D1381">
        <v>11</v>
      </c>
      <c r="E1381" s="1">
        <f t="shared" si="21"/>
        <v>0.39285714285714285</v>
      </c>
      <c r="F1381">
        <v>94.4</v>
      </c>
      <c r="G1381">
        <v>114.4</v>
      </c>
      <c r="H1381">
        <v>9.9199999999999997E-2</v>
      </c>
      <c r="I1381">
        <v>48.3</v>
      </c>
      <c r="J1381">
        <v>52.1</v>
      </c>
      <c r="K1381">
        <v>20.8</v>
      </c>
      <c r="L1381">
        <v>17.899999999999999</v>
      </c>
      <c r="M1381">
        <v>27.1</v>
      </c>
      <c r="N1381">
        <v>33.1</v>
      </c>
      <c r="O1381">
        <v>33.700000000000003</v>
      </c>
      <c r="P1381">
        <v>40.1</v>
      </c>
      <c r="Q1381">
        <v>47.8</v>
      </c>
      <c r="R1381">
        <v>50.4</v>
      </c>
      <c r="S1381">
        <v>32.700000000000003</v>
      </c>
      <c r="T1381">
        <v>36.299999999999997</v>
      </c>
      <c r="U1381">
        <v>69.2</v>
      </c>
      <c r="V1381">
        <v>-16.399999999999999</v>
      </c>
      <c r="W1381" cm="1">
        <f t="array" ref="W1381">_xlfn.IFS(OR(X1381="N/A",X1381="NA"),0,OR(X1381="R64",X1381="R68"),1,X1381="R32",2,X1381="S16",3,X1381="E8",4,X1381="F4",5,X1381="2ND",6,X1381="Champions",7)</f>
        <v>0</v>
      </c>
      <c r="X1381" t="s">
        <v>90</v>
      </c>
      <c r="Y1381" t="s">
        <v>90</v>
      </c>
      <c r="Z1381">
        <v>2018</v>
      </c>
    </row>
    <row r="1382" spans="1:26" x14ac:dyDescent="0.3">
      <c r="A1382" t="s">
        <v>393</v>
      </c>
      <c r="B1382" t="s">
        <v>76</v>
      </c>
      <c r="C1382">
        <v>35</v>
      </c>
      <c r="D1382">
        <v>14</v>
      </c>
      <c r="E1382" s="1">
        <f t="shared" si="21"/>
        <v>0.4</v>
      </c>
      <c r="F1382">
        <v>92.7</v>
      </c>
      <c r="G1382">
        <v>110.2</v>
      </c>
      <c r="H1382">
        <v>0.1208</v>
      </c>
      <c r="I1382">
        <v>49.6</v>
      </c>
      <c r="J1382">
        <v>49.2</v>
      </c>
      <c r="K1382">
        <v>20.6</v>
      </c>
      <c r="L1382">
        <v>22.7</v>
      </c>
      <c r="M1382">
        <v>23.4</v>
      </c>
      <c r="N1382">
        <v>37.799999999999997</v>
      </c>
      <c r="O1382">
        <v>36.6</v>
      </c>
      <c r="P1382">
        <v>44.7</v>
      </c>
      <c r="Q1382">
        <v>49.7</v>
      </c>
      <c r="R1382">
        <v>49.1</v>
      </c>
      <c r="S1382">
        <v>32.9</v>
      </c>
      <c r="T1382">
        <v>32.9</v>
      </c>
      <c r="U1382">
        <v>68.8</v>
      </c>
      <c r="V1382">
        <v>-16.3</v>
      </c>
      <c r="W1382" cm="1">
        <f t="array" ref="W1382">_xlfn.IFS(OR(X1382="N/A",X1382="NA"),0,OR(X1382="R64",X1382="R68"),1,X1382="R32",2,X1382="S16",3,X1382="E8",4,X1382="F4",5,X1382="2ND",6,X1382="Champions",7)</f>
        <v>0</v>
      </c>
      <c r="X1382" t="s">
        <v>90</v>
      </c>
      <c r="Y1382" t="s">
        <v>90</v>
      </c>
      <c r="Z1382">
        <v>2018</v>
      </c>
    </row>
    <row r="1383" spans="1:26" x14ac:dyDescent="0.3">
      <c r="A1383" t="s">
        <v>394</v>
      </c>
      <c r="B1383" t="s">
        <v>76</v>
      </c>
      <c r="C1383">
        <v>30</v>
      </c>
      <c r="D1383">
        <v>17</v>
      </c>
      <c r="E1383" s="1">
        <f t="shared" si="21"/>
        <v>0.56666666666666665</v>
      </c>
      <c r="F1383">
        <v>93.2</v>
      </c>
      <c r="G1383">
        <v>106.4</v>
      </c>
      <c r="H1383">
        <v>0.1789</v>
      </c>
      <c r="I1383">
        <v>45.6</v>
      </c>
      <c r="J1383">
        <v>49.1</v>
      </c>
      <c r="K1383">
        <v>21</v>
      </c>
      <c r="L1383">
        <v>20.2</v>
      </c>
      <c r="M1383">
        <v>32</v>
      </c>
      <c r="N1383">
        <v>30.5</v>
      </c>
      <c r="O1383">
        <v>40.700000000000003</v>
      </c>
      <c r="P1383">
        <v>42.9</v>
      </c>
      <c r="Q1383">
        <v>44.5</v>
      </c>
      <c r="R1383">
        <v>50</v>
      </c>
      <c r="S1383">
        <v>32.6</v>
      </c>
      <c r="T1383">
        <v>31.7</v>
      </c>
      <c r="U1383">
        <v>73</v>
      </c>
      <c r="V1383">
        <v>-10</v>
      </c>
      <c r="W1383" cm="1">
        <f t="array" ref="W1383">_xlfn.IFS(OR(X1383="N/A",X1383="NA"),0,OR(X1383="R64",X1383="R68"),1,X1383="R32",2,X1383="S16",3,X1383="E8",4,X1383="F4",5,X1383="2ND",6,X1383="Champions",7)</f>
        <v>0</v>
      </c>
      <c r="X1383" t="s">
        <v>90</v>
      </c>
      <c r="Y1383" t="s">
        <v>90</v>
      </c>
      <c r="Z1383">
        <v>2018</v>
      </c>
    </row>
    <row r="1384" spans="1:26" x14ac:dyDescent="0.3">
      <c r="A1384" t="s">
        <v>395</v>
      </c>
      <c r="B1384" t="s">
        <v>76</v>
      </c>
      <c r="C1384">
        <v>30</v>
      </c>
      <c r="D1384">
        <v>12</v>
      </c>
      <c r="E1384" s="1">
        <f t="shared" si="21"/>
        <v>0.4</v>
      </c>
      <c r="F1384">
        <v>89.2</v>
      </c>
      <c r="G1384">
        <v>108.2</v>
      </c>
      <c r="H1384">
        <v>9.7699999999999995E-2</v>
      </c>
      <c r="I1384">
        <v>43</v>
      </c>
      <c r="J1384">
        <v>51.8</v>
      </c>
      <c r="K1384">
        <v>17.3</v>
      </c>
      <c r="L1384">
        <v>21.4</v>
      </c>
      <c r="M1384">
        <v>30.7</v>
      </c>
      <c r="N1384">
        <v>31.7</v>
      </c>
      <c r="O1384">
        <v>24.9</v>
      </c>
      <c r="P1384">
        <v>46.6</v>
      </c>
      <c r="Q1384">
        <v>39.299999999999997</v>
      </c>
      <c r="R1384">
        <v>51.5</v>
      </c>
      <c r="S1384">
        <v>32.799999999999997</v>
      </c>
      <c r="T1384">
        <v>34.9</v>
      </c>
      <c r="U1384">
        <v>64.900000000000006</v>
      </c>
      <c r="V1384">
        <v>-16</v>
      </c>
      <c r="W1384" cm="1">
        <f t="array" ref="W1384">_xlfn.IFS(OR(X1384="N/A",X1384="NA"),0,OR(X1384="R64",X1384="R68"),1,X1384="R32",2,X1384="S16",3,X1384="E8",4,X1384="F4",5,X1384="2ND",6,X1384="Champions",7)</f>
        <v>0</v>
      </c>
      <c r="X1384" t="s">
        <v>90</v>
      </c>
      <c r="Y1384" t="s">
        <v>90</v>
      </c>
      <c r="Z1384">
        <v>2018</v>
      </c>
    </row>
    <row r="1385" spans="1:26" x14ac:dyDescent="0.3">
      <c r="A1385" t="s">
        <v>396</v>
      </c>
      <c r="B1385" t="s">
        <v>76</v>
      </c>
      <c r="C1385">
        <v>32</v>
      </c>
      <c r="D1385">
        <v>4</v>
      </c>
      <c r="E1385" s="1">
        <f t="shared" si="21"/>
        <v>0.125</v>
      </c>
      <c r="F1385">
        <v>89.6</v>
      </c>
      <c r="G1385">
        <v>114.5</v>
      </c>
      <c r="H1385">
        <v>5.6399999999999999E-2</v>
      </c>
      <c r="I1385">
        <v>42.6</v>
      </c>
      <c r="J1385">
        <v>54.9</v>
      </c>
      <c r="K1385">
        <v>19.100000000000001</v>
      </c>
      <c r="L1385">
        <v>19.600000000000001</v>
      </c>
      <c r="M1385">
        <v>30.4</v>
      </c>
      <c r="N1385">
        <v>31.1</v>
      </c>
      <c r="O1385">
        <v>29.1</v>
      </c>
      <c r="P1385">
        <v>39.200000000000003</v>
      </c>
      <c r="Q1385">
        <v>41.6</v>
      </c>
      <c r="R1385">
        <v>54.6</v>
      </c>
      <c r="S1385">
        <v>30.1</v>
      </c>
      <c r="T1385">
        <v>36.799999999999997</v>
      </c>
      <c r="U1385">
        <v>69.900000000000006</v>
      </c>
      <c r="V1385">
        <v>-22.5</v>
      </c>
      <c r="W1385" cm="1">
        <f t="array" ref="W1385">_xlfn.IFS(OR(X1385="N/A",X1385="NA"),0,OR(X1385="R64",X1385="R68"),1,X1385="R32",2,X1385="S16",3,X1385="E8",4,X1385="F4",5,X1385="2ND",6,X1385="Champions",7)</f>
        <v>0</v>
      </c>
      <c r="X1385" t="s">
        <v>90</v>
      </c>
      <c r="Y1385" t="s">
        <v>90</v>
      </c>
      <c r="Z1385">
        <v>2018</v>
      </c>
    </row>
    <row r="1386" spans="1:26" x14ac:dyDescent="0.3">
      <c r="A1386" t="s">
        <v>397</v>
      </c>
      <c r="B1386" t="s">
        <v>76</v>
      </c>
      <c r="C1386">
        <v>33</v>
      </c>
      <c r="D1386">
        <v>16</v>
      </c>
      <c r="E1386" s="1">
        <f t="shared" si="21"/>
        <v>0.48484848484848486</v>
      </c>
      <c r="F1386">
        <v>100.1</v>
      </c>
      <c r="G1386">
        <v>110.2</v>
      </c>
      <c r="H1386">
        <v>0.24829999999999999</v>
      </c>
      <c r="I1386">
        <v>48.9</v>
      </c>
      <c r="J1386">
        <v>52.7</v>
      </c>
      <c r="K1386">
        <v>18.5</v>
      </c>
      <c r="L1386">
        <v>22.5</v>
      </c>
      <c r="M1386">
        <v>31.3</v>
      </c>
      <c r="N1386">
        <v>32.799999999999997</v>
      </c>
      <c r="O1386">
        <v>39.200000000000003</v>
      </c>
      <c r="P1386">
        <v>47.9</v>
      </c>
      <c r="Q1386">
        <v>49.2</v>
      </c>
      <c r="R1386">
        <v>54.4</v>
      </c>
      <c r="S1386">
        <v>32.299999999999997</v>
      </c>
      <c r="T1386">
        <v>33.200000000000003</v>
      </c>
      <c r="U1386">
        <v>72.099999999999994</v>
      </c>
      <c r="V1386">
        <v>-11.7</v>
      </c>
      <c r="W1386" cm="1">
        <f t="array" ref="W1386">_xlfn.IFS(OR(X1386="N/A",X1386="NA"),0,OR(X1386="R64",X1386="R68"),1,X1386="R32",2,X1386="S16",3,X1386="E8",4,X1386="F4",5,X1386="2ND",6,X1386="Champions",7)</f>
        <v>0</v>
      </c>
      <c r="X1386" t="s">
        <v>90</v>
      </c>
      <c r="Y1386" t="s">
        <v>90</v>
      </c>
      <c r="Z1386">
        <v>2018</v>
      </c>
    </row>
    <row r="1387" spans="1:26" x14ac:dyDescent="0.3">
      <c r="A1387" t="s">
        <v>398</v>
      </c>
      <c r="B1387" t="s">
        <v>76</v>
      </c>
      <c r="C1387">
        <v>31</v>
      </c>
      <c r="D1387">
        <v>15</v>
      </c>
      <c r="E1387" s="1">
        <f t="shared" si="21"/>
        <v>0.4838709677419355</v>
      </c>
      <c r="F1387">
        <v>93.5</v>
      </c>
      <c r="G1387">
        <v>109.4</v>
      </c>
      <c r="H1387">
        <v>0.14149999999999999</v>
      </c>
      <c r="I1387">
        <v>44.3</v>
      </c>
      <c r="J1387">
        <v>48.8</v>
      </c>
      <c r="K1387">
        <v>19.3</v>
      </c>
      <c r="L1387">
        <v>17.399999999999999</v>
      </c>
      <c r="M1387">
        <v>32.9</v>
      </c>
      <c r="N1387">
        <v>30.1</v>
      </c>
      <c r="O1387">
        <v>41.5</v>
      </c>
      <c r="P1387">
        <v>37.6</v>
      </c>
      <c r="Q1387">
        <v>42.3</v>
      </c>
      <c r="R1387">
        <v>47.1</v>
      </c>
      <c r="S1387">
        <v>33.200000000000003</v>
      </c>
      <c r="T1387">
        <v>34.5</v>
      </c>
      <c r="U1387">
        <v>69.099999999999994</v>
      </c>
      <c r="V1387">
        <v>-13.3</v>
      </c>
      <c r="W1387" cm="1">
        <f t="array" ref="W1387">_xlfn.IFS(OR(X1387="N/A",X1387="NA"),0,OR(X1387="R64",X1387="R68"),1,X1387="R32",2,X1387="S16",3,X1387="E8",4,X1387="F4",5,X1387="2ND",6,X1387="Champions",7)</f>
        <v>0</v>
      </c>
      <c r="X1387" t="s">
        <v>90</v>
      </c>
      <c r="Y1387" t="s">
        <v>90</v>
      </c>
      <c r="Z1387">
        <v>2018</v>
      </c>
    </row>
    <row r="1388" spans="1:26" x14ac:dyDescent="0.3">
      <c r="A1388" t="s">
        <v>390</v>
      </c>
      <c r="B1388" t="s">
        <v>76</v>
      </c>
      <c r="C1388">
        <v>32</v>
      </c>
      <c r="D1388">
        <v>5</v>
      </c>
      <c r="E1388" s="1">
        <f t="shared" si="21"/>
        <v>0.15625</v>
      </c>
      <c r="F1388">
        <v>87.2</v>
      </c>
      <c r="G1388">
        <v>109.3</v>
      </c>
      <c r="H1388">
        <v>6.9199999999999998E-2</v>
      </c>
      <c r="I1388">
        <v>45.8</v>
      </c>
      <c r="J1388">
        <v>53.7</v>
      </c>
      <c r="K1388">
        <v>22.3</v>
      </c>
      <c r="L1388">
        <v>21</v>
      </c>
      <c r="M1388">
        <v>28</v>
      </c>
      <c r="N1388">
        <v>32.1</v>
      </c>
      <c r="O1388">
        <v>25.1</v>
      </c>
      <c r="P1388">
        <v>38.799999999999997</v>
      </c>
      <c r="Q1388">
        <v>45</v>
      </c>
      <c r="R1388">
        <v>54.1</v>
      </c>
      <c r="S1388">
        <v>31.6</v>
      </c>
      <c r="T1388">
        <v>35.299999999999997</v>
      </c>
      <c r="U1388">
        <v>67.099999999999994</v>
      </c>
      <c r="V1388">
        <v>-22.6</v>
      </c>
      <c r="W1388" cm="1">
        <f t="array" ref="W1388">_xlfn.IFS(OR(X1388="N/A",X1388="NA"),0,OR(X1388="R64",X1388="R68"),1,X1388="R32",2,X1388="S16",3,X1388="E8",4,X1388="F4",5,X1388="2ND",6,X1388="Champions",7)</f>
        <v>0</v>
      </c>
      <c r="X1388" t="s">
        <v>90</v>
      </c>
      <c r="Y1388" t="s">
        <v>90</v>
      </c>
      <c r="Z1388">
        <v>2019</v>
      </c>
    </row>
    <row r="1389" spans="1:26" x14ac:dyDescent="0.3">
      <c r="A1389" t="s">
        <v>391</v>
      </c>
      <c r="B1389" t="s">
        <v>76</v>
      </c>
      <c r="C1389">
        <v>29</v>
      </c>
      <c r="D1389">
        <v>12</v>
      </c>
      <c r="E1389" s="1">
        <f t="shared" si="21"/>
        <v>0.41379310344827586</v>
      </c>
      <c r="F1389">
        <v>93.6</v>
      </c>
      <c r="G1389">
        <v>111.7</v>
      </c>
      <c r="H1389">
        <v>0.11559999999999999</v>
      </c>
      <c r="I1389">
        <v>46.1</v>
      </c>
      <c r="J1389">
        <v>53</v>
      </c>
      <c r="K1389">
        <v>21</v>
      </c>
      <c r="L1389">
        <v>21.2</v>
      </c>
      <c r="M1389">
        <v>31.6</v>
      </c>
      <c r="N1389">
        <v>32.4</v>
      </c>
      <c r="O1389">
        <v>37.4</v>
      </c>
      <c r="P1389">
        <v>36.9</v>
      </c>
      <c r="Q1389">
        <v>44.7</v>
      </c>
      <c r="R1389">
        <v>53.6</v>
      </c>
      <c r="S1389">
        <v>32.1</v>
      </c>
      <c r="T1389">
        <v>34.700000000000003</v>
      </c>
      <c r="U1389">
        <v>68.5</v>
      </c>
      <c r="V1389">
        <v>-13.7</v>
      </c>
      <c r="W1389" cm="1">
        <f t="array" ref="W1389">_xlfn.IFS(OR(X1389="N/A",X1389="NA"),0,OR(X1389="R64",X1389="R68"),1,X1389="R32",2,X1389="S16",3,X1389="E8",4,X1389="F4",5,X1389="2ND",6,X1389="Champions",7)</f>
        <v>0</v>
      </c>
      <c r="X1389" t="s">
        <v>90</v>
      </c>
      <c r="Y1389" t="s">
        <v>90</v>
      </c>
      <c r="Z1389">
        <v>2019</v>
      </c>
    </row>
    <row r="1390" spans="1:26" x14ac:dyDescent="0.3">
      <c r="A1390" t="s">
        <v>392</v>
      </c>
      <c r="B1390" t="s">
        <v>76</v>
      </c>
      <c r="C1390">
        <v>27</v>
      </c>
      <c r="D1390">
        <v>10</v>
      </c>
      <c r="E1390" s="1">
        <f t="shared" si="21"/>
        <v>0.37037037037037035</v>
      </c>
      <c r="F1390">
        <v>89</v>
      </c>
      <c r="G1390">
        <v>112.6</v>
      </c>
      <c r="H1390">
        <v>6.2799999999999995E-2</v>
      </c>
      <c r="I1390">
        <v>45.7</v>
      </c>
      <c r="J1390">
        <v>52.7</v>
      </c>
      <c r="K1390">
        <v>24.1</v>
      </c>
      <c r="L1390">
        <v>18.2</v>
      </c>
      <c r="M1390">
        <v>30.1</v>
      </c>
      <c r="N1390">
        <v>31.5</v>
      </c>
      <c r="O1390">
        <v>30.5</v>
      </c>
      <c r="P1390">
        <v>36.5</v>
      </c>
      <c r="Q1390">
        <v>45</v>
      </c>
      <c r="R1390">
        <v>55.3</v>
      </c>
      <c r="S1390">
        <v>31.3</v>
      </c>
      <c r="T1390">
        <v>32.1</v>
      </c>
      <c r="U1390">
        <v>67.099999999999994</v>
      </c>
      <c r="V1390">
        <v>-16.7</v>
      </c>
      <c r="W1390" cm="1">
        <f t="array" ref="W1390">_xlfn.IFS(OR(X1390="N/A",X1390="NA"),0,OR(X1390="R64",X1390="R68"),1,X1390="R32",2,X1390="S16",3,X1390="E8",4,X1390="F4",5,X1390="2ND",6,X1390="Champions",7)</f>
        <v>0</v>
      </c>
      <c r="X1390" t="s">
        <v>90</v>
      </c>
      <c r="Y1390" t="s">
        <v>90</v>
      </c>
      <c r="Z1390">
        <v>2019</v>
      </c>
    </row>
    <row r="1391" spans="1:26" x14ac:dyDescent="0.3">
      <c r="A1391" t="s">
        <v>393</v>
      </c>
      <c r="B1391" t="s">
        <v>76</v>
      </c>
      <c r="C1391">
        <v>31</v>
      </c>
      <c r="D1391">
        <v>13</v>
      </c>
      <c r="E1391" s="1">
        <f t="shared" si="21"/>
        <v>0.41935483870967744</v>
      </c>
      <c r="F1391">
        <v>94.1</v>
      </c>
      <c r="G1391">
        <v>110.8</v>
      </c>
      <c r="H1391">
        <v>0.13239999999999999</v>
      </c>
      <c r="I1391">
        <v>48.4</v>
      </c>
      <c r="J1391">
        <v>51.6</v>
      </c>
      <c r="K1391">
        <v>22.1</v>
      </c>
      <c r="L1391">
        <v>19.7</v>
      </c>
      <c r="M1391">
        <v>29.1</v>
      </c>
      <c r="N1391">
        <v>30.7</v>
      </c>
      <c r="O1391">
        <v>42.4</v>
      </c>
      <c r="P1391">
        <v>45</v>
      </c>
      <c r="Q1391">
        <v>47</v>
      </c>
      <c r="R1391">
        <v>50.8</v>
      </c>
      <c r="S1391">
        <v>34</v>
      </c>
      <c r="T1391">
        <v>35.5</v>
      </c>
      <c r="U1391">
        <v>67.099999999999994</v>
      </c>
      <c r="V1391">
        <v>-14</v>
      </c>
      <c r="W1391" cm="1">
        <f t="array" ref="W1391">_xlfn.IFS(OR(X1391="N/A",X1391="NA"),0,OR(X1391="R64",X1391="R68"),1,X1391="R32",2,X1391="S16",3,X1391="E8",4,X1391="F4",5,X1391="2ND",6,X1391="Champions",7)</f>
        <v>0</v>
      </c>
      <c r="X1391" t="s">
        <v>90</v>
      </c>
      <c r="Y1391" t="s">
        <v>90</v>
      </c>
      <c r="Z1391">
        <v>2019</v>
      </c>
    </row>
    <row r="1392" spans="1:26" x14ac:dyDescent="0.3">
      <c r="A1392" t="s">
        <v>394</v>
      </c>
      <c r="B1392" t="s">
        <v>76</v>
      </c>
      <c r="C1392">
        <v>31</v>
      </c>
      <c r="D1392">
        <v>17</v>
      </c>
      <c r="E1392" s="1">
        <f t="shared" si="21"/>
        <v>0.54838709677419351</v>
      </c>
      <c r="F1392">
        <v>94.9</v>
      </c>
      <c r="G1392">
        <v>104</v>
      </c>
      <c r="H1392">
        <v>0.26069999999999999</v>
      </c>
      <c r="I1392">
        <v>50</v>
      </c>
      <c r="J1392">
        <v>45.1</v>
      </c>
      <c r="K1392">
        <v>22.1</v>
      </c>
      <c r="L1392">
        <v>18</v>
      </c>
      <c r="M1392">
        <v>25.8</v>
      </c>
      <c r="N1392">
        <v>29.4</v>
      </c>
      <c r="O1392">
        <v>43</v>
      </c>
      <c r="P1392">
        <v>42.3</v>
      </c>
      <c r="Q1392">
        <v>45.5</v>
      </c>
      <c r="R1392">
        <v>44.7</v>
      </c>
      <c r="S1392">
        <v>40.200000000000003</v>
      </c>
      <c r="T1392">
        <v>30.6</v>
      </c>
      <c r="U1392">
        <v>70.7</v>
      </c>
      <c r="V1392">
        <v>-11.5</v>
      </c>
      <c r="W1392" cm="1">
        <f t="array" ref="W1392">_xlfn.IFS(OR(X1392="N/A",X1392="NA"),0,OR(X1392="R64",X1392="R68"),1,X1392="R32",2,X1392="S16",3,X1392="E8",4,X1392="F4",5,X1392="2ND",6,X1392="Champions",7)</f>
        <v>0</v>
      </c>
      <c r="X1392" t="s">
        <v>90</v>
      </c>
      <c r="Y1392" t="s">
        <v>90</v>
      </c>
      <c r="Z1392">
        <v>2019</v>
      </c>
    </row>
    <row r="1393" spans="1:26" x14ac:dyDescent="0.3">
      <c r="A1393" t="s">
        <v>395</v>
      </c>
      <c r="B1393" t="s">
        <v>76</v>
      </c>
      <c r="C1393">
        <v>30</v>
      </c>
      <c r="D1393">
        <v>13</v>
      </c>
      <c r="E1393" s="1">
        <f t="shared" si="21"/>
        <v>0.43333333333333335</v>
      </c>
      <c r="F1393">
        <v>90</v>
      </c>
      <c r="G1393">
        <v>104</v>
      </c>
      <c r="H1393">
        <v>0.15920000000000001</v>
      </c>
      <c r="I1393">
        <v>44.6</v>
      </c>
      <c r="J1393">
        <v>49.2</v>
      </c>
      <c r="K1393">
        <v>20.399999999999999</v>
      </c>
      <c r="L1393">
        <v>20.7</v>
      </c>
      <c r="M1393">
        <v>28.7</v>
      </c>
      <c r="N1393">
        <v>27</v>
      </c>
      <c r="O1393">
        <v>34.299999999999997</v>
      </c>
      <c r="P1393">
        <v>44</v>
      </c>
      <c r="Q1393">
        <v>45.9</v>
      </c>
      <c r="R1393">
        <v>46.8</v>
      </c>
      <c r="S1393">
        <v>27.9</v>
      </c>
      <c r="T1393">
        <v>35.5</v>
      </c>
      <c r="U1393">
        <v>67</v>
      </c>
      <c r="V1393">
        <v>-14.5</v>
      </c>
      <c r="W1393" cm="1">
        <f t="array" ref="W1393">_xlfn.IFS(OR(X1393="N/A",X1393="NA"),0,OR(X1393="R64",X1393="R68"),1,X1393="R32",2,X1393="S16",3,X1393="E8",4,X1393="F4",5,X1393="2ND",6,X1393="Champions",7)</f>
        <v>0</v>
      </c>
      <c r="X1393" t="s">
        <v>90</v>
      </c>
      <c r="Y1393" t="s">
        <v>90</v>
      </c>
      <c r="Z1393">
        <v>2019</v>
      </c>
    </row>
    <row r="1394" spans="1:26" x14ac:dyDescent="0.3">
      <c r="A1394" t="s">
        <v>396</v>
      </c>
      <c r="B1394" t="s">
        <v>76</v>
      </c>
      <c r="C1394">
        <v>31</v>
      </c>
      <c r="D1394">
        <v>6</v>
      </c>
      <c r="E1394" s="1">
        <f t="shared" si="21"/>
        <v>0.19354838709677419</v>
      </c>
      <c r="F1394">
        <v>89.8</v>
      </c>
      <c r="G1394">
        <v>113.2</v>
      </c>
      <c r="H1394">
        <v>6.5699999999999995E-2</v>
      </c>
      <c r="I1394">
        <v>41.9</v>
      </c>
      <c r="J1394">
        <v>54.1</v>
      </c>
      <c r="K1394">
        <v>18.5</v>
      </c>
      <c r="L1394">
        <v>17.5</v>
      </c>
      <c r="M1394">
        <v>28.4</v>
      </c>
      <c r="N1394">
        <v>31.7</v>
      </c>
      <c r="O1394">
        <v>33.700000000000003</v>
      </c>
      <c r="P1394">
        <v>32</v>
      </c>
      <c r="Q1394">
        <v>40.1</v>
      </c>
      <c r="R1394">
        <v>51.4</v>
      </c>
      <c r="S1394">
        <v>31</v>
      </c>
      <c r="T1394">
        <v>39.1</v>
      </c>
      <c r="U1394">
        <v>70.599999999999994</v>
      </c>
      <c r="V1394">
        <v>-20.2</v>
      </c>
      <c r="W1394" cm="1">
        <f t="array" ref="W1394">_xlfn.IFS(OR(X1394="N/A",X1394="NA"),0,OR(X1394="R64",X1394="R68"),1,X1394="R32",2,X1394="S16",3,X1394="E8",4,X1394="F4",5,X1394="2ND",6,X1394="Champions",7)</f>
        <v>0</v>
      </c>
      <c r="X1394" t="s">
        <v>90</v>
      </c>
      <c r="Y1394" t="s">
        <v>90</v>
      </c>
      <c r="Z1394">
        <v>2019</v>
      </c>
    </row>
    <row r="1395" spans="1:26" x14ac:dyDescent="0.3">
      <c r="A1395" t="s">
        <v>398</v>
      </c>
      <c r="B1395" t="s">
        <v>76</v>
      </c>
      <c r="C1395">
        <v>31</v>
      </c>
      <c r="D1395">
        <v>7</v>
      </c>
      <c r="E1395" s="1">
        <f t="shared" si="21"/>
        <v>0.22580645161290322</v>
      </c>
      <c r="F1395">
        <v>92.8</v>
      </c>
      <c r="G1395">
        <v>110</v>
      </c>
      <c r="H1395">
        <v>0.1242</v>
      </c>
      <c r="I1395">
        <v>48.9</v>
      </c>
      <c r="J1395">
        <v>54.9</v>
      </c>
      <c r="K1395">
        <v>23.2</v>
      </c>
      <c r="L1395">
        <v>22.2</v>
      </c>
      <c r="M1395">
        <v>30.2</v>
      </c>
      <c r="N1395">
        <v>32.9</v>
      </c>
      <c r="O1395">
        <v>34.6</v>
      </c>
      <c r="P1395">
        <v>50.5</v>
      </c>
      <c r="Q1395">
        <v>48.8</v>
      </c>
      <c r="R1395">
        <v>54.8</v>
      </c>
      <c r="S1395">
        <v>32.6</v>
      </c>
      <c r="T1395">
        <v>36.700000000000003</v>
      </c>
      <c r="U1395">
        <v>67.5</v>
      </c>
      <c r="V1395">
        <v>-19.100000000000001</v>
      </c>
      <c r="W1395" cm="1">
        <f t="array" ref="W1395">_xlfn.IFS(OR(X1395="N/A",X1395="NA"),0,OR(X1395="R64",X1395="R68"),1,X1395="R32",2,X1395="S16",3,X1395="E8",4,X1395="F4",5,X1395="2ND",6,X1395="Champions",7)</f>
        <v>0</v>
      </c>
      <c r="X1395" t="s">
        <v>90</v>
      </c>
      <c r="Y1395" t="s">
        <v>90</v>
      </c>
      <c r="Z1395">
        <v>2019</v>
      </c>
    </row>
    <row r="1396" spans="1:26" x14ac:dyDescent="0.3">
      <c r="A1396" t="s">
        <v>399</v>
      </c>
      <c r="B1396" t="s">
        <v>76</v>
      </c>
      <c r="C1396">
        <v>36</v>
      </c>
      <c r="D1396">
        <v>24</v>
      </c>
      <c r="E1396" s="1">
        <f t="shared" si="21"/>
        <v>0.66666666666666663</v>
      </c>
      <c r="F1396">
        <v>102.8</v>
      </c>
      <c r="G1396">
        <v>109</v>
      </c>
      <c r="H1396">
        <v>0.3392</v>
      </c>
      <c r="I1396">
        <v>50.8</v>
      </c>
      <c r="J1396">
        <v>51.6</v>
      </c>
      <c r="K1396">
        <v>19.8</v>
      </c>
      <c r="L1396">
        <v>19.899999999999999</v>
      </c>
      <c r="M1396">
        <v>32.5</v>
      </c>
      <c r="N1396">
        <v>31.7</v>
      </c>
      <c r="O1396">
        <v>40.799999999999997</v>
      </c>
      <c r="P1396">
        <v>32.6</v>
      </c>
      <c r="Q1396">
        <v>52.2</v>
      </c>
      <c r="R1396">
        <v>51.1</v>
      </c>
      <c r="S1396">
        <v>32.1</v>
      </c>
      <c r="T1396">
        <v>35</v>
      </c>
      <c r="U1396">
        <v>75.8</v>
      </c>
      <c r="V1396">
        <v>-6.6</v>
      </c>
      <c r="W1396" cm="1">
        <f t="array" ref="W1396">_xlfn.IFS(OR(X1396="N/A",X1396="NA"),0,OR(X1396="R64",X1396="R68"),1,X1396="R32",2,X1396="S16",3,X1396="E8",4,X1396="F4",5,X1396="2ND",6,X1396="Champions",7)</f>
        <v>0</v>
      </c>
      <c r="X1396" t="s">
        <v>90</v>
      </c>
      <c r="Y1396" t="s">
        <v>90</v>
      </c>
      <c r="Z1396">
        <v>2019</v>
      </c>
    </row>
    <row r="1397" spans="1:26" x14ac:dyDescent="0.3">
      <c r="A1397" t="s">
        <v>400</v>
      </c>
      <c r="B1397" t="s">
        <v>51</v>
      </c>
      <c r="C1397">
        <v>30</v>
      </c>
      <c r="D1397">
        <v>11</v>
      </c>
      <c r="E1397" s="1">
        <f t="shared" si="21"/>
        <v>0.36666666666666664</v>
      </c>
      <c r="F1397">
        <v>98.3</v>
      </c>
      <c r="G1397">
        <v>105.4</v>
      </c>
      <c r="H1397">
        <v>0.30969999999999998</v>
      </c>
      <c r="I1397">
        <v>46</v>
      </c>
      <c r="J1397">
        <v>48.3</v>
      </c>
      <c r="K1397">
        <v>20.100000000000001</v>
      </c>
      <c r="L1397">
        <v>19</v>
      </c>
      <c r="M1397">
        <v>33.4</v>
      </c>
      <c r="N1397">
        <v>26.9</v>
      </c>
      <c r="O1397">
        <v>37.700000000000003</v>
      </c>
      <c r="P1397">
        <v>48.7</v>
      </c>
      <c r="Q1397">
        <v>45</v>
      </c>
      <c r="R1397">
        <v>44.4</v>
      </c>
      <c r="S1397">
        <v>32</v>
      </c>
      <c r="T1397">
        <v>36.6</v>
      </c>
      <c r="U1397">
        <v>61.1</v>
      </c>
      <c r="V1397">
        <v>-14.6</v>
      </c>
      <c r="W1397" cm="1">
        <f t="array" ref="W1397">_xlfn.IFS(OR(X1397="N/A",X1397="NA"),0,OR(X1397="R64",X1397="R68"),1,X1397="R32",2,X1397="S16",3,X1397="E8",4,X1397="F4",5,X1397="2ND",6,X1397="Champions",7)</f>
        <v>0</v>
      </c>
      <c r="X1397" t="s">
        <v>90</v>
      </c>
      <c r="Y1397" t="s">
        <v>90</v>
      </c>
      <c r="Z1397">
        <v>2015</v>
      </c>
    </row>
    <row r="1398" spans="1:26" x14ac:dyDescent="0.3">
      <c r="A1398" t="s">
        <v>401</v>
      </c>
      <c r="B1398" t="s">
        <v>51</v>
      </c>
      <c r="C1398">
        <v>29</v>
      </c>
      <c r="D1398">
        <v>5</v>
      </c>
      <c r="E1398" s="1">
        <f t="shared" si="21"/>
        <v>0.17241379310344829</v>
      </c>
      <c r="F1398">
        <v>87.8</v>
      </c>
      <c r="G1398">
        <v>106</v>
      </c>
      <c r="H1398">
        <v>0.1028</v>
      </c>
      <c r="I1398">
        <v>42.3</v>
      </c>
      <c r="J1398">
        <v>52.8</v>
      </c>
      <c r="K1398">
        <v>23.5</v>
      </c>
      <c r="L1398">
        <v>22.3</v>
      </c>
      <c r="M1398">
        <v>33.6</v>
      </c>
      <c r="N1398">
        <v>33.299999999999997</v>
      </c>
      <c r="O1398">
        <v>27.1</v>
      </c>
      <c r="P1398">
        <v>53.9</v>
      </c>
      <c r="Q1398">
        <v>40.6</v>
      </c>
      <c r="R1398">
        <v>50</v>
      </c>
      <c r="S1398">
        <v>30.2</v>
      </c>
      <c r="T1398">
        <v>38.1</v>
      </c>
      <c r="U1398">
        <v>63.5</v>
      </c>
      <c r="V1398">
        <v>-17.7</v>
      </c>
      <c r="W1398" cm="1">
        <f t="array" ref="W1398">_xlfn.IFS(OR(X1398="N/A",X1398="NA"),0,OR(X1398="R64",X1398="R68"),1,X1398="R32",2,X1398="S16",3,X1398="E8",4,X1398="F4",5,X1398="2ND",6,X1398="Champions",7)</f>
        <v>0</v>
      </c>
      <c r="X1398" t="s">
        <v>90</v>
      </c>
      <c r="Y1398" t="s">
        <v>90</v>
      </c>
      <c r="Z1398">
        <v>2015</v>
      </c>
    </row>
    <row r="1399" spans="1:26" x14ac:dyDescent="0.3">
      <c r="A1399" t="s">
        <v>402</v>
      </c>
      <c r="B1399" t="s">
        <v>51</v>
      </c>
      <c r="C1399">
        <v>30</v>
      </c>
      <c r="D1399">
        <v>15</v>
      </c>
      <c r="E1399" s="1">
        <f t="shared" si="21"/>
        <v>0.5</v>
      </c>
      <c r="F1399">
        <v>104.1</v>
      </c>
      <c r="G1399">
        <v>112.9</v>
      </c>
      <c r="H1399">
        <v>0.28310000000000002</v>
      </c>
      <c r="I1399">
        <v>50.4</v>
      </c>
      <c r="J1399">
        <v>49.6</v>
      </c>
      <c r="K1399">
        <v>17.100000000000001</v>
      </c>
      <c r="L1399">
        <v>16.3</v>
      </c>
      <c r="M1399">
        <v>26.8</v>
      </c>
      <c r="N1399">
        <v>33.9</v>
      </c>
      <c r="O1399">
        <v>40.1</v>
      </c>
      <c r="P1399">
        <v>36.1</v>
      </c>
      <c r="Q1399">
        <v>50.2</v>
      </c>
      <c r="R1399">
        <v>49.3</v>
      </c>
      <c r="S1399">
        <v>33.700000000000003</v>
      </c>
      <c r="T1399">
        <v>33.6</v>
      </c>
      <c r="U1399">
        <v>65</v>
      </c>
      <c r="V1399">
        <v>-9.6999999999999993</v>
      </c>
      <c r="W1399" cm="1">
        <f t="array" ref="W1399">_xlfn.IFS(OR(X1399="N/A",X1399="NA"),0,OR(X1399="R64",X1399="R68"),1,X1399="R32",2,X1399="S16",3,X1399="E8",4,X1399="F4",5,X1399="2ND",6,X1399="Champions",7)</f>
        <v>0</v>
      </c>
      <c r="X1399" t="s">
        <v>90</v>
      </c>
      <c r="Y1399" t="s">
        <v>90</v>
      </c>
      <c r="Z1399">
        <v>2015</v>
      </c>
    </row>
    <row r="1400" spans="1:26" x14ac:dyDescent="0.3">
      <c r="A1400" t="s">
        <v>403</v>
      </c>
      <c r="B1400" t="s">
        <v>51</v>
      </c>
      <c r="C1400">
        <v>32</v>
      </c>
      <c r="D1400">
        <v>16</v>
      </c>
      <c r="E1400" s="1">
        <f t="shared" si="21"/>
        <v>0.5</v>
      </c>
      <c r="F1400">
        <v>96.6</v>
      </c>
      <c r="G1400">
        <v>101.7</v>
      </c>
      <c r="H1400">
        <v>0.35759999999999997</v>
      </c>
      <c r="I1400">
        <v>50.8</v>
      </c>
      <c r="J1400">
        <v>47</v>
      </c>
      <c r="K1400">
        <v>22</v>
      </c>
      <c r="L1400">
        <v>17.3</v>
      </c>
      <c r="M1400">
        <v>30.9</v>
      </c>
      <c r="N1400">
        <v>28.5</v>
      </c>
      <c r="O1400">
        <v>36.4</v>
      </c>
      <c r="P1400">
        <v>33.5</v>
      </c>
      <c r="Q1400">
        <v>47.5</v>
      </c>
      <c r="R1400">
        <v>45.1</v>
      </c>
      <c r="S1400">
        <v>37.799999999999997</v>
      </c>
      <c r="T1400">
        <v>33.299999999999997</v>
      </c>
      <c r="U1400">
        <v>62.5</v>
      </c>
      <c r="V1400">
        <v>-11.5</v>
      </c>
      <c r="W1400" cm="1">
        <f t="array" ref="W1400">_xlfn.IFS(OR(X1400="N/A",X1400="NA"),0,OR(X1400="R64",X1400="R68"),1,X1400="R32",2,X1400="S16",3,X1400="E8",4,X1400="F4",5,X1400="2ND",6,X1400="Champions",7)</f>
        <v>0</v>
      </c>
      <c r="X1400" t="s">
        <v>90</v>
      </c>
      <c r="Y1400" t="s">
        <v>90</v>
      </c>
      <c r="Z1400">
        <v>2015</v>
      </c>
    </row>
    <row r="1401" spans="1:26" x14ac:dyDescent="0.3">
      <c r="A1401" t="s">
        <v>404</v>
      </c>
      <c r="B1401" t="s">
        <v>51</v>
      </c>
      <c r="C1401">
        <v>31</v>
      </c>
      <c r="D1401">
        <v>12</v>
      </c>
      <c r="E1401" s="1">
        <f t="shared" si="21"/>
        <v>0.38709677419354838</v>
      </c>
      <c r="F1401">
        <v>96.5</v>
      </c>
      <c r="G1401">
        <v>107.2</v>
      </c>
      <c r="H1401">
        <v>0.23050000000000001</v>
      </c>
      <c r="I1401">
        <v>46.1</v>
      </c>
      <c r="J1401">
        <v>51.6</v>
      </c>
      <c r="K1401">
        <v>20</v>
      </c>
      <c r="L1401">
        <v>23.6</v>
      </c>
      <c r="M1401">
        <v>31.7</v>
      </c>
      <c r="N1401">
        <v>36.5</v>
      </c>
      <c r="O1401">
        <v>40.299999999999997</v>
      </c>
      <c r="P1401">
        <v>39.799999999999997</v>
      </c>
      <c r="Q1401">
        <v>43.7</v>
      </c>
      <c r="R1401">
        <v>52.2</v>
      </c>
      <c r="S1401">
        <v>33.4</v>
      </c>
      <c r="T1401">
        <v>33.6</v>
      </c>
      <c r="U1401">
        <v>64.099999999999994</v>
      </c>
      <c r="V1401">
        <v>-14.1</v>
      </c>
      <c r="W1401" cm="1">
        <f t="array" ref="W1401">_xlfn.IFS(OR(X1401="N/A",X1401="NA"),0,OR(X1401="R64",X1401="R68"),1,X1401="R32",2,X1401="S16",3,X1401="E8",4,X1401="F4",5,X1401="2ND",6,X1401="Champions",7)</f>
        <v>0</v>
      </c>
      <c r="X1401" t="s">
        <v>90</v>
      </c>
      <c r="Y1401" t="s">
        <v>90</v>
      </c>
      <c r="Z1401">
        <v>2015</v>
      </c>
    </row>
    <row r="1402" spans="1:26" x14ac:dyDescent="0.3">
      <c r="A1402" t="s">
        <v>405</v>
      </c>
      <c r="B1402" t="s">
        <v>51</v>
      </c>
      <c r="C1402">
        <v>28</v>
      </c>
      <c r="D1402">
        <v>7</v>
      </c>
      <c r="E1402" s="1">
        <f t="shared" si="21"/>
        <v>0.25</v>
      </c>
      <c r="F1402">
        <v>91.5</v>
      </c>
      <c r="G1402">
        <v>111.2</v>
      </c>
      <c r="H1402">
        <v>9.5899999999999999E-2</v>
      </c>
      <c r="I1402">
        <v>44.7</v>
      </c>
      <c r="J1402">
        <v>50.5</v>
      </c>
      <c r="K1402">
        <v>20.9</v>
      </c>
      <c r="L1402">
        <v>19</v>
      </c>
      <c r="M1402">
        <v>30.4</v>
      </c>
      <c r="N1402">
        <v>36.6</v>
      </c>
      <c r="O1402">
        <v>38.6</v>
      </c>
      <c r="P1402">
        <v>35.4</v>
      </c>
      <c r="Q1402">
        <v>45.6</v>
      </c>
      <c r="R1402">
        <v>50.1</v>
      </c>
      <c r="S1402">
        <v>28.2</v>
      </c>
      <c r="T1402">
        <v>34.1</v>
      </c>
      <c r="U1402">
        <v>64.400000000000006</v>
      </c>
      <c r="V1402">
        <v>-16.3</v>
      </c>
      <c r="W1402" cm="1">
        <f t="array" ref="W1402">_xlfn.IFS(OR(X1402="N/A",X1402="NA"),0,OR(X1402="R64",X1402="R68"),1,X1402="R32",2,X1402="S16",3,X1402="E8",4,X1402="F4",5,X1402="2ND",6,X1402="Champions",7)</f>
        <v>0</v>
      </c>
      <c r="X1402" t="s">
        <v>90</v>
      </c>
      <c r="Y1402" t="s">
        <v>90</v>
      </c>
      <c r="Z1402">
        <v>2015</v>
      </c>
    </row>
    <row r="1403" spans="1:26" x14ac:dyDescent="0.3">
      <c r="A1403" t="s">
        <v>406</v>
      </c>
      <c r="B1403" t="s">
        <v>51</v>
      </c>
      <c r="C1403">
        <v>28</v>
      </c>
      <c r="D1403">
        <v>9</v>
      </c>
      <c r="E1403" s="1">
        <f t="shared" si="21"/>
        <v>0.32142857142857145</v>
      </c>
      <c r="F1403">
        <v>91.1</v>
      </c>
      <c r="G1403">
        <v>106.5</v>
      </c>
      <c r="H1403">
        <v>0.1431</v>
      </c>
      <c r="I1403">
        <v>44.5</v>
      </c>
      <c r="J1403">
        <v>49.9</v>
      </c>
      <c r="K1403">
        <v>20.3</v>
      </c>
      <c r="L1403">
        <v>17.8</v>
      </c>
      <c r="M1403">
        <v>28.5</v>
      </c>
      <c r="N1403">
        <v>30.4</v>
      </c>
      <c r="O1403">
        <v>33.299999999999997</v>
      </c>
      <c r="P1403">
        <v>37</v>
      </c>
      <c r="Q1403">
        <v>44.4</v>
      </c>
      <c r="R1403">
        <v>49.1</v>
      </c>
      <c r="S1403">
        <v>29.8</v>
      </c>
      <c r="T1403">
        <v>34.299999999999997</v>
      </c>
      <c r="U1403">
        <v>62.4</v>
      </c>
      <c r="V1403">
        <v>-14.4</v>
      </c>
      <c r="W1403" cm="1">
        <f t="array" ref="W1403">_xlfn.IFS(OR(X1403="N/A",X1403="NA"),0,OR(X1403="R64",X1403="R68"),1,X1403="R32",2,X1403="S16",3,X1403="E8",4,X1403="F4",5,X1403="2ND",6,X1403="Champions",7)</f>
        <v>0</v>
      </c>
      <c r="X1403" t="s">
        <v>90</v>
      </c>
      <c r="Y1403" t="s">
        <v>90</v>
      </c>
      <c r="Z1403">
        <v>2015</v>
      </c>
    </row>
    <row r="1404" spans="1:26" x14ac:dyDescent="0.3">
      <c r="A1404" t="s">
        <v>401</v>
      </c>
      <c r="B1404" t="s">
        <v>51</v>
      </c>
      <c r="C1404">
        <v>29</v>
      </c>
      <c r="D1404">
        <v>1</v>
      </c>
      <c r="E1404" s="1">
        <f t="shared" si="21"/>
        <v>3.4482758620689655E-2</v>
      </c>
      <c r="F1404">
        <v>90.8</v>
      </c>
      <c r="G1404">
        <v>112.5</v>
      </c>
      <c r="H1404">
        <v>7.8600000000000003E-2</v>
      </c>
      <c r="I1404">
        <v>42.6</v>
      </c>
      <c r="J1404">
        <v>54.5</v>
      </c>
      <c r="K1404">
        <v>20.399999999999999</v>
      </c>
      <c r="L1404">
        <v>19</v>
      </c>
      <c r="M1404">
        <v>29.5</v>
      </c>
      <c r="N1404">
        <v>33.4</v>
      </c>
      <c r="O1404">
        <v>28.1</v>
      </c>
      <c r="P1404">
        <v>43.6</v>
      </c>
      <c r="Q1404">
        <v>40.9</v>
      </c>
      <c r="R1404">
        <v>51.8</v>
      </c>
      <c r="S1404">
        <v>30.1</v>
      </c>
      <c r="T1404">
        <v>38.700000000000003</v>
      </c>
      <c r="U1404">
        <v>70.400000000000006</v>
      </c>
      <c r="V1404">
        <v>-21.2</v>
      </c>
      <c r="W1404" cm="1">
        <f t="array" ref="W1404">_xlfn.IFS(OR(X1404="N/A",X1404="NA"),0,OR(X1404="R64",X1404="R68"),1,X1404="R32",2,X1404="S16",3,X1404="E8",4,X1404="F4",5,X1404="2ND",6,X1404="Champions",7)</f>
        <v>0</v>
      </c>
      <c r="X1404" t="s">
        <v>90</v>
      </c>
      <c r="Y1404" t="s">
        <v>90</v>
      </c>
      <c r="Z1404">
        <v>2016</v>
      </c>
    </row>
    <row r="1405" spans="1:26" x14ac:dyDescent="0.3">
      <c r="A1405" t="s">
        <v>402</v>
      </c>
      <c r="B1405" t="s">
        <v>51</v>
      </c>
      <c r="C1405">
        <v>32</v>
      </c>
      <c r="D1405">
        <v>25</v>
      </c>
      <c r="E1405" s="1">
        <f t="shared" si="21"/>
        <v>0.78125</v>
      </c>
      <c r="F1405">
        <v>103.1</v>
      </c>
      <c r="G1405">
        <v>100.7</v>
      </c>
      <c r="H1405">
        <v>0.56830000000000003</v>
      </c>
      <c r="I1405">
        <v>49.8</v>
      </c>
      <c r="J1405">
        <v>48.1</v>
      </c>
      <c r="K1405">
        <v>16.899999999999999</v>
      </c>
      <c r="L1405">
        <v>19.100000000000001</v>
      </c>
      <c r="M1405">
        <v>32</v>
      </c>
      <c r="N1405">
        <v>27.3</v>
      </c>
      <c r="O1405">
        <v>41.5</v>
      </c>
      <c r="P1405">
        <v>35.1</v>
      </c>
      <c r="Q1405">
        <v>48.3</v>
      </c>
      <c r="R1405">
        <v>48.4</v>
      </c>
      <c r="S1405">
        <v>35.6</v>
      </c>
      <c r="T1405">
        <v>31.7</v>
      </c>
      <c r="U1405">
        <v>69.5</v>
      </c>
      <c r="V1405">
        <v>-1</v>
      </c>
      <c r="W1405" cm="1">
        <f t="array" ref="W1405">_xlfn.IFS(OR(X1405="N/A",X1405="NA"),0,OR(X1405="R64",X1405="R68"),1,X1405="R32",2,X1405="S16",3,X1405="E8",4,X1405="F4",5,X1405="2ND",6,X1405="Champions",7)</f>
        <v>0</v>
      </c>
      <c r="X1405" t="s">
        <v>90</v>
      </c>
      <c r="Y1405" t="s">
        <v>90</v>
      </c>
      <c r="Z1405">
        <v>2016</v>
      </c>
    </row>
    <row r="1406" spans="1:26" x14ac:dyDescent="0.3">
      <c r="A1406" t="s">
        <v>407</v>
      </c>
      <c r="B1406" t="s">
        <v>51</v>
      </c>
      <c r="C1406">
        <v>32</v>
      </c>
      <c r="D1406">
        <v>21</v>
      </c>
      <c r="E1406" s="1">
        <f t="shared" si="21"/>
        <v>0.65625</v>
      </c>
      <c r="F1406">
        <v>101.3</v>
      </c>
      <c r="G1406">
        <v>95.9</v>
      </c>
      <c r="H1406">
        <v>0.65249999999999997</v>
      </c>
      <c r="I1406">
        <v>50.2</v>
      </c>
      <c r="J1406">
        <v>44.8</v>
      </c>
      <c r="K1406">
        <v>20.2</v>
      </c>
      <c r="L1406">
        <v>16.2</v>
      </c>
      <c r="M1406">
        <v>36</v>
      </c>
      <c r="N1406">
        <v>25.1</v>
      </c>
      <c r="O1406">
        <v>36.9</v>
      </c>
      <c r="P1406">
        <v>28.4</v>
      </c>
      <c r="Q1406">
        <v>50.7</v>
      </c>
      <c r="R1406">
        <v>42.3</v>
      </c>
      <c r="S1406">
        <v>32.5</v>
      </c>
      <c r="T1406">
        <v>33.5</v>
      </c>
      <c r="U1406">
        <v>66.400000000000006</v>
      </c>
      <c r="V1406">
        <v>-4.0999999999999996</v>
      </c>
      <c r="W1406" cm="1">
        <f t="array" ref="W1406">_xlfn.IFS(OR(X1406="N/A",X1406="NA"),0,OR(X1406="R64",X1406="R68"),1,X1406="R32",2,X1406="S16",3,X1406="E8",4,X1406="F4",5,X1406="2ND",6,X1406="Champions",7)</f>
        <v>0</v>
      </c>
      <c r="X1406" t="s">
        <v>90</v>
      </c>
      <c r="Y1406" t="s">
        <v>90</v>
      </c>
      <c r="Z1406">
        <v>2016</v>
      </c>
    </row>
    <row r="1407" spans="1:26" x14ac:dyDescent="0.3">
      <c r="A1407" t="s">
        <v>403</v>
      </c>
      <c r="B1407" t="s">
        <v>51</v>
      </c>
      <c r="C1407">
        <v>30</v>
      </c>
      <c r="D1407">
        <v>13</v>
      </c>
      <c r="E1407" s="1">
        <f t="shared" si="21"/>
        <v>0.43333333333333335</v>
      </c>
      <c r="F1407">
        <v>94</v>
      </c>
      <c r="G1407">
        <v>104.9</v>
      </c>
      <c r="H1407">
        <v>0.21940000000000001</v>
      </c>
      <c r="I1407">
        <v>47.5</v>
      </c>
      <c r="J1407">
        <v>49.1</v>
      </c>
      <c r="K1407">
        <v>23.1</v>
      </c>
      <c r="L1407">
        <v>18.899999999999999</v>
      </c>
      <c r="M1407">
        <v>32.5</v>
      </c>
      <c r="N1407">
        <v>31.3</v>
      </c>
      <c r="O1407">
        <v>36</v>
      </c>
      <c r="P1407">
        <v>34.9</v>
      </c>
      <c r="Q1407">
        <v>44.7</v>
      </c>
      <c r="R1407">
        <v>47.7</v>
      </c>
      <c r="S1407">
        <v>35.5</v>
      </c>
      <c r="T1407">
        <v>33.9</v>
      </c>
      <c r="U1407">
        <v>66.7</v>
      </c>
      <c r="V1407">
        <v>-11.2</v>
      </c>
      <c r="W1407" cm="1">
        <f t="array" ref="W1407">_xlfn.IFS(OR(X1407="N/A",X1407="NA"),0,OR(X1407="R64",X1407="R68"),1,X1407="R32",2,X1407="S16",3,X1407="E8",4,X1407="F4",5,X1407="2ND",6,X1407="Champions",7)</f>
        <v>0</v>
      </c>
      <c r="X1407" t="s">
        <v>90</v>
      </c>
      <c r="Y1407" t="s">
        <v>90</v>
      </c>
      <c r="Z1407">
        <v>2016</v>
      </c>
    </row>
    <row r="1408" spans="1:26" x14ac:dyDescent="0.3">
      <c r="A1408" t="s">
        <v>404</v>
      </c>
      <c r="B1408" t="s">
        <v>51</v>
      </c>
      <c r="C1408">
        <v>28</v>
      </c>
      <c r="D1408">
        <v>9</v>
      </c>
      <c r="E1408" s="1">
        <f t="shared" si="21"/>
        <v>0.32142857142857145</v>
      </c>
      <c r="F1408">
        <v>101.9</v>
      </c>
      <c r="G1408">
        <v>110.6</v>
      </c>
      <c r="H1408">
        <v>0.2797</v>
      </c>
      <c r="I1408">
        <v>48.8</v>
      </c>
      <c r="J1408">
        <v>50.3</v>
      </c>
      <c r="K1408">
        <v>19.399999999999999</v>
      </c>
      <c r="L1408">
        <v>17.2</v>
      </c>
      <c r="M1408">
        <v>32.700000000000003</v>
      </c>
      <c r="N1408">
        <v>31.2</v>
      </c>
      <c r="O1408">
        <v>35.299999999999997</v>
      </c>
      <c r="P1408">
        <v>44.1</v>
      </c>
      <c r="Q1408">
        <v>45.5</v>
      </c>
      <c r="R1408">
        <v>48.9</v>
      </c>
      <c r="S1408">
        <v>36.799999999999997</v>
      </c>
      <c r="T1408">
        <v>35.1</v>
      </c>
      <c r="U1408">
        <v>67.099999999999994</v>
      </c>
      <c r="V1408">
        <v>-12.9</v>
      </c>
      <c r="W1408" cm="1">
        <f t="array" ref="W1408">_xlfn.IFS(OR(X1408="N/A",X1408="NA"),0,OR(X1408="R64",X1408="R68"),1,X1408="R32",2,X1408="S16",3,X1408="E8",4,X1408="F4",5,X1408="2ND",6,X1408="Champions",7)</f>
        <v>0</v>
      </c>
      <c r="X1408" t="s">
        <v>90</v>
      </c>
      <c r="Y1408" t="s">
        <v>90</v>
      </c>
      <c r="Z1408">
        <v>2016</v>
      </c>
    </row>
    <row r="1409" spans="1:26" x14ac:dyDescent="0.3">
      <c r="A1409" t="s">
        <v>405</v>
      </c>
      <c r="B1409" t="s">
        <v>51</v>
      </c>
      <c r="C1409">
        <v>27</v>
      </c>
      <c r="D1409">
        <v>5</v>
      </c>
      <c r="E1409" s="1">
        <f t="shared" si="21"/>
        <v>0.18518518518518517</v>
      </c>
      <c r="F1409">
        <v>94.1</v>
      </c>
      <c r="G1409">
        <v>115.4</v>
      </c>
      <c r="H1409">
        <v>8.72E-2</v>
      </c>
      <c r="I1409">
        <v>47.2</v>
      </c>
      <c r="J1409">
        <v>52.1</v>
      </c>
      <c r="K1409">
        <v>17.7</v>
      </c>
      <c r="L1409">
        <v>14.4</v>
      </c>
      <c r="M1409">
        <v>23</v>
      </c>
      <c r="N1409">
        <v>35.700000000000003</v>
      </c>
      <c r="O1409">
        <v>29.6</v>
      </c>
      <c r="P1409">
        <v>31.1</v>
      </c>
      <c r="Q1409">
        <v>45.7</v>
      </c>
      <c r="R1409">
        <v>51.9</v>
      </c>
      <c r="S1409">
        <v>33.1</v>
      </c>
      <c r="T1409">
        <v>35</v>
      </c>
      <c r="U1409">
        <v>68.5</v>
      </c>
      <c r="V1409">
        <v>-17</v>
      </c>
      <c r="W1409" cm="1">
        <f t="array" ref="W1409">_xlfn.IFS(OR(X1409="N/A",X1409="NA"),0,OR(X1409="R64",X1409="R68"),1,X1409="R32",2,X1409="S16",3,X1409="E8",4,X1409="F4",5,X1409="2ND",6,X1409="Champions",7)</f>
        <v>0</v>
      </c>
      <c r="X1409" t="s">
        <v>90</v>
      </c>
      <c r="Y1409" t="s">
        <v>90</v>
      </c>
      <c r="Z1409">
        <v>2016</v>
      </c>
    </row>
    <row r="1410" spans="1:26" x14ac:dyDescent="0.3">
      <c r="A1410" t="s">
        <v>406</v>
      </c>
      <c r="B1410" t="s">
        <v>51</v>
      </c>
      <c r="C1410">
        <v>27</v>
      </c>
      <c r="D1410">
        <v>9</v>
      </c>
      <c r="E1410" s="1">
        <f t="shared" si="21"/>
        <v>0.33333333333333331</v>
      </c>
      <c r="F1410">
        <v>99.4</v>
      </c>
      <c r="G1410">
        <v>109.8</v>
      </c>
      <c r="H1410">
        <v>0.24099999999999999</v>
      </c>
      <c r="I1410">
        <v>48.6</v>
      </c>
      <c r="J1410">
        <v>49.9</v>
      </c>
      <c r="K1410">
        <v>17.399999999999999</v>
      </c>
      <c r="L1410">
        <v>16.600000000000001</v>
      </c>
      <c r="M1410">
        <v>22.9</v>
      </c>
      <c r="N1410">
        <v>31</v>
      </c>
      <c r="O1410">
        <v>34.5</v>
      </c>
      <c r="P1410">
        <v>37.700000000000003</v>
      </c>
      <c r="Q1410">
        <v>46.3</v>
      </c>
      <c r="R1410">
        <v>50.3</v>
      </c>
      <c r="S1410">
        <v>34.6</v>
      </c>
      <c r="T1410">
        <v>32.6</v>
      </c>
      <c r="U1410">
        <v>75.3</v>
      </c>
      <c r="V1410">
        <v>-12.2</v>
      </c>
      <c r="W1410" cm="1">
        <f t="array" ref="W1410">_xlfn.IFS(OR(X1410="N/A",X1410="NA"),0,OR(X1410="R64",X1410="R68"),1,X1410="R32",2,X1410="S16",3,X1410="E8",4,X1410="F4",5,X1410="2ND",6,X1410="Champions",7)</f>
        <v>0</v>
      </c>
      <c r="X1410" t="s">
        <v>90</v>
      </c>
      <c r="Y1410" t="s">
        <v>90</v>
      </c>
      <c r="Z1410">
        <v>2016</v>
      </c>
    </row>
    <row r="1411" spans="1:26" x14ac:dyDescent="0.3">
      <c r="A1411" t="s">
        <v>400</v>
      </c>
      <c r="B1411" t="s">
        <v>51</v>
      </c>
      <c r="C1411">
        <v>32</v>
      </c>
      <c r="D1411">
        <v>25</v>
      </c>
      <c r="E1411" s="1">
        <f t="shared" ref="E1411:E1474" si="22">D1411/C1411</f>
        <v>0.78125</v>
      </c>
      <c r="F1411">
        <v>100.4</v>
      </c>
      <c r="G1411">
        <v>92.1</v>
      </c>
      <c r="H1411">
        <v>0.72870000000000001</v>
      </c>
      <c r="I1411">
        <v>48.3</v>
      </c>
      <c r="J1411">
        <v>43.6</v>
      </c>
      <c r="K1411">
        <v>20.8</v>
      </c>
      <c r="L1411">
        <v>22.8</v>
      </c>
      <c r="M1411">
        <v>32.6</v>
      </c>
      <c r="N1411">
        <v>30.6</v>
      </c>
      <c r="O1411">
        <v>38</v>
      </c>
      <c r="P1411">
        <v>47.1</v>
      </c>
      <c r="Q1411">
        <v>46.9</v>
      </c>
      <c r="R1411">
        <v>41</v>
      </c>
      <c r="S1411">
        <v>34.200000000000003</v>
      </c>
      <c r="T1411">
        <v>31.6</v>
      </c>
      <c r="U1411">
        <v>68.2</v>
      </c>
      <c r="V1411">
        <v>-3.4</v>
      </c>
      <c r="W1411" cm="1">
        <f t="array" ref="W1411">_xlfn.IFS(OR(X1411="N/A",X1411="NA"),0,OR(X1411="R64",X1411="R68"),1,X1411="R32",2,X1411="S16",3,X1411="E8",4,X1411="F4",5,X1411="2ND",6,X1411="Champions",7)</f>
        <v>0</v>
      </c>
      <c r="X1411" t="s">
        <v>90</v>
      </c>
      <c r="Y1411" t="s">
        <v>90</v>
      </c>
      <c r="Z1411">
        <v>2017</v>
      </c>
    </row>
    <row r="1412" spans="1:26" x14ac:dyDescent="0.3">
      <c r="A1412" t="s">
        <v>401</v>
      </c>
      <c r="B1412" t="s">
        <v>51</v>
      </c>
      <c r="C1412">
        <v>29</v>
      </c>
      <c r="D1412">
        <v>6</v>
      </c>
      <c r="E1412" s="1">
        <f t="shared" si="22"/>
        <v>0.20689655172413793</v>
      </c>
      <c r="F1412">
        <v>91.3</v>
      </c>
      <c r="G1412">
        <v>110.7</v>
      </c>
      <c r="H1412">
        <v>9.8500000000000004E-2</v>
      </c>
      <c r="I1412">
        <v>42.4</v>
      </c>
      <c r="J1412">
        <v>55</v>
      </c>
      <c r="K1412">
        <v>19.600000000000001</v>
      </c>
      <c r="L1412">
        <v>18.3</v>
      </c>
      <c r="M1412">
        <v>26.1</v>
      </c>
      <c r="N1412">
        <v>31.1</v>
      </c>
      <c r="O1412">
        <v>27.8</v>
      </c>
      <c r="P1412">
        <v>35.5</v>
      </c>
      <c r="Q1412">
        <v>40.700000000000003</v>
      </c>
      <c r="R1412">
        <v>55.7</v>
      </c>
      <c r="S1412">
        <v>30.4</v>
      </c>
      <c r="T1412">
        <v>36.1</v>
      </c>
      <c r="U1412">
        <v>68.7</v>
      </c>
      <c r="V1412">
        <v>-18.399999999999999</v>
      </c>
      <c r="W1412" cm="1">
        <f t="array" ref="W1412">_xlfn.IFS(OR(X1412="N/A",X1412="NA"),0,OR(X1412="R64",X1412="R68"),1,X1412="R32",2,X1412="S16",3,X1412="E8",4,X1412="F4",5,X1412="2ND",6,X1412="Champions",7)</f>
        <v>0</v>
      </c>
      <c r="X1412" t="s">
        <v>90</v>
      </c>
      <c r="Y1412" t="s">
        <v>90</v>
      </c>
      <c r="Z1412">
        <v>2017</v>
      </c>
    </row>
    <row r="1413" spans="1:26" x14ac:dyDescent="0.3">
      <c r="A1413" t="s">
        <v>402</v>
      </c>
      <c r="B1413" t="s">
        <v>51</v>
      </c>
      <c r="C1413">
        <v>29</v>
      </c>
      <c r="D1413">
        <v>22</v>
      </c>
      <c r="E1413" s="1">
        <f t="shared" si="22"/>
        <v>0.75862068965517238</v>
      </c>
      <c r="F1413">
        <v>100.4</v>
      </c>
      <c r="G1413">
        <v>98.1</v>
      </c>
      <c r="H1413">
        <v>0.56850000000000001</v>
      </c>
      <c r="I1413">
        <v>48.4</v>
      </c>
      <c r="J1413">
        <v>47.8</v>
      </c>
      <c r="K1413">
        <v>18.2</v>
      </c>
      <c r="L1413">
        <v>20.9</v>
      </c>
      <c r="M1413">
        <v>29.1</v>
      </c>
      <c r="N1413">
        <v>27.9</v>
      </c>
      <c r="O1413">
        <v>42.1</v>
      </c>
      <c r="P1413">
        <v>31.6</v>
      </c>
      <c r="Q1413">
        <v>47.8</v>
      </c>
      <c r="R1413">
        <v>47.3</v>
      </c>
      <c r="S1413">
        <v>33</v>
      </c>
      <c r="T1413">
        <v>32.5</v>
      </c>
      <c r="U1413">
        <v>70.400000000000006</v>
      </c>
      <c r="V1413">
        <v>-3.2</v>
      </c>
      <c r="W1413" cm="1">
        <f t="array" ref="W1413">_xlfn.IFS(OR(X1413="N/A",X1413="NA"),0,OR(X1413="R64",X1413="R68"),1,X1413="R32",2,X1413="S16",3,X1413="E8",4,X1413="F4",5,X1413="2ND",6,X1413="Champions",7)</f>
        <v>0</v>
      </c>
      <c r="X1413" t="s">
        <v>90</v>
      </c>
      <c r="Y1413" t="s">
        <v>90</v>
      </c>
      <c r="Z1413">
        <v>2017</v>
      </c>
    </row>
    <row r="1414" spans="1:26" x14ac:dyDescent="0.3">
      <c r="A1414" t="s">
        <v>403</v>
      </c>
      <c r="B1414" t="s">
        <v>51</v>
      </c>
      <c r="C1414">
        <v>27</v>
      </c>
      <c r="D1414">
        <v>13</v>
      </c>
      <c r="E1414" s="1">
        <f t="shared" si="22"/>
        <v>0.48148148148148145</v>
      </c>
      <c r="F1414">
        <v>95.3</v>
      </c>
      <c r="G1414">
        <v>102.8</v>
      </c>
      <c r="H1414">
        <v>0.29549999999999998</v>
      </c>
      <c r="I1414">
        <v>50.5</v>
      </c>
      <c r="J1414">
        <v>47.6</v>
      </c>
      <c r="K1414">
        <v>20.6</v>
      </c>
      <c r="L1414">
        <v>19</v>
      </c>
      <c r="M1414">
        <v>20.6</v>
      </c>
      <c r="N1414">
        <v>31.1</v>
      </c>
      <c r="O1414">
        <v>36.200000000000003</v>
      </c>
      <c r="P1414">
        <v>35.1</v>
      </c>
      <c r="Q1414">
        <v>50.3</v>
      </c>
      <c r="R1414">
        <v>47.6</v>
      </c>
      <c r="S1414">
        <v>33.9</v>
      </c>
      <c r="T1414">
        <v>31.7</v>
      </c>
      <c r="U1414">
        <v>69.099999999999994</v>
      </c>
      <c r="V1414">
        <v>-11.7</v>
      </c>
      <c r="W1414" cm="1">
        <f t="array" ref="W1414">_xlfn.IFS(OR(X1414="N/A",X1414="NA"),0,OR(X1414="R64",X1414="R68"),1,X1414="R32",2,X1414="S16",3,X1414="E8",4,X1414="F4",5,X1414="2ND",6,X1414="Champions",7)</f>
        <v>0</v>
      </c>
      <c r="X1414" t="s">
        <v>90</v>
      </c>
      <c r="Y1414" t="s">
        <v>90</v>
      </c>
      <c r="Z1414">
        <v>2017</v>
      </c>
    </row>
    <row r="1415" spans="1:26" x14ac:dyDescent="0.3">
      <c r="A1415" t="s">
        <v>404</v>
      </c>
      <c r="B1415" t="s">
        <v>51</v>
      </c>
      <c r="C1415">
        <v>32</v>
      </c>
      <c r="D1415">
        <v>18</v>
      </c>
      <c r="E1415" s="1">
        <f t="shared" si="22"/>
        <v>0.5625</v>
      </c>
      <c r="F1415">
        <v>102.8</v>
      </c>
      <c r="G1415">
        <v>107.3</v>
      </c>
      <c r="H1415">
        <v>0.37790000000000001</v>
      </c>
      <c r="I1415">
        <v>50.6</v>
      </c>
      <c r="J1415">
        <v>52.6</v>
      </c>
      <c r="K1415">
        <v>19.7</v>
      </c>
      <c r="L1415">
        <v>20</v>
      </c>
      <c r="M1415">
        <v>27.1</v>
      </c>
      <c r="N1415">
        <v>32.200000000000003</v>
      </c>
      <c r="O1415">
        <v>38.4</v>
      </c>
      <c r="P1415">
        <v>41.7</v>
      </c>
      <c r="Q1415">
        <v>47.3</v>
      </c>
      <c r="R1415">
        <v>53.4</v>
      </c>
      <c r="S1415">
        <v>36.9</v>
      </c>
      <c r="T1415">
        <v>34.1</v>
      </c>
      <c r="U1415">
        <v>72</v>
      </c>
      <c r="V1415">
        <v>-9.3000000000000007</v>
      </c>
      <c r="W1415" cm="1">
        <f t="array" ref="W1415">_xlfn.IFS(OR(X1415="N/A",X1415="NA"),0,OR(X1415="R64",X1415="R68"),1,X1415="R32",2,X1415="S16",3,X1415="E8",4,X1415="F4",5,X1415="2ND",6,X1415="Champions",7)</f>
        <v>0</v>
      </c>
      <c r="X1415" t="s">
        <v>90</v>
      </c>
      <c r="Y1415" t="s">
        <v>90</v>
      </c>
      <c r="Z1415">
        <v>2017</v>
      </c>
    </row>
    <row r="1416" spans="1:26" x14ac:dyDescent="0.3">
      <c r="A1416" t="s">
        <v>405</v>
      </c>
      <c r="B1416" t="s">
        <v>51</v>
      </c>
      <c r="C1416">
        <v>29</v>
      </c>
      <c r="D1416">
        <v>10</v>
      </c>
      <c r="E1416" s="1">
        <f t="shared" si="22"/>
        <v>0.34482758620689657</v>
      </c>
      <c r="F1416">
        <v>99.7</v>
      </c>
      <c r="G1416">
        <v>112</v>
      </c>
      <c r="H1416">
        <v>0.2094</v>
      </c>
      <c r="I1416">
        <v>48.3</v>
      </c>
      <c r="J1416">
        <v>54.3</v>
      </c>
      <c r="K1416">
        <v>20.2</v>
      </c>
      <c r="L1416">
        <v>20.2</v>
      </c>
      <c r="M1416">
        <v>29.5</v>
      </c>
      <c r="N1416">
        <v>31.8</v>
      </c>
      <c r="O1416">
        <v>32.5</v>
      </c>
      <c r="P1416">
        <v>52.3</v>
      </c>
      <c r="Q1416">
        <v>48</v>
      </c>
      <c r="R1416">
        <v>53.6</v>
      </c>
      <c r="S1416">
        <v>32.5</v>
      </c>
      <c r="T1416">
        <v>37</v>
      </c>
      <c r="U1416">
        <v>75.5</v>
      </c>
      <c r="V1416">
        <v>-16.5</v>
      </c>
      <c r="W1416" cm="1">
        <f t="array" ref="W1416">_xlfn.IFS(OR(X1416="N/A",X1416="NA"),0,OR(X1416="R64",X1416="R68"),1,X1416="R32",2,X1416="S16",3,X1416="E8",4,X1416="F4",5,X1416="2ND",6,X1416="Champions",7)</f>
        <v>0</v>
      </c>
      <c r="X1416" t="s">
        <v>90</v>
      </c>
      <c r="Y1416" t="s">
        <v>90</v>
      </c>
      <c r="Z1416">
        <v>2017</v>
      </c>
    </row>
    <row r="1417" spans="1:26" x14ac:dyDescent="0.3">
      <c r="A1417" t="s">
        <v>406</v>
      </c>
      <c r="B1417" t="s">
        <v>51</v>
      </c>
      <c r="C1417">
        <v>31</v>
      </c>
      <c r="D1417">
        <v>17</v>
      </c>
      <c r="E1417" s="1">
        <f t="shared" si="22"/>
        <v>0.54838709677419351</v>
      </c>
      <c r="F1417">
        <v>99.5</v>
      </c>
      <c r="G1417">
        <v>98.6</v>
      </c>
      <c r="H1417">
        <v>0.52700000000000002</v>
      </c>
      <c r="I1417">
        <v>50.9</v>
      </c>
      <c r="J1417">
        <v>47.7</v>
      </c>
      <c r="K1417">
        <v>20.399999999999999</v>
      </c>
      <c r="L1417">
        <v>17.399999999999999</v>
      </c>
      <c r="M1417">
        <v>23.8</v>
      </c>
      <c r="N1417">
        <v>24.7</v>
      </c>
      <c r="O1417">
        <v>37.299999999999997</v>
      </c>
      <c r="P1417">
        <v>35.200000000000003</v>
      </c>
      <c r="Q1417">
        <v>52.9</v>
      </c>
      <c r="R1417">
        <v>47.1</v>
      </c>
      <c r="S1417">
        <v>32.299999999999997</v>
      </c>
      <c r="T1417">
        <v>32.6</v>
      </c>
      <c r="U1417">
        <v>74.3</v>
      </c>
      <c r="V1417">
        <v>-9.9</v>
      </c>
      <c r="W1417" cm="1">
        <f t="array" ref="W1417">_xlfn.IFS(OR(X1417="N/A",X1417="NA"),0,OR(X1417="R64",X1417="R68"),1,X1417="R32",2,X1417="S16",3,X1417="E8",4,X1417="F4",5,X1417="2ND",6,X1417="Champions",7)</f>
        <v>0</v>
      </c>
      <c r="X1417" t="s">
        <v>90</v>
      </c>
      <c r="Y1417" t="s">
        <v>90</v>
      </c>
      <c r="Z1417">
        <v>2017</v>
      </c>
    </row>
    <row r="1418" spans="1:26" x14ac:dyDescent="0.3">
      <c r="A1418" t="s">
        <v>400</v>
      </c>
      <c r="B1418" t="s">
        <v>51</v>
      </c>
      <c r="C1418">
        <v>27</v>
      </c>
      <c r="D1418">
        <v>12</v>
      </c>
      <c r="E1418" s="1">
        <f t="shared" si="22"/>
        <v>0.44444444444444442</v>
      </c>
      <c r="F1418">
        <v>96.6</v>
      </c>
      <c r="G1418">
        <v>102.5</v>
      </c>
      <c r="H1418">
        <v>0.33500000000000002</v>
      </c>
      <c r="I1418">
        <v>46.5</v>
      </c>
      <c r="J1418">
        <v>50.5</v>
      </c>
      <c r="K1418">
        <v>20.7</v>
      </c>
      <c r="L1418">
        <v>19.2</v>
      </c>
      <c r="M1418">
        <v>30.7</v>
      </c>
      <c r="N1418">
        <v>28.7</v>
      </c>
      <c r="O1418">
        <v>34.700000000000003</v>
      </c>
      <c r="P1418">
        <v>44.7</v>
      </c>
      <c r="Q1418">
        <v>47.5</v>
      </c>
      <c r="R1418">
        <v>48.5</v>
      </c>
      <c r="S1418">
        <v>29.8</v>
      </c>
      <c r="T1418">
        <v>35.5</v>
      </c>
      <c r="U1418">
        <v>66.8</v>
      </c>
      <c r="V1418">
        <v>-11.4</v>
      </c>
      <c r="W1418" cm="1">
        <f t="array" ref="W1418">_xlfn.IFS(OR(X1418="N/A",X1418="NA"),0,OR(X1418="R64",X1418="R68"),1,X1418="R32",2,X1418="S16",3,X1418="E8",4,X1418="F4",5,X1418="2ND",6,X1418="Champions",7)</f>
        <v>0</v>
      </c>
      <c r="X1418" t="s">
        <v>90</v>
      </c>
      <c r="Y1418" t="s">
        <v>90</v>
      </c>
      <c r="Z1418">
        <v>2018</v>
      </c>
    </row>
    <row r="1419" spans="1:26" x14ac:dyDescent="0.3">
      <c r="A1419" t="s">
        <v>401</v>
      </c>
      <c r="B1419" t="s">
        <v>51</v>
      </c>
      <c r="C1419">
        <v>30</v>
      </c>
      <c r="D1419">
        <v>3</v>
      </c>
      <c r="E1419" s="1">
        <f t="shared" si="22"/>
        <v>0.1</v>
      </c>
      <c r="F1419">
        <v>94.9</v>
      </c>
      <c r="G1419">
        <v>118</v>
      </c>
      <c r="H1419">
        <v>7.5600000000000001E-2</v>
      </c>
      <c r="I1419">
        <v>44.6</v>
      </c>
      <c r="J1419">
        <v>59.1</v>
      </c>
      <c r="K1419">
        <v>20.9</v>
      </c>
      <c r="L1419">
        <v>18.2</v>
      </c>
      <c r="M1419">
        <v>25.5</v>
      </c>
      <c r="N1419">
        <v>34.6</v>
      </c>
      <c r="O1419">
        <v>31.6</v>
      </c>
      <c r="P1419">
        <v>41.2</v>
      </c>
      <c r="Q1419">
        <v>43.6</v>
      </c>
      <c r="R1419">
        <v>57.9</v>
      </c>
      <c r="S1419">
        <v>31.4</v>
      </c>
      <c r="T1419">
        <v>40.6</v>
      </c>
      <c r="U1419">
        <v>73.400000000000006</v>
      </c>
      <c r="V1419">
        <v>-20.3</v>
      </c>
      <c r="W1419" cm="1">
        <f t="array" ref="W1419">_xlfn.IFS(OR(X1419="N/A",X1419="NA"),0,OR(X1419="R64",X1419="R68"),1,X1419="R32",2,X1419="S16",3,X1419="E8",4,X1419="F4",5,X1419="2ND",6,X1419="Champions",7)</f>
        <v>0</v>
      </c>
      <c r="X1419" t="s">
        <v>90</v>
      </c>
      <c r="Y1419" t="s">
        <v>90</v>
      </c>
      <c r="Z1419">
        <v>2018</v>
      </c>
    </row>
    <row r="1420" spans="1:26" x14ac:dyDescent="0.3">
      <c r="A1420" t="s">
        <v>402</v>
      </c>
      <c r="B1420" t="s">
        <v>51</v>
      </c>
      <c r="C1420">
        <v>33</v>
      </c>
      <c r="D1420">
        <v>22</v>
      </c>
      <c r="E1420" s="1">
        <f t="shared" si="22"/>
        <v>0.66666666666666663</v>
      </c>
      <c r="F1420">
        <v>101.9</v>
      </c>
      <c r="G1420">
        <v>96.5</v>
      </c>
      <c r="H1420">
        <v>0.65139999999999998</v>
      </c>
      <c r="I1420">
        <v>48.5</v>
      </c>
      <c r="J1420">
        <v>44.3</v>
      </c>
      <c r="K1420">
        <v>18.8</v>
      </c>
      <c r="L1420">
        <v>21.5</v>
      </c>
      <c r="M1420">
        <v>31.7</v>
      </c>
      <c r="N1420">
        <v>28.3</v>
      </c>
      <c r="O1420">
        <v>39.1</v>
      </c>
      <c r="P1420">
        <v>39.200000000000003</v>
      </c>
      <c r="Q1420">
        <v>49.2</v>
      </c>
      <c r="R1420">
        <v>45.6</v>
      </c>
      <c r="S1420">
        <v>31.7</v>
      </c>
      <c r="T1420">
        <v>27.5</v>
      </c>
      <c r="U1420">
        <v>69.900000000000006</v>
      </c>
      <c r="V1420">
        <v>-5.4</v>
      </c>
      <c r="W1420" cm="1">
        <f t="array" ref="W1420">_xlfn.IFS(OR(X1420="N/A",X1420="NA"),0,OR(X1420="R64",X1420="R68"),1,X1420="R32",2,X1420="S16",3,X1420="E8",4,X1420="F4",5,X1420="2ND",6,X1420="Champions",7)</f>
        <v>0</v>
      </c>
      <c r="X1420" t="s">
        <v>90</v>
      </c>
      <c r="Y1420" t="s">
        <v>90</v>
      </c>
      <c r="Z1420">
        <v>2018</v>
      </c>
    </row>
    <row r="1421" spans="1:26" x14ac:dyDescent="0.3">
      <c r="A1421" t="s">
        <v>403</v>
      </c>
      <c r="B1421" t="s">
        <v>51</v>
      </c>
      <c r="C1421">
        <v>31</v>
      </c>
      <c r="D1421">
        <v>20</v>
      </c>
      <c r="E1421" s="1">
        <f t="shared" si="22"/>
        <v>0.64516129032258063</v>
      </c>
      <c r="F1421">
        <v>103.7</v>
      </c>
      <c r="G1421">
        <v>104.6</v>
      </c>
      <c r="H1421">
        <v>0.47439999999999999</v>
      </c>
      <c r="I1421">
        <v>51</v>
      </c>
      <c r="J1421">
        <v>47.2</v>
      </c>
      <c r="K1421">
        <v>19.600000000000001</v>
      </c>
      <c r="L1421">
        <v>15.5</v>
      </c>
      <c r="M1421">
        <v>29.7</v>
      </c>
      <c r="N1421">
        <v>27.9</v>
      </c>
      <c r="O1421">
        <v>34.5</v>
      </c>
      <c r="P1421">
        <v>41</v>
      </c>
      <c r="Q1421">
        <v>47.4</v>
      </c>
      <c r="R1421">
        <v>44.8</v>
      </c>
      <c r="S1421">
        <v>37.200000000000003</v>
      </c>
      <c r="T1421">
        <v>34.5</v>
      </c>
      <c r="U1421">
        <v>68.5</v>
      </c>
      <c r="V1421">
        <v>-7.4</v>
      </c>
      <c r="W1421" cm="1">
        <f t="array" ref="W1421">_xlfn.IFS(OR(X1421="N/A",X1421="NA"),0,OR(X1421="R64",X1421="R68"),1,X1421="R32",2,X1421="S16",3,X1421="E8",4,X1421="F4",5,X1421="2ND",6,X1421="Champions",7)</f>
        <v>0</v>
      </c>
      <c r="X1421" t="s">
        <v>90</v>
      </c>
      <c r="Y1421" t="s">
        <v>90</v>
      </c>
      <c r="Z1421">
        <v>2018</v>
      </c>
    </row>
    <row r="1422" spans="1:26" x14ac:dyDescent="0.3">
      <c r="A1422" t="s">
        <v>404</v>
      </c>
      <c r="B1422" t="s">
        <v>51</v>
      </c>
      <c r="C1422">
        <v>29</v>
      </c>
      <c r="D1422">
        <v>10</v>
      </c>
      <c r="E1422" s="1">
        <f t="shared" si="22"/>
        <v>0.34482758620689657</v>
      </c>
      <c r="F1422">
        <v>98.3</v>
      </c>
      <c r="G1422">
        <v>107.3</v>
      </c>
      <c r="H1422">
        <v>0.26740000000000003</v>
      </c>
      <c r="I1422">
        <v>47.8</v>
      </c>
      <c r="J1422">
        <v>52.5</v>
      </c>
      <c r="K1422">
        <v>18.2</v>
      </c>
      <c r="L1422">
        <v>20</v>
      </c>
      <c r="M1422">
        <v>21.3</v>
      </c>
      <c r="N1422">
        <v>33.5</v>
      </c>
      <c r="O1422">
        <v>34.4</v>
      </c>
      <c r="P1422">
        <v>42.5</v>
      </c>
      <c r="Q1422">
        <v>45.6</v>
      </c>
      <c r="R1422">
        <v>51.7</v>
      </c>
      <c r="S1422">
        <v>33.5</v>
      </c>
      <c r="T1422">
        <v>36</v>
      </c>
      <c r="U1422">
        <v>70.7</v>
      </c>
      <c r="V1422">
        <v>-14.2</v>
      </c>
      <c r="W1422" cm="1">
        <f t="array" ref="W1422">_xlfn.IFS(OR(X1422="N/A",X1422="NA"),0,OR(X1422="R64",X1422="R68"),1,X1422="R32",2,X1422="S16",3,X1422="E8",4,X1422="F4",5,X1422="2ND",6,X1422="Champions",7)</f>
        <v>0</v>
      </c>
      <c r="X1422" t="s">
        <v>90</v>
      </c>
      <c r="Y1422" t="s">
        <v>90</v>
      </c>
      <c r="Z1422">
        <v>2018</v>
      </c>
    </row>
    <row r="1423" spans="1:26" x14ac:dyDescent="0.3">
      <c r="A1423" t="s">
        <v>405</v>
      </c>
      <c r="B1423" t="s">
        <v>51</v>
      </c>
      <c r="C1423">
        <v>31</v>
      </c>
      <c r="D1423">
        <v>15</v>
      </c>
      <c r="E1423" s="1">
        <f t="shared" si="22"/>
        <v>0.4838709677419355</v>
      </c>
      <c r="F1423">
        <v>97.4</v>
      </c>
      <c r="G1423">
        <v>108.3</v>
      </c>
      <c r="H1423">
        <v>0.22850000000000001</v>
      </c>
      <c r="I1423">
        <v>44.8</v>
      </c>
      <c r="J1423">
        <v>51.5</v>
      </c>
      <c r="K1423">
        <v>17.8</v>
      </c>
      <c r="L1423">
        <v>20.399999999999999</v>
      </c>
      <c r="M1423">
        <v>28.2</v>
      </c>
      <c r="N1423">
        <v>30.3</v>
      </c>
      <c r="O1423">
        <v>41.2</v>
      </c>
      <c r="P1423">
        <v>45.5</v>
      </c>
      <c r="Q1423">
        <v>44.3</v>
      </c>
      <c r="R1423">
        <v>49.9</v>
      </c>
      <c r="S1423">
        <v>30.5</v>
      </c>
      <c r="T1423">
        <v>36.5</v>
      </c>
      <c r="U1423">
        <v>75.099999999999994</v>
      </c>
      <c r="V1423">
        <v>-10.8</v>
      </c>
      <c r="W1423" cm="1">
        <f t="array" ref="W1423">_xlfn.IFS(OR(X1423="N/A",X1423="NA"),0,OR(X1423="R64",X1423="R68"),1,X1423="R32",2,X1423="S16",3,X1423="E8",4,X1423="F4",5,X1423="2ND",6,X1423="Champions",7)</f>
        <v>0</v>
      </c>
      <c r="X1423" t="s">
        <v>90</v>
      </c>
      <c r="Y1423" t="s">
        <v>90</v>
      </c>
      <c r="Z1423">
        <v>2018</v>
      </c>
    </row>
    <row r="1424" spans="1:26" x14ac:dyDescent="0.3">
      <c r="A1424" t="s">
        <v>406</v>
      </c>
      <c r="B1424" t="s">
        <v>51</v>
      </c>
      <c r="C1424">
        <v>31</v>
      </c>
      <c r="D1424">
        <v>23</v>
      </c>
      <c r="E1424" s="1">
        <f t="shared" si="22"/>
        <v>0.74193548387096775</v>
      </c>
      <c r="F1424">
        <v>109</v>
      </c>
      <c r="G1424">
        <v>102</v>
      </c>
      <c r="H1424">
        <v>0.68140000000000001</v>
      </c>
      <c r="I1424">
        <v>54.2</v>
      </c>
      <c r="J1424">
        <v>48.1</v>
      </c>
      <c r="K1424">
        <v>19.8</v>
      </c>
      <c r="L1424">
        <v>17.5</v>
      </c>
      <c r="M1424">
        <v>30.9</v>
      </c>
      <c r="N1424">
        <v>27.5</v>
      </c>
      <c r="O1424">
        <v>39.1</v>
      </c>
      <c r="P1424">
        <v>28.5</v>
      </c>
      <c r="Q1424">
        <v>51.9</v>
      </c>
      <c r="R1424">
        <v>47.4</v>
      </c>
      <c r="S1424">
        <v>38.9</v>
      </c>
      <c r="T1424">
        <v>32.9</v>
      </c>
      <c r="U1424">
        <v>69.2</v>
      </c>
      <c r="V1424">
        <v>-4.0999999999999996</v>
      </c>
      <c r="W1424" cm="1">
        <f t="array" ref="W1424">_xlfn.IFS(OR(X1424="N/A",X1424="NA"),0,OR(X1424="R64",X1424="R68"),1,X1424="R32",2,X1424="S16",3,X1424="E8",4,X1424="F4",5,X1424="2ND",6,X1424="Champions",7)</f>
        <v>0</v>
      </c>
      <c r="X1424" t="s">
        <v>90</v>
      </c>
      <c r="Y1424" t="s">
        <v>90</v>
      </c>
      <c r="Z1424">
        <v>2018</v>
      </c>
    </row>
    <row r="1425" spans="1:26" x14ac:dyDescent="0.3">
      <c r="A1425" t="s">
        <v>408</v>
      </c>
      <c r="B1425" t="s">
        <v>51</v>
      </c>
      <c r="C1425">
        <v>27</v>
      </c>
      <c r="D1425">
        <v>16</v>
      </c>
      <c r="E1425" s="1">
        <f t="shared" si="22"/>
        <v>0.59259259259259256</v>
      </c>
      <c r="F1425">
        <v>104.9</v>
      </c>
      <c r="G1425">
        <v>107.5</v>
      </c>
      <c r="H1425">
        <v>0.43209999999999998</v>
      </c>
      <c r="I1425">
        <v>51.2</v>
      </c>
      <c r="J1425">
        <v>48.8</v>
      </c>
      <c r="K1425">
        <v>18</v>
      </c>
      <c r="L1425">
        <v>15.1</v>
      </c>
      <c r="M1425">
        <v>28.8</v>
      </c>
      <c r="N1425">
        <v>28.9</v>
      </c>
      <c r="O1425">
        <v>32.4</v>
      </c>
      <c r="P1425">
        <v>39.6</v>
      </c>
      <c r="Q1425">
        <v>50.4</v>
      </c>
      <c r="R1425">
        <v>46.9</v>
      </c>
      <c r="S1425">
        <v>34.799999999999997</v>
      </c>
      <c r="T1425">
        <v>35.4</v>
      </c>
      <c r="U1425">
        <v>69.400000000000006</v>
      </c>
      <c r="V1425">
        <v>-9</v>
      </c>
      <c r="W1425" cm="1">
        <f t="array" ref="W1425">_xlfn.IFS(OR(X1425="N/A",X1425="NA"),0,OR(X1425="R64",X1425="R68"),1,X1425="R32",2,X1425="S16",3,X1425="E8",4,X1425="F4",5,X1425="2ND",6,X1425="Champions",7)</f>
        <v>0</v>
      </c>
      <c r="X1425" t="s">
        <v>90</v>
      </c>
      <c r="Y1425" t="s">
        <v>90</v>
      </c>
      <c r="Z1425">
        <v>2019</v>
      </c>
    </row>
    <row r="1426" spans="1:26" x14ac:dyDescent="0.3">
      <c r="A1426" t="s">
        <v>400</v>
      </c>
      <c r="B1426" t="s">
        <v>51</v>
      </c>
      <c r="C1426">
        <v>31</v>
      </c>
      <c r="D1426">
        <v>18</v>
      </c>
      <c r="E1426" s="1">
        <f t="shared" si="22"/>
        <v>0.58064516129032262</v>
      </c>
      <c r="F1426">
        <v>101.4</v>
      </c>
      <c r="G1426">
        <v>107.2</v>
      </c>
      <c r="H1426">
        <v>0.34410000000000002</v>
      </c>
      <c r="I1426">
        <v>46.6</v>
      </c>
      <c r="J1426">
        <v>51.3</v>
      </c>
      <c r="K1426">
        <v>19</v>
      </c>
      <c r="L1426">
        <v>20.100000000000001</v>
      </c>
      <c r="M1426">
        <v>37.9</v>
      </c>
      <c r="N1426">
        <v>29.6</v>
      </c>
      <c r="O1426">
        <v>29.2</v>
      </c>
      <c r="P1426">
        <v>52.5</v>
      </c>
      <c r="Q1426">
        <v>46.7</v>
      </c>
      <c r="R1426">
        <v>49.5</v>
      </c>
      <c r="S1426">
        <v>31</v>
      </c>
      <c r="T1426">
        <v>36</v>
      </c>
      <c r="U1426">
        <v>66.5</v>
      </c>
      <c r="V1426">
        <v>-8.8000000000000007</v>
      </c>
      <c r="W1426" cm="1">
        <f t="array" ref="W1426">_xlfn.IFS(OR(X1426="N/A",X1426="NA"),0,OR(X1426="R64",X1426="R68"),1,X1426="R32",2,X1426="S16",3,X1426="E8",4,X1426="F4",5,X1426="2ND",6,X1426="Champions",7)</f>
        <v>0</v>
      </c>
      <c r="X1426" t="s">
        <v>90</v>
      </c>
      <c r="Y1426" t="s">
        <v>90</v>
      </c>
      <c r="Z1426">
        <v>2019</v>
      </c>
    </row>
    <row r="1427" spans="1:26" x14ac:dyDescent="0.3">
      <c r="A1427" t="s">
        <v>401</v>
      </c>
      <c r="B1427" t="s">
        <v>51</v>
      </c>
      <c r="C1427">
        <v>30</v>
      </c>
      <c r="D1427">
        <v>3</v>
      </c>
      <c r="E1427" s="1">
        <f t="shared" si="22"/>
        <v>0.1</v>
      </c>
      <c r="F1427">
        <v>88.5</v>
      </c>
      <c r="G1427">
        <v>117.3</v>
      </c>
      <c r="H1427">
        <v>3.7999999999999999E-2</v>
      </c>
      <c r="I1427">
        <v>44.2</v>
      </c>
      <c r="J1427">
        <v>57.8</v>
      </c>
      <c r="K1427">
        <v>22.5</v>
      </c>
      <c r="L1427">
        <v>16.7</v>
      </c>
      <c r="M1427">
        <v>22.1</v>
      </c>
      <c r="N1427">
        <v>33.9</v>
      </c>
      <c r="O1427">
        <v>33.1</v>
      </c>
      <c r="P1427">
        <v>33.9</v>
      </c>
      <c r="Q1427">
        <v>43.5</v>
      </c>
      <c r="R1427">
        <v>57.9</v>
      </c>
      <c r="S1427">
        <v>30.7</v>
      </c>
      <c r="T1427">
        <v>38.5</v>
      </c>
      <c r="U1427">
        <v>71.900000000000006</v>
      </c>
      <c r="V1427">
        <v>-20.9</v>
      </c>
      <c r="W1427" cm="1">
        <f t="array" ref="W1427">_xlfn.IFS(OR(X1427="N/A",X1427="NA"),0,OR(X1427="R64",X1427="R68"),1,X1427="R32",2,X1427="S16",3,X1427="E8",4,X1427="F4",5,X1427="2ND",6,X1427="Champions",7)</f>
        <v>0</v>
      </c>
      <c r="X1427" t="s">
        <v>90</v>
      </c>
      <c r="Y1427" t="s">
        <v>90</v>
      </c>
      <c r="Z1427">
        <v>2019</v>
      </c>
    </row>
    <row r="1428" spans="1:26" x14ac:dyDescent="0.3">
      <c r="A1428" t="s">
        <v>402</v>
      </c>
      <c r="B1428" t="s">
        <v>51</v>
      </c>
      <c r="C1428">
        <v>33</v>
      </c>
      <c r="D1428">
        <v>20</v>
      </c>
      <c r="E1428" s="1">
        <f t="shared" si="22"/>
        <v>0.60606060606060608</v>
      </c>
      <c r="F1428">
        <v>106.3</v>
      </c>
      <c r="G1428">
        <v>101.2</v>
      </c>
      <c r="H1428">
        <v>0.63649999999999995</v>
      </c>
      <c r="I1428">
        <v>51.4</v>
      </c>
      <c r="J1428">
        <v>49.9</v>
      </c>
      <c r="K1428">
        <v>17.3</v>
      </c>
      <c r="L1428">
        <v>19.3</v>
      </c>
      <c r="M1428">
        <v>29</v>
      </c>
      <c r="N1428">
        <v>25.7</v>
      </c>
      <c r="O1428">
        <v>33.700000000000003</v>
      </c>
      <c r="P1428">
        <v>29.7</v>
      </c>
      <c r="Q1428">
        <v>52.5</v>
      </c>
      <c r="R1428">
        <v>48.4</v>
      </c>
      <c r="S1428">
        <v>33.1</v>
      </c>
      <c r="T1428">
        <v>35.200000000000003</v>
      </c>
      <c r="U1428">
        <v>69.3</v>
      </c>
      <c r="V1428">
        <v>-5.6</v>
      </c>
      <c r="W1428" cm="1">
        <f t="array" ref="W1428">_xlfn.IFS(OR(X1428="N/A",X1428="NA"),0,OR(X1428="R64",X1428="R68"),1,X1428="R32",2,X1428="S16",3,X1428="E8",4,X1428="F4",5,X1428="2ND",6,X1428="Champions",7)</f>
        <v>0</v>
      </c>
      <c r="X1428" t="s">
        <v>90</v>
      </c>
      <c r="Y1428" t="s">
        <v>90</v>
      </c>
      <c r="Z1428">
        <v>2019</v>
      </c>
    </row>
    <row r="1429" spans="1:26" x14ac:dyDescent="0.3">
      <c r="A1429" t="s">
        <v>403</v>
      </c>
      <c r="B1429" t="s">
        <v>51</v>
      </c>
      <c r="C1429">
        <v>31</v>
      </c>
      <c r="D1429">
        <v>18</v>
      </c>
      <c r="E1429" s="1">
        <f t="shared" si="22"/>
        <v>0.58064516129032262</v>
      </c>
      <c r="F1429">
        <v>100</v>
      </c>
      <c r="G1429">
        <v>100.6</v>
      </c>
      <c r="H1429">
        <v>0.48070000000000002</v>
      </c>
      <c r="I1429">
        <v>49.1</v>
      </c>
      <c r="J1429">
        <v>46.7</v>
      </c>
      <c r="K1429">
        <v>17.5</v>
      </c>
      <c r="L1429">
        <v>15.8</v>
      </c>
      <c r="M1429">
        <v>29.3</v>
      </c>
      <c r="N1429">
        <v>26.5</v>
      </c>
      <c r="O1429">
        <v>34.299999999999997</v>
      </c>
      <c r="P1429">
        <v>38.5</v>
      </c>
      <c r="Q1429">
        <v>46.1</v>
      </c>
      <c r="R1429">
        <v>44.9</v>
      </c>
      <c r="S1429">
        <v>36.799999999999997</v>
      </c>
      <c r="T1429">
        <v>33.6</v>
      </c>
      <c r="U1429">
        <v>68.7</v>
      </c>
      <c r="V1429">
        <v>-8.9</v>
      </c>
      <c r="W1429" cm="1">
        <f t="array" ref="W1429">_xlfn.IFS(OR(X1429="N/A",X1429="NA"),0,OR(X1429="R64",X1429="R68"),1,X1429="R32",2,X1429="S16",3,X1429="E8",4,X1429="F4",5,X1429="2ND",6,X1429="Champions",7)</f>
        <v>0</v>
      </c>
      <c r="X1429" t="s">
        <v>90</v>
      </c>
      <c r="Y1429" t="s">
        <v>90</v>
      </c>
      <c r="Z1429">
        <v>2019</v>
      </c>
    </row>
    <row r="1430" spans="1:26" x14ac:dyDescent="0.3">
      <c r="A1430" t="s">
        <v>404</v>
      </c>
      <c r="B1430" t="s">
        <v>51</v>
      </c>
      <c r="C1430">
        <v>31</v>
      </c>
      <c r="D1430">
        <v>11</v>
      </c>
      <c r="E1430" s="1">
        <f t="shared" si="22"/>
        <v>0.35483870967741937</v>
      </c>
      <c r="F1430">
        <v>99.5</v>
      </c>
      <c r="G1430">
        <v>106.3</v>
      </c>
      <c r="H1430">
        <v>0.3201</v>
      </c>
      <c r="I1430">
        <v>49.8</v>
      </c>
      <c r="J1430">
        <v>53.6</v>
      </c>
      <c r="K1430">
        <v>17.2</v>
      </c>
      <c r="L1430">
        <v>20.9</v>
      </c>
      <c r="M1430">
        <v>23.5</v>
      </c>
      <c r="N1430">
        <v>32.299999999999997</v>
      </c>
      <c r="O1430">
        <v>32.4</v>
      </c>
      <c r="P1430">
        <v>36.700000000000003</v>
      </c>
      <c r="Q1430">
        <v>47.8</v>
      </c>
      <c r="R1430">
        <v>53</v>
      </c>
      <c r="S1430">
        <v>35.200000000000003</v>
      </c>
      <c r="T1430">
        <v>36.5</v>
      </c>
      <c r="U1430">
        <v>68</v>
      </c>
      <c r="V1430">
        <v>-13.6</v>
      </c>
      <c r="W1430" cm="1">
        <f t="array" ref="W1430">_xlfn.IFS(OR(X1430="N/A",X1430="NA"),0,OR(X1430="R64",X1430="R68"),1,X1430="R32",2,X1430="S16",3,X1430="E8",4,X1430="F4",5,X1430="2ND",6,X1430="Champions",7)</f>
        <v>0</v>
      </c>
      <c r="X1430" t="s">
        <v>90</v>
      </c>
      <c r="Y1430" t="s">
        <v>90</v>
      </c>
      <c r="Z1430">
        <v>2019</v>
      </c>
    </row>
    <row r="1431" spans="1:26" x14ac:dyDescent="0.3">
      <c r="A1431" t="s">
        <v>405</v>
      </c>
      <c r="B1431" t="s">
        <v>51</v>
      </c>
      <c r="C1431">
        <v>35</v>
      </c>
      <c r="D1431">
        <v>20</v>
      </c>
      <c r="E1431" s="1">
        <f t="shared" si="22"/>
        <v>0.5714285714285714</v>
      </c>
      <c r="F1431">
        <v>98</v>
      </c>
      <c r="G1431">
        <v>100.9</v>
      </c>
      <c r="H1431">
        <v>0.41670000000000001</v>
      </c>
      <c r="I1431">
        <v>46.3</v>
      </c>
      <c r="J1431">
        <v>50.4</v>
      </c>
      <c r="K1431">
        <v>18</v>
      </c>
      <c r="L1431">
        <v>24.3</v>
      </c>
      <c r="M1431">
        <v>26.5</v>
      </c>
      <c r="N1431">
        <v>32.6</v>
      </c>
      <c r="O1431">
        <v>42.7</v>
      </c>
      <c r="P1431">
        <v>43.5</v>
      </c>
      <c r="Q1431">
        <v>46</v>
      </c>
      <c r="R1431">
        <v>50.3</v>
      </c>
      <c r="S1431">
        <v>31.3</v>
      </c>
      <c r="T1431">
        <v>33.799999999999997</v>
      </c>
      <c r="U1431">
        <v>71.7</v>
      </c>
      <c r="V1431">
        <v>-8.1999999999999993</v>
      </c>
      <c r="W1431" cm="1">
        <f t="array" ref="W1431">_xlfn.IFS(OR(X1431="N/A",X1431="NA"),0,OR(X1431="R64",X1431="R68"),1,X1431="R32",2,X1431="S16",3,X1431="E8",4,X1431="F4",5,X1431="2ND",6,X1431="Champions",7)</f>
        <v>0</v>
      </c>
      <c r="X1431" t="s">
        <v>90</v>
      </c>
      <c r="Y1431" t="s">
        <v>90</v>
      </c>
      <c r="Z1431">
        <v>2019</v>
      </c>
    </row>
    <row r="1432" spans="1:26" x14ac:dyDescent="0.3">
      <c r="A1432" t="s">
        <v>406</v>
      </c>
      <c r="B1432" t="s">
        <v>51</v>
      </c>
      <c r="C1432">
        <v>33</v>
      </c>
      <c r="D1432">
        <v>25</v>
      </c>
      <c r="E1432" s="1">
        <f t="shared" si="22"/>
        <v>0.75757575757575757</v>
      </c>
      <c r="F1432">
        <v>107</v>
      </c>
      <c r="G1432">
        <v>102.6</v>
      </c>
      <c r="H1432">
        <v>0.61939999999999995</v>
      </c>
      <c r="I1432">
        <v>55.6</v>
      </c>
      <c r="J1432">
        <v>49.1</v>
      </c>
      <c r="K1432">
        <v>20.2</v>
      </c>
      <c r="L1432">
        <v>16.5</v>
      </c>
      <c r="M1432">
        <v>28</v>
      </c>
      <c r="N1432">
        <v>26.6</v>
      </c>
      <c r="O1432">
        <v>40.299999999999997</v>
      </c>
      <c r="P1432">
        <v>29.3</v>
      </c>
      <c r="Q1432">
        <v>54.2</v>
      </c>
      <c r="R1432">
        <v>47.3</v>
      </c>
      <c r="S1432">
        <v>38.5</v>
      </c>
      <c r="T1432">
        <v>34.9</v>
      </c>
      <c r="U1432">
        <v>69.900000000000006</v>
      </c>
      <c r="V1432">
        <v>-2.2999999999999998</v>
      </c>
      <c r="W1432" cm="1">
        <f t="array" ref="W1432">_xlfn.IFS(OR(X1432="N/A",X1432="NA"),0,OR(X1432="R64",X1432="R68"),1,X1432="R32",2,X1432="S16",3,X1432="E8",4,X1432="F4",5,X1432="2ND",6,X1432="Champions",7)</f>
        <v>0</v>
      </c>
      <c r="X1432" t="s">
        <v>90</v>
      </c>
      <c r="Y1432" t="s">
        <v>90</v>
      </c>
      <c r="Z1432">
        <v>2019</v>
      </c>
    </row>
    <row r="1433" spans="1:26" x14ac:dyDescent="0.3">
      <c r="A1433" t="s">
        <v>409</v>
      </c>
      <c r="B1433" t="s">
        <v>37</v>
      </c>
      <c r="C1433">
        <v>30</v>
      </c>
      <c r="D1433">
        <v>7</v>
      </c>
      <c r="E1433" s="1">
        <f t="shared" si="22"/>
        <v>0.23333333333333334</v>
      </c>
      <c r="F1433">
        <v>100.6</v>
      </c>
      <c r="G1433">
        <v>108.3</v>
      </c>
      <c r="H1433">
        <v>0.3004</v>
      </c>
      <c r="I1433">
        <v>46.3</v>
      </c>
      <c r="J1433">
        <v>53.7</v>
      </c>
      <c r="K1433">
        <v>21.5</v>
      </c>
      <c r="L1433">
        <v>18</v>
      </c>
      <c r="M1433">
        <v>33.5</v>
      </c>
      <c r="N1433">
        <v>34.1</v>
      </c>
      <c r="O1433">
        <v>36.200000000000003</v>
      </c>
      <c r="P1433">
        <v>35.5</v>
      </c>
      <c r="Q1433">
        <v>43.8</v>
      </c>
      <c r="R1433">
        <v>50.5</v>
      </c>
      <c r="S1433">
        <v>35.1</v>
      </c>
      <c r="T1433">
        <v>39.200000000000003</v>
      </c>
      <c r="U1433">
        <v>62.9</v>
      </c>
      <c r="V1433">
        <v>-12.9</v>
      </c>
      <c r="W1433" cm="1">
        <f t="array" ref="W1433">_xlfn.IFS(OR(X1433="N/A",X1433="NA"),0,OR(X1433="R64",X1433="R68"),1,X1433="R32",2,X1433="S16",3,X1433="E8",4,X1433="F4",5,X1433="2ND",6,X1433="Champions",7)</f>
        <v>0</v>
      </c>
      <c r="X1433" t="s">
        <v>90</v>
      </c>
      <c r="Y1433" t="s">
        <v>90</v>
      </c>
      <c r="Z1433">
        <v>2015</v>
      </c>
    </row>
    <row r="1434" spans="1:26" x14ac:dyDescent="0.3">
      <c r="A1434" t="s">
        <v>410</v>
      </c>
      <c r="B1434" t="s">
        <v>37</v>
      </c>
      <c r="C1434">
        <v>28</v>
      </c>
      <c r="D1434">
        <v>9</v>
      </c>
      <c r="E1434" s="1">
        <f t="shared" si="22"/>
        <v>0.32142857142857145</v>
      </c>
      <c r="F1434">
        <v>102.4</v>
      </c>
      <c r="G1434">
        <v>106.3</v>
      </c>
      <c r="H1434">
        <v>0.39340000000000003</v>
      </c>
      <c r="I1434">
        <v>46.8</v>
      </c>
      <c r="J1434">
        <v>51.9</v>
      </c>
      <c r="K1434">
        <v>19.8</v>
      </c>
      <c r="L1434">
        <v>16.2</v>
      </c>
      <c r="M1434">
        <v>34.6</v>
      </c>
      <c r="N1434">
        <v>31.3</v>
      </c>
      <c r="O1434">
        <v>39.4</v>
      </c>
      <c r="P1434">
        <v>43.1</v>
      </c>
      <c r="Q1434">
        <v>44.3</v>
      </c>
      <c r="R1434">
        <v>50.7</v>
      </c>
      <c r="S1434">
        <v>34.200000000000003</v>
      </c>
      <c r="T1434">
        <v>36.1</v>
      </c>
      <c r="U1434">
        <v>61.9</v>
      </c>
      <c r="V1434">
        <v>-10.7</v>
      </c>
      <c r="W1434" cm="1">
        <f t="array" ref="W1434">_xlfn.IFS(OR(X1434="N/A",X1434="NA"),0,OR(X1434="R64",X1434="R68"),1,X1434="R32",2,X1434="S16",3,X1434="E8",4,X1434="F4",5,X1434="2ND",6,X1434="Champions",7)</f>
        <v>0</v>
      </c>
      <c r="X1434" t="s">
        <v>90</v>
      </c>
      <c r="Y1434" t="s">
        <v>90</v>
      </c>
      <c r="Z1434">
        <v>2015</v>
      </c>
    </row>
    <row r="1435" spans="1:26" x14ac:dyDescent="0.3">
      <c r="A1435" t="s">
        <v>411</v>
      </c>
      <c r="B1435" t="s">
        <v>37</v>
      </c>
      <c r="C1435">
        <v>31</v>
      </c>
      <c r="D1435">
        <v>17</v>
      </c>
      <c r="E1435" s="1">
        <f t="shared" si="22"/>
        <v>0.54838709677419351</v>
      </c>
      <c r="F1435">
        <v>98</v>
      </c>
      <c r="G1435">
        <v>94.4</v>
      </c>
      <c r="H1435">
        <v>0.60529999999999995</v>
      </c>
      <c r="I1435">
        <v>46.9</v>
      </c>
      <c r="J1435">
        <v>45.6</v>
      </c>
      <c r="K1435">
        <v>19.3</v>
      </c>
      <c r="L1435">
        <v>19.100000000000001</v>
      </c>
      <c r="M1435">
        <v>28.7</v>
      </c>
      <c r="N1435">
        <v>32.799999999999997</v>
      </c>
      <c r="O1435">
        <v>37</v>
      </c>
      <c r="P1435">
        <v>33.799999999999997</v>
      </c>
      <c r="Q1435">
        <v>46.6</v>
      </c>
      <c r="R1435">
        <v>47.7</v>
      </c>
      <c r="S1435">
        <v>31.8</v>
      </c>
      <c r="T1435">
        <v>27.3</v>
      </c>
      <c r="U1435">
        <v>64.099999999999994</v>
      </c>
      <c r="V1435">
        <v>-3.8</v>
      </c>
      <c r="W1435" cm="1">
        <f t="array" ref="W1435">_xlfn.IFS(OR(X1435="N/A",X1435="NA"),0,OR(X1435="R64",X1435="R68"),1,X1435="R32",2,X1435="S16",3,X1435="E8",4,X1435="F4",5,X1435="2ND",6,X1435="Champions",7)</f>
        <v>0</v>
      </c>
      <c r="X1435" t="s">
        <v>90</v>
      </c>
      <c r="Y1435" t="s">
        <v>90</v>
      </c>
      <c r="Z1435">
        <v>2015</v>
      </c>
    </row>
    <row r="1436" spans="1:26" x14ac:dyDescent="0.3">
      <c r="A1436" t="s">
        <v>412</v>
      </c>
      <c r="B1436" t="s">
        <v>37</v>
      </c>
      <c r="C1436">
        <v>31</v>
      </c>
      <c r="D1436">
        <v>15</v>
      </c>
      <c r="E1436" s="1">
        <f t="shared" si="22"/>
        <v>0.4838709677419355</v>
      </c>
      <c r="F1436">
        <v>107.7</v>
      </c>
      <c r="G1436">
        <v>102.7</v>
      </c>
      <c r="H1436">
        <v>0.63270000000000004</v>
      </c>
      <c r="I1436">
        <v>50</v>
      </c>
      <c r="J1436">
        <v>49.7</v>
      </c>
      <c r="K1436">
        <v>18.3</v>
      </c>
      <c r="L1436">
        <v>17.2</v>
      </c>
      <c r="M1436">
        <v>35</v>
      </c>
      <c r="N1436">
        <v>30.7</v>
      </c>
      <c r="O1436">
        <v>36.1</v>
      </c>
      <c r="P1436">
        <v>35.9</v>
      </c>
      <c r="Q1436">
        <v>46.9</v>
      </c>
      <c r="R1436">
        <v>49</v>
      </c>
      <c r="S1436">
        <v>37.799999999999997</v>
      </c>
      <c r="T1436">
        <v>34.1</v>
      </c>
      <c r="U1436">
        <v>64.5</v>
      </c>
      <c r="V1436">
        <v>-6.2</v>
      </c>
      <c r="W1436" cm="1">
        <f t="array" ref="W1436">_xlfn.IFS(OR(X1436="N/A",X1436="NA"),0,OR(X1436="R64",X1436="R68"),1,X1436="R32",2,X1436="S16",3,X1436="E8",4,X1436="F4",5,X1436="2ND",6,X1436="Champions",7)</f>
        <v>0</v>
      </c>
      <c r="X1436" t="s">
        <v>90</v>
      </c>
      <c r="Y1436" t="s">
        <v>90</v>
      </c>
      <c r="Z1436">
        <v>2015</v>
      </c>
    </row>
    <row r="1437" spans="1:26" x14ac:dyDescent="0.3">
      <c r="A1437" t="s">
        <v>413</v>
      </c>
      <c r="B1437" t="s">
        <v>37</v>
      </c>
      <c r="C1437">
        <v>30</v>
      </c>
      <c r="D1437">
        <v>20</v>
      </c>
      <c r="E1437" s="1">
        <f t="shared" si="22"/>
        <v>0.66666666666666663</v>
      </c>
      <c r="F1437">
        <v>110</v>
      </c>
      <c r="G1437">
        <v>97.7</v>
      </c>
      <c r="H1437">
        <v>0.79649999999999999</v>
      </c>
      <c r="I1437">
        <v>52.4</v>
      </c>
      <c r="J1437">
        <v>48</v>
      </c>
      <c r="K1437">
        <v>18.8</v>
      </c>
      <c r="L1437">
        <v>15.4</v>
      </c>
      <c r="M1437">
        <v>33.200000000000003</v>
      </c>
      <c r="N1437">
        <v>24.7</v>
      </c>
      <c r="O1437">
        <v>34.1</v>
      </c>
      <c r="P1437">
        <v>33.200000000000003</v>
      </c>
      <c r="Q1437">
        <v>50.6</v>
      </c>
      <c r="R1437">
        <v>47.2</v>
      </c>
      <c r="S1437">
        <v>37.1</v>
      </c>
      <c r="T1437">
        <v>33.1</v>
      </c>
      <c r="U1437">
        <v>63.2</v>
      </c>
      <c r="V1437">
        <v>-0.8</v>
      </c>
      <c r="W1437" cm="1">
        <f t="array" ref="W1437">_xlfn.IFS(OR(X1437="N/A",X1437="NA"),0,OR(X1437="R64",X1437="R68"),1,X1437="R32",2,X1437="S16",3,X1437="E8",4,X1437="F4",5,X1437="2ND",6,X1437="Champions",7)</f>
        <v>0</v>
      </c>
      <c r="X1437" t="s">
        <v>90</v>
      </c>
      <c r="Y1437" t="s">
        <v>90</v>
      </c>
      <c r="Z1437">
        <v>2015</v>
      </c>
    </row>
    <row r="1438" spans="1:26" x14ac:dyDescent="0.3">
      <c r="A1438" t="s">
        <v>414</v>
      </c>
      <c r="B1438" t="s">
        <v>37</v>
      </c>
      <c r="C1438">
        <v>30</v>
      </c>
      <c r="D1438">
        <v>14</v>
      </c>
      <c r="E1438" s="1">
        <f t="shared" si="22"/>
        <v>0.46666666666666667</v>
      </c>
      <c r="F1438">
        <v>102</v>
      </c>
      <c r="G1438">
        <v>95.5</v>
      </c>
      <c r="H1438">
        <v>0.67979999999999996</v>
      </c>
      <c r="I1438">
        <v>48</v>
      </c>
      <c r="J1438">
        <v>47.9</v>
      </c>
      <c r="K1438">
        <v>18.399999999999999</v>
      </c>
      <c r="L1438">
        <v>21.3</v>
      </c>
      <c r="M1438">
        <v>30</v>
      </c>
      <c r="N1438">
        <v>31.6</v>
      </c>
      <c r="O1438">
        <v>38.4</v>
      </c>
      <c r="P1438">
        <v>42</v>
      </c>
      <c r="Q1438">
        <v>46</v>
      </c>
      <c r="R1438">
        <v>46.9</v>
      </c>
      <c r="S1438">
        <v>34.5</v>
      </c>
      <c r="T1438">
        <v>33.700000000000003</v>
      </c>
      <c r="U1438">
        <v>63.5</v>
      </c>
      <c r="V1438">
        <v>-6.4</v>
      </c>
      <c r="W1438" cm="1">
        <f t="array" ref="W1438">_xlfn.IFS(OR(X1438="N/A",X1438="NA"),0,OR(X1438="R64",X1438="R68"),1,X1438="R32",2,X1438="S16",3,X1438="E8",4,X1438="F4",5,X1438="2ND",6,X1438="Champions",7)</f>
        <v>0</v>
      </c>
      <c r="X1438" t="s">
        <v>90</v>
      </c>
      <c r="Y1438" t="s">
        <v>90</v>
      </c>
      <c r="Z1438">
        <v>2015</v>
      </c>
    </row>
    <row r="1439" spans="1:26" x14ac:dyDescent="0.3">
      <c r="A1439" t="s">
        <v>415</v>
      </c>
      <c r="B1439" t="s">
        <v>37</v>
      </c>
      <c r="C1439">
        <v>31</v>
      </c>
      <c r="D1439">
        <v>13</v>
      </c>
      <c r="E1439" s="1">
        <f t="shared" si="22"/>
        <v>0.41935483870967744</v>
      </c>
      <c r="F1439">
        <v>104.3</v>
      </c>
      <c r="G1439">
        <v>99.8</v>
      </c>
      <c r="H1439">
        <v>0.62519999999999998</v>
      </c>
      <c r="I1439">
        <v>50.7</v>
      </c>
      <c r="J1439">
        <v>49.2</v>
      </c>
      <c r="K1439">
        <v>17.899999999999999</v>
      </c>
      <c r="L1439">
        <v>18.899999999999999</v>
      </c>
      <c r="M1439">
        <v>30.5</v>
      </c>
      <c r="N1439">
        <v>30.8</v>
      </c>
      <c r="O1439">
        <v>41</v>
      </c>
      <c r="P1439">
        <v>38.700000000000003</v>
      </c>
      <c r="Q1439">
        <v>50.7</v>
      </c>
      <c r="R1439">
        <v>46.9</v>
      </c>
      <c r="S1439">
        <v>33.700000000000003</v>
      </c>
      <c r="T1439">
        <v>35.5</v>
      </c>
      <c r="U1439">
        <v>66.099999999999994</v>
      </c>
      <c r="V1439">
        <v>-9.1999999999999993</v>
      </c>
      <c r="W1439" cm="1">
        <f t="array" ref="W1439">_xlfn.IFS(OR(X1439="N/A",X1439="NA"),0,OR(X1439="R64",X1439="R68"),1,X1439="R32",2,X1439="S16",3,X1439="E8",4,X1439="F4",5,X1439="2ND",6,X1439="Champions",7)</f>
        <v>0</v>
      </c>
      <c r="X1439" t="s">
        <v>90</v>
      </c>
      <c r="Y1439" t="s">
        <v>90</v>
      </c>
      <c r="Z1439">
        <v>2015</v>
      </c>
    </row>
    <row r="1440" spans="1:26" x14ac:dyDescent="0.3">
      <c r="A1440" t="s">
        <v>416</v>
      </c>
      <c r="B1440" t="s">
        <v>37</v>
      </c>
      <c r="C1440">
        <v>30</v>
      </c>
      <c r="D1440">
        <v>12</v>
      </c>
      <c r="E1440" s="1">
        <f t="shared" si="22"/>
        <v>0.4</v>
      </c>
      <c r="F1440">
        <v>104.8</v>
      </c>
      <c r="G1440">
        <v>104</v>
      </c>
      <c r="H1440">
        <v>0.52159999999999995</v>
      </c>
      <c r="I1440">
        <v>48.2</v>
      </c>
      <c r="J1440">
        <v>51.7</v>
      </c>
      <c r="K1440">
        <v>17.100000000000001</v>
      </c>
      <c r="L1440">
        <v>19.100000000000001</v>
      </c>
      <c r="M1440">
        <v>28.1</v>
      </c>
      <c r="N1440">
        <v>34.1</v>
      </c>
      <c r="O1440">
        <v>31.1</v>
      </c>
      <c r="P1440">
        <v>43.2</v>
      </c>
      <c r="Q1440">
        <v>46</v>
      </c>
      <c r="R1440">
        <v>49.2</v>
      </c>
      <c r="S1440">
        <v>34.6</v>
      </c>
      <c r="T1440">
        <v>37.700000000000003</v>
      </c>
      <c r="U1440">
        <v>61.6</v>
      </c>
      <c r="V1440">
        <v>-8.6999999999999993</v>
      </c>
      <c r="W1440" cm="1">
        <f t="array" ref="W1440">_xlfn.IFS(OR(X1440="N/A",X1440="NA"),0,OR(X1440="R64",X1440="R68"),1,X1440="R32",2,X1440="S16",3,X1440="E8",4,X1440="F4",5,X1440="2ND",6,X1440="Champions",7)</f>
        <v>0</v>
      </c>
      <c r="X1440" t="s">
        <v>90</v>
      </c>
      <c r="Y1440" t="s">
        <v>90</v>
      </c>
      <c r="Z1440">
        <v>2015</v>
      </c>
    </row>
    <row r="1441" spans="1:26" x14ac:dyDescent="0.3">
      <c r="A1441" t="s">
        <v>417</v>
      </c>
      <c r="B1441" t="s">
        <v>37</v>
      </c>
      <c r="C1441">
        <v>36</v>
      </c>
      <c r="D1441">
        <v>25</v>
      </c>
      <c r="E1441" s="1">
        <f t="shared" si="22"/>
        <v>0.69444444444444442</v>
      </c>
      <c r="F1441">
        <v>112</v>
      </c>
      <c r="G1441">
        <v>98.1</v>
      </c>
      <c r="H1441">
        <v>0.82230000000000003</v>
      </c>
      <c r="I1441">
        <v>52.9</v>
      </c>
      <c r="J1441">
        <v>48.3</v>
      </c>
      <c r="K1441">
        <v>15.8</v>
      </c>
      <c r="L1441">
        <v>17.8</v>
      </c>
      <c r="M1441">
        <v>31.2</v>
      </c>
      <c r="N1441">
        <v>25.2</v>
      </c>
      <c r="O1441">
        <v>35.299999999999997</v>
      </c>
      <c r="P1441">
        <v>31.9</v>
      </c>
      <c r="Q1441">
        <v>50.2</v>
      </c>
      <c r="R1441">
        <v>47</v>
      </c>
      <c r="S1441">
        <v>38.4</v>
      </c>
      <c r="T1441">
        <v>33.700000000000003</v>
      </c>
      <c r="U1441">
        <v>74.400000000000006</v>
      </c>
      <c r="V1441">
        <v>-1.5</v>
      </c>
      <c r="W1441" cm="1">
        <f t="array" ref="W1441">_xlfn.IFS(OR(X1441="N/A",X1441="NA"),0,OR(X1441="R64",X1441="R68"),1,X1441="R32",2,X1441="S16",3,X1441="E8",4,X1441="F4",5,X1441="2ND",6,X1441="Champions",7)</f>
        <v>0</v>
      </c>
      <c r="X1441" t="s">
        <v>90</v>
      </c>
      <c r="Y1441" t="s">
        <v>90</v>
      </c>
      <c r="Z1441">
        <v>2016</v>
      </c>
    </row>
    <row r="1442" spans="1:26" x14ac:dyDescent="0.3">
      <c r="A1442" t="s">
        <v>409</v>
      </c>
      <c r="B1442" t="s">
        <v>37</v>
      </c>
      <c r="C1442">
        <v>30</v>
      </c>
      <c r="D1442">
        <v>13</v>
      </c>
      <c r="E1442" s="1">
        <f t="shared" si="22"/>
        <v>0.43333333333333335</v>
      </c>
      <c r="F1442">
        <v>103.5</v>
      </c>
      <c r="G1442">
        <v>106.6</v>
      </c>
      <c r="H1442">
        <v>0.41739999999999999</v>
      </c>
      <c r="I1442">
        <v>47.5</v>
      </c>
      <c r="J1442">
        <v>53.5</v>
      </c>
      <c r="K1442">
        <v>16.2</v>
      </c>
      <c r="L1442">
        <v>20.2</v>
      </c>
      <c r="M1442">
        <v>28.9</v>
      </c>
      <c r="N1442">
        <v>31.7</v>
      </c>
      <c r="O1442">
        <v>28.4</v>
      </c>
      <c r="P1442">
        <v>42.7</v>
      </c>
      <c r="Q1442">
        <v>45.7</v>
      </c>
      <c r="R1442">
        <v>51.6</v>
      </c>
      <c r="S1442">
        <v>33.9</v>
      </c>
      <c r="T1442">
        <v>37.700000000000003</v>
      </c>
      <c r="U1442">
        <v>68.400000000000006</v>
      </c>
      <c r="V1442">
        <v>-9</v>
      </c>
      <c r="W1442" cm="1">
        <f t="array" ref="W1442">_xlfn.IFS(OR(X1442="N/A",X1442="NA"),0,OR(X1442="R64",X1442="R68"),1,X1442="R32",2,X1442="S16",3,X1442="E8",4,X1442="F4",5,X1442="2ND",6,X1442="Champions",7)</f>
        <v>0</v>
      </c>
      <c r="X1442" t="s">
        <v>90</v>
      </c>
      <c r="Y1442" t="s">
        <v>90</v>
      </c>
      <c r="Z1442">
        <v>2016</v>
      </c>
    </row>
    <row r="1443" spans="1:26" x14ac:dyDescent="0.3">
      <c r="A1443" t="s">
        <v>410</v>
      </c>
      <c r="B1443" t="s">
        <v>37</v>
      </c>
      <c r="C1443">
        <v>26</v>
      </c>
      <c r="D1443">
        <v>6</v>
      </c>
      <c r="E1443" s="1">
        <f t="shared" si="22"/>
        <v>0.23076923076923078</v>
      </c>
      <c r="F1443">
        <v>99.9</v>
      </c>
      <c r="G1443">
        <v>103.8</v>
      </c>
      <c r="H1443">
        <v>0.39240000000000003</v>
      </c>
      <c r="I1443">
        <v>49</v>
      </c>
      <c r="J1443">
        <v>50.1</v>
      </c>
      <c r="K1443">
        <v>19.8</v>
      </c>
      <c r="L1443">
        <v>16.5</v>
      </c>
      <c r="M1443">
        <v>28.5</v>
      </c>
      <c r="N1443">
        <v>29.6</v>
      </c>
      <c r="O1443">
        <v>38.4</v>
      </c>
      <c r="P1443">
        <v>49.3</v>
      </c>
      <c r="Q1443">
        <v>49.3</v>
      </c>
      <c r="R1443">
        <v>47.2</v>
      </c>
      <c r="S1443">
        <v>32.200000000000003</v>
      </c>
      <c r="T1443">
        <v>36.6</v>
      </c>
      <c r="U1443">
        <v>67.599999999999994</v>
      </c>
      <c r="V1443">
        <v>-12.7</v>
      </c>
      <c r="W1443" cm="1">
        <f t="array" ref="W1443">_xlfn.IFS(OR(X1443="N/A",X1443="NA"),0,OR(X1443="R64",X1443="R68"),1,X1443="R32",2,X1443="S16",3,X1443="E8",4,X1443="F4",5,X1443="2ND",6,X1443="Champions",7)</f>
        <v>0</v>
      </c>
      <c r="X1443" t="s">
        <v>90</v>
      </c>
      <c r="Y1443" t="s">
        <v>90</v>
      </c>
      <c r="Z1443">
        <v>2016</v>
      </c>
    </row>
    <row r="1444" spans="1:26" x14ac:dyDescent="0.3">
      <c r="A1444" t="s">
        <v>411</v>
      </c>
      <c r="B1444" t="s">
        <v>37</v>
      </c>
      <c r="C1444">
        <v>31</v>
      </c>
      <c r="D1444">
        <v>17</v>
      </c>
      <c r="E1444" s="1">
        <f t="shared" si="22"/>
        <v>0.54838709677419351</v>
      </c>
      <c r="F1444">
        <v>105.6</v>
      </c>
      <c r="G1444">
        <v>102.7</v>
      </c>
      <c r="H1444">
        <v>0.57930000000000004</v>
      </c>
      <c r="I1444">
        <v>49</v>
      </c>
      <c r="J1444">
        <v>49.8</v>
      </c>
      <c r="K1444">
        <v>16</v>
      </c>
      <c r="L1444">
        <v>16.100000000000001</v>
      </c>
      <c r="M1444">
        <v>30.3</v>
      </c>
      <c r="N1444">
        <v>29.8</v>
      </c>
      <c r="O1444">
        <v>41.1</v>
      </c>
      <c r="P1444">
        <v>31.4</v>
      </c>
      <c r="Q1444">
        <v>48.3</v>
      </c>
      <c r="R1444">
        <v>50.2</v>
      </c>
      <c r="S1444">
        <v>34</v>
      </c>
      <c r="T1444">
        <v>32.6</v>
      </c>
      <c r="U1444">
        <v>68.400000000000006</v>
      </c>
      <c r="V1444">
        <v>-5</v>
      </c>
      <c r="W1444" cm="1">
        <f t="array" ref="W1444">_xlfn.IFS(OR(X1444="N/A",X1444="NA"),0,OR(X1444="R64",X1444="R68"),1,X1444="R32",2,X1444="S16",3,X1444="E8",4,X1444="F4",5,X1444="2ND",6,X1444="Champions",7)</f>
        <v>0</v>
      </c>
      <c r="X1444" t="s">
        <v>90</v>
      </c>
      <c r="Y1444" t="s">
        <v>90</v>
      </c>
      <c r="Z1444">
        <v>2016</v>
      </c>
    </row>
    <row r="1445" spans="1:26" x14ac:dyDescent="0.3">
      <c r="A1445" t="s">
        <v>412</v>
      </c>
      <c r="B1445" t="s">
        <v>37</v>
      </c>
      <c r="C1445">
        <v>31</v>
      </c>
      <c r="D1445">
        <v>11</v>
      </c>
      <c r="E1445" s="1">
        <f t="shared" si="22"/>
        <v>0.35483870967741937</v>
      </c>
      <c r="F1445">
        <v>107.6</v>
      </c>
      <c r="G1445">
        <v>109.2</v>
      </c>
      <c r="H1445">
        <v>0.45879999999999999</v>
      </c>
      <c r="I1445">
        <v>49.9</v>
      </c>
      <c r="J1445">
        <v>52.4</v>
      </c>
      <c r="K1445">
        <v>16.8</v>
      </c>
      <c r="L1445">
        <v>18.399999999999999</v>
      </c>
      <c r="M1445">
        <v>30.7</v>
      </c>
      <c r="N1445">
        <v>34.200000000000003</v>
      </c>
      <c r="O1445">
        <v>31.4</v>
      </c>
      <c r="P1445">
        <v>41.4</v>
      </c>
      <c r="Q1445">
        <v>47</v>
      </c>
      <c r="R1445">
        <v>49.4</v>
      </c>
      <c r="S1445">
        <v>36.299999999999997</v>
      </c>
      <c r="T1445">
        <v>38.5</v>
      </c>
      <c r="U1445">
        <v>72.8</v>
      </c>
      <c r="V1445">
        <v>-12.3</v>
      </c>
      <c r="W1445" cm="1">
        <f t="array" ref="W1445">_xlfn.IFS(OR(X1445="N/A",X1445="NA"),0,OR(X1445="R64",X1445="R68"),1,X1445="R32",2,X1445="S16",3,X1445="E8",4,X1445="F4",5,X1445="2ND",6,X1445="Champions",7)</f>
        <v>0</v>
      </c>
      <c r="X1445" t="s">
        <v>90</v>
      </c>
      <c r="Y1445" t="s">
        <v>90</v>
      </c>
      <c r="Z1445">
        <v>2016</v>
      </c>
    </row>
    <row r="1446" spans="1:26" x14ac:dyDescent="0.3">
      <c r="A1446" t="s">
        <v>413</v>
      </c>
      <c r="B1446" t="s">
        <v>37</v>
      </c>
      <c r="C1446">
        <v>34</v>
      </c>
      <c r="D1446">
        <v>28</v>
      </c>
      <c r="E1446" s="1">
        <f t="shared" si="22"/>
        <v>0.82352941176470584</v>
      </c>
      <c r="F1446">
        <v>117.6</v>
      </c>
      <c r="G1446">
        <v>98.6</v>
      </c>
      <c r="H1446">
        <v>0.88300000000000001</v>
      </c>
      <c r="I1446">
        <v>58.4</v>
      </c>
      <c r="J1446">
        <v>46.2</v>
      </c>
      <c r="K1446">
        <v>15.4</v>
      </c>
      <c r="L1446">
        <v>15.5</v>
      </c>
      <c r="M1446">
        <v>29.8</v>
      </c>
      <c r="N1446">
        <v>26.7</v>
      </c>
      <c r="O1446">
        <v>29</v>
      </c>
      <c r="P1446">
        <v>24.1</v>
      </c>
      <c r="Q1446">
        <v>56.4</v>
      </c>
      <c r="R1446">
        <v>44.8</v>
      </c>
      <c r="S1446">
        <v>41</v>
      </c>
      <c r="T1446">
        <v>32.700000000000003</v>
      </c>
      <c r="U1446">
        <v>62.5</v>
      </c>
      <c r="V1446">
        <v>2</v>
      </c>
      <c r="W1446" cm="1">
        <f t="array" ref="W1446">_xlfn.IFS(OR(X1446="N/A",X1446="NA"),0,OR(X1446="R64",X1446="R68"),1,X1446="R32",2,X1446="S16",3,X1446="E8",4,X1446="F4",5,X1446="2ND",6,X1446="Champions",7)</f>
        <v>0</v>
      </c>
      <c r="X1446" t="s">
        <v>90</v>
      </c>
      <c r="Y1446" t="s">
        <v>90</v>
      </c>
      <c r="Z1446">
        <v>2016</v>
      </c>
    </row>
    <row r="1447" spans="1:26" x14ac:dyDescent="0.3">
      <c r="A1447" t="s">
        <v>414</v>
      </c>
      <c r="B1447" t="s">
        <v>37</v>
      </c>
      <c r="C1447">
        <v>29</v>
      </c>
      <c r="D1447">
        <v>8</v>
      </c>
      <c r="E1447" s="1">
        <f t="shared" si="22"/>
        <v>0.27586206896551724</v>
      </c>
      <c r="F1447">
        <v>92.8</v>
      </c>
      <c r="G1447">
        <v>101</v>
      </c>
      <c r="H1447">
        <v>0.27429999999999999</v>
      </c>
      <c r="I1447">
        <v>45.2</v>
      </c>
      <c r="J1447">
        <v>50</v>
      </c>
      <c r="K1447">
        <v>20.6</v>
      </c>
      <c r="L1447">
        <v>17.399999999999999</v>
      </c>
      <c r="M1447">
        <v>26</v>
      </c>
      <c r="N1447">
        <v>28.8</v>
      </c>
      <c r="O1447">
        <v>33.9</v>
      </c>
      <c r="P1447">
        <v>42.1</v>
      </c>
      <c r="Q1447">
        <v>46.1</v>
      </c>
      <c r="R1447">
        <v>48.1</v>
      </c>
      <c r="S1447">
        <v>29.2</v>
      </c>
      <c r="T1447">
        <v>36.200000000000003</v>
      </c>
      <c r="U1447">
        <v>67</v>
      </c>
      <c r="V1447">
        <v>-13.5</v>
      </c>
      <c r="W1447" cm="1">
        <f t="array" ref="W1447">_xlfn.IFS(OR(X1447="N/A",X1447="NA"),0,OR(X1447="R64",X1447="R68"),1,X1447="R32",2,X1447="S16",3,X1447="E8",4,X1447="F4",5,X1447="2ND",6,X1447="Champions",7)</f>
        <v>0</v>
      </c>
      <c r="X1447" t="s">
        <v>90</v>
      </c>
      <c r="Y1447" t="s">
        <v>90</v>
      </c>
      <c r="Z1447">
        <v>2016</v>
      </c>
    </row>
    <row r="1448" spans="1:26" x14ac:dyDescent="0.3">
      <c r="A1448" t="s">
        <v>415</v>
      </c>
      <c r="B1448" t="s">
        <v>37</v>
      </c>
      <c r="C1448">
        <v>29</v>
      </c>
      <c r="D1448">
        <v>14</v>
      </c>
      <c r="E1448" s="1">
        <f t="shared" si="22"/>
        <v>0.48275862068965519</v>
      </c>
      <c r="F1448">
        <v>105.5</v>
      </c>
      <c r="G1448">
        <v>109.6</v>
      </c>
      <c r="H1448">
        <v>0.39079999999999998</v>
      </c>
      <c r="I1448">
        <v>50</v>
      </c>
      <c r="J1448">
        <v>51.7</v>
      </c>
      <c r="K1448">
        <v>17.8</v>
      </c>
      <c r="L1448">
        <v>16</v>
      </c>
      <c r="M1448">
        <v>33.4</v>
      </c>
      <c r="N1448">
        <v>30.2</v>
      </c>
      <c r="O1448">
        <v>39.1</v>
      </c>
      <c r="P1448">
        <v>35.799999999999997</v>
      </c>
      <c r="Q1448">
        <v>48.5</v>
      </c>
      <c r="R1448">
        <v>47.8</v>
      </c>
      <c r="S1448">
        <v>35.1</v>
      </c>
      <c r="T1448">
        <v>38.6</v>
      </c>
      <c r="U1448">
        <v>71.099999999999994</v>
      </c>
      <c r="V1448">
        <v>-8.4</v>
      </c>
      <c r="W1448" cm="1">
        <f t="array" ref="W1448">_xlfn.IFS(OR(X1448="N/A",X1448="NA"),0,OR(X1448="R64",X1448="R68"),1,X1448="R32",2,X1448="S16",3,X1448="E8",4,X1448="F4",5,X1448="2ND",6,X1448="Champions",7)</f>
        <v>0</v>
      </c>
      <c r="X1448" t="s">
        <v>90</v>
      </c>
      <c r="Y1448" t="s">
        <v>90</v>
      </c>
      <c r="Z1448">
        <v>2016</v>
      </c>
    </row>
    <row r="1449" spans="1:26" x14ac:dyDescent="0.3">
      <c r="A1449" t="s">
        <v>416</v>
      </c>
      <c r="B1449" t="s">
        <v>37</v>
      </c>
      <c r="C1449">
        <v>30</v>
      </c>
      <c r="D1449">
        <v>10</v>
      </c>
      <c r="E1449" s="1">
        <f t="shared" si="22"/>
        <v>0.33333333333333331</v>
      </c>
      <c r="F1449">
        <v>101.1</v>
      </c>
      <c r="G1449">
        <v>107.2</v>
      </c>
      <c r="H1449">
        <v>0.33829999999999999</v>
      </c>
      <c r="I1449">
        <v>47.9</v>
      </c>
      <c r="J1449">
        <v>50.8</v>
      </c>
      <c r="K1449">
        <v>16.899999999999999</v>
      </c>
      <c r="L1449">
        <v>16.7</v>
      </c>
      <c r="M1449">
        <v>24.4</v>
      </c>
      <c r="N1449">
        <v>30</v>
      </c>
      <c r="O1449">
        <v>33.799999999999997</v>
      </c>
      <c r="P1449">
        <v>36.799999999999997</v>
      </c>
      <c r="Q1449">
        <v>45.2</v>
      </c>
      <c r="R1449">
        <v>50.4</v>
      </c>
      <c r="S1449">
        <v>34.799999999999997</v>
      </c>
      <c r="T1449">
        <v>34.4</v>
      </c>
      <c r="U1449">
        <v>66.5</v>
      </c>
      <c r="V1449">
        <v>-11.9</v>
      </c>
      <c r="W1449" cm="1">
        <f t="array" ref="W1449">_xlfn.IFS(OR(X1449="N/A",X1449="NA"),0,OR(X1449="R64",X1449="R68"),1,X1449="R32",2,X1449="S16",3,X1449="E8",4,X1449="F4",5,X1449="2ND",6,X1449="Champions",7)</f>
        <v>0</v>
      </c>
      <c r="X1449" t="s">
        <v>90</v>
      </c>
      <c r="Y1449" t="s">
        <v>90</v>
      </c>
      <c r="Z1449">
        <v>2016</v>
      </c>
    </row>
    <row r="1450" spans="1:26" x14ac:dyDescent="0.3">
      <c r="A1450" t="s">
        <v>417</v>
      </c>
      <c r="B1450" t="s">
        <v>37</v>
      </c>
      <c r="C1450">
        <v>34</v>
      </c>
      <c r="D1450">
        <v>22</v>
      </c>
      <c r="E1450" s="1">
        <f t="shared" si="22"/>
        <v>0.6470588235294118</v>
      </c>
      <c r="F1450">
        <v>108.2</v>
      </c>
      <c r="G1450">
        <v>99.5</v>
      </c>
      <c r="H1450">
        <v>0.72489999999999999</v>
      </c>
      <c r="I1450">
        <v>51.2</v>
      </c>
      <c r="J1450">
        <v>47.9</v>
      </c>
      <c r="K1450">
        <v>18.2</v>
      </c>
      <c r="L1450">
        <v>16.2</v>
      </c>
      <c r="M1450">
        <v>29.1</v>
      </c>
      <c r="N1450">
        <v>24.8</v>
      </c>
      <c r="O1450">
        <v>42.3</v>
      </c>
      <c r="P1450">
        <v>31.1</v>
      </c>
      <c r="Q1450">
        <v>50.9</v>
      </c>
      <c r="R1450">
        <v>47.5</v>
      </c>
      <c r="S1450">
        <v>34.4</v>
      </c>
      <c r="T1450">
        <v>32.4</v>
      </c>
      <c r="U1450">
        <v>77.3</v>
      </c>
      <c r="V1450">
        <v>-2.4</v>
      </c>
      <c r="W1450" cm="1">
        <f t="array" ref="W1450">_xlfn.IFS(OR(X1450="N/A",X1450="NA"),0,OR(X1450="R64",X1450="R68"),1,X1450="R32",2,X1450="S16",3,X1450="E8",4,X1450="F4",5,X1450="2ND",6,X1450="Champions",7)</f>
        <v>0</v>
      </c>
      <c r="X1450" t="s">
        <v>90</v>
      </c>
      <c r="Y1450" t="s">
        <v>90</v>
      </c>
      <c r="Z1450">
        <v>2017</v>
      </c>
    </row>
    <row r="1451" spans="1:26" x14ac:dyDescent="0.3">
      <c r="A1451" t="s">
        <v>409</v>
      </c>
      <c r="B1451" t="s">
        <v>37</v>
      </c>
      <c r="C1451">
        <v>29</v>
      </c>
      <c r="D1451">
        <v>15</v>
      </c>
      <c r="E1451" s="1">
        <f t="shared" si="22"/>
        <v>0.51724137931034486</v>
      </c>
      <c r="F1451">
        <v>101.6</v>
      </c>
      <c r="G1451">
        <v>102.2</v>
      </c>
      <c r="H1451">
        <v>0.48220000000000002</v>
      </c>
      <c r="I1451">
        <v>50.3</v>
      </c>
      <c r="J1451">
        <v>52.2</v>
      </c>
      <c r="K1451">
        <v>19</v>
      </c>
      <c r="L1451">
        <v>21.5</v>
      </c>
      <c r="M1451">
        <v>30</v>
      </c>
      <c r="N1451">
        <v>30</v>
      </c>
      <c r="O1451">
        <v>30.9</v>
      </c>
      <c r="P1451">
        <v>43.3</v>
      </c>
      <c r="Q1451">
        <v>48.9</v>
      </c>
      <c r="R1451">
        <v>51.1</v>
      </c>
      <c r="S1451">
        <v>35.200000000000003</v>
      </c>
      <c r="T1451">
        <v>36.1</v>
      </c>
      <c r="U1451">
        <v>68.599999999999994</v>
      </c>
      <c r="V1451">
        <v>-7.2</v>
      </c>
      <c r="W1451" cm="1">
        <f t="array" ref="W1451">_xlfn.IFS(OR(X1451="N/A",X1451="NA"),0,OR(X1451="R64",X1451="R68"),1,X1451="R32",2,X1451="S16",3,X1451="E8",4,X1451="F4",5,X1451="2ND",6,X1451="Champions",7)</f>
        <v>0</v>
      </c>
      <c r="X1451" t="s">
        <v>90</v>
      </c>
      <c r="Y1451" t="s">
        <v>90</v>
      </c>
      <c r="Z1451">
        <v>2017</v>
      </c>
    </row>
    <row r="1452" spans="1:26" x14ac:dyDescent="0.3">
      <c r="A1452" t="s">
        <v>410</v>
      </c>
      <c r="B1452" t="s">
        <v>37</v>
      </c>
      <c r="C1452">
        <v>32</v>
      </c>
      <c r="D1452">
        <v>11</v>
      </c>
      <c r="E1452" s="1">
        <f t="shared" si="22"/>
        <v>0.34375</v>
      </c>
      <c r="F1452">
        <v>98.8</v>
      </c>
      <c r="G1452">
        <v>105.5</v>
      </c>
      <c r="H1452">
        <v>0.32140000000000002</v>
      </c>
      <c r="I1452">
        <v>44.6</v>
      </c>
      <c r="J1452">
        <v>52.5</v>
      </c>
      <c r="K1452">
        <v>17</v>
      </c>
      <c r="L1452">
        <v>16.5</v>
      </c>
      <c r="M1452">
        <v>29.3</v>
      </c>
      <c r="N1452">
        <v>24.1</v>
      </c>
      <c r="O1452">
        <v>34.6</v>
      </c>
      <c r="P1452">
        <v>40.9</v>
      </c>
      <c r="Q1452">
        <v>42.9</v>
      </c>
      <c r="R1452">
        <v>51.8</v>
      </c>
      <c r="S1452">
        <v>32.5</v>
      </c>
      <c r="T1452">
        <v>35.700000000000003</v>
      </c>
      <c r="U1452">
        <v>67.7</v>
      </c>
      <c r="V1452">
        <v>-12.6</v>
      </c>
      <c r="W1452" cm="1">
        <f t="array" ref="W1452">_xlfn.IFS(OR(X1452="N/A",X1452="NA"),0,OR(X1452="R64",X1452="R68"),1,X1452="R32",2,X1452="S16",3,X1452="E8",4,X1452="F4",5,X1452="2ND",6,X1452="Champions",7)</f>
        <v>0</v>
      </c>
      <c r="X1452" t="s">
        <v>90</v>
      </c>
      <c r="Y1452" t="s">
        <v>90</v>
      </c>
      <c r="Z1452">
        <v>2017</v>
      </c>
    </row>
    <row r="1453" spans="1:26" x14ac:dyDescent="0.3">
      <c r="A1453" t="s">
        <v>411</v>
      </c>
      <c r="B1453" t="s">
        <v>37</v>
      </c>
      <c r="C1453">
        <v>30</v>
      </c>
      <c r="D1453">
        <v>9</v>
      </c>
      <c r="E1453" s="1">
        <f t="shared" si="22"/>
        <v>0.3</v>
      </c>
      <c r="F1453">
        <v>101.6</v>
      </c>
      <c r="G1453">
        <v>113.1</v>
      </c>
      <c r="H1453">
        <v>0.22600000000000001</v>
      </c>
      <c r="I1453">
        <v>49.4</v>
      </c>
      <c r="J1453">
        <v>56.8</v>
      </c>
      <c r="K1453">
        <v>18</v>
      </c>
      <c r="L1453">
        <v>15.7</v>
      </c>
      <c r="M1453">
        <v>26.1</v>
      </c>
      <c r="N1453">
        <v>29.2</v>
      </c>
      <c r="O1453">
        <v>29.5</v>
      </c>
      <c r="P1453">
        <v>28.9</v>
      </c>
      <c r="Q1453">
        <v>46.9</v>
      </c>
      <c r="R1453">
        <v>53.1</v>
      </c>
      <c r="S1453">
        <v>37.5</v>
      </c>
      <c r="T1453">
        <v>42</v>
      </c>
      <c r="U1453">
        <v>70.2</v>
      </c>
      <c r="V1453">
        <v>-14</v>
      </c>
      <c r="W1453" cm="1">
        <f t="array" ref="W1453">_xlfn.IFS(OR(X1453="N/A",X1453="NA"),0,OR(X1453="R64",X1453="R68"),1,X1453="R32",2,X1453="S16",3,X1453="E8",4,X1453="F4",5,X1453="2ND",6,X1453="Champions",7)</f>
        <v>0</v>
      </c>
      <c r="X1453" t="s">
        <v>90</v>
      </c>
      <c r="Y1453" t="s">
        <v>90</v>
      </c>
      <c r="Z1453">
        <v>2017</v>
      </c>
    </row>
    <row r="1454" spans="1:26" x14ac:dyDescent="0.3">
      <c r="A1454" t="s">
        <v>412</v>
      </c>
      <c r="B1454" t="s">
        <v>37</v>
      </c>
      <c r="C1454">
        <v>31</v>
      </c>
      <c r="D1454">
        <v>11</v>
      </c>
      <c r="E1454" s="1">
        <f t="shared" si="22"/>
        <v>0.35483870967741937</v>
      </c>
      <c r="F1454">
        <v>97.5</v>
      </c>
      <c r="G1454">
        <v>106.7</v>
      </c>
      <c r="H1454">
        <v>0.26129999999999998</v>
      </c>
      <c r="I1454">
        <v>47.1</v>
      </c>
      <c r="J1454">
        <v>51.3</v>
      </c>
      <c r="K1454">
        <v>19.2</v>
      </c>
      <c r="L1454">
        <v>16.8</v>
      </c>
      <c r="M1454">
        <v>24.4</v>
      </c>
      <c r="N1454">
        <v>32.700000000000003</v>
      </c>
      <c r="O1454">
        <v>37.6</v>
      </c>
      <c r="P1454">
        <v>30.5</v>
      </c>
      <c r="Q1454">
        <v>43.2</v>
      </c>
      <c r="R1454">
        <v>49.2</v>
      </c>
      <c r="S1454">
        <v>37</v>
      </c>
      <c r="T1454">
        <v>36.299999999999997</v>
      </c>
      <c r="U1454">
        <v>67.099999999999994</v>
      </c>
      <c r="V1454">
        <v>-13.3</v>
      </c>
      <c r="W1454" cm="1">
        <f t="array" ref="W1454">_xlfn.IFS(OR(X1454="N/A",X1454="NA"),0,OR(X1454="R64",X1454="R68"),1,X1454="R32",2,X1454="S16",3,X1454="E8",4,X1454="F4",5,X1454="2ND",6,X1454="Champions",7)</f>
        <v>0</v>
      </c>
      <c r="X1454" t="s">
        <v>90</v>
      </c>
      <c r="Y1454" t="s">
        <v>90</v>
      </c>
      <c r="Z1454">
        <v>2017</v>
      </c>
    </row>
    <row r="1455" spans="1:26" x14ac:dyDescent="0.3">
      <c r="A1455" t="s">
        <v>414</v>
      </c>
      <c r="B1455" t="s">
        <v>37</v>
      </c>
      <c r="C1455">
        <v>30</v>
      </c>
      <c r="D1455">
        <v>13</v>
      </c>
      <c r="E1455" s="1">
        <f t="shared" si="22"/>
        <v>0.43333333333333335</v>
      </c>
      <c r="F1455">
        <v>98.5</v>
      </c>
      <c r="G1455">
        <v>107.5</v>
      </c>
      <c r="H1455">
        <v>0.2681</v>
      </c>
      <c r="I1455">
        <v>48.2</v>
      </c>
      <c r="J1455">
        <v>52.2</v>
      </c>
      <c r="K1455">
        <v>18.7</v>
      </c>
      <c r="L1455">
        <v>15.1</v>
      </c>
      <c r="M1455">
        <v>23.6</v>
      </c>
      <c r="N1455">
        <v>25.5</v>
      </c>
      <c r="O1455">
        <v>35.5</v>
      </c>
      <c r="P1455">
        <v>36.5</v>
      </c>
      <c r="Q1455">
        <v>45</v>
      </c>
      <c r="R1455">
        <v>50.9</v>
      </c>
      <c r="S1455">
        <v>34.700000000000003</v>
      </c>
      <c r="T1455">
        <v>36.299999999999997</v>
      </c>
      <c r="U1455">
        <v>64.7</v>
      </c>
      <c r="V1455">
        <v>-10</v>
      </c>
      <c r="W1455" cm="1">
        <f t="array" ref="W1455">_xlfn.IFS(OR(X1455="N/A",X1455="NA"),0,OR(X1455="R64",X1455="R68"),1,X1455="R32",2,X1455="S16",3,X1455="E8",4,X1455="F4",5,X1455="2ND",6,X1455="Champions",7)</f>
        <v>0</v>
      </c>
      <c r="X1455" t="s">
        <v>90</v>
      </c>
      <c r="Y1455" t="s">
        <v>90</v>
      </c>
      <c r="Z1455">
        <v>2017</v>
      </c>
    </row>
    <row r="1456" spans="1:26" x14ac:dyDescent="0.3">
      <c r="A1456" t="s">
        <v>415</v>
      </c>
      <c r="B1456" t="s">
        <v>37</v>
      </c>
      <c r="C1456">
        <v>32</v>
      </c>
      <c r="D1456">
        <v>20</v>
      </c>
      <c r="E1456" s="1">
        <f t="shared" si="22"/>
        <v>0.625</v>
      </c>
      <c r="F1456">
        <v>102</v>
      </c>
      <c r="G1456">
        <v>95.2</v>
      </c>
      <c r="H1456">
        <v>0.68820000000000003</v>
      </c>
      <c r="I1456">
        <v>52.3</v>
      </c>
      <c r="J1456">
        <v>47.8</v>
      </c>
      <c r="K1456">
        <v>18.3</v>
      </c>
      <c r="L1456">
        <v>19.399999999999999</v>
      </c>
      <c r="M1456">
        <v>26.5</v>
      </c>
      <c r="N1456">
        <v>27.1</v>
      </c>
      <c r="O1456">
        <v>27.2</v>
      </c>
      <c r="P1456">
        <v>33.9</v>
      </c>
      <c r="Q1456">
        <v>52.5</v>
      </c>
      <c r="R1456">
        <v>46.4</v>
      </c>
      <c r="S1456">
        <v>34.700000000000003</v>
      </c>
      <c r="T1456">
        <v>33.799999999999997</v>
      </c>
      <c r="U1456">
        <v>70.5</v>
      </c>
      <c r="V1456">
        <v>-4.4000000000000004</v>
      </c>
      <c r="W1456" cm="1">
        <f t="array" ref="W1456">_xlfn.IFS(OR(X1456="N/A",X1456="NA"),0,OR(X1456="R64",X1456="R68"),1,X1456="R32",2,X1456="S16",3,X1456="E8",4,X1456="F4",5,X1456="2ND",6,X1456="Champions",7)</f>
        <v>0</v>
      </c>
      <c r="X1456" t="s">
        <v>90</v>
      </c>
      <c r="Y1456" t="s">
        <v>90</v>
      </c>
      <c r="Z1456">
        <v>2017</v>
      </c>
    </row>
    <row r="1457" spans="1:26" x14ac:dyDescent="0.3">
      <c r="A1457" t="s">
        <v>416</v>
      </c>
      <c r="B1457" t="s">
        <v>37</v>
      </c>
      <c r="C1457">
        <v>32</v>
      </c>
      <c r="D1457">
        <v>17</v>
      </c>
      <c r="E1457" s="1">
        <f t="shared" si="22"/>
        <v>0.53125</v>
      </c>
      <c r="F1457">
        <v>105.8</v>
      </c>
      <c r="G1457">
        <v>101.4</v>
      </c>
      <c r="H1457">
        <v>0.62109999999999999</v>
      </c>
      <c r="I1457">
        <v>52.4</v>
      </c>
      <c r="J1457">
        <v>51.8</v>
      </c>
      <c r="K1457">
        <v>15.9</v>
      </c>
      <c r="L1457">
        <v>19</v>
      </c>
      <c r="M1457">
        <v>18.3</v>
      </c>
      <c r="N1457">
        <v>24.5</v>
      </c>
      <c r="O1457">
        <v>24</v>
      </c>
      <c r="P1457">
        <v>35.200000000000003</v>
      </c>
      <c r="Q1457">
        <v>47.9</v>
      </c>
      <c r="R1457">
        <v>49.3</v>
      </c>
      <c r="S1457">
        <v>38.299999999999997</v>
      </c>
      <c r="T1457">
        <v>38</v>
      </c>
      <c r="U1457">
        <v>64.2</v>
      </c>
      <c r="V1457">
        <v>-6.9</v>
      </c>
      <c r="W1457" cm="1">
        <f t="array" ref="W1457">_xlfn.IFS(OR(X1457="N/A",X1457="NA"),0,OR(X1457="R64",X1457="R68"),1,X1457="R32",2,X1457="S16",3,X1457="E8",4,X1457="F4",5,X1457="2ND",6,X1457="Champions",7)</f>
        <v>0</v>
      </c>
      <c r="X1457" t="s">
        <v>90</v>
      </c>
      <c r="Y1457" t="s">
        <v>90</v>
      </c>
      <c r="Z1457">
        <v>2017</v>
      </c>
    </row>
    <row r="1458" spans="1:26" x14ac:dyDescent="0.3">
      <c r="A1458" t="s">
        <v>417</v>
      </c>
      <c r="B1458" t="s">
        <v>37</v>
      </c>
      <c r="C1458">
        <v>35</v>
      </c>
      <c r="D1458">
        <v>24</v>
      </c>
      <c r="E1458" s="1">
        <f t="shared" si="22"/>
        <v>0.68571428571428572</v>
      </c>
      <c r="F1458">
        <v>106.7</v>
      </c>
      <c r="G1458">
        <v>98.2</v>
      </c>
      <c r="H1458">
        <v>0.72260000000000002</v>
      </c>
      <c r="I1458">
        <v>54.1</v>
      </c>
      <c r="J1458">
        <v>51.3</v>
      </c>
      <c r="K1458">
        <v>16.8</v>
      </c>
      <c r="L1458">
        <v>18.5</v>
      </c>
      <c r="M1458">
        <v>22.5</v>
      </c>
      <c r="N1458">
        <v>22.8</v>
      </c>
      <c r="O1458">
        <v>37.6</v>
      </c>
      <c r="P1458">
        <v>28.4</v>
      </c>
      <c r="Q1458">
        <v>55.3</v>
      </c>
      <c r="R1458">
        <v>51.9</v>
      </c>
      <c r="S1458">
        <v>34.700000000000003</v>
      </c>
      <c r="T1458">
        <v>33.6</v>
      </c>
      <c r="U1458">
        <v>68.7</v>
      </c>
      <c r="V1458">
        <v>-1.8</v>
      </c>
      <c r="W1458" cm="1">
        <f t="array" ref="W1458">_xlfn.IFS(OR(X1458="N/A",X1458="NA"),0,OR(X1458="R64",X1458="R68"),1,X1458="R32",2,X1458="S16",3,X1458="E8",4,X1458="F4",5,X1458="2ND",6,X1458="Champions",7)</f>
        <v>0</v>
      </c>
      <c r="X1458" t="s">
        <v>90</v>
      </c>
      <c r="Y1458" t="s">
        <v>90</v>
      </c>
      <c r="Z1458">
        <v>2018</v>
      </c>
    </row>
    <row r="1459" spans="1:26" x14ac:dyDescent="0.3">
      <c r="A1459" t="s">
        <v>409</v>
      </c>
      <c r="B1459" t="s">
        <v>37</v>
      </c>
      <c r="C1459">
        <v>30</v>
      </c>
      <c r="D1459">
        <v>11</v>
      </c>
      <c r="E1459" s="1">
        <f t="shared" si="22"/>
        <v>0.36666666666666664</v>
      </c>
      <c r="F1459">
        <v>106.2</v>
      </c>
      <c r="G1459">
        <v>112.6</v>
      </c>
      <c r="H1459">
        <v>0.33729999999999999</v>
      </c>
      <c r="I1459">
        <v>49.3</v>
      </c>
      <c r="J1459">
        <v>57.5</v>
      </c>
      <c r="K1459">
        <v>19.2</v>
      </c>
      <c r="L1459">
        <v>19.8</v>
      </c>
      <c r="M1459">
        <v>34.6</v>
      </c>
      <c r="N1459">
        <v>31.2</v>
      </c>
      <c r="O1459">
        <v>32.5</v>
      </c>
      <c r="P1459">
        <v>42.8</v>
      </c>
      <c r="Q1459">
        <v>48.2</v>
      </c>
      <c r="R1459">
        <v>57.7</v>
      </c>
      <c r="S1459">
        <v>34.6</v>
      </c>
      <c r="T1459">
        <v>38.1</v>
      </c>
      <c r="U1459">
        <v>68</v>
      </c>
      <c r="V1459">
        <v>-12.3</v>
      </c>
      <c r="W1459" cm="1">
        <f t="array" ref="W1459">_xlfn.IFS(OR(X1459="N/A",X1459="NA"),0,OR(X1459="R64",X1459="R68"),1,X1459="R32",2,X1459="S16",3,X1459="E8",4,X1459="F4",5,X1459="2ND",6,X1459="Champions",7)</f>
        <v>0</v>
      </c>
      <c r="X1459" t="s">
        <v>90</v>
      </c>
      <c r="Y1459" t="s">
        <v>90</v>
      </c>
      <c r="Z1459">
        <v>2018</v>
      </c>
    </row>
    <row r="1460" spans="1:26" x14ac:dyDescent="0.3">
      <c r="A1460" t="s">
        <v>410</v>
      </c>
      <c r="B1460" t="s">
        <v>37</v>
      </c>
      <c r="C1460">
        <v>31</v>
      </c>
      <c r="D1460">
        <v>14</v>
      </c>
      <c r="E1460" s="1">
        <f t="shared" si="22"/>
        <v>0.45161290322580644</v>
      </c>
      <c r="F1460">
        <v>105.2</v>
      </c>
      <c r="G1460">
        <v>106.1</v>
      </c>
      <c r="H1460">
        <v>0.47560000000000002</v>
      </c>
      <c r="I1460">
        <v>48.5</v>
      </c>
      <c r="J1460">
        <v>53</v>
      </c>
      <c r="K1460">
        <v>17.2</v>
      </c>
      <c r="L1460">
        <v>18.3</v>
      </c>
      <c r="M1460">
        <v>30.3</v>
      </c>
      <c r="N1460">
        <v>27.3</v>
      </c>
      <c r="O1460">
        <v>40.5</v>
      </c>
      <c r="P1460">
        <v>35.200000000000003</v>
      </c>
      <c r="Q1460">
        <v>48.4</v>
      </c>
      <c r="R1460">
        <v>51.7</v>
      </c>
      <c r="S1460">
        <v>32.6</v>
      </c>
      <c r="T1460">
        <v>36.6</v>
      </c>
      <c r="U1460">
        <v>67.599999999999994</v>
      </c>
      <c r="V1460">
        <v>-10.199999999999999</v>
      </c>
      <c r="W1460" cm="1">
        <f t="array" ref="W1460">_xlfn.IFS(OR(X1460="N/A",X1460="NA"),0,OR(X1460="R64",X1460="R68"),1,X1460="R32",2,X1460="S16",3,X1460="E8",4,X1460="F4",5,X1460="2ND",6,X1460="Champions",7)</f>
        <v>0</v>
      </c>
      <c r="X1460" t="s">
        <v>90</v>
      </c>
      <c r="Y1460" t="s">
        <v>90</v>
      </c>
      <c r="Z1460">
        <v>2018</v>
      </c>
    </row>
    <row r="1461" spans="1:26" x14ac:dyDescent="0.3">
      <c r="A1461" t="s">
        <v>411</v>
      </c>
      <c r="B1461" t="s">
        <v>37</v>
      </c>
      <c r="C1461">
        <v>31</v>
      </c>
      <c r="D1461">
        <v>6</v>
      </c>
      <c r="E1461" s="1">
        <f t="shared" si="22"/>
        <v>0.19354838709677419</v>
      </c>
      <c r="F1461">
        <v>105.1</v>
      </c>
      <c r="G1461">
        <v>112</v>
      </c>
      <c r="H1461">
        <v>0.3236</v>
      </c>
      <c r="I1461">
        <v>49.5</v>
      </c>
      <c r="J1461">
        <v>57</v>
      </c>
      <c r="K1461">
        <v>17.2</v>
      </c>
      <c r="L1461">
        <v>15.5</v>
      </c>
      <c r="M1461">
        <v>28.5</v>
      </c>
      <c r="N1461">
        <v>26.4</v>
      </c>
      <c r="O1461">
        <v>35.200000000000003</v>
      </c>
      <c r="P1461">
        <v>33.5</v>
      </c>
      <c r="Q1461">
        <v>48.8</v>
      </c>
      <c r="R1461">
        <v>54.7</v>
      </c>
      <c r="S1461">
        <v>34.200000000000003</v>
      </c>
      <c r="T1461">
        <v>40.1</v>
      </c>
      <c r="U1461">
        <v>68.599999999999994</v>
      </c>
      <c r="V1461">
        <v>-17.899999999999999</v>
      </c>
      <c r="W1461" cm="1">
        <f t="array" ref="W1461">_xlfn.IFS(OR(X1461="N/A",X1461="NA"),0,OR(X1461="R64",X1461="R68"),1,X1461="R32",2,X1461="S16",3,X1461="E8",4,X1461="F4",5,X1461="2ND",6,X1461="Champions",7)</f>
        <v>0</v>
      </c>
      <c r="X1461" t="s">
        <v>90</v>
      </c>
      <c r="Y1461" t="s">
        <v>90</v>
      </c>
      <c r="Z1461">
        <v>2018</v>
      </c>
    </row>
    <row r="1462" spans="1:26" x14ac:dyDescent="0.3">
      <c r="A1462" t="s">
        <v>412</v>
      </c>
      <c r="B1462" t="s">
        <v>37</v>
      </c>
      <c r="C1462">
        <v>29</v>
      </c>
      <c r="D1462">
        <v>10</v>
      </c>
      <c r="E1462" s="1">
        <f t="shared" si="22"/>
        <v>0.34482758620689657</v>
      </c>
      <c r="F1462">
        <v>98.9</v>
      </c>
      <c r="G1462">
        <v>107.2</v>
      </c>
      <c r="H1462">
        <v>0.28560000000000002</v>
      </c>
      <c r="I1462">
        <v>50.6</v>
      </c>
      <c r="J1462">
        <v>52.4</v>
      </c>
      <c r="K1462">
        <v>18.100000000000001</v>
      </c>
      <c r="L1462">
        <v>15.8</v>
      </c>
      <c r="M1462">
        <v>19.2</v>
      </c>
      <c r="N1462">
        <v>31.4</v>
      </c>
      <c r="O1462">
        <v>34.6</v>
      </c>
      <c r="P1462">
        <v>33.5</v>
      </c>
      <c r="Q1462">
        <v>46.5</v>
      </c>
      <c r="R1462">
        <v>51.7</v>
      </c>
      <c r="S1462">
        <v>38.299999999999997</v>
      </c>
      <c r="T1462">
        <v>35.700000000000003</v>
      </c>
      <c r="U1462">
        <v>68.3</v>
      </c>
      <c r="V1462">
        <v>-14.4</v>
      </c>
      <c r="W1462" cm="1">
        <f t="array" ref="W1462">_xlfn.IFS(OR(X1462="N/A",X1462="NA"),0,OR(X1462="R64",X1462="R68"),1,X1462="R32",2,X1462="S16",3,X1462="E8",4,X1462="F4",5,X1462="2ND",6,X1462="Champions",7)</f>
        <v>0</v>
      </c>
      <c r="X1462" t="s">
        <v>90</v>
      </c>
      <c r="Y1462" t="s">
        <v>90</v>
      </c>
      <c r="Z1462">
        <v>2018</v>
      </c>
    </row>
    <row r="1463" spans="1:26" x14ac:dyDescent="0.3">
      <c r="A1463" t="s">
        <v>413</v>
      </c>
      <c r="B1463" t="s">
        <v>37</v>
      </c>
      <c r="C1463">
        <v>36</v>
      </c>
      <c r="D1463">
        <v>30</v>
      </c>
      <c r="E1463" s="1">
        <f t="shared" si="22"/>
        <v>0.83333333333333337</v>
      </c>
      <c r="F1463">
        <v>118.7</v>
      </c>
      <c r="G1463">
        <v>102.3</v>
      </c>
      <c r="H1463">
        <v>0.8468</v>
      </c>
      <c r="I1463">
        <v>58.7</v>
      </c>
      <c r="J1463">
        <v>49.2</v>
      </c>
      <c r="K1463">
        <v>15.4</v>
      </c>
      <c r="L1463">
        <v>15.1</v>
      </c>
      <c r="M1463">
        <v>28.9</v>
      </c>
      <c r="N1463">
        <v>22.8</v>
      </c>
      <c r="O1463">
        <v>30.4</v>
      </c>
      <c r="P1463">
        <v>24.8</v>
      </c>
      <c r="Q1463">
        <v>57.1</v>
      </c>
      <c r="R1463">
        <v>49.5</v>
      </c>
      <c r="S1463">
        <v>41</v>
      </c>
      <c r="T1463">
        <v>32.299999999999997</v>
      </c>
      <c r="U1463">
        <v>64.599999999999994</v>
      </c>
      <c r="V1463">
        <v>1.3</v>
      </c>
      <c r="W1463" cm="1">
        <f t="array" ref="W1463">_xlfn.IFS(OR(X1463="N/A",X1463="NA"),0,OR(X1463="R64",X1463="R68"),1,X1463="R32",2,X1463="S16",3,X1463="E8",4,X1463="F4",5,X1463="2ND",6,X1463="Champions",7)</f>
        <v>0</v>
      </c>
      <c r="X1463" t="s">
        <v>90</v>
      </c>
      <c r="Y1463" t="s">
        <v>90</v>
      </c>
      <c r="Z1463">
        <v>2018</v>
      </c>
    </row>
    <row r="1464" spans="1:26" x14ac:dyDescent="0.3">
      <c r="A1464" t="s">
        <v>414</v>
      </c>
      <c r="B1464" t="s">
        <v>37</v>
      </c>
      <c r="C1464">
        <v>33</v>
      </c>
      <c r="D1464">
        <v>20</v>
      </c>
      <c r="E1464" s="1">
        <f t="shared" si="22"/>
        <v>0.60606060606060608</v>
      </c>
      <c r="F1464">
        <v>104.1</v>
      </c>
      <c r="G1464">
        <v>99.3</v>
      </c>
      <c r="H1464">
        <v>0.63249999999999995</v>
      </c>
      <c r="I1464">
        <v>53.1</v>
      </c>
      <c r="J1464">
        <v>46.3</v>
      </c>
      <c r="K1464">
        <v>19.600000000000001</v>
      </c>
      <c r="L1464">
        <v>17.8</v>
      </c>
      <c r="M1464">
        <v>22.4</v>
      </c>
      <c r="N1464">
        <v>26.4</v>
      </c>
      <c r="O1464">
        <v>39.299999999999997</v>
      </c>
      <c r="P1464">
        <v>41.9</v>
      </c>
      <c r="Q1464">
        <v>51.7</v>
      </c>
      <c r="R1464">
        <v>46.4</v>
      </c>
      <c r="S1464">
        <v>36.6</v>
      </c>
      <c r="T1464">
        <v>30.7</v>
      </c>
      <c r="U1464">
        <v>68</v>
      </c>
      <c r="V1464">
        <v>-5.7</v>
      </c>
      <c r="W1464" cm="1">
        <f t="array" ref="W1464">_xlfn.IFS(OR(X1464="N/A",X1464="NA"),0,OR(X1464="R64",X1464="R68"),1,X1464="R32",2,X1464="S16",3,X1464="E8",4,X1464="F4",5,X1464="2ND",6,X1464="Champions",7)</f>
        <v>0</v>
      </c>
      <c r="X1464" t="s">
        <v>90</v>
      </c>
      <c r="Y1464" t="s">
        <v>90</v>
      </c>
      <c r="Z1464">
        <v>2018</v>
      </c>
    </row>
    <row r="1465" spans="1:26" x14ac:dyDescent="0.3">
      <c r="A1465" t="s">
        <v>415</v>
      </c>
      <c r="B1465" t="s">
        <v>37</v>
      </c>
      <c r="C1465">
        <v>38</v>
      </c>
      <c r="D1465">
        <v>22</v>
      </c>
      <c r="E1465" s="1">
        <f t="shared" si="22"/>
        <v>0.57894736842105265</v>
      </c>
      <c r="F1465">
        <v>101.8</v>
      </c>
      <c r="G1465">
        <v>100.1</v>
      </c>
      <c r="H1465">
        <v>0.54759999999999998</v>
      </c>
      <c r="I1465">
        <v>49.4</v>
      </c>
      <c r="J1465">
        <v>48.9</v>
      </c>
      <c r="K1465">
        <v>17.399999999999999</v>
      </c>
      <c r="L1465">
        <v>17</v>
      </c>
      <c r="M1465">
        <v>28</v>
      </c>
      <c r="N1465">
        <v>25.7</v>
      </c>
      <c r="O1465">
        <v>29.3</v>
      </c>
      <c r="P1465">
        <v>36.9</v>
      </c>
      <c r="Q1465">
        <v>48.4</v>
      </c>
      <c r="R1465">
        <v>48.5</v>
      </c>
      <c r="S1465">
        <v>33.799999999999997</v>
      </c>
      <c r="T1465">
        <v>33.299999999999997</v>
      </c>
      <c r="U1465">
        <v>68</v>
      </c>
      <c r="V1465">
        <v>-7.1</v>
      </c>
      <c r="W1465" cm="1">
        <f t="array" ref="W1465">_xlfn.IFS(OR(X1465="N/A",X1465="NA"),0,OR(X1465="R64",X1465="R68"),1,X1465="R32",2,X1465="S16",3,X1465="E8",4,X1465="F4",5,X1465="2ND",6,X1465="Champions",7)</f>
        <v>0</v>
      </c>
      <c r="X1465" t="s">
        <v>90</v>
      </c>
      <c r="Y1465" t="s">
        <v>90</v>
      </c>
      <c r="Z1465">
        <v>2018</v>
      </c>
    </row>
    <row r="1466" spans="1:26" x14ac:dyDescent="0.3">
      <c r="A1466" t="s">
        <v>416</v>
      </c>
      <c r="B1466" t="s">
        <v>37</v>
      </c>
      <c r="C1466">
        <v>29</v>
      </c>
      <c r="D1466">
        <v>11</v>
      </c>
      <c r="E1466" s="1">
        <f t="shared" si="22"/>
        <v>0.37931034482758619</v>
      </c>
      <c r="F1466">
        <v>99</v>
      </c>
      <c r="G1466">
        <v>108.6</v>
      </c>
      <c r="H1466">
        <v>0.25569999999999998</v>
      </c>
      <c r="I1466">
        <v>48.6</v>
      </c>
      <c r="J1466">
        <v>56.6</v>
      </c>
      <c r="K1466">
        <v>17.2</v>
      </c>
      <c r="L1466">
        <v>18.899999999999999</v>
      </c>
      <c r="M1466">
        <v>23.7</v>
      </c>
      <c r="N1466">
        <v>27.1</v>
      </c>
      <c r="O1466">
        <v>30.2</v>
      </c>
      <c r="P1466">
        <v>32.4</v>
      </c>
      <c r="Q1466">
        <v>47.1</v>
      </c>
      <c r="R1466">
        <v>55.1</v>
      </c>
      <c r="S1466">
        <v>33.799999999999997</v>
      </c>
      <c r="T1466">
        <v>40</v>
      </c>
      <c r="U1466">
        <v>65.7</v>
      </c>
      <c r="V1466">
        <v>-12.5</v>
      </c>
      <c r="W1466" cm="1">
        <f t="array" ref="W1466">_xlfn.IFS(OR(X1466="N/A",X1466="NA"),0,OR(X1466="R64",X1466="R68"),1,X1466="R32",2,X1466="S16",3,X1466="E8",4,X1466="F4",5,X1466="2ND",6,X1466="Champions",7)</f>
        <v>0</v>
      </c>
      <c r="X1466" t="s">
        <v>90</v>
      </c>
      <c r="Y1466" t="s">
        <v>90</v>
      </c>
      <c r="Z1466">
        <v>2018</v>
      </c>
    </row>
    <row r="1467" spans="1:26" x14ac:dyDescent="0.3">
      <c r="A1467" t="s">
        <v>417</v>
      </c>
      <c r="B1467" t="s">
        <v>37</v>
      </c>
      <c r="C1467">
        <v>32</v>
      </c>
      <c r="D1467">
        <v>19</v>
      </c>
      <c r="E1467" s="1">
        <f t="shared" si="22"/>
        <v>0.59375</v>
      </c>
      <c r="F1467">
        <v>110</v>
      </c>
      <c r="G1467">
        <v>102.8</v>
      </c>
      <c r="H1467">
        <v>0.68679999999999997</v>
      </c>
      <c r="I1467">
        <v>52.8</v>
      </c>
      <c r="J1467">
        <v>50.7</v>
      </c>
      <c r="K1467">
        <v>15.3</v>
      </c>
      <c r="L1467">
        <v>17.600000000000001</v>
      </c>
      <c r="M1467">
        <v>23.7</v>
      </c>
      <c r="N1467">
        <v>27</v>
      </c>
      <c r="O1467">
        <v>40</v>
      </c>
      <c r="P1467">
        <v>35.4</v>
      </c>
      <c r="Q1467">
        <v>54.7</v>
      </c>
      <c r="R1467">
        <v>48.3</v>
      </c>
      <c r="S1467">
        <v>33</v>
      </c>
      <c r="T1467">
        <v>36.6</v>
      </c>
      <c r="U1467">
        <v>72.7</v>
      </c>
      <c r="V1467">
        <v>-3.1</v>
      </c>
      <c r="W1467" cm="1">
        <f t="array" ref="W1467">_xlfn.IFS(OR(X1467="N/A",X1467="NA"),0,OR(X1467="R64",X1467="R68"),1,X1467="R32",2,X1467="S16",3,X1467="E8",4,X1467="F4",5,X1467="2ND",6,X1467="Champions",7)</f>
        <v>0</v>
      </c>
      <c r="X1467" t="s">
        <v>90</v>
      </c>
      <c r="Y1467" t="s">
        <v>90</v>
      </c>
      <c r="Z1467">
        <v>2019</v>
      </c>
    </row>
    <row r="1468" spans="1:26" x14ac:dyDescent="0.3">
      <c r="A1468" t="s">
        <v>409</v>
      </c>
      <c r="B1468" t="s">
        <v>37</v>
      </c>
      <c r="C1468">
        <v>32</v>
      </c>
      <c r="D1468">
        <v>22</v>
      </c>
      <c r="E1468" s="1">
        <f t="shared" si="22"/>
        <v>0.6875</v>
      </c>
      <c r="F1468">
        <v>103.1</v>
      </c>
      <c r="G1468">
        <v>98.7</v>
      </c>
      <c r="H1468">
        <v>0.62280000000000002</v>
      </c>
      <c r="I1468">
        <v>49.5</v>
      </c>
      <c r="J1468">
        <v>49.6</v>
      </c>
      <c r="K1468">
        <v>19.3</v>
      </c>
      <c r="L1468">
        <v>21.6</v>
      </c>
      <c r="M1468">
        <v>29.4</v>
      </c>
      <c r="N1468">
        <v>27.2</v>
      </c>
      <c r="O1468">
        <v>36.700000000000003</v>
      </c>
      <c r="P1468">
        <v>36.200000000000003</v>
      </c>
      <c r="Q1468">
        <v>50.3</v>
      </c>
      <c r="R1468">
        <v>50.3</v>
      </c>
      <c r="S1468">
        <v>31.6</v>
      </c>
      <c r="T1468">
        <v>32.4</v>
      </c>
      <c r="U1468">
        <v>64</v>
      </c>
      <c r="V1468">
        <v>-4</v>
      </c>
      <c r="W1468" cm="1">
        <f t="array" ref="W1468">_xlfn.IFS(OR(X1468="N/A",X1468="NA"),0,OR(X1468="R64",X1468="R68"),1,X1468="R32",2,X1468="S16",3,X1468="E8",4,X1468="F4",5,X1468="2ND",6,X1468="Champions",7)</f>
        <v>0</v>
      </c>
      <c r="X1468" t="s">
        <v>90</v>
      </c>
      <c r="Y1468" t="s">
        <v>90</v>
      </c>
      <c r="Z1468">
        <v>2019</v>
      </c>
    </row>
    <row r="1469" spans="1:26" x14ac:dyDescent="0.3">
      <c r="A1469" t="s">
        <v>410</v>
      </c>
      <c r="B1469" t="s">
        <v>37</v>
      </c>
      <c r="C1469">
        <v>30</v>
      </c>
      <c r="D1469">
        <v>14</v>
      </c>
      <c r="E1469" s="1">
        <f t="shared" si="22"/>
        <v>0.46666666666666667</v>
      </c>
      <c r="F1469">
        <v>98.4</v>
      </c>
      <c r="G1469">
        <v>102.6</v>
      </c>
      <c r="H1469">
        <v>0.3831</v>
      </c>
      <c r="I1469">
        <v>47.7</v>
      </c>
      <c r="J1469">
        <v>54.2</v>
      </c>
      <c r="K1469">
        <v>19.600000000000001</v>
      </c>
      <c r="L1469">
        <v>19.2</v>
      </c>
      <c r="M1469">
        <v>26.8</v>
      </c>
      <c r="N1469">
        <v>23.1</v>
      </c>
      <c r="O1469">
        <v>40.5</v>
      </c>
      <c r="P1469">
        <v>42.2</v>
      </c>
      <c r="Q1469">
        <v>44.9</v>
      </c>
      <c r="R1469">
        <v>54.1</v>
      </c>
      <c r="S1469">
        <v>35.6</v>
      </c>
      <c r="T1469">
        <v>36.200000000000003</v>
      </c>
      <c r="U1469">
        <v>66.5</v>
      </c>
      <c r="V1469">
        <v>-9.6</v>
      </c>
      <c r="W1469" cm="1">
        <f t="array" ref="W1469">_xlfn.IFS(OR(X1469="N/A",X1469="NA"),0,OR(X1469="R64",X1469="R68"),1,X1469="R32",2,X1469="S16",3,X1469="E8",4,X1469="F4",5,X1469="2ND",6,X1469="Champions",7)</f>
        <v>0</v>
      </c>
      <c r="X1469" t="s">
        <v>90</v>
      </c>
      <c r="Y1469" t="s">
        <v>90</v>
      </c>
      <c r="Z1469">
        <v>2019</v>
      </c>
    </row>
    <row r="1470" spans="1:26" x14ac:dyDescent="0.3">
      <c r="A1470" t="s">
        <v>411</v>
      </c>
      <c r="B1470" t="s">
        <v>37</v>
      </c>
      <c r="C1470">
        <v>33</v>
      </c>
      <c r="D1470">
        <v>16</v>
      </c>
      <c r="E1470" s="1">
        <f t="shared" si="22"/>
        <v>0.48484848484848486</v>
      </c>
      <c r="F1470">
        <v>107</v>
      </c>
      <c r="G1470">
        <v>105.3</v>
      </c>
      <c r="H1470">
        <v>0.54620000000000002</v>
      </c>
      <c r="I1470">
        <v>52</v>
      </c>
      <c r="J1470">
        <v>53.9</v>
      </c>
      <c r="K1470">
        <v>18</v>
      </c>
      <c r="L1470">
        <v>20.9</v>
      </c>
      <c r="M1470">
        <v>24.9</v>
      </c>
      <c r="N1470">
        <v>29.5</v>
      </c>
      <c r="O1470">
        <v>35.700000000000003</v>
      </c>
      <c r="P1470">
        <v>35.700000000000003</v>
      </c>
      <c r="Q1470">
        <v>48.4</v>
      </c>
      <c r="R1470">
        <v>54.9</v>
      </c>
      <c r="S1470">
        <v>37.9</v>
      </c>
      <c r="T1470">
        <v>34.799999999999997</v>
      </c>
      <c r="U1470">
        <v>71.900000000000006</v>
      </c>
      <c r="V1470">
        <v>-9.6999999999999993</v>
      </c>
      <c r="W1470" cm="1">
        <f t="array" ref="W1470">_xlfn.IFS(OR(X1470="N/A",X1470="NA"),0,OR(X1470="R64",X1470="R68"),1,X1470="R32",2,X1470="S16",3,X1470="E8",4,X1470="F4",5,X1470="2ND",6,X1470="Champions",7)</f>
        <v>0</v>
      </c>
      <c r="X1470" t="s">
        <v>90</v>
      </c>
      <c r="Y1470" t="s">
        <v>90</v>
      </c>
      <c r="Z1470">
        <v>2019</v>
      </c>
    </row>
    <row r="1471" spans="1:26" x14ac:dyDescent="0.3">
      <c r="A1471" t="s">
        <v>412</v>
      </c>
      <c r="B1471" t="s">
        <v>37</v>
      </c>
      <c r="C1471">
        <v>30</v>
      </c>
      <c r="D1471">
        <v>7</v>
      </c>
      <c r="E1471" s="1">
        <f t="shared" si="22"/>
        <v>0.23333333333333334</v>
      </c>
      <c r="F1471">
        <v>93.6</v>
      </c>
      <c r="G1471">
        <v>108.1</v>
      </c>
      <c r="H1471">
        <v>0.16070000000000001</v>
      </c>
      <c r="I1471">
        <v>47.3</v>
      </c>
      <c r="J1471">
        <v>51.8</v>
      </c>
      <c r="K1471">
        <v>19.899999999999999</v>
      </c>
      <c r="L1471">
        <v>16.3</v>
      </c>
      <c r="M1471">
        <v>20.3</v>
      </c>
      <c r="N1471">
        <v>30.1</v>
      </c>
      <c r="O1471">
        <v>39</v>
      </c>
      <c r="P1471">
        <v>34.6</v>
      </c>
      <c r="Q1471">
        <v>45.8</v>
      </c>
      <c r="R1471">
        <v>49.2</v>
      </c>
      <c r="S1471">
        <v>32.9</v>
      </c>
      <c r="T1471">
        <v>37.1</v>
      </c>
      <c r="U1471">
        <v>68.5</v>
      </c>
      <c r="V1471">
        <v>-17.899999999999999</v>
      </c>
      <c r="W1471" cm="1">
        <f t="array" ref="W1471">_xlfn.IFS(OR(X1471="N/A",X1471="NA"),0,OR(X1471="R64",X1471="R68"),1,X1471="R32",2,X1471="S16",3,X1471="E8",4,X1471="F4",5,X1471="2ND",6,X1471="Champions",7)</f>
        <v>0</v>
      </c>
      <c r="X1471" t="s">
        <v>90</v>
      </c>
      <c r="Y1471" t="s">
        <v>90</v>
      </c>
      <c r="Z1471">
        <v>2019</v>
      </c>
    </row>
    <row r="1472" spans="1:26" x14ac:dyDescent="0.3">
      <c r="A1472" t="s">
        <v>414</v>
      </c>
      <c r="B1472" t="s">
        <v>37</v>
      </c>
      <c r="C1472">
        <v>35</v>
      </c>
      <c r="D1472">
        <v>21</v>
      </c>
      <c r="E1472" s="1">
        <f t="shared" si="22"/>
        <v>0.6</v>
      </c>
      <c r="F1472">
        <v>104.4</v>
      </c>
      <c r="G1472">
        <v>97.4</v>
      </c>
      <c r="H1472">
        <v>0.68930000000000002</v>
      </c>
      <c r="I1472">
        <v>52.4</v>
      </c>
      <c r="J1472">
        <v>49.6</v>
      </c>
      <c r="K1472">
        <v>18.8</v>
      </c>
      <c r="L1472">
        <v>17.5</v>
      </c>
      <c r="M1472">
        <v>24.1</v>
      </c>
      <c r="N1472">
        <v>22</v>
      </c>
      <c r="O1472">
        <v>32.4</v>
      </c>
      <c r="P1472">
        <v>37.299999999999997</v>
      </c>
      <c r="Q1472">
        <v>52.4</v>
      </c>
      <c r="R1472">
        <v>49.7</v>
      </c>
      <c r="S1472">
        <v>34.799999999999997</v>
      </c>
      <c r="T1472">
        <v>32.9</v>
      </c>
      <c r="U1472">
        <v>68.2</v>
      </c>
      <c r="V1472">
        <v>-3.7</v>
      </c>
      <c r="W1472" cm="1">
        <f t="array" ref="W1472">_xlfn.IFS(OR(X1472="N/A",X1472="NA"),0,OR(X1472="R64",X1472="R68"),1,X1472="R32",2,X1472="S16",3,X1472="E8",4,X1472="F4",5,X1472="2ND",6,X1472="Champions",7)</f>
        <v>0</v>
      </c>
      <c r="X1472" t="s">
        <v>90</v>
      </c>
      <c r="Y1472" t="s">
        <v>90</v>
      </c>
      <c r="Z1472">
        <v>2019</v>
      </c>
    </row>
    <row r="1473" spans="1:26" x14ac:dyDescent="0.3">
      <c r="A1473" t="s">
        <v>415</v>
      </c>
      <c r="B1473" t="s">
        <v>37</v>
      </c>
      <c r="C1473">
        <v>30</v>
      </c>
      <c r="D1473">
        <v>21</v>
      </c>
      <c r="E1473" s="1">
        <f t="shared" si="22"/>
        <v>0.7</v>
      </c>
      <c r="F1473">
        <v>111.1</v>
      </c>
      <c r="G1473">
        <v>101.5</v>
      </c>
      <c r="H1473">
        <v>0.73829999999999996</v>
      </c>
      <c r="I1473">
        <v>53.5</v>
      </c>
      <c r="J1473">
        <v>48.9</v>
      </c>
      <c r="K1473">
        <v>15.1</v>
      </c>
      <c r="L1473">
        <v>17.2</v>
      </c>
      <c r="M1473">
        <v>28.9</v>
      </c>
      <c r="N1473">
        <v>25</v>
      </c>
      <c r="O1473">
        <v>30.9</v>
      </c>
      <c r="P1473">
        <v>30.6</v>
      </c>
      <c r="Q1473">
        <v>53.8</v>
      </c>
      <c r="R1473">
        <v>49.3</v>
      </c>
      <c r="S1473">
        <v>35.4</v>
      </c>
      <c r="T1473">
        <v>32</v>
      </c>
      <c r="U1473">
        <v>67.900000000000006</v>
      </c>
      <c r="V1473">
        <v>-2.7</v>
      </c>
      <c r="W1473" cm="1">
        <f t="array" ref="W1473">_xlfn.IFS(OR(X1473="N/A",X1473="NA"),0,OR(X1473="R64",X1473="R68"),1,X1473="R32",2,X1473="S16",3,X1473="E8",4,X1473="F4",5,X1473="2ND",6,X1473="Champions",7)</f>
        <v>0</v>
      </c>
      <c r="X1473" t="s">
        <v>90</v>
      </c>
      <c r="Y1473" t="s">
        <v>90</v>
      </c>
      <c r="Z1473">
        <v>2019</v>
      </c>
    </row>
    <row r="1474" spans="1:26" x14ac:dyDescent="0.3">
      <c r="A1474" t="s">
        <v>416</v>
      </c>
      <c r="B1474" t="s">
        <v>37</v>
      </c>
      <c r="C1474">
        <v>30</v>
      </c>
      <c r="D1474">
        <v>16</v>
      </c>
      <c r="E1474" s="1">
        <f t="shared" si="22"/>
        <v>0.53333333333333333</v>
      </c>
      <c r="F1474">
        <v>100.3</v>
      </c>
      <c r="G1474">
        <v>102.4</v>
      </c>
      <c r="H1474">
        <v>0.44090000000000001</v>
      </c>
      <c r="I1474">
        <v>51.6</v>
      </c>
      <c r="J1474">
        <v>49.1</v>
      </c>
      <c r="K1474">
        <v>20.5</v>
      </c>
      <c r="L1474">
        <v>16.3</v>
      </c>
      <c r="M1474">
        <v>24.1</v>
      </c>
      <c r="N1474">
        <v>28.3</v>
      </c>
      <c r="O1474">
        <v>33.9</v>
      </c>
      <c r="P1474">
        <v>35.200000000000003</v>
      </c>
      <c r="Q1474">
        <v>49.8</v>
      </c>
      <c r="R1474">
        <v>49.9</v>
      </c>
      <c r="S1474">
        <v>36.200000000000003</v>
      </c>
      <c r="T1474">
        <v>31.8</v>
      </c>
      <c r="U1474">
        <v>67.8</v>
      </c>
      <c r="V1474">
        <v>-7.1</v>
      </c>
      <c r="W1474" cm="1">
        <f t="array" ref="W1474">_xlfn.IFS(OR(X1474="N/A",X1474="NA"),0,OR(X1474="R64",X1474="R68"),1,X1474="R32",2,X1474="S16",3,X1474="E8",4,X1474="F4",5,X1474="2ND",6,X1474="Champions",7)</f>
        <v>0</v>
      </c>
      <c r="X1474" t="s">
        <v>90</v>
      </c>
      <c r="Y1474" t="s">
        <v>90</v>
      </c>
      <c r="Z1474">
        <v>2019</v>
      </c>
    </row>
    <row r="1475" spans="1:26" x14ac:dyDescent="0.3">
      <c r="A1475" t="s">
        <v>368</v>
      </c>
      <c r="B1475" t="s">
        <v>61</v>
      </c>
      <c r="C1475">
        <v>21</v>
      </c>
      <c r="D1475">
        <v>2</v>
      </c>
      <c r="E1475" s="1">
        <f t="shared" ref="E1475:E1538" si="23">D1475/C1475</f>
        <v>9.5238095238095233E-2</v>
      </c>
      <c r="F1475">
        <v>95.1</v>
      </c>
      <c r="G1475">
        <v>116.4</v>
      </c>
      <c r="H1475">
        <v>8.8900000000000007E-2</v>
      </c>
      <c r="I1475">
        <v>47.2</v>
      </c>
      <c r="J1475">
        <v>56.4</v>
      </c>
      <c r="K1475">
        <v>22.3</v>
      </c>
      <c r="L1475">
        <v>18</v>
      </c>
      <c r="M1475">
        <v>24.9</v>
      </c>
      <c r="N1475">
        <v>33.799999999999997</v>
      </c>
      <c r="O1475">
        <v>42.3</v>
      </c>
      <c r="P1475">
        <v>48.3</v>
      </c>
      <c r="Q1475">
        <v>42.3</v>
      </c>
      <c r="R1475">
        <v>56.8</v>
      </c>
      <c r="S1475">
        <v>37.299999999999997</v>
      </c>
      <c r="T1475">
        <v>37.1</v>
      </c>
      <c r="U1475">
        <v>64.900000000000006</v>
      </c>
      <c r="V1475">
        <v>-14.1</v>
      </c>
      <c r="W1475" cm="1">
        <f t="array" ref="W1475">_xlfn.IFS(OR(X1475="N/A",X1475="NA"),0,OR(X1475="R64",X1475="R68"),1,X1475="R32",2,X1475="S16",3,X1475="E8",4,X1475="F4",5,X1475="2ND",6,X1475="Champions",7)</f>
        <v>0</v>
      </c>
      <c r="X1475" t="s">
        <v>90</v>
      </c>
      <c r="Y1475" t="s">
        <v>90</v>
      </c>
      <c r="Z1475">
        <v>2014</v>
      </c>
    </row>
    <row r="1476" spans="1:26" x14ac:dyDescent="0.3">
      <c r="A1476" t="s">
        <v>283</v>
      </c>
      <c r="B1476" t="s">
        <v>55</v>
      </c>
      <c r="C1476">
        <v>28</v>
      </c>
      <c r="D1476">
        <v>10</v>
      </c>
      <c r="E1476" s="1">
        <f t="shared" si="23"/>
        <v>0.35714285714285715</v>
      </c>
      <c r="F1476">
        <v>98.9</v>
      </c>
      <c r="G1476">
        <v>104.9</v>
      </c>
      <c r="H1476">
        <v>0.33600000000000002</v>
      </c>
      <c r="I1476">
        <v>49.5</v>
      </c>
      <c r="J1476">
        <v>50.9</v>
      </c>
      <c r="K1476">
        <v>20.5</v>
      </c>
      <c r="L1476">
        <v>17.8</v>
      </c>
      <c r="M1476">
        <v>26.4</v>
      </c>
      <c r="N1476">
        <v>30.2</v>
      </c>
      <c r="O1476">
        <v>37.1</v>
      </c>
      <c r="P1476">
        <v>43.9</v>
      </c>
      <c r="Q1476">
        <v>49.6</v>
      </c>
      <c r="R1476">
        <v>51.1</v>
      </c>
      <c r="S1476">
        <v>32.9</v>
      </c>
      <c r="T1476">
        <v>33.700000000000003</v>
      </c>
      <c r="U1476">
        <v>65.5</v>
      </c>
      <c r="V1476">
        <v>-10.7</v>
      </c>
      <c r="W1476" cm="1">
        <f t="array" ref="W1476">_xlfn.IFS(OR(X1476="N/A",X1476="NA"),0,OR(X1476="R64",X1476="R68"),1,X1476="R32",2,X1476="S16",3,X1476="E8",4,X1476="F4",5,X1476="2ND",6,X1476="Champions",7)</f>
        <v>0</v>
      </c>
      <c r="X1476" t="s">
        <v>90</v>
      </c>
      <c r="Y1476" t="s">
        <v>90</v>
      </c>
      <c r="Z1476">
        <v>2014</v>
      </c>
    </row>
    <row r="1477" spans="1:26" x14ac:dyDescent="0.3">
      <c r="A1477" t="s">
        <v>251</v>
      </c>
      <c r="B1477" t="s">
        <v>57</v>
      </c>
      <c r="C1477">
        <v>34</v>
      </c>
      <c r="D1477">
        <v>21</v>
      </c>
      <c r="E1477" s="1">
        <f t="shared" si="23"/>
        <v>0.61764705882352944</v>
      </c>
      <c r="F1477">
        <v>105</v>
      </c>
      <c r="G1477">
        <v>101.7</v>
      </c>
      <c r="H1477">
        <v>0.58960000000000001</v>
      </c>
      <c r="I1477">
        <v>50.3</v>
      </c>
      <c r="J1477">
        <v>47.9</v>
      </c>
      <c r="K1477">
        <v>19.8</v>
      </c>
      <c r="L1477">
        <v>19.5</v>
      </c>
      <c r="M1477">
        <v>34.799999999999997</v>
      </c>
      <c r="N1477">
        <v>32.4</v>
      </c>
      <c r="O1477">
        <v>40.4</v>
      </c>
      <c r="P1477">
        <v>36.1</v>
      </c>
      <c r="Q1477">
        <v>49.3</v>
      </c>
      <c r="R1477">
        <v>47.1</v>
      </c>
      <c r="S1477">
        <v>34.6</v>
      </c>
      <c r="T1477">
        <v>33.5</v>
      </c>
      <c r="U1477">
        <v>65.7</v>
      </c>
      <c r="V1477">
        <v>-4.7</v>
      </c>
      <c r="W1477" cm="1">
        <f t="array" ref="W1477">_xlfn.IFS(OR(X1477="N/A",X1477="NA"),0,OR(X1477="R64",X1477="R68"),1,X1477="R32",2,X1477="S16",3,X1477="E8",4,X1477="F4",5,X1477="2ND",6,X1477="Champions",7)</f>
        <v>0</v>
      </c>
      <c r="X1477" t="s">
        <v>90</v>
      </c>
      <c r="Y1477" t="s">
        <v>90</v>
      </c>
      <c r="Z1477">
        <v>2014</v>
      </c>
    </row>
    <row r="1478" spans="1:26" x14ac:dyDescent="0.3">
      <c r="A1478" t="s">
        <v>358</v>
      </c>
      <c r="B1478" t="s">
        <v>29</v>
      </c>
      <c r="C1478">
        <v>31</v>
      </c>
      <c r="D1478">
        <v>12</v>
      </c>
      <c r="E1478" s="1">
        <f t="shared" si="23"/>
        <v>0.38709677419354838</v>
      </c>
      <c r="F1478">
        <v>108.3</v>
      </c>
      <c r="G1478">
        <v>98</v>
      </c>
      <c r="H1478">
        <v>0.75849999999999995</v>
      </c>
      <c r="I1478">
        <v>49.4</v>
      </c>
      <c r="J1478">
        <v>47</v>
      </c>
      <c r="K1478">
        <v>18.3</v>
      </c>
      <c r="L1478">
        <v>19.3</v>
      </c>
      <c r="M1478">
        <v>30</v>
      </c>
      <c r="N1478">
        <v>34.5</v>
      </c>
      <c r="O1478">
        <v>44</v>
      </c>
      <c r="P1478">
        <v>41.3</v>
      </c>
      <c r="Q1478">
        <v>49.1</v>
      </c>
      <c r="R1478">
        <v>47.5</v>
      </c>
      <c r="S1478">
        <v>33.299999999999997</v>
      </c>
      <c r="T1478">
        <v>30.7</v>
      </c>
      <c r="U1478">
        <v>63.7</v>
      </c>
      <c r="V1478">
        <v>-6.1</v>
      </c>
      <c r="W1478" cm="1">
        <f t="array" ref="W1478">_xlfn.IFS(OR(X1478="N/A",X1478="NA"),0,OR(X1478="R64",X1478="R68"),1,X1478="R32",2,X1478="S16",3,X1478="E8",4,X1478="F4",5,X1478="2ND",6,X1478="Champions",7)</f>
        <v>0</v>
      </c>
      <c r="X1478" t="s">
        <v>90</v>
      </c>
      <c r="Y1478" t="s">
        <v>90</v>
      </c>
      <c r="Z1478">
        <v>2014</v>
      </c>
    </row>
    <row r="1479" spans="1:26" x14ac:dyDescent="0.3">
      <c r="A1479" t="s">
        <v>390</v>
      </c>
      <c r="B1479" t="s">
        <v>76</v>
      </c>
      <c r="C1479">
        <v>28</v>
      </c>
      <c r="D1479">
        <v>12</v>
      </c>
      <c r="E1479" s="1">
        <f t="shared" si="23"/>
        <v>0.42857142857142855</v>
      </c>
      <c r="F1479">
        <v>91.6</v>
      </c>
      <c r="G1479">
        <v>105</v>
      </c>
      <c r="H1479">
        <v>0.1731</v>
      </c>
      <c r="I1479">
        <v>46.3</v>
      </c>
      <c r="J1479">
        <v>45.2</v>
      </c>
      <c r="K1479">
        <v>19.8</v>
      </c>
      <c r="L1479">
        <v>20.2</v>
      </c>
      <c r="M1479">
        <v>27.6</v>
      </c>
      <c r="N1479">
        <v>34.200000000000003</v>
      </c>
      <c r="O1479">
        <v>41.5</v>
      </c>
      <c r="P1479">
        <v>54.6</v>
      </c>
      <c r="Q1479">
        <v>45</v>
      </c>
      <c r="R1479">
        <v>44.5</v>
      </c>
      <c r="S1479">
        <v>32.299999999999997</v>
      </c>
      <c r="T1479">
        <v>31.4</v>
      </c>
      <c r="U1479">
        <v>65.8</v>
      </c>
      <c r="V1479">
        <v>-12.4</v>
      </c>
      <c r="W1479" cm="1">
        <f t="array" ref="W1479">_xlfn.IFS(OR(X1479="N/A",X1479="NA"),0,OR(X1479="R64",X1479="R68"),1,X1479="R32",2,X1479="S16",3,X1479="E8",4,X1479="F4",5,X1479="2ND",6,X1479="Champions",7)</f>
        <v>0</v>
      </c>
      <c r="X1479" t="s">
        <v>90</v>
      </c>
      <c r="Y1479" t="s">
        <v>90</v>
      </c>
      <c r="Z1479">
        <v>2014</v>
      </c>
    </row>
    <row r="1480" spans="1:26" x14ac:dyDescent="0.3">
      <c r="A1480" t="s">
        <v>391</v>
      </c>
      <c r="B1480" t="s">
        <v>76</v>
      </c>
      <c r="C1480">
        <v>29</v>
      </c>
      <c r="D1480">
        <v>16</v>
      </c>
      <c r="E1480" s="1">
        <f t="shared" si="23"/>
        <v>0.55172413793103448</v>
      </c>
      <c r="F1480">
        <v>95.1</v>
      </c>
      <c r="G1480">
        <v>111.7</v>
      </c>
      <c r="H1480">
        <v>0.13519999999999999</v>
      </c>
      <c r="I1480">
        <v>45.5</v>
      </c>
      <c r="J1480">
        <v>49.7</v>
      </c>
      <c r="K1480">
        <v>17.600000000000001</v>
      </c>
      <c r="L1480">
        <v>21.4</v>
      </c>
      <c r="M1480">
        <v>33.299999999999997</v>
      </c>
      <c r="N1480">
        <v>34.700000000000003</v>
      </c>
      <c r="O1480">
        <v>40.700000000000003</v>
      </c>
      <c r="P1480">
        <v>40</v>
      </c>
      <c r="Q1480">
        <v>47.2</v>
      </c>
      <c r="R1480">
        <v>50.9</v>
      </c>
      <c r="S1480">
        <v>28</v>
      </c>
      <c r="T1480">
        <v>31.4</v>
      </c>
      <c r="U1480">
        <v>67.5</v>
      </c>
      <c r="V1480">
        <v>-9.4</v>
      </c>
      <c r="W1480" cm="1">
        <f t="array" ref="W1480">_xlfn.IFS(OR(X1480="N/A",X1480="NA"),0,OR(X1480="R64",X1480="R68"),1,X1480="R32",2,X1480="S16",3,X1480="E8",4,X1480="F4",5,X1480="2ND",6,X1480="Champions",7)</f>
        <v>0</v>
      </c>
      <c r="X1480" t="s">
        <v>90</v>
      </c>
      <c r="Y1480" t="s">
        <v>90</v>
      </c>
      <c r="Z1480">
        <v>2014</v>
      </c>
    </row>
    <row r="1481" spans="1:26" x14ac:dyDescent="0.3">
      <c r="A1481" t="s">
        <v>392</v>
      </c>
      <c r="B1481" t="s">
        <v>76</v>
      </c>
      <c r="C1481">
        <v>28</v>
      </c>
      <c r="D1481">
        <v>9</v>
      </c>
      <c r="E1481" s="1">
        <f t="shared" si="23"/>
        <v>0.32142857142857145</v>
      </c>
      <c r="F1481">
        <v>93.2</v>
      </c>
      <c r="G1481">
        <v>110</v>
      </c>
      <c r="H1481">
        <v>0.12889999999999999</v>
      </c>
      <c r="I1481">
        <v>45.2</v>
      </c>
      <c r="J1481">
        <v>49.5</v>
      </c>
      <c r="K1481">
        <v>17.8</v>
      </c>
      <c r="L1481">
        <v>19.100000000000001</v>
      </c>
      <c r="M1481">
        <v>28.6</v>
      </c>
      <c r="N1481">
        <v>34.5</v>
      </c>
      <c r="O1481">
        <v>41.4</v>
      </c>
      <c r="P1481">
        <v>41.4</v>
      </c>
      <c r="Q1481">
        <v>45.2</v>
      </c>
      <c r="R1481">
        <v>48.2</v>
      </c>
      <c r="S1481">
        <v>30.1</v>
      </c>
      <c r="T1481">
        <v>34.799999999999997</v>
      </c>
      <c r="U1481">
        <v>63.8</v>
      </c>
      <c r="V1481">
        <v>-14.9</v>
      </c>
      <c r="W1481" cm="1">
        <f t="array" ref="W1481">_xlfn.IFS(OR(X1481="N/A",X1481="NA"),0,OR(X1481="R64",X1481="R68"),1,X1481="R32",2,X1481="S16",3,X1481="E8",4,X1481="F4",5,X1481="2ND",6,X1481="Champions",7)</f>
        <v>0</v>
      </c>
      <c r="X1481" t="s">
        <v>90</v>
      </c>
      <c r="Y1481" t="s">
        <v>90</v>
      </c>
      <c r="Z1481">
        <v>2014</v>
      </c>
    </row>
    <row r="1482" spans="1:26" x14ac:dyDescent="0.3">
      <c r="A1482" t="s">
        <v>336</v>
      </c>
      <c r="B1482" t="s">
        <v>62</v>
      </c>
      <c r="C1482">
        <v>26</v>
      </c>
      <c r="D1482">
        <v>5</v>
      </c>
      <c r="E1482" s="1">
        <f t="shared" si="23"/>
        <v>0.19230769230769232</v>
      </c>
      <c r="F1482">
        <v>91.3</v>
      </c>
      <c r="G1482">
        <v>109.9</v>
      </c>
      <c r="H1482">
        <v>0.1057</v>
      </c>
      <c r="I1482">
        <v>44.2</v>
      </c>
      <c r="J1482">
        <v>52.7</v>
      </c>
      <c r="K1482">
        <v>18.7</v>
      </c>
      <c r="L1482">
        <v>18.899999999999999</v>
      </c>
      <c r="M1482">
        <v>33.4</v>
      </c>
      <c r="N1482">
        <v>31.3</v>
      </c>
      <c r="O1482">
        <v>41.1</v>
      </c>
      <c r="P1482">
        <v>43.1</v>
      </c>
      <c r="Q1482">
        <v>44.3</v>
      </c>
      <c r="R1482">
        <v>51.6</v>
      </c>
      <c r="S1482">
        <v>29.4</v>
      </c>
      <c r="T1482">
        <v>37.1</v>
      </c>
      <c r="U1482">
        <v>66.3</v>
      </c>
      <c r="V1482">
        <v>-16.5</v>
      </c>
      <c r="W1482" cm="1">
        <f t="array" ref="W1482">_xlfn.IFS(OR(X1482="N/A",X1482="NA"),0,OR(X1482="R64",X1482="R68"),1,X1482="R32",2,X1482="S16",3,X1482="E8",4,X1482="F4",5,X1482="2ND",6,X1482="Champions",7)</f>
        <v>0</v>
      </c>
      <c r="X1482" t="s">
        <v>90</v>
      </c>
      <c r="Y1482" t="s">
        <v>90</v>
      </c>
      <c r="Z1482">
        <v>2014</v>
      </c>
    </row>
    <row r="1483" spans="1:26" x14ac:dyDescent="0.3">
      <c r="A1483" t="s">
        <v>364</v>
      </c>
      <c r="B1483" t="s">
        <v>29</v>
      </c>
      <c r="C1483">
        <v>34</v>
      </c>
      <c r="D1483">
        <v>22</v>
      </c>
      <c r="E1483" s="1">
        <f t="shared" si="23"/>
        <v>0.6470588235294118</v>
      </c>
      <c r="F1483">
        <v>110.6</v>
      </c>
      <c r="G1483">
        <v>96.4</v>
      </c>
      <c r="H1483">
        <v>0.83030000000000004</v>
      </c>
      <c r="I1483">
        <v>50.1</v>
      </c>
      <c r="J1483">
        <v>46.2</v>
      </c>
      <c r="K1483">
        <v>15.7</v>
      </c>
      <c r="L1483">
        <v>23.2</v>
      </c>
      <c r="M1483">
        <v>31.8</v>
      </c>
      <c r="N1483">
        <v>36.6</v>
      </c>
      <c r="O1483">
        <v>40.200000000000003</v>
      </c>
      <c r="P1483">
        <v>43</v>
      </c>
      <c r="Q1483">
        <v>48</v>
      </c>
      <c r="R1483">
        <v>43.6</v>
      </c>
      <c r="S1483">
        <v>36.200000000000003</v>
      </c>
      <c r="T1483">
        <v>34.6</v>
      </c>
      <c r="U1483">
        <v>72.8</v>
      </c>
      <c r="V1483">
        <v>0.1</v>
      </c>
      <c r="W1483" cm="1">
        <f t="array" ref="W1483">_xlfn.IFS(OR(X1483="N/A",X1483="NA"),0,OR(X1483="R64",X1483="R68"),1,X1483="R32",2,X1483="S16",3,X1483="E8",4,X1483="F4",5,X1483="2ND",6,X1483="Champions",7)</f>
        <v>0</v>
      </c>
      <c r="X1483" t="s">
        <v>90</v>
      </c>
      <c r="Y1483" t="s">
        <v>90</v>
      </c>
      <c r="Z1483">
        <v>2014</v>
      </c>
    </row>
    <row r="1484" spans="1:26" x14ac:dyDescent="0.3">
      <c r="A1484" t="s">
        <v>337</v>
      </c>
      <c r="B1484" t="s">
        <v>58</v>
      </c>
      <c r="C1484">
        <v>30</v>
      </c>
      <c r="D1484">
        <v>13</v>
      </c>
      <c r="E1484" s="1">
        <f t="shared" si="23"/>
        <v>0.43333333333333335</v>
      </c>
      <c r="F1484">
        <v>100</v>
      </c>
      <c r="G1484">
        <v>105.4</v>
      </c>
      <c r="H1484">
        <v>0.35220000000000001</v>
      </c>
      <c r="I1484">
        <v>46</v>
      </c>
      <c r="J1484">
        <v>49.9</v>
      </c>
      <c r="K1484">
        <v>19</v>
      </c>
      <c r="L1484">
        <v>18.3</v>
      </c>
      <c r="M1484">
        <v>31.3</v>
      </c>
      <c r="N1484">
        <v>30.4</v>
      </c>
      <c r="O1484">
        <v>41.5</v>
      </c>
      <c r="P1484">
        <v>50.2</v>
      </c>
      <c r="Q1484">
        <v>45.8</v>
      </c>
      <c r="R1484">
        <v>48.3</v>
      </c>
      <c r="S1484">
        <v>31.1</v>
      </c>
      <c r="T1484">
        <v>34.9</v>
      </c>
      <c r="U1484">
        <v>68.400000000000006</v>
      </c>
      <c r="V1484">
        <v>-9.4</v>
      </c>
      <c r="W1484" cm="1">
        <f t="array" ref="W1484">_xlfn.IFS(OR(X1484="N/A",X1484="NA"),0,OR(X1484="R64",X1484="R68"),1,X1484="R32",2,X1484="S16",3,X1484="E8",4,X1484="F4",5,X1484="2ND",6,X1484="Champions",7)</f>
        <v>0</v>
      </c>
      <c r="X1484" t="s">
        <v>90</v>
      </c>
      <c r="Y1484" t="s">
        <v>90</v>
      </c>
      <c r="Z1484">
        <v>2014</v>
      </c>
    </row>
    <row r="1485" spans="1:26" x14ac:dyDescent="0.3">
      <c r="A1485" t="s">
        <v>393</v>
      </c>
      <c r="B1485" t="s">
        <v>76</v>
      </c>
      <c r="C1485">
        <v>29</v>
      </c>
      <c r="D1485">
        <v>11</v>
      </c>
      <c r="E1485" s="1">
        <f t="shared" si="23"/>
        <v>0.37931034482758619</v>
      </c>
      <c r="F1485">
        <v>92.3</v>
      </c>
      <c r="G1485">
        <v>107.1</v>
      </c>
      <c r="H1485">
        <v>0.15310000000000001</v>
      </c>
      <c r="I1485">
        <v>47</v>
      </c>
      <c r="J1485">
        <v>54</v>
      </c>
      <c r="K1485">
        <v>22.3</v>
      </c>
      <c r="L1485">
        <v>23.9</v>
      </c>
      <c r="M1485">
        <v>29.2</v>
      </c>
      <c r="N1485">
        <v>33.4</v>
      </c>
      <c r="O1485">
        <v>41.1</v>
      </c>
      <c r="P1485">
        <v>50.7</v>
      </c>
      <c r="Q1485">
        <v>44.7</v>
      </c>
      <c r="R1485">
        <v>53.3</v>
      </c>
      <c r="S1485">
        <v>34.1</v>
      </c>
      <c r="T1485">
        <v>36.799999999999997</v>
      </c>
      <c r="U1485">
        <v>66.7</v>
      </c>
      <c r="V1485">
        <v>-12</v>
      </c>
      <c r="W1485" cm="1">
        <f t="array" ref="W1485">_xlfn.IFS(OR(X1485="N/A",X1485="NA"),0,OR(X1485="R64",X1485="R68"),1,X1485="R32",2,X1485="S16",3,X1485="E8",4,X1485="F4",5,X1485="2ND",6,X1485="Champions",7)</f>
        <v>0</v>
      </c>
      <c r="X1485" t="s">
        <v>90</v>
      </c>
      <c r="Y1485" t="s">
        <v>90</v>
      </c>
      <c r="Z1485">
        <v>2014</v>
      </c>
    </row>
    <row r="1486" spans="1:26" x14ac:dyDescent="0.3">
      <c r="A1486" t="s">
        <v>338</v>
      </c>
      <c r="B1486" t="s">
        <v>58</v>
      </c>
      <c r="C1486">
        <v>30</v>
      </c>
      <c r="D1486">
        <v>17</v>
      </c>
      <c r="E1486" s="1">
        <f t="shared" si="23"/>
        <v>0.56666666666666665</v>
      </c>
      <c r="F1486">
        <v>105.9</v>
      </c>
      <c r="G1486">
        <v>104.5</v>
      </c>
      <c r="H1486">
        <v>0.53849999999999998</v>
      </c>
      <c r="I1486">
        <v>52.3</v>
      </c>
      <c r="J1486">
        <v>48.4</v>
      </c>
      <c r="K1486">
        <v>17.7</v>
      </c>
      <c r="L1486">
        <v>18.2</v>
      </c>
      <c r="M1486">
        <v>26.9</v>
      </c>
      <c r="N1486">
        <v>31.5</v>
      </c>
      <c r="O1486">
        <v>42.4</v>
      </c>
      <c r="P1486">
        <v>36.1</v>
      </c>
      <c r="Q1486">
        <v>48.3</v>
      </c>
      <c r="R1486">
        <v>48.3</v>
      </c>
      <c r="S1486">
        <v>38.6</v>
      </c>
      <c r="T1486">
        <v>32.5</v>
      </c>
      <c r="U1486">
        <v>68.5</v>
      </c>
      <c r="V1486">
        <v>-7.3</v>
      </c>
      <c r="W1486" cm="1">
        <f t="array" ref="W1486">_xlfn.IFS(OR(X1486="N/A",X1486="NA"),0,OR(X1486="R64",X1486="R68"),1,X1486="R32",2,X1486="S16",3,X1486="E8",4,X1486="F4",5,X1486="2ND",6,X1486="Champions",7)</f>
        <v>0</v>
      </c>
      <c r="X1486" t="s">
        <v>90</v>
      </c>
      <c r="Y1486" t="s">
        <v>90</v>
      </c>
      <c r="Z1486">
        <v>2014</v>
      </c>
    </row>
    <row r="1487" spans="1:26" x14ac:dyDescent="0.3">
      <c r="A1487" t="s">
        <v>327</v>
      </c>
      <c r="B1487" t="s">
        <v>67</v>
      </c>
      <c r="C1487">
        <v>30</v>
      </c>
      <c r="D1487">
        <v>14</v>
      </c>
      <c r="E1487" s="1">
        <f t="shared" si="23"/>
        <v>0.46666666666666667</v>
      </c>
      <c r="F1487">
        <v>104.7</v>
      </c>
      <c r="G1487">
        <v>109.7</v>
      </c>
      <c r="H1487">
        <v>0.36899999999999999</v>
      </c>
      <c r="I1487">
        <v>51.1</v>
      </c>
      <c r="J1487">
        <v>52.4</v>
      </c>
      <c r="K1487">
        <v>18.899999999999999</v>
      </c>
      <c r="L1487">
        <v>19.899999999999999</v>
      </c>
      <c r="M1487">
        <v>32</v>
      </c>
      <c r="N1487">
        <v>33.5</v>
      </c>
      <c r="O1487">
        <v>32.6</v>
      </c>
      <c r="P1487">
        <v>35.299999999999997</v>
      </c>
      <c r="Q1487">
        <v>51.4</v>
      </c>
      <c r="R1487">
        <v>49.7</v>
      </c>
      <c r="S1487">
        <v>33.799999999999997</v>
      </c>
      <c r="T1487">
        <v>39</v>
      </c>
      <c r="U1487">
        <v>68.900000000000006</v>
      </c>
      <c r="V1487">
        <v>-10.6</v>
      </c>
      <c r="W1487" cm="1">
        <f t="array" ref="W1487">_xlfn.IFS(OR(X1487="N/A",X1487="NA"),0,OR(X1487="R64",X1487="R68"),1,X1487="R32",2,X1487="S16",3,X1487="E8",4,X1487="F4",5,X1487="2ND",6,X1487="Champions",7)</f>
        <v>0</v>
      </c>
      <c r="X1487" t="s">
        <v>90</v>
      </c>
      <c r="Y1487" t="s">
        <v>90</v>
      </c>
      <c r="Z1487">
        <v>2014</v>
      </c>
    </row>
    <row r="1488" spans="1:26" x14ac:dyDescent="0.3">
      <c r="A1488" t="s">
        <v>87</v>
      </c>
      <c r="B1488" t="s">
        <v>29</v>
      </c>
      <c r="C1488">
        <v>30</v>
      </c>
      <c r="D1488">
        <v>14</v>
      </c>
      <c r="E1488" s="1">
        <f t="shared" si="23"/>
        <v>0.46666666666666667</v>
      </c>
      <c r="F1488">
        <v>110.5</v>
      </c>
      <c r="G1488">
        <v>103.9</v>
      </c>
      <c r="H1488">
        <v>0.67059999999999997</v>
      </c>
      <c r="I1488">
        <v>48.9</v>
      </c>
      <c r="J1488">
        <v>49.8</v>
      </c>
      <c r="K1488">
        <v>17.899999999999999</v>
      </c>
      <c r="L1488">
        <v>18.8</v>
      </c>
      <c r="M1488">
        <v>31.7</v>
      </c>
      <c r="N1488">
        <v>33.1</v>
      </c>
      <c r="O1488">
        <v>44.1</v>
      </c>
      <c r="P1488">
        <v>48.7</v>
      </c>
      <c r="Q1488">
        <v>50</v>
      </c>
      <c r="R1488">
        <v>45.4</v>
      </c>
      <c r="S1488">
        <v>31</v>
      </c>
      <c r="T1488">
        <v>38.700000000000003</v>
      </c>
      <c r="U1488">
        <v>67.900000000000006</v>
      </c>
      <c r="V1488">
        <v>-5.4</v>
      </c>
      <c r="W1488" cm="1">
        <f t="array" ref="W1488">_xlfn.IFS(OR(X1488="N/A",X1488="NA"),0,OR(X1488="R64",X1488="R68"),1,X1488="R32",2,X1488="S16",3,X1488="E8",4,X1488="F4",5,X1488="2ND",6,X1488="Champions",7)</f>
        <v>0</v>
      </c>
      <c r="X1488" t="s">
        <v>90</v>
      </c>
      <c r="Y1488" t="s">
        <v>90</v>
      </c>
      <c r="Z1488">
        <v>2014</v>
      </c>
    </row>
    <row r="1489" spans="1:26" x14ac:dyDescent="0.3">
      <c r="A1489" t="s">
        <v>304</v>
      </c>
      <c r="B1489" t="s">
        <v>64</v>
      </c>
      <c r="C1489">
        <v>28</v>
      </c>
      <c r="D1489">
        <v>10</v>
      </c>
      <c r="E1489" s="1">
        <f t="shared" si="23"/>
        <v>0.35714285714285715</v>
      </c>
      <c r="F1489">
        <v>100.6</v>
      </c>
      <c r="G1489">
        <v>110.4</v>
      </c>
      <c r="H1489">
        <v>0.25590000000000002</v>
      </c>
      <c r="I1489">
        <v>52.6</v>
      </c>
      <c r="J1489">
        <v>53.3</v>
      </c>
      <c r="K1489">
        <v>21.4</v>
      </c>
      <c r="L1489">
        <v>19.899999999999999</v>
      </c>
      <c r="M1489">
        <v>29.6</v>
      </c>
      <c r="N1489">
        <v>35.1</v>
      </c>
      <c r="O1489">
        <v>49.3</v>
      </c>
      <c r="P1489">
        <v>34.9</v>
      </c>
      <c r="Q1489">
        <v>53.5</v>
      </c>
      <c r="R1489">
        <v>52.7</v>
      </c>
      <c r="S1489">
        <v>33.5</v>
      </c>
      <c r="T1489">
        <v>36.200000000000003</v>
      </c>
      <c r="U1489">
        <v>70.900000000000006</v>
      </c>
      <c r="V1489">
        <v>-13.8</v>
      </c>
      <c r="W1489" cm="1">
        <f t="array" ref="W1489">_xlfn.IFS(OR(X1489="N/A",X1489="NA"),0,OR(X1489="R64",X1489="R68"),1,X1489="R32",2,X1489="S16",3,X1489="E8",4,X1489="F4",5,X1489="2ND",6,X1489="Champions",7)</f>
        <v>0</v>
      </c>
      <c r="X1489" t="s">
        <v>90</v>
      </c>
      <c r="Y1489" t="s">
        <v>90</v>
      </c>
      <c r="Z1489">
        <v>2014</v>
      </c>
    </row>
    <row r="1490" spans="1:26" x14ac:dyDescent="0.3">
      <c r="A1490" t="s">
        <v>252</v>
      </c>
      <c r="B1490" t="s">
        <v>57</v>
      </c>
      <c r="C1490">
        <v>28</v>
      </c>
      <c r="D1490">
        <v>3</v>
      </c>
      <c r="E1490" s="1">
        <f t="shared" si="23"/>
        <v>0.10714285714285714</v>
      </c>
      <c r="F1490">
        <v>96.7</v>
      </c>
      <c r="G1490">
        <v>108.3</v>
      </c>
      <c r="H1490">
        <v>0.2137</v>
      </c>
      <c r="I1490">
        <v>46.6</v>
      </c>
      <c r="J1490">
        <v>51.5</v>
      </c>
      <c r="K1490">
        <v>25</v>
      </c>
      <c r="L1490">
        <v>16.3</v>
      </c>
      <c r="M1490">
        <v>34</v>
      </c>
      <c r="N1490">
        <v>30.4</v>
      </c>
      <c r="O1490">
        <v>42.6</v>
      </c>
      <c r="P1490">
        <v>45.4</v>
      </c>
      <c r="Q1490">
        <v>46.3</v>
      </c>
      <c r="R1490">
        <v>52.3</v>
      </c>
      <c r="S1490">
        <v>31.5</v>
      </c>
      <c r="T1490">
        <v>33.1</v>
      </c>
      <c r="U1490">
        <v>67.400000000000006</v>
      </c>
      <c r="V1490">
        <v>-17.899999999999999</v>
      </c>
      <c r="W1490" cm="1">
        <f t="array" ref="W1490">_xlfn.IFS(OR(X1490="N/A",X1490="NA"),0,OR(X1490="R64",X1490="R68"),1,X1490="R32",2,X1490="S16",3,X1490="E8",4,X1490="F4",5,X1490="2ND",6,X1490="Champions",7)</f>
        <v>0</v>
      </c>
      <c r="X1490" t="s">
        <v>90</v>
      </c>
      <c r="Y1490" t="s">
        <v>90</v>
      </c>
      <c r="Z1490">
        <v>2014</v>
      </c>
    </row>
    <row r="1491" spans="1:26" x14ac:dyDescent="0.3">
      <c r="A1491" t="s">
        <v>315</v>
      </c>
      <c r="B1491" t="s">
        <v>64</v>
      </c>
      <c r="C1491">
        <v>35</v>
      </c>
      <c r="D1491">
        <v>25</v>
      </c>
      <c r="E1491" s="1">
        <f t="shared" si="23"/>
        <v>0.7142857142857143</v>
      </c>
      <c r="F1491">
        <v>113.4</v>
      </c>
      <c r="G1491">
        <v>105.4</v>
      </c>
      <c r="H1491">
        <v>0.69769999999999999</v>
      </c>
      <c r="I1491">
        <v>57.6</v>
      </c>
      <c r="J1491">
        <v>52</v>
      </c>
      <c r="K1491">
        <v>18.600000000000001</v>
      </c>
      <c r="L1491">
        <v>20.5</v>
      </c>
      <c r="M1491">
        <v>28.2</v>
      </c>
      <c r="N1491">
        <v>33.299999999999997</v>
      </c>
      <c r="O1491">
        <v>41.2</v>
      </c>
      <c r="P1491">
        <v>42.9</v>
      </c>
      <c r="Q1491">
        <v>56.9</v>
      </c>
      <c r="R1491">
        <v>52.1</v>
      </c>
      <c r="S1491">
        <v>39</v>
      </c>
      <c r="T1491">
        <v>34.5</v>
      </c>
      <c r="U1491">
        <v>69.3</v>
      </c>
      <c r="V1491">
        <v>-2</v>
      </c>
      <c r="W1491" cm="1">
        <f t="array" ref="W1491">_xlfn.IFS(OR(X1491="N/A",X1491="NA"),0,OR(X1491="R64",X1491="R68"),1,X1491="R32",2,X1491="S16",3,X1491="E8",4,X1491="F4",5,X1491="2ND",6,X1491="Champions",7)</f>
        <v>0</v>
      </c>
      <c r="X1491" t="s">
        <v>90</v>
      </c>
      <c r="Y1491" t="s">
        <v>90</v>
      </c>
      <c r="Z1491">
        <v>2014</v>
      </c>
    </row>
    <row r="1492" spans="1:26" x14ac:dyDescent="0.3">
      <c r="A1492" t="s">
        <v>263</v>
      </c>
      <c r="B1492" t="s">
        <v>66</v>
      </c>
      <c r="C1492">
        <v>30</v>
      </c>
      <c r="D1492">
        <v>5</v>
      </c>
      <c r="E1492" s="1">
        <f t="shared" si="23"/>
        <v>0.16666666666666666</v>
      </c>
      <c r="F1492">
        <v>96.1</v>
      </c>
      <c r="G1492">
        <v>117.1</v>
      </c>
      <c r="H1492">
        <v>9.2899999999999996E-2</v>
      </c>
      <c r="I1492">
        <v>45.7</v>
      </c>
      <c r="J1492">
        <v>51.7</v>
      </c>
      <c r="K1492">
        <v>19.7</v>
      </c>
      <c r="L1492">
        <v>19.7</v>
      </c>
      <c r="M1492">
        <v>31.8</v>
      </c>
      <c r="N1492">
        <v>38.700000000000003</v>
      </c>
      <c r="O1492">
        <v>34.1</v>
      </c>
      <c r="P1492">
        <v>53.4</v>
      </c>
      <c r="Q1492">
        <v>41.3</v>
      </c>
      <c r="R1492">
        <v>51.1</v>
      </c>
      <c r="S1492">
        <v>35.799999999999997</v>
      </c>
      <c r="T1492">
        <v>35.299999999999997</v>
      </c>
      <c r="U1492">
        <v>62.4</v>
      </c>
      <c r="V1492">
        <v>-20.5</v>
      </c>
      <c r="W1492" cm="1">
        <f t="array" ref="W1492">_xlfn.IFS(OR(X1492="N/A",X1492="NA"),0,OR(X1492="R64",X1492="R68"),1,X1492="R32",2,X1492="S16",3,X1492="E8",4,X1492="F4",5,X1492="2ND",6,X1492="Champions",7)</f>
        <v>0</v>
      </c>
      <c r="X1492" t="s">
        <v>90</v>
      </c>
      <c r="Y1492" t="s">
        <v>90</v>
      </c>
      <c r="Z1492">
        <v>2014</v>
      </c>
    </row>
    <row r="1493" spans="1:26" x14ac:dyDescent="0.3">
      <c r="A1493" t="s">
        <v>111</v>
      </c>
      <c r="B1493" t="s">
        <v>112</v>
      </c>
      <c r="C1493">
        <v>30</v>
      </c>
      <c r="D1493">
        <v>7</v>
      </c>
      <c r="E1493" s="1">
        <f t="shared" si="23"/>
        <v>0.23333333333333334</v>
      </c>
      <c r="F1493">
        <v>92.3</v>
      </c>
      <c r="G1493">
        <v>109.6</v>
      </c>
      <c r="H1493">
        <v>0.1225</v>
      </c>
      <c r="I1493">
        <v>43.9</v>
      </c>
      <c r="J1493">
        <v>52.8</v>
      </c>
      <c r="K1493">
        <v>21.5</v>
      </c>
      <c r="L1493">
        <v>19.8</v>
      </c>
      <c r="M1493">
        <v>29.1</v>
      </c>
      <c r="N1493">
        <v>32.4</v>
      </c>
      <c r="O1493">
        <v>44.2</v>
      </c>
      <c r="P1493">
        <v>40.799999999999997</v>
      </c>
      <c r="Q1493">
        <v>41.5</v>
      </c>
      <c r="R1493">
        <v>49.6</v>
      </c>
      <c r="S1493">
        <v>32</v>
      </c>
      <c r="T1493">
        <v>38.5</v>
      </c>
      <c r="U1493">
        <v>66.2</v>
      </c>
      <c r="V1493">
        <v>-18</v>
      </c>
      <c r="W1493" cm="1">
        <f t="array" ref="W1493">_xlfn.IFS(OR(X1493="N/A",X1493="NA"),0,OR(X1493="R64",X1493="R68"),1,X1493="R32",2,X1493="S16",3,X1493="E8",4,X1493="F4",5,X1493="2ND",6,X1493="Champions",7)</f>
        <v>0</v>
      </c>
      <c r="X1493" t="s">
        <v>90</v>
      </c>
      <c r="Y1493" t="s">
        <v>90</v>
      </c>
      <c r="Z1493">
        <v>2014</v>
      </c>
    </row>
    <row r="1494" spans="1:26" x14ac:dyDescent="0.3">
      <c r="A1494" t="s">
        <v>291</v>
      </c>
      <c r="B1494" t="s">
        <v>55</v>
      </c>
      <c r="C1494">
        <v>31</v>
      </c>
      <c r="D1494">
        <v>18</v>
      </c>
      <c r="E1494" s="1">
        <f t="shared" si="23"/>
        <v>0.58064516129032262</v>
      </c>
      <c r="F1494">
        <v>114.3</v>
      </c>
      <c r="G1494">
        <v>103.7</v>
      </c>
      <c r="H1494">
        <v>0.75460000000000005</v>
      </c>
      <c r="I1494">
        <v>51.2</v>
      </c>
      <c r="J1494">
        <v>51.3</v>
      </c>
      <c r="K1494">
        <v>15</v>
      </c>
      <c r="L1494">
        <v>17</v>
      </c>
      <c r="M1494">
        <v>32.1</v>
      </c>
      <c r="N1494">
        <v>26.4</v>
      </c>
      <c r="O1494">
        <v>36.6</v>
      </c>
      <c r="P1494">
        <v>42.3</v>
      </c>
      <c r="Q1494">
        <v>49.8</v>
      </c>
      <c r="R1494">
        <v>50.4</v>
      </c>
      <c r="S1494">
        <v>35.9</v>
      </c>
      <c r="T1494">
        <v>35.299999999999997</v>
      </c>
      <c r="U1494">
        <v>65.5</v>
      </c>
      <c r="V1494">
        <v>-3.3</v>
      </c>
      <c r="W1494" cm="1">
        <f t="array" ref="W1494">_xlfn.IFS(OR(X1494="N/A",X1494="NA"),0,OR(X1494="R64",X1494="R68"),1,X1494="R32",2,X1494="S16",3,X1494="E8",4,X1494="F4",5,X1494="2ND",6,X1494="Champions",7)</f>
        <v>0</v>
      </c>
      <c r="X1494" t="s">
        <v>90</v>
      </c>
      <c r="Y1494" t="s">
        <v>90</v>
      </c>
      <c r="Z1494">
        <v>2014</v>
      </c>
    </row>
    <row r="1495" spans="1:26" x14ac:dyDescent="0.3">
      <c r="A1495" t="s">
        <v>103</v>
      </c>
      <c r="B1495" t="s">
        <v>26</v>
      </c>
      <c r="C1495">
        <v>31</v>
      </c>
      <c r="D1495">
        <v>7</v>
      </c>
      <c r="E1495" s="1">
        <f t="shared" si="23"/>
        <v>0.22580645161290322</v>
      </c>
      <c r="F1495">
        <v>114.5</v>
      </c>
      <c r="G1495">
        <v>109.8</v>
      </c>
      <c r="H1495">
        <v>0.61799999999999999</v>
      </c>
      <c r="I1495">
        <v>52.1</v>
      </c>
      <c r="J1495">
        <v>52.1</v>
      </c>
      <c r="K1495">
        <v>17.399999999999999</v>
      </c>
      <c r="L1495">
        <v>15</v>
      </c>
      <c r="M1495">
        <v>27.1</v>
      </c>
      <c r="N1495">
        <v>35.1</v>
      </c>
      <c r="O1495">
        <v>44.5</v>
      </c>
      <c r="P1495">
        <v>41.5</v>
      </c>
      <c r="Q1495">
        <v>51.7</v>
      </c>
      <c r="R1495">
        <v>50.3</v>
      </c>
      <c r="S1495">
        <v>35.1</v>
      </c>
      <c r="T1495">
        <v>37.9</v>
      </c>
      <c r="U1495">
        <v>63.2</v>
      </c>
      <c r="V1495">
        <v>-10</v>
      </c>
      <c r="W1495" cm="1">
        <f t="array" ref="W1495">_xlfn.IFS(OR(X1495="N/A",X1495="NA"),0,OR(X1495="R64",X1495="R68"),1,X1495="R32",2,X1495="S16",3,X1495="E8",4,X1495="F4",5,X1495="2ND",6,X1495="Champions",7)</f>
        <v>0</v>
      </c>
      <c r="X1495" t="s">
        <v>90</v>
      </c>
      <c r="Y1495" t="s">
        <v>90</v>
      </c>
      <c r="Z1495">
        <v>2014</v>
      </c>
    </row>
    <row r="1496" spans="1:26" x14ac:dyDescent="0.3">
      <c r="A1496" t="s">
        <v>328</v>
      </c>
      <c r="B1496" t="s">
        <v>67</v>
      </c>
      <c r="C1496">
        <v>35</v>
      </c>
      <c r="D1496">
        <v>24</v>
      </c>
      <c r="E1496" s="1">
        <f t="shared" si="23"/>
        <v>0.68571428571428572</v>
      </c>
      <c r="F1496">
        <v>107</v>
      </c>
      <c r="G1496">
        <v>101.4</v>
      </c>
      <c r="H1496">
        <v>0.64900000000000002</v>
      </c>
      <c r="I1496">
        <v>52.3</v>
      </c>
      <c r="J1496">
        <v>49.8</v>
      </c>
      <c r="K1496">
        <v>17.600000000000001</v>
      </c>
      <c r="L1496">
        <v>20.399999999999999</v>
      </c>
      <c r="M1496">
        <v>28.1</v>
      </c>
      <c r="N1496">
        <v>29.8</v>
      </c>
      <c r="O1496">
        <v>29.9</v>
      </c>
      <c r="P1496">
        <v>31.5</v>
      </c>
      <c r="Q1496">
        <v>50.9</v>
      </c>
      <c r="R1496">
        <v>48.2</v>
      </c>
      <c r="S1496">
        <v>36.299999999999997</v>
      </c>
      <c r="T1496">
        <v>35.4</v>
      </c>
      <c r="U1496">
        <v>66.8</v>
      </c>
      <c r="V1496">
        <v>-2.6</v>
      </c>
      <c r="W1496" cm="1">
        <f t="array" ref="W1496">_xlfn.IFS(OR(X1496="N/A",X1496="NA"),0,OR(X1496="R64",X1496="R68"),1,X1496="R32",2,X1496="S16",3,X1496="E8",4,X1496="F4",5,X1496="2ND",6,X1496="Champions",7)</f>
        <v>0</v>
      </c>
      <c r="X1496" t="s">
        <v>90</v>
      </c>
      <c r="Y1496" t="s">
        <v>90</v>
      </c>
      <c r="Z1496">
        <v>2014</v>
      </c>
    </row>
    <row r="1497" spans="1:26" x14ac:dyDescent="0.3">
      <c r="A1497" t="s">
        <v>253</v>
      </c>
      <c r="B1497" t="s">
        <v>57</v>
      </c>
      <c r="C1497">
        <v>31</v>
      </c>
      <c r="D1497">
        <v>11</v>
      </c>
      <c r="E1497" s="1">
        <f t="shared" si="23"/>
        <v>0.35483870967741937</v>
      </c>
      <c r="F1497">
        <v>92</v>
      </c>
      <c r="G1497">
        <v>97.1</v>
      </c>
      <c r="H1497">
        <v>0.34949999999999998</v>
      </c>
      <c r="I1497">
        <v>45.5</v>
      </c>
      <c r="J1497">
        <v>47.3</v>
      </c>
      <c r="K1497">
        <v>22.1</v>
      </c>
      <c r="L1497">
        <v>20.5</v>
      </c>
      <c r="M1497">
        <v>30.4</v>
      </c>
      <c r="N1497">
        <v>31.2</v>
      </c>
      <c r="O1497">
        <v>36.299999999999997</v>
      </c>
      <c r="P1497">
        <v>38.5</v>
      </c>
      <c r="Q1497">
        <v>46.4</v>
      </c>
      <c r="R1497">
        <v>44.3</v>
      </c>
      <c r="S1497">
        <v>28.3</v>
      </c>
      <c r="T1497">
        <v>35.6</v>
      </c>
      <c r="U1497">
        <v>66.599999999999994</v>
      </c>
      <c r="V1497">
        <v>-12.7</v>
      </c>
      <c r="W1497" cm="1">
        <f t="array" ref="W1497">_xlfn.IFS(OR(X1497="N/A",X1497="NA"),0,OR(X1497="R64",X1497="R68"),1,X1497="R32",2,X1497="S16",3,X1497="E8",4,X1497="F4",5,X1497="2ND",6,X1497="Champions",7)</f>
        <v>0</v>
      </c>
      <c r="X1497" t="s">
        <v>90</v>
      </c>
      <c r="Y1497" t="s">
        <v>90</v>
      </c>
      <c r="Z1497">
        <v>2014</v>
      </c>
    </row>
    <row r="1498" spans="1:26" x14ac:dyDescent="0.3">
      <c r="A1498" t="s">
        <v>275</v>
      </c>
      <c r="B1498" t="s">
        <v>47</v>
      </c>
      <c r="C1498">
        <v>32</v>
      </c>
      <c r="D1498">
        <v>12</v>
      </c>
      <c r="E1498" s="1">
        <f t="shared" si="23"/>
        <v>0.375</v>
      </c>
      <c r="F1498">
        <v>100</v>
      </c>
      <c r="G1498">
        <v>103.3</v>
      </c>
      <c r="H1498">
        <v>0.40810000000000002</v>
      </c>
      <c r="I1498">
        <v>46.4</v>
      </c>
      <c r="J1498">
        <v>50</v>
      </c>
      <c r="K1498">
        <v>18.7</v>
      </c>
      <c r="L1498">
        <v>20.2</v>
      </c>
      <c r="M1498">
        <v>32.299999999999997</v>
      </c>
      <c r="N1498">
        <v>31.1</v>
      </c>
      <c r="O1498">
        <v>36.5</v>
      </c>
      <c r="P1498">
        <v>43.4</v>
      </c>
      <c r="Q1498">
        <v>45.7</v>
      </c>
      <c r="R1498">
        <v>50.7</v>
      </c>
      <c r="S1498">
        <v>32.200000000000003</v>
      </c>
      <c r="T1498">
        <v>32.6</v>
      </c>
      <c r="U1498">
        <v>64.5</v>
      </c>
      <c r="V1498">
        <v>-12.6</v>
      </c>
      <c r="W1498" cm="1">
        <f t="array" ref="W1498">_xlfn.IFS(OR(X1498="N/A",X1498="NA"),0,OR(X1498="R64",X1498="R68"),1,X1498="R32",2,X1498="S16",3,X1498="E8",4,X1498="F4",5,X1498="2ND",6,X1498="Champions",7)</f>
        <v>0</v>
      </c>
      <c r="X1498" t="s">
        <v>90</v>
      </c>
      <c r="Y1498" t="s">
        <v>90</v>
      </c>
      <c r="Z1498">
        <v>2014</v>
      </c>
    </row>
    <row r="1499" spans="1:26" x14ac:dyDescent="0.3">
      <c r="A1499" t="s">
        <v>232</v>
      </c>
      <c r="B1499" t="s">
        <v>59</v>
      </c>
      <c r="C1499">
        <v>28</v>
      </c>
      <c r="D1499">
        <v>14</v>
      </c>
      <c r="E1499" s="1">
        <f t="shared" si="23"/>
        <v>0.5</v>
      </c>
      <c r="F1499">
        <v>100.1</v>
      </c>
      <c r="G1499">
        <v>100.2</v>
      </c>
      <c r="H1499">
        <v>0.49440000000000001</v>
      </c>
      <c r="I1499">
        <v>48.2</v>
      </c>
      <c r="J1499">
        <v>44.6</v>
      </c>
      <c r="K1499">
        <v>18.7</v>
      </c>
      <c r="L1499">
        <v>16.7</v>
      </c>
      <c r="M1499">
        <v>30.5</v>
      </c>
      <c r="N1499">
        <v>27.8</v>
      </c>
      <c r="O1499">
        <v>35.6</v>
      </c>
      <c r="P1499">
        <v>37.299999999999997</v>
      </c>
      <c r="Q1499">
        <v>44.7</v>
      </c>
      <c r="R1499">
        <v>44.1</v>
      </c>
      <c r="S1499">
        <v>37.700000000000003</v>
      </c>
      <c r="T1499">
        <v>30.6</v>
      </c>
      <c r="U1499">
        <v>70.3</v>
      </c>
      <c r="V1499">
        <v>-7.6</v>
      </c>
      <c r="W1499" cm="1">
        <f t="array" ref="W1499">_xlfn.IFS(OR(X1499="N/A",X1499="NA"),0,OR(X1499="R64",X1499="R68"),1,X1499="R32",2,X1499="S16",3,X1499="E8",4,X1499="F4",5,X1499="2ND",6,X1499="Champions",7)</f>
        <v>0</v>
      </c>
      <c r="X1499" t="s">
        <v>90</v>
      </c>
      <c r="Y1499" t="s">
        <v>90</v>
      </c>
      <c r="Z1499">
        <v>2014</v>
      </c>
    </row>
    <row r="1500" spans="1:26" x14ac:dyDescent="0.3">
      <c r="A1500" t="s">
        <v>294</v>
      </c>
      <c r="B1500" t="s">
        <v>77</v>
      </c>
      <c r="C1500">
        <v>31</v>
      </c>
      <c r="D1500">
        <v>17</v>
      </c>
      <c r="E1500" s="1">
        <f t="shared" si="23"/>
        <v>0.54838709677419351</v>
      </c>
      <c r="F1500">
        <v>104.7</v>
      </c>
      <c r="G1500">
        <v>108.4</v>
      </c>
      <c r="H1500">
        <v>0.40079999999999999</v>
      </c>
      <c r="I1500">
        <v>52.5</v>
      </c>
      <c r="J1500">
        <v>50</v>
      </c>
      <c r="K1500">
        <v>18.100000000000001</v>
      </c>
      <c r="L1500">
        <v>18</v>
      </c>
      <c r="M1500">
        <v>29</v>
      </c>
      <c r="N1500">
        <v>34</v>
      </c>
      <c r="O1500">
        <v>37.1</v>
      </c>
      <c r="P1500">
        <v>32.799999999999997</v>
      </c>
      <c r="Q1500">
        <v>53.8</v>
      </c>
      <c r="R1500">
        <v>47.5</v>
      </c>
      <c r="S1500">
        <v>33.200000000000003</v>
      </c>
      <c r="T1500">
        <v>36.4</v>
      </c>
      <c r="U1500">
        <v>67.599999999999994</v>
      </c>
      <c r="V1500">
        <v>-8.1999999999999993</v>
      </c>
      <c r="W1500" cm="1">
        <f t="array" ref="W1500">_xlfn.IFS(OR(X1500="N/A",X1500="NA"),0,OR(X1500="R64",X1500="R68"),1,X1500="R32",2,X1500="S16",3,X1500="E8",4,X1500="F4",5,X1500="2ND",6,X1500="Champions",7)</f>
        <v>0</v>
      </c>
      <c r="X1500" t="s">
        <v>90</v>
      </c>
      <c r="Y1500" t="s">
        <v>90</v>
      </c>
      <c r="Z1500">
        <v>2014</v>
      </c>
    </row>
    <row r="1501" spans="1:26" x14ac:dyDescent="0.3">
      <c r="A1501" t="s">
        <v>329</v>
      </c>
      <c r="B1501" t="s">
        <v>67</v>
      </c>
      <c r="C1501">
        <v>30</v>
      </c>
      <c r="D1501">
        <v>16</v>
      </c>
      <c r="E1501" s="1">
        <f t="shared" si="23"/>
        <v>0.53333333333333333</v>
      </c>
      <c r="F1501">
        <v>102.7</v>
      </c>
      <c r="G1501">
        <v>101.2</v>
      </c>
      <c r="H1501">
        <v>0.54339999999999999</v>
      </c>
      <c r="I1501">
        <v>48.9</v>
      </c>
      <c r="J1501">
        <v>47.9</v>
      </c>
      <c r="K1501">
        <v>16.8</v>
      </c>
      <c r="L1501">
        <v>14.4</v>
      </c>
      <c r="M1501">
        <v>29</v>
      </c>
      <c r="N1501">
        <v>24.4</v>
      </c>
      <c r="O1501">
        <v>31.7</v>
      </c>
      <c r="P1501">
        <v>31.8</v>
      </c>
      <c r="Q1501">
        <v>44.6</v>
      </c>
      <c r="R1501">
        <v>46.5</v>
      </c>
      <c r="S1501">
        <v>39</v>
      </c>
      <c r="T1501">
        <v>33.9</v>
      </c>
      <c r="U1501">
        <v>64.7</v>
      </c>
      <c r="V1501">
        <v>-7.9</v>
      </c>
      <c r="W1501" cm="1">
        <f t="array" ref="W1501">_xlfn.IFS(OR(X1501="N/A",X1501="NA"),0,OR(X1501="R64",X1501="R68"),1,X1501="R32",2,X1501="S16",3,X1501="E8",4,X1501="F4",5,X1501="2ND",6,X1501="Champions",7)</f>
        <v>0</v>
      </c>
      <c r="X1501" t="s">
        <v>90</v>
      </c>
      <c r="Y1501" t="s">
        <v>90</v>
      </c>
      <c r="Z1501">
        <v>2014</v>
      </c>
    </row>
    <row r="1502" spans="1:26" x14ac:dyDescent="0.3">
      <c r="A1502" t="s">
        <v>262</v>
      </c>
      <c r="B1502" t="s">
        <v>57</v>
      </c>
      <c r="C1502">
        <v>28</v>
      </c>
      <c r="D1502">
        <v>18</v>
      </c>
      <c r="E1502" s="1">
        <f t="shared" si="23"/>
        <v>0.6428571428571429</v>
      </c>
      <c r="F1502">
        <v>110.1</v>
      </c>
      <c r="G1502">
        <v>103.6</v>
      </c>
      <c r="H1502">
        <v>0.66669999999999996</v>
      </c>
      <c r="I1502">
        <v>50.2</v>
      </c>
      <c r="J1502">
        <v>47.1</v>
      </c>
      <c r="K1502">
        <v>18.5</v>
      </c>
      <c r="L1502">
        <v>19.2</v>
      </c>
      <c r="M1502">
        <v>35.1</v>
      </c>
      <c r="N1502">
        <v>31.4</v>
      </c>
      <c r="O1502">
        <v>41.8</v>
      </c>
      <c r="P1502">
        <v>36.299999999999997</v>
      </c>
      <c r="Q1502">
        <v>50</v>
      </c>
      <c r="R1502">
        <v>47.6</v>
      </c>
      <c r="S1502">
        <v>33.700000000000003</v>
      </c>
      <c r="T1502">
        <v>30.6</v>
      </c>
      <c r="U1502">
        <v>68.099999999999994</v>
      </c>
      <c r="V1502">
        <v>-5</v>
      </c>
      <c r="W1502" cm="1">
        <f t="array" ref="W1502">_xlfn.IFS(OR(X1502="N/A",X1502="NA"),0,OR(X1502="R64",X1502="R68"),1,X1502="R32",2,X1502="S16",3,X1502="E8",4,X1502="F4",5,X1502="2ND",6,X1502="Champions",7)</f>
        <v>0</v>
      </c>
      <c r="X1502" t="s">
        <v>90</v>
      </c>
      <c r="Y1502" t="s">
        <v>90</v>
      </c>
      <c r="Z1502">
        <v>2014</v>
      </c>
    </row>
    <row r="1503" spans="1:26" x14ac:dyDescent="0.3">
      <c r="A1503" t="s">
        <v>161</v>
      </c>
      <c r="B1503" t="s">
        <v>33</v>
      </c>
      <c r="C1503">
        <v>30</v>
      </c>
      <c r="D1503">
        <v>13</v>
      </c>
      <c r="E1503" s="1">
        <f t="shared" si="23"/>
        <v>0.43333333333333335</v>
      </c>
      <c r="F1503">
        <v>105.9</v>
      </c>
      <c r="G1503">
        <v>98.3</v>
      </c>
      <c r="H1503">
        <v>0.70220000000000005</v>
      </c>
      <c r="I1503">
        <v>47.3</v>
      </c>
      <c r="J1503">
        <v>50.1</v>
      </c>
      <c r="K1503">
        <v>15.3</v>
      </c>
      <c r="L1503">
        <v>17.7</v>
      </c>
      <c r="M1503">
        <v>30.4</v>
      </c>
      <c r="N1503">
        <v>28.5</v>
      </c>
      <c r="O1503">
        <v>37.700000000000003</v>
      </c>
      <c r="P1503">
        <v>31.4</v>
      </c>
      <c r="Q1503">
        <v>47.3</v>
      </c>
      <c r="R1503">
        <v>51.4</v>
      </c>
      <c r="S1503">
        <v>31.4</v>
      </c>
      <c r="T1503">
        <v>31.4</v>
      </c>
      <c r="U1503">
        <v>63.8</v>
      </c>
      <c r="V1503">
        <v>-5.6</v>
      </c>
      <c r="W1503" cm="1">
        <f t="array" ref="W1503">_xlfn.IFS(OR(X1503="N/A",X1503="NA"),0,OR(X1503="R64",X1503="R68"),1,X1503="R32",2,X1503="S16",3,X1503="E8",4,X1503="F4",5,X1503="2ND",6,X1503="Champions",7)</f>
        <v>0</v>
      </c>
      <c r="X1503" t="s">
        <v>90</v>
      </c>
      <c r="Y1503" t="s">
        <v>90</v>
      </c>
      <c r="Z1503">
        <v>2014</v>
      </c>
    </row>
    <row r="1504" spans="1:26" x14ac:dyDescent="0.3">
      <c r="A1504" t="s">
        <v>400</v>
      </c>
      <c r="B1504" t="s">
        <v>51</v>
      </c>
      <c r="C1504">
        <v>31</v>
      </c>
      <c r="D1504">
        <v>12</v>
      </c>
      <c r="E1504" s="1">
        <f t="shared" si="23"/>
        <v>0.38709677419354838</v>
      </c>
      <c r="F1504">
        <v>100</v>
      </c>
      <c r="G1504">
        <v>105.8</v>
      </c>
      <c r="H1504">
        <v>0.34300000000000003</v>
      </c>
      <c r="I1504">
        <v>49.5</v>
      </c>
      <c r="J1504">
        <v>49</v>
      </c>
      <c r="K1504">
        <v>21</v>
      </c>
      <c r="L1504">
        <v>19</v>
      </c>
      <c r="M1504">
        <v>34.299999999999997</v>
      </c>
      <c r="N1504">
        <v>31.5</v>
      </c>
      <c r="O1504">
        <v>38.700000000000003</v>
      </c>
      <c r="P1504">
        <v>52.5</v>
      </c>
      <c r="Q1504">
        <v>45.4</v>
      </c>
      <c r="R1504">
        <v>50</v>
      </c>
      <c r="S1504">
        <v>38.6</v>
      </c>
      <c r="T1504">
        <v>31.4</v>
      </c>
      <c r="U1504">
        <v>65.400000000000006</v>
      </c>
      <c r="V1504">
        <v>-14.3</v>
      </c>
      <c r="W1504" cm="1">
        <f t="array" ref="W1504">_xlfn.IFS(OR(X1504="N/A",X1504="NA"),0,OR(X1504="R64",X1504="R68"),1,X1504="R32",2,X1504="S16",3,X1504="E8",4,X1504="F4",5,X1504="2ND",6,X1504="Champions",7)</f>
        <v>0</v>
      </c>
      <c r="X1504" t="s">
        <v>90</v>
      </c>
      <c r="Y1504" t="s">
        <v>90</v>
      </c>
      <c r="Z1504">
        <v>2014</v>
      </c>
    </row>
    <row r="1505" spans="1:26" x14ac:dyDescent="0.3">
      <c r="A1505" t="s">
        <v>189</v>
      </c>
      <c r="B1505" t="s">
        <v>48</v>
      </c>
      <c r="C1505">
        <v>31</v>
      </c>
      <c r="D1505">
        <v>11</v>
      </c>
      <c r="E1505" s="1">
        <f t="shared" si="23"/>
        <v>0.35483870967741937</v>
      </c>
      <c r="F1505">
        <v>99.9</v>
      </c>
      <c r="G1505">
        <v>108</v>
      </c>
      <c r="H1505">
        <v>0.29070000000000001</v>
      </c>
      <c r="I1505">
        <v>48.1</v>
      </c>
      <c r="J1505">
        <v>50.7</v>
      </c>
      <c r="K1505">
        <v>17.8</v>
      </c>
      <c r="L1505">
        <v>17</v>
      </c>
      <c r="M1505">
        <v>29.1</v>
      </c>
      <c r="N1505">
        <v>29.1</v>
      </c>
      <c r="O1505">
        <v>38.1</v>
      </c>
      <c r="P1505">
        <v>45.9</v>
      </c>
      <c r="Q1505">
        <v>47.3</v>
      </c>
      <c r="R1505">
        <v>50.6</v>
      </c>
      <c r="S1505">
        <v>33.1</v>
      </c>
      <c r="T1505">
        <v>34</v>
      </c>
      <c r="U1505">
        <v>67.3</v>
      </c>
      <c r="V1505">
        <v>-13.8</v>
      </c>
      <c r="W1505" cm="1">
        <f t="array" ref="W1505">_xlfn.IFS(OR(X1505="N/A",X1505="NA"),0,OR(X1505="R64",X1505="R68"),1,X1505="R32",2,X1505="S16",3,X1505="E8",4,X1505="F4",5,X1505="2ND",6,X1505="Champions",7)</f>
        <v>0</v>
      </c>
      <c r="X1505" t="s">
        <v>90</v>
      </c>
      <c r="Y1505" t="s">
        <v>90</v>
      </c>
      <c r="Z1505">
        <v>2014</v>
      </c>
    </row>
    <row r="1506" spans="1:26" x14ac:dyDescent="0.3">
      <c r="A1506" t="s">
        <v>190</v>
      </c>
      <c r="B1506" t="s">
        <v>48</v>
      </c>
      <c r="C1506">
        <v>33</v>
      </c>
      <c r="D1506">
        <v>15</v>
      </c>
      <c r="E1506" s="1">
        <f t="shared" si="23"/>
        <v>0.45454545454545453</v>
      </c>
      <c r="F1506">
        <v>105.1</v>
      </c>
      <c r="G1506">
        <v>111.7</v>
      </c>
      <c r="H1506">
        <v>0.33229999999999998</v>
      </c>
      <c r="I1506">
        <v>48.9</v>
      </c>
      <c r="J1506">
        <v>52.1</v>
      </c>
      <c r="K1506">
        <v>18.2</v>
      </c>
      <c r="L1506">
        <v>17.3</v>
      </c>
      <c r="M1506">
        <v>33</v>
      </c>
      <c r="N1506">
        <v>31.2</v>
      </c>
      <c r="O1506">
        <v>48.8</v>
      </c>
      <c r="P1506">
        <v>41.9</v>
      </c>
      <c r="Q1506">
        <v>47.3</v>
      </c>
      <c r="R1506">
        <v>52.3</v>
      </c>
      <c r="S1506">
        <v>36.4</v>
      </c>
      <c r="T1506">
        <v>34.6</v>
      </c>
      <c r="U1506">
        <v>68.900000000000006</v>
      </c>
      <c r="V1506">
        <v>-12.3</v>
      </c>
      <c r="W1506" cm="1">
        <f t="array" ref="W1506">_xlfn.IFS(OR(X1506="N/A",X1506="NA"),0,OR(X1506="R64",X1506="R68"),1,X1506="R32",2,X1506="S16",3,X1506="E8",4,X1506="F4",5,X1506="2ND",6,X1506="Champions",7)</f>
        <v>0</v>
      </c>
      <c r="X1506" t="s">
        <v>90</v>
      </c>
      <c r="Y1506" t="s">
        <v>90</v>
      </c>
      <c r="Z1506">
        <v>2014</v>
      </c>
    </row>
    <row r="1507" spans="1:26" x14ac:dyDescent="0.3">
      <c r="A1507" t="s">
        <v>317</v>
      </c>
      <c r="B1507" t="s">
        <v>38</v>
      </c>
      <c r="C1507">
        <v>35</v>
      </c>
      <c r="D1507">
        <v>21</v>
      </c>
      <c r="E1507" s="1">
        <f t="shared" si="23"/>
        <v>0.6</v>
      </c>
      <c r="F1507">
        <v>110.9</v>
      </c>
      <c r="G1507">
        <v>99.8</v>
      </c>
      <c r="H1507">
        <v>0.77170000000000005</v>
      </c>
      <c r="I1507">
        <v>50.7</v>
      </c>
      <c r="J1507">
        <v>46.9</v>
      </c>
      <c r="K1507">
        <v>15.1</v>
      </c>
      <c r="L1507">
        <v>15</v>
      </c>
      <c r="M1507">
        <v>29.5</v>
      </c>
      <c r="N1507">
        <v>29.8</v>
      </c>
      <c r="O1507">
        <v>35.6</v>
      </c>
      <c r="P1507">
        <v>33.700000000000003</v>
      </c>
      <c r="Q1507">
        <v>50.2</v>
      </c>
      <c r="R1507">
        <v>44.3</v>
      </c>
      <c r="S1507">
        <v>34.5</v>
      </c>
      <c r="T1507">
        <v>35.299999999999997</v>
      </c>
      <c r="U1507">
        <v>66.400000000000006</v>
      </c>
      <c r="V1507">
        <v>-0.6</v>
      </c>
      <c r="W1507" cm="1">
        <f t="array" ref="W1507">_xlfn.IFS(OR(X1507="N/A",X1507="NA"),0,OR(X1507="R64",X1507="R68"),1,X1507="R32",2,X1507="S16",3,X1507="E8",4,X1507="F4",5,X1507="2ND",6,X1507="Champions",7)</f>
        <v>0</v>
      </c>
      <c r="X1507" t="s">
        <v>90</v>
      </c>
      <c r="Y1507" t="s">
        <v>90</v>
      </c>
      <c r="Z1507">
        <v>2014</v>
      </c>
    </row>
    <row r="1508" spans="1:26" x14ac:dyDescent="0.3">
      <c r="A1508" t="s">
        <v>176</v>
      </c>
      <c r="B1508" t="s">
        <v>74</v>
      </c>
      <c r="C1508">
        <v>28</v>
      </c>
      <c r="D1508">
        <v>9</v>
      </c>
      <c r="E1508" s="1">
        <f t="shared" si="23"/>
        <v>0.32142857142857145</v>
      </c>
      <c r="F1508">
        <v>97.3</v>
      </c>
      <c r="G1508">
        <v>114.5</v>
      </c>
      <c r="H1508">
        <v>0.1336</v>
      </c>
      <c r="I1508">
        <v>51.3</v>
      </c>
      <c r="J1508">
        <v>52</v>
      </c>
      <c r="K1508">
        <v>20.3</v>
      </c>
      <c r="L1508">
        <v>16</v>
      </c>
      <c r="M1508">
        <v>31</v>
      </c>
      <c r="N1508">
        <v>36.200000000000003</v>
      </c>
      <c r="O1508">
        <v>27.4</v>
      </c>
      <c r="P1508">
        <v>37</v>
      </c>
      <c r="Q1508">
        <v>50.2</v>
      </c>
      <c r="R1508">
        <v>51.7</v>
      </c>
      <c r="S1508">
        <v>35.1</v>
      </c>
      <c r="T1508">
        <v>35.1</v>
      </c>
      <c r="U1508">
        <v>63.8</v>
      </c>
      <c r="V1508">
        <v>-14.8</v>
      </c>
      <c r="W1508" cm="1">
        <f t="array" ref="W1508">_xlfn.IFS(OR(X1508="N/A",X1508="NA"),0,OR(X1508="R64",X1508="R68"),1,X1508="R32",2,X1508="S16",3,X1508="E8",4,X1508="F4",5,X1508="2ND",6,X1508="Champions",7)</f>
        <v>0</v>
      </c>
      <c r="X1508" t="s">
        <v>90</v>
      </c>
      <c r="Y1508" t="s">
        <v>90</v>
      </c>
      <c r="Z1508">
        <v>2014</v>
      </c>
    </row>
    <row r="1509" spans="1:26" x14ac:dyDescent="0.3">
      <c r="A1509" t="s">
        <v>240</v>
      </c>
      <c r="B1509" t="s">
        <v>69</v>
      </c>
      <c r="C1509">
        <v>33</v>
      </c>
      <c r="D1509">
        <v>21</v>
      </c>
      <c r="E1509" s="1">
        <f t="shared" si="23"/>
        <v>0.63636363636363635</v>
      </c>
      <c r="F1509">
        <v>111.8</v>
      </c>
      <c r="G1509">
        <v>109</v>
      </c>
      <c r="H1509">
        <v>0.57130000000000003</v>
      </c>
      <c r="I1509">
        <v>52.7</v>
      </c>
      <c r="J1509">
        <v>50.9</v>
      </c>
      <c r="K1509">
        <v>16.5</v>
      </c>
      <c r="L1509">
        <v>19.600000000000001</v>
      </c>
      <c r="M1509">
        <v>31.8</v>
      </c>
      <c r="N1509">
        <v>36.299999999999997</v>
      </c>
      <c r="O1509">
        <v>38</v>
      </c>
      <c r="P1509">
        <v>35.299999999999997</v>
      </c>
      <c r="Q1509">
        <v>49.9</v>
      </c>
      <c r="R1509">
        <v>51.4</v>
      </c>
      <c r="S1509">
        <v>38.6</v>
      </c>
      <c r="T1509">
        <v>33.4</v>
      </c>
      <c r="U1509">
        <v>67</v>
      </c>
      <c r="V1509">
        <v>-4</v>
      </c>
      <c r="W1509" cm="1">
        <f t="array" ref="W1509">_xlfn.IFS(OR(X1509="N/A",X1509="NA"),0,OR(X1509="R64",X1509="R68"),1,X1509="R32",2,X1509="S16",3,X1509="E8",4,X1509="F4",5,X1509="2ND",6,X1509="Champions",7)</f>
        <v>0</v>
      </c>
      <c r="X1509" t="s">
        <v>90</v>
      </c>
      <c r="Y1509" t="s">
        <v>90</v>
      </c>
      <c r="Z1509">
        <v>2014</v>
      </c>
    </row>
    <row r="1510" spans="1:26" x14ac:dyDescent="0.3">
      <c r="A1510" t="s">
        <v>369</v>
      </c>
      <c r="B1510" t="s">
        <v>61</v>
      </c>
      <c r="C1510">
        <v>27</v>
      </c>
      <c r="D1510">
        <v>6</v>
      </c>
      <c r="E1510" s="1">
        <f t="shared" si="23"/>
        <v>0.22222222222222221</v>
      </c>
      <c r="F1510">
        <v>95.5</v>
      </c>
      <c r="G1510">
        <v>112.4</v>
      </c>
      <c r="H1510">
        <v>0.13300000000000001</v>
      </c>
      <c r="I1510">
        <v>49.3</v>
      </c>
      <c r="J1510">
        <v>52</v>
      </c>
      <c r="K1510">
        <v>20.3</v>
      </c>
      <c r="L1510">
        <v>19.2</v>
      </c>
      <c r="M1510">
        <v>28</v>
      </c>
      <c r="N1510">
        <v>37.799999999999997</v>
      </c>
      <c r="O1510">
        <v>38.200000000000003</v>
      </c>
      <c r="P1510">
        <v>49</v>
      </c>
      <c r="Q1510">
        <v>46.9</v>
      </c>
      <c r="R1510">
        <v>52</v>
      </c>
      <c r="S1510">
        <v>36.700000000000003</v>
      </c>
      <c r="T1510">
        <v>34.5</v>
      </c>
      <c r="U1510">
        <v>72.2</v>
      </c>
      <c r="V1510">
        <v>-16.5</v>
      </c>
      <c r="W1510" cm="1">
        <f t="array" ref="W1510">_xlfn.IFS(OR(X1510="N/A",X1510="NA"),0,OR(X1510="R64",X1510="R68"),1,X1510="R32",2,X1510="S16",3,X1510="E8",4,X1510="F4",5,X1510="2ND",6,X1510="Champions",7)</f>
        <v>0</v>
      </c>
      <c r="X1510" t="s">
        <v>90</v>
      </c>
      <c r="Y1510" t="s">
        <v>90</v>
      </c>
      <c r="Z1510">
        <v>2014</v>
      </c>
    </row>
    <row r="1511" spans="1:26" x14ac:dyDescent="0.3">
      <c r="A1511" t="s">
        <v>295</v>
      </c>
      <c r="B1511" t="s">
        <v>77</v>
      </c>
      <c r="C1511">
        <v>29</v>
      </c>
      <c r="D1511">
        <v>10</v>
      </c>
      <c r="E1511" s="1">
        <f t="shared" si="23"/>
        <v>0.34482758620689657</v>
      </c>
      <c r="F1511">
        <v>97.2</v>
      </c>
      <c r="G1511">
        <v>111.1</v>
      </c>
      <c r="H1511">
        <v>0.1759</v>
      </c>
      <c r="I1511">
        <v>48.1</v>
      </c>
      <c r="J1511">
        <v>50.9</v>
      </c>
      <c r="K1511">
        <v>19.899999999999999</v>
      </c>
      <c r="L1511">
        <v>18.2</v>
      </c>
      <c r="M1511">
        <v>28.8</v>
      </c>
      <c r="N1511">
        <v>36.4</v>
      </c>
      <c r="O1511">
        <v>29.6</v>
      </c>
      <c r="P1511">
        <v>34.200000000000003</v>
      </c>
      <c r="Q1511">
        <v>47.3</v>
      </c>
      <c r="R1511">
        <v>48.8</v>
      </c>
      <c r="S1511">
        <v>33.5</v>
      </c>
      <c r="T1511">
        <v>36.6</v>
      </c>
      <c r="U1511">
        <v>70.2</v>
      </c>
      <c r="V1511">
        <v>-14.6</v>
      </c>
      <c r="W1511" cm="1">
        <f t="array" ref="W1511">_xlfn.IFS(OR(X1511="N/A",X1511="NA"),0,OR(X1511="R64",X1511="R68"),1,X1511="R32",2,X1511="S16",3,X1511="E8",4,X1511="F4",5,X1511="2ND",6,X1511="Champions",7)</f>
        <v>0</v>
      </c>
      <c r="X1511" t="s">
        <v>90</v>
      </c>
      <c r="Y1511" t="s">
        <v>90</v>
      </c>
      <c r="Z1511">
        <v>2014</v>
      </c>
    </row>
    <row r="1512" spans="1:26" x14ac:dyDescent="0.3">
      <c r="A1512" t="s">
        <v>254</v>
      </c>
      <c r="B1512" t="s">
        <v>57</v>
      </c>
      <c r="C1512">
        <v>29</v>
      </c>
      <c r="D1512">
        <v>8</v>
      </c>
      <c r="E1512" s="1">
        <f t="shared" si="23"/>
        <v>0.27586206896551724</v>
      </c>
      <c r="F1512">
        <v>106.1</v>
      </c>
      <c r="G1512">
        <v>116.8</v>
      </c>
      <c r="H1512">
        <v>0.24929999999999999</v>
      </c>
      <c r="I1512">
        <v>49.3</v>
      </c>
      <c r="J1512">
        <v>57</v>
      </c>
      <c r="K1512">
        <v>16.5</v>
      </c>
      <c r="L1512">
        <v>19.5</v>
      </c>
      <c r="M1512">
        <v>29</v>
      </c>
      <c r="N1512">
        <v>32.1</v>
      </c>
      <c r="O1512">
        <v>37.1</v>
      </c>
      <c r="P1512">
        <v>39.700000000000003</v>
      </c>
      <c r="Q1512">
        <v>50.8</v>
      </c>
      <c r="R1512">
        <v>58.3</v>
      </c>
      <c r="S1512">
        <v>31.6</v>
      </c>
      <c r="T1512">
        <v>36.5</v>
      </c>
      <c r="U1512">
        <v>65.599999999999994</v>
      </c>
      <c r="V1512">
        <v>-15.8</v>
      </c>
      <c r="W1512" cm="1">
        <f t="array" ref="W1512">_xlfn.IFS(OR(X1512="N/A",X1512="NA"),0,OR(X1512="R64",X1512="R68"),1,X1512="R32",2,X1512="S16",3,X1512="E8",4,X1512="F4",5,X1512="2ND",6,X1512="Champions",7)</f>
        <v>0</v>
      </c>
      <c r="X1512" t="s">
        <v>90</v>
      </c>
      <c r="Y1512" t="s">
        <v>90</v>
      </c>
      <c r="Z1512">
        <v>2014</v>
      </c>
    </row>
    <row r="1513" spans="1:26" x14ac:dyDescent="0.3">
      <c r="A1513" t="s">
        <v>177</v>
      </c>
      <c r="B1513" t="s">
        <v>74</v>
      </c>
      <c r="C1513">
        <v>27</v>
      </c>
      <c r="D1513">
        <v>9</v>
      </c>
      <c r="E1513" s="1">
        <f t="shared" si="23"/>
        <v>0.33333333333333331</v>
      </c>
      <c r="F1513">
        <v>105.6</v>
      </c>
      <c r="G1513">
        <v>109.7</v>
      </c>
      <c r="H1513">
        <v>0.39100000000000001</v>
      </c>
      <c r="I1513">
        <v>51.3</v>
      </c>
      <c r="J1513">
        <v>51.9</v>
      </c>
      <c r="K1513">
        <v>16.100000000000001</v>
      </c>
      <c r="L1513">
        <v>16.899999999999999</v>
      </c>
      <c r="M1513">
        <v>29.9</v>
      </c>
      <c r="N1513">
        <v>29.6</v>
      </c>
      <c r="O1513">
        <v>34.799999999999997</v>
      </c>
      <c r="P1513">
        <v>38.299999999999997</v>
      </c>
      <c r="Q1513">
        <v>48.3</v>
      </c>
      <c r="R1513">
        <v>47.4</v>
      </c>
      <c r="S1513">
        <v>37</v>
      </c>
      <c r="T1513">
        <v>40.200000000000003</v>
      </c>
      <c r="U1513">
        <v>67.5</v>
      </c>
      <c r="V1513">
        <v>-12.7</v>
      </c>
      <c r="W1513" cm="1">
        <f t="array" ref="W1513">_xlfn.IFS(OR(X1513="N/A",X1513="NA"),0,OR(X1513="R64",X1513="R68"),1,X1513="R32",2,X1513="S16",3,X1513="E8",4,X1513="F4",5,X1513="2ND",6,X1513="Champions",7)</f>
        <v>0</v>
      </c>
      <c r="X1513" t="s">
        <v>90</v>
      </c>
      <c r="Y1513" t="s">
        <v>90</v>
      </c>
      <c r="Z1513">
        <v>2014</v>
      </c>
    </row>
    <row r="1514" spans="1:26" x14ac:dyDescent="0.3">
      <c r="A1514" t="s">
        <v>207</v>
      </c>
      <c r="B1514" t="s">
        <v>40</v>
      </c>
      <c r="C1514">
        <v>31</v>
      </c>
      <c r="D1514">
        <v>17</v>
      </c>
      <c r="E1514" s="1">
        <f t="shared" si="23"/>
        <v>0.54838709677419351</v>
      </c>
      <c r="F1514">
        <v>102</v>
      </c>
      <c r="G1514">
        <v>102.4</v>
      </c>
      <c r="H1514">
        <v>0.48920000000000002</v>
      </c>
      <c r="I1514">
        <v>49.7</v>
      </c>
      <c r="J1514">
        <v>49.2</v>
      </c>
      <c r="K1514">
        <v>21</v>
      </c>
      <c r="L1514">
        <v>17.399999999999999</v>
      </c>
      <c r="M1514">
        <v>33.799999999999997</v>
      </c>
      <c r="N1514">
        <v>29.7</v>
      </c>
      <c r="O1514">
        <v>39.5</v>
      </c>
      <c r="P1514">
        <v>36.1</v>
      </c>
      <c r="Q1514">
        <v>48.2</v>
      </c>
      <c r="R1514">
        <v>49.2</v>
      </c>
      <c r="S1514">
        <v>35.6</v>
      </c>
      <c r="T1514">
        <v>32.799999999999997</v>
      </c>
      <c r="U1514">
        <v>69.599999999999994</v>
      </c>
      <c r="V1514">
        <v>-6.9</v>
      </c>
      <c r="W1514" cm="1">
        <f t="array" ref="W1514">_xlfn.IFS(OR(X1514="N/A",X1514="NA"),0,OR(X1514="R64",X1514="R68"),1,X1514="R32",2,X1514="S16",3,X1514="E8",4,X1514="F4",5,X1514="2ND",6,X1514="Champions",7)</f>
        <v>0</v>
      </c>
      <c r="X1514" t="s">
        <v>90</v>
      </c>
      <c r="Y1514" t="s">
        <v>90</v>
      </c>
      <c r="Z1514">
        <v>2014</v>
      </c>
    </row>
    <row r="1515" spans="1:26" x14ac:dyDescent="0.3">
      <c r="A1515" t="s">
        <v>348</v>
      </c>
      <c r="B1515" t="s">
        <v>62</v>
      </c>
      <c r="C1515">
        <v>30</v>
      </c>
      <c r="D1515">
        <v>15</v>
      </c>
      <c r="E1515" s="1">
        <f t="shared" si="23"/>
        <v>0.5</v>
      </c>
      <c r="F1515">
        <v>99.9</v>
      </c>
      <c r="G1515">
        <v>109.8</v>
      </c>
      <c r="H1515">
        <v>0.25109999999999999</v>
      </c>
      <c r="I1515">
        <v>47.4</v>
      </c>
      <c r="J1515">
        <v>51.5</v>
      </c>
      <c r="K1515">
        <v>18.899999999999999</v>
      </c>
      <c r="L1515">
        <v>17.899999999999999</v>
      </c>
      <c r="M1515">
        <v>34.1</v>
      </c>
      <c r="N1515">
        <v>32.4</v>
      </c>
      <c r="O1515">
        <v>44.6</v>
      </c>
      <c r="P1515">
        <v>36.1</v>
      </c>
      <c r="Q1515">
        <v>46.7</v>
      </c>
      <c r="R1515">
        <v>51.7</v>
      </c>
      <c r="S1515">
        <v>32.5</v>
      </c>
      <c r="T1515">
        <v>34</v>
      </c>
      <c r="U1515">
        <v>68.8</v>
      </c>
      <c r="V1515">
        <v>-9.6999999999999993</v>
      </c>
      <c r="W1515" cm="1">
        <f t="array" ref="W1515">_xlfn.IFS(OR(X1515="N/A",X1515="NA"),0,OR(X1515="R64",X1515="R68"),1,X1515="R32",2,X1515="S16",3,X1515="E8",4,X1515="F4",5,X1515="2ND",6,X1515="Champions",7)</f>
        <v>0</v>
      </c>
      <c r="X1515" t="s">
        <v>90</v>
      </c>
      <c r="Y1515" t="s">
        <v>90</v>
      </c>
      <c r="Z1515">
        <v>2014</v>
      </c>
    </row>
    <row r="1516" spans="1:26" x14ac:dyDescent="0.3">
      <c r="A1516" t="s">
        <v>401</v>
      </c>
      <c r="B1516" t="s">
        <v>51</v>
      </c>
      <c r="C1516">
        <v>30</v>
      </c>
      <c r="D1516">
        <v>11</v>
      </c>
      <c r="E1516" s="1">
        <f t="shared" si="23"/>
        <v>0.36666666666666664</v>
      </c>
      <c r="F1516">
        <v>97.4</v>
      </c>
      <c r="G1516">
        <v>109</v>
      </c>
      <c r="H1516">
        <v>0.215</v>
      </c>
      <c r="I1516">
        <v>46.8</v>
      </c>
      <c r="J1516">
        <v>52.5</v>
      </c>
      <c r="K1516">
        <v>17.100000000000001</v>
      </c>
      <c r="L1516">
        <v>22.1</v>
      </c>
      <c r="M1516">
        <v>27</v>
      </c>
      <c r="N1516">
        <v>37</v>
      </c>
      <c r="O1516">
        <v>33.799999999999997</v>
      </c>
      <c r="P1516">
        <v>53.6</v>
      </c>
      <c r="Q1516">
        <v>45.1</v>
      </c>
      <c r="R1516">
        <v>52.1</v>
      </c>
      <c r="S1516">
        <v>33.299999999999997</v>
      </c>
      <c r="T1516">
        <v>35.5</v>
      </c>
      <c r="U1516">
        <v>69.5</v>
      </c>
      <c r="V1516">
        <v>-12.6</v>
      </c>
      <c r="W1516" cm="1">
        <f t="array" ref="W1516">_xlfn.IFS(OR(X1516="N/A",X1516="NA"),0,OR(X1516="R64",X1516="R68"),1,X1516="R32",2,X1516="S16",3,X1516="E8",4,X1516="F4",5,X1516="2ND",6,X1516="Champions",7)</f>
        <v>0</v>
      </c>
      <c r="X1516" t="s">
        <v>90</v>
      </c>
      <c r="Y1516" t="s">
        <v>90</v>
      </c>
      <c r="Z1516">
        <v>2014</v>
      </c>
    </row>
    <row r="1517" spans="1:26" x14ac:dyDescent="0.3">
      <c r="A1517" t="s">
        <v>104</v>
      </c>
      <c r="B1517" t="s">
        <v>26</v>
      </c>
      <c r="C1517">
        <v>36</v>
      </c>
      <c r="D1517">
        <v>23</v>
      </c>
      <c r="E1517" s="1">
        <f t="shared" si="23"/>
        <v>0.63888888888888884</v>
      </c>
      <c r="F1517">
        <v>106.7</v>
      </c>
      <c r="G1517">
        <v>93.9</v>
      </c>
      <c r="H1517">
        <v>0.81159999999999999</v>
      </c>
      <c r="I1517">
        <v>47.4</v>
      </c>
      <c r="J1517">
        <v>43.9</v>
      </c>
      <c r="K1517">
        <v>18.2</v>
      </c>
      <c r="L1517">
        <v>17.3</v>
      </c>
      <c r="M1517">
        <v>33.799999999999997</v>
      </c>
      <c r="N1517">
        <v>32.5</v>
      </c>
      <c r="O1517">
        <v>36.1</v>
      </c>
      <c r="P1517">
        <v>28.6</v>
      </c>
      <c r="Q1517">
        <v>47.9</v>
      </c>
      <c r="R1517">
        <v>44.3</v>
      </c>
      <c r="S1517">
        <v>31</v>
      </c>
      <c r="T1517">
        <v>28.5</v>
      </c>
      <c r="U1517">
        <v>60</v>
      </c>
      <c r="V1517">
        <v>0.2</v>
      </c>
      <c r="W1517" cm="1">
        <f t="array" ref="W1517">_xlfn.IFS(OR(X1517="N/A",X1517="NA"),0,OR(X1517="R64",X1517="R68"),1,X1517="R32",2,X1517="S16",3,X1517="E8",4,X1517="F4",5,X1517="2ND",6,X1517="Champions",7)</f>
        <v>0</v>
      </c>
      <c r="X1517" t="s">
        <v>90</v>
      </c>
      <c r="Y1517" t="s">
        <v>90</v>
      </c>
      <c r="Z1517">
        <v>2014</v>
      </c>
    </row>
    <row r="1518" spans="1:26" x14ac:dyDescent="0.3">
      <c r="A1518" t="s">
        <v>221</v>
      </c>
      <c r="B1518" t="s">
        <v>43</v>
      </c>
      <c r="C1518">
        <v>31</v>
      </c>
      <c r="D1518">
        <v>19</v>
      </c>
      <c r="E1518" s="1">
        <f t="shared" si="23"/>
        <v>0.61290322580645162</v>
      </c>
      <c r="F1518">
        <v>109.3</v>
      </c>
      <c r="G1518">
        <v>102.3</v>
      </c>
      <c r="H1518">
        <v>0.68130000000000002</v>
      </c>
      <c r="I1518">
        <v>52.7</v>
      </c>
      <c r="J1518">
        <v>47.8</v>
      </c>
      <c r="K1518">
        <v>19.3</v>
      </c>
      <c r="L1518">
        <v>19.3</v>
      </c>
      <c r="M1518">
        <v>31.9</v>
      </c>
      <c r="N1518">
        <v>31.5</v>
      </c>
      <c r="O1518">
        <v>37.5</v>
      </c>
      <c r="P1518">
        <v>44.3</v>
      </c>
      <c r="Q1518">
        <v>48.8</v>
      </c>
      <c r="R1518">
        <v>46.6</v>
      </c>
      <c r="S1518">
        <v>40.200000000000003</v>
      </c>
      <c r="T1518">
        <v>33.4</v>
      </c>
      <c r="U1518">
        <v>64.400000000000006</v>
      </c>
      <c r="V1518">
        <v>-4.2</v>
      </c>
      <c r="W1518" cm="1">
        <f t="array" ref="W1518">_xlfn.IFS(OR(X1518="N/A",X1518="NA"),0,OR(X1518="R64",X1518="R68"),1,X1518="R32",2,X1518="S16",3,X1518="E8",4,X1518="F4",5,X1518="2ND",6,X1518="Champions",7)</f>
        <v>0</v>
      </c>
      <c r="X1518" t="s">
        <v>90</v>
      </c>
      <c r="Y1518" t="s">
        <v>90</v>
      </c>
      <c r="Z1518">
        <v>2014</v>
      </c>
    </row>
    <row r="1519" spans="1:26" x14ac:dyDescent="0.3">
      <c r="A1519" t="s">
        <v>330</v>
      </c>
      <c r="B1519" t="s">
        <v>67</v>
      </c>
      <c r="C1519">
        <v>30</v>
      </c>
      <c r="D1519">
        <v>12</v>
      </c>
      <c r="E1519" s="1">
        <f t="shared" si="23"/>
        <v>0.4</v>
      </c>
      <c r="F1519">
        <v>108.6</v>
      </c>
      <c r="G1519">
        <v>108.4</v>
      </c>
      <c r="H1519">
        <v>0.50409999999999999</v>
      </c>
      <c r="I1519">
        <v>56.4</v>
      </c>
      <c r="J1519">
        <v>50.6</v>
      </c>
      <c r="K1519">
        <v>18.100000000000001</v>
      </c>
      <c r="L1519">
        <v>16.2</v>
      </c>
      <c r="M1519">
        <v>23.6</v>
      </c>
      <c r="N1519">
        <v>28.6</v>
      </c>
      <c r="O1519">
        <v>28.1</v>
      </c>
      <c r="P1519">
        <v>34.799999999999997</v>
      </c>
      <c r="Q1519">
        <v>54</v>
      </c>
      <c r="R1519">
        <v>50.6</v>
      </c>
      <c r="S1519">
        <v>40.1</v>
      </c>
      <c r="T1519">
        <v>33.799999999999997</v>
      </c>
      <c r="U1519">
        <v>64.2</v>
      </c>
      <c r="V1519">
        <v>-12.1</v>
      </c>
      <c r="W1519" cm="1">
        <f t="array" ref="W1519">_xlfn.IFS(OR(X1519="N/A",X1519="NA"),0,OR(X1519="R64",X1519="R68"),1,X1519="R32",2,X1519="S16",3,X1519="E8",4,X1519="F4",5,X1519="2ND",6,X1519="Champions",7)</f>
        <v>0</v>
      </c>
      <c r="X1519" t="s">
        <v>90</v>
      </c>
      <c r="Y1519" t="s">
        <v>90</v>
      </c>
      <c r="Z1519">
        <v>2014</v>
      </c>
    </row>
    <row r="1520" spans="1:26" x14ac:dyDescent="0.3">
      <c r="A1520" t="s">
        <v>197</v>
      </c>
      <c r="B1520" t="s">
        <v>53</v>
      </c>
      <c r="C1520">
        <v>31</v>
      </c>
      <c r="D1520">
        <v>13</v>
      </c>
      <c r="E1520" s="1">
        <f t="shared" si="23"/>
        <v>0.41935483870967744</v>
      </c>
      <c r="F1520">
        <v>98.7</v>
      </c>
      <c r="G1520">
        <v>99.3</v>
      </c>
      <c r="H1520">
        <v>0.48259999999999997</v>
      </c>
      <c r="I1520">
        <v>47.3</v>
      </c>
      <c r="J1520">
        <v>45.5</v>
      </c>
      <c r="K1520">
        <v>20.3</v>
      </c>
      <c r="L1520">
        <v>15.1</v>
      </c>
      <c r="M1520">
        <v>34.799999999999997</v>
      </c>
      <c r="N1520">
        <v>27.9</v>
      </c>
      <c r="O1520">
        <v>34.4</v>
      </c>
      <c r="P1520">
        <v>43.1</v>
      </c>
      <c r="Q1520">
        <v>44.9</v>
      </c>
      <c r="R1520">
        <v>43.4</v>
      </c>
      <c r="S1520">
        <v>34.5</v>
      </c>
      <c r="T1520">
        <v>34.200000000000003</v>
      </c>
      <c r="U1520">
        <v>62.6</v>
      </c>
      <c r="V1520">
        <v>-11.6</v>
      </c>
      <c r="W1520" cm="1">
        <f t="array" ref="W1520">_xlfn.IFS(OR(X1520="N/A",X1520="NA"),0,OR(X1520="R64",X1520="R68"),1,X1520="R32",2,X1520="S16",3,X1520="E8",4,X1520="F4",5,X1520="2ND",6,X1520="Champions",7)</f>
        <v>0</v>
      </c>
      <c r="X1520" t="s">
        <v>90</v>
      </c>
      <c r="Y1520" t="s">
        <v>90</v>
      </c>
      <c r="Z1520">
        <v>2014</v>
      </c>
    </row>
    <row r="1521" spans="1:26" x14ac:dyDescent="0.3">
      <c r="A1521" t="s">
        <v>284</v>
      </c>
      <c r="B1521" t="s">
        <v>55</v>
      </c>
      <c r="C1521">
        <v>30</v>
      </c>
      <c r="D1521">
        <v>14</v>
      </c>
      <c r="E1521" s="1">
        <f t="shared" si="23"/>
        <v>0.46666666666666667</v>
      </c>
      <c r="F1521">
        <v>110</v>
      </c>
      <c r="G1521">
        <v>107.5</v>
      </c>
      <c r="H1521">
        <v>0.56630000000000003</v>
      </c>
      <c r="I1521">
        <v>46.2</v>
      </c>
      <c r="J1521">
        <v>51.5</v>
      </c>
      <c r="K1521">
        <v>14.1</v>
      </c>
      <c r="L1521">
        <v>16.8</v>
      </c>
      <c r="M1521">
        <v>34.700000000000003</v>
      </c>
      <c r="N1521">
        <v>27.7</v>
      </c>
      <c r="O1521">
        <v>47.6</v>
      </c>
      <c r="P1521">
        <v>37.4</v>
      </c>
      <c r="Q1521">
        <v>45.7</v>
      </c>
      <c r="R1521">
        <v>48.4</v>
      </c>
      <c r="S1521">
        <v>31.6</v>
      </c>
      <c r="T1521">
        <v>38.200000000000003</v>
      </c>
      <c r="U1521">
        <v>66.7</v>
      </c>
      <c r="V1521">
        <v>-7.7</v>
      </c>
      <c r="W1521" cm="1">
        <f t="array" ref="W1521">_xlfn.IFS(OR(X1521="N/A",X1521="NA"),0,OR(X1521="R64",X1521="R68"),1,X1521="R32",2,X1521="S16",3,X1521="E8",4,X1521="F4",5,X1521="2ND",6,X1521="Champions",7)</f>
        <v>0</v>
      </c>
      <c r="X1521" t="s">
        <v>90</v>
      </c>
      <c r="Y1521" t="s">
        <v>90</v>
      </c>
      <c r="Z1521">
        <v>2014</v>
      </c>
    </row>
    <row r="1522" spans="1:26" x14ac:dyDescent="0.3">
      <c r="A1522" t="s">
        <v>233</v>
      </c>
      <c r="B1522" t="s">
        <v>59</v>
      </c>
      <c r="C1522">
        <v>33</v>
      </c>
      <c r="D1522">
        <v>20</v>
      </c>
      <c r="E1522" s="1">
        <f t="shared" si="23"/>
        <v>0.60606060606060608</v>
      </c>
      <c r="F1522">
        <v>106.9</v>
      </c>
      <c r="G1522">
        <v>103.3</v>
      </c>
      <c r="H1522">
        <v>0.59889999999999999</v>
      </c>
      <c r="I1522">
        <v>52.5</v>
      </c>
      <c r="J1522">
        <v>47.5</v>
      </c>
      <c r="K1522">
        <v>19.2</v>
      </c>
      <c r="L1522">
        <v>16.8</v>
      </c>
      <c r="M1522">
        <v>26.5</v>
      </c>
      <c r="N1522">
        <v>25.3</v>
      </c>
      <c r="O1522">
        <v>44</v>
      </c>
      <c r="P1522">
        <v>41.2</v>
      </c>
      <c r="Q1522">
        <v>48.5</v>
      </c>
      <c r="R1522">
        <v>45.7</v>
      </c>
      <c r="S1522">
        <v>38.6</v>
      </c>
      <c r="T1522">
        <v>35</v>
      </c>
      <c r="U1522">
        <v>61.7</v>
      </c>
      <c r="V1522">
        <v>-5.5</v>
      </c>
      <c r="W1522" cm="1">
        <f t="array" ref="W1522">_xlfn.IFS(OR(X1522="N/A",X1522="NA"),0,OR(X1522="R64",X1522="R68"),1,X1522="R32",2,X1522="S16",3,X1522="E8",4,X1522="F4",5,X1522="2ND",6,X1522="Champions",7)</f>
        <v>0</v>
      </c>
      <c r="X1522" t="s">
        <v>90</v>
      </c>
      <c r="Y1522" t="s">
        <v>90</v>
      </c>
      <c r="Z1522">
        <v>2014</v>
      </c>
    </row>
    <row r="1523" spans="1:26" x14ac:dyDescent="0.3">
      <c r="A1523" t="s">
        <v>264</v>
      </c>
      <c r="B1523" t="s">
        <v>66</v>
      </c>
      <c r="C1523">
        <v>31</v>
      </c>
      <c r="D1523">
        <v>11</v>
      </c>
      <c r="E1523" s="1">
        <f t="shared" si="23"/>
        <v>0.35483870967741937</v>
      </c>
      <c r="F1523">
        <v>99.5</v>
      </c>
      <c r="G1523">
        <v>112.7</v>
      </c>
      <c r="H1523">
        <v>0.19239999999999999</v>
      </c>
      <c r="I1523">
        <v>45.3</v>
      </c>
      <c r="J1523">
        <v>53.1</v>
      </c>
      <c r="K1523">
        <v>17.2</v>
      </c>
      <c r="L1523">
        <v>19.3</v>
      </c>
      <c r="M1523">
        <v>30.2</v>
      </c>
      <c r="N1523">
        <v>36.799999999999997</v>
      </c>
      <c r="O1523">
        <v>40.200000000000003</v>
      </c>
      <c r="P1523">
        <v>35.799999999999997</v>
      </c>
      <c r="Q1523">
        <v>43.1</v>
      </c>
      <c r="R1523">
        <v>53.1</v>
      </c>
      <c r="S1523">
        <v>32.4</v>
      </c>
      <c r="T1523">
        <v>35.4</v>
      </c>
      <c r="U1523">
        <v>68.099999999999994</v>
      </c>
      <c r="V1523">
        <v>-13.8</v>
      </c>
      <c r="W1523" cm="1">
        <f t="array" ref="W1523">_xlfn.IFS(OR(X1523="N/A",X1523="NA"),0,OR(X1523="R64",X1523="R68"),1,X1523="R32",2,X1523="S16",3,X1523="E8",4,X1523="F4",5,X1523="2ND",6,X1523="Champions",7)</f>
        <v>0</v>
      </c>
      <c r="X1523" t="s">
        <v>90</v>
      </c>
      <c r="Y1523" t="s">
        <v>90</v>
      </c>
      <c r="Z1523">
        <v>2014</v>
      </c>
    </row>
    <row r="1524" spans="1:26" x14ac:dyDescent="0.3">
      <c r="A1524" t="s">
        <v>234</v>
      </c>
      <c r="B1524" t="s">
        <v>59</v>
      </c>
      <c r="C1524">
        <v>27</v>
      </c>
      <c r="D1524">
        <v>1</v>
      </c>
      <c r="E1524" s="1">
        <f t="shared" si="23"/>
        <v>3.7037037037037035E-2</v>
      </c>
      <c r="F1524">
        <v>101.2</v>
      </c>
      <c r="G1524">
        <v>119.4</v>
      </c>
      <c r="H1524">
        <v>0.12970000000000001</v>
      </c>
      <c r="I1524">
        <v>46.7</v>
      </c>
      <c r="J1524">
        <v>56.8</v>
      </c>
      <c r="K1524">
        <v>18.2</v>
      </c>
      <c r="L1524">
        <v>15.5</v>
      </c>
      <c r="M1524">
        <v>28.1</v>
      </c>
      <c r="N1524">
        <v>32.700000000000003</v>
      </c>
      <c r="O1524">
        <v>28.2</v>
      </c>
      <c r="P1524">
        <v>47</v>
      </c>
      <c r="Q1524">
        <v>46.5</v>
      </c>
      <c r="R1524">
        <v>54.4</v>
      </c>
      <c r="S1524">
        <v>31.4</v>
      </c>
      <c r="T1524">
        <v>41</v>
      </c>
      <c r="U1524">
        <v>66.099999999999994</v>
      </c>
      <c r="V1524">
        <v>-18.5</v>
      </c>
      <c r="W1524" cm="1">
        <f t="array" ref="W1524">_xlfn.IFS(OR(X1524="N/A",X1524="NA"),0,OR(X1524="R64",X1524="R68"),1,X1524="R32",2,X1524="S16",3,X1524="E8",4,X1524="F4",5,X1524="2ND",6,X1524="Champions",7)</f>
        <v>0</v>
      </c>
      <c r="X1524" t="s">
        <v>90</v>
      </c>
      <c r="Y1524" t="s">
        <v>90</v>
      </c>
      <c r="Z1524">
        <v>2014</v>
      </c>
    </row>
    <row r="1525" spans="1:26" x14ac:dyDescent="0.3">
      <c r="A1525" t="s">
        <v>235</v>
      </c>
      <c r="B1525" t="s">
        <v>59</v>
      </c>
      <c r="C1525">
        <v>26</v>
      </c>
      <c r="D1525">
        <v>10</v>
      </c>
      <c r="E1525" s="1">
        <f t="shared" si="23"/>
        <v>0.38461538461538464</v>
      </c>
      <c r="F1525">
        <v>102</v>
      </c>
      <c r="G1525">
        <v>109.9</v>
      </c>
      <c r="H1525">
        <v>0.29870000000000002</v>
      </c>
      <c r="I1525">
        <v>49.2</v>
      </c>
      <c r="J1525">
        <v>51.8</v>
      </c>
      <c r="K1525">
        <v>18.8</v>
      </c>
      <c r="L1525">
        <v>19.600000000000001</v>
      </c>
      <c r="M1525">
        <v>31.6</v>
      </c>
      <c r="N1525">
        <v>27.2</v>
      </c>
      <c r="O1525">
        <v>36.299999999999997</v>
      </c>
      <c r="P1525">
        <v>49.9</v>
      </c>
      <c r="Q1525">
        <v>45.7</v>
      </c>
      <c r="R1525">
        <v>49.6</v>
      </c>
      <c r="S1525">
        <v>38.1</v>
      </c>
      <c r="T1525">
        <v>37.4</v>
      </c>
      <c r="U1525">
        <v>64.2</v>
      </c>
      <c r="V1525">
        <v>-10.4</v>
      </c>
      <c r="W1525" cm="1">
        <f t="array" ref="W1525">_xlfn.IFS(OR(X1525="N/A",X1525="NA"),0,OR(X1525="R64",X1525="R68"),1,X1525="R32",2,X1525="S16",3,X1525="E8",4,X1525="F4",5,X1525="2ND",6,X1525="Champions",7)</f>
        <v>0</v>
      </c>
      <c r="X1525" t="s">
        <v>90</v>
      </c>
      <c r="Y1525" t="s">
        <v>90</v>
      </c>
      <c r="Z1525">
        <v>2014</v>
      </c>
    </row>
    <row r="1526" spans="1:26" x14ac:dyDescent="0.3">
      <c r="A1526" t="s">
        <v>101</v>
      </c>
      <c r="B1526" t="s">
        <v>62</v>
      </c>
      <c r="C1526">
        <v>32</v>
      </c>
      <c r="D1526">
        <v>19</v>
      </c>
      <c r="E1526" s="1">
        <f t="shared" si="23"/>
        <v>0.59375</v>
      </c>
      <c r="F1526">
        <v>113.1</v>
      </c>
      <c r="G1526">
        <v>107.2</v>
      </c>
      <c r="H1526">
        <v>0.64880000000000004</v>
      </c>
      <c r="I1526">
        <v>54.7</v>
      </c>
      <c r="J1526">
        <v>51.7</v>
      </c>
      <c r="K1526">
        <v>16.600000000000001</v>
      </c>
      <c r="L1526">
        <v>17.7</v>
      </c>
      <c r="M1526">
        <v>29.1</v>
      </c>
      <c r="N1526">
        <v>28.6</v>
      </c>
      <c r="O1526">
        <v>38.4</v>
      </c>
      <c r="P1526">
        <v>45.5</v>
      </c>
      <c r="Q1526">
        <v>53.5</v>
      </c>
      <c r="R1526">
        <v>51</v>
      </c>
      <c r="S1526">
        <v>37.799999999999997</v>
      </c>
      <c r="T1526">
        <v>36</v>
      </c>
      <c r="U1526">
        <v>67.900000000000006</v>
      </c>
      <c r="V1526">
        <v>-5.3</v>
      </c>
      <c r="W1526" cm="1">
        <f t="array" ref="W1526">_xlfn.IFS(OR(X1526="N/A",X1526="NA"),0,OR(X1526="R64",X1526="R68"),1,X1526="R32",2,X1526="S16",3,X1526="E8",4,X1526="F4",5,X1526="2ND",6,X1526="Champions",7)</f>
        <v>0</v>
      </c>
      <c r="X1526" t="s">
        <v>90</v>
      </c>
      <c r="Y1526" t="s">
        <v>90</v>
      </c>
      <c r="Z1526">
        <v>2014</v>
      </c>
    </row>
    <row r="1527" spans="1:26" x14ac:dyDescent="0.3">
      <c r="A1527" t="s">
        <v>265</v>
      </c>
      <c r="B1527" t="s">
        <v>66</v>
      </c>
      <c r="C1527">
        <v>28</v>
      </c>
      <c r="D1527">
        <v>7</v>
      </c>
      <c r="E1527" s="1">
        <f t="shared" si="23"/>
        <v>0.25</v>
      </c>
      <c r="F1527">
        <v>97.3</v>
      </c>
      <c r="G1527">
        <v>112.9</v>
      </c>
      <c r="H1527">
        <v>0.15229999999999999</v>
      </c>
      <c r="I1527">
        <v>46.3</v>
      </c>
      <c r="J1527">
        <v>49.5</v>
      </c>
      <c r="K1527">
        <v>19.5</v>
      </c>
      <c r="L1527">
        <v>18.100000000000001</v>
      </c>
      <c r="M1527">
        <v>29</v>
      </c>
      <c r="N1527">
        <v>35.700000000000003</v>
      </c>
      <c r="O1527">
        <v>38.700000000000003</v>
      </c>
      <c r="P1527">
        <v>41.1</v>
      </c>
      <c r="Q1527">
        <v>45.8</v>
      </c>
      <c r="R1527">
        <v>51.5</v>
      </c>
      <c r="S1527">
        <v>31.6</v>
      </c>
      <c r="T1527">
        <v>30.7</v>
      </c>
      <c r="U1527">
        <v>59.9</v>
      </c>
      <c r="V1527">
        <v>-15.7</v>
      </c>
      <c r="W1527" cm="1">
        <f t="array" ref="W1527">_xlfn.IFS(OR(X1527="N/A",X1527="NA"),0,OR(X1527="R64",X1527="R68"),1,X1527="R32",2,X1527="S16",3,X1527="E8",4,X1527="F4",5,X1527="2ND",6,X1527="Champions",7)</f>
        <v>0</v>
      </c>
      <c r="X1527" t="s">
        <v>90</v>
      </c>
      <c r="Y1527" t="s">
        <v>90</v>
      </c>
      <c r="Z1527">
        <v>2014</v>
      </c>
    </row>
    <row r="1528" spans="1:26" x14ac:dyDescent="0.3">
      <c r="A1528" t="s">
        <v>381</v>
      </c>
      <c r="B1528" t="s">
        <v>72</v>
      </c>
      <c r="C1528">
        <v>30</v>
      </c>
      <c r="D1528">
        <v>15</v>
      </c>
      <c r="E1528" s="1">
        <f t="shared" si="23"/>
        <v>0.5</v>
      </c>
      <c r="F1528">
        <v>110.2</v>
      </c>
      <c r="G1528">
        <v>108.9</v>
      </c>
      <c r="H1528">
        <v>0.53580000000000005</v>
      </c>
      <c r="I1528">
        <v>54.3</v>
      </c>
      <c r="J1528">
        <v>52.6</v>
      </c>
      <c r="K1528">
        <v>16.600000000000001</v>
      </c>
      <c r="L1528">
        <v>21</v>
      </c>
      <c r="M1528">
        <v>24.8</v>
      </c>
      <c r="N1528">
        <v>33.4</v>
      </c>
      <c r="O1528">
        <v>34.700000000000003</v>
      </c>
      <c r="P1528">
        <v>49.2</v>
      </c>
      <c r="Q1528">
        <v>51.8</v>
      </c>
      <c r="R1528">
        <v>53.4</v>
      </c>
      <c r="S1528">
        <v>38.4</v>
      </c>
      <c r="T1528">
        <v>33.799999999999997</v>
      </c>
      <c r="U1528">
        <v>59.4</v>
      </c>
      <c r="V1528">
        <v>-7.6</v>
      </c>
      <c r="W1528" cm="1">
        <f t="array" ref="W1528">_xlfn.IFS(OR(X1528="N/A",X1528="NA"),0,OR(X1528="R64",X1528="R68"),1,X1528="R32",2,X1528="S16",3,X1528="E8",4,X1528="F4",5,X1528="2ND",6,X1528="Champions",7)</f>
        <v>0</v>
      </c>
      <c r="X1528" t="s">
        <v>90</v>
      </c>
      <c r="Y1528" t="s">
        <v>90</v>
      </c>
      <c r="Z1528">
        <v>2014</v>
      </c>
    </row>
    <row r="1529" spans="1:26" x14ac:dyDescent="0.3">
      <c r="A1529" t="s">
        <v>157</v>
      </c>
      <c r="B1529" t="s">
        <v>33</v>
      </c>
      <c r="C1529">
        <v>33</v>
      </c>
      <c r="D1529">
        <v>12</v>
      </c>
      <c r="E1529" s="1">
        <f t="shared" si="23"/>
        <v>0.36363636363636365</v>
      </c>
      <c r="F1529">
        <v>105.3</v>
      </c>
      <c r="G1529">
        <v>106.5</v>
      </c>
      <c r="H1529">
        <v>0.46639999999999998</v>
      </c>
      <c r="I1529">
        <v>47.6</v>
      </c>
      <c r="J1529">
        <v>53.9</v>
      </c>
      <c r="K1529">
        <v>19.7</v>
      </c>
      <c r="L1529">
        <v>19.100000000000001</v>
      </c>
      <c r="M1529">
        <v>33.799999999999997</v>
      </c>
      <c r="N1529">
        <v>32</v>
      </c>
      <c r="O1529">
        <v>42</v>
      </c>
      <c r="P1529">
        <v>46.7</v>
      </c>
      <c r="Q1529">
        <v>46.3</v>
      </c>
      <c r="R1529">
        <v>52.9</v>
      </c>
      <c r="S1529">
        <v>33.6</v>
      </c>
      <c r="T1529">
        <v>37.4</v>
      </c>
      <c r="U1529">
        <v>67.599999999999994</v>
      </c>
      <c r="V1529">
        <v>-7.6</v>
      </c>
      <c r="W1529" cm="1">
        <f t="array" ref="W1529">_xlfn.IFS(OR(X1529="N/A",X1529="NA"),0,OR(X1529="R64",X1529="R68"),1,X1529="R32",2,X1529="S16",3,X1529="E8",4,X1529="F4",5,X1529="2ND",6,X1529="Champions",7)</f>
        <v>0</v>
      </c>
      <c r="X1529" t="s">
        <v>90</v>
      </c>
      <c r="Y1529" t="s">
        <v>90</v>
      </c>
      <c r="Z1529">
        <v>2014</v>
      </c>
    </row>
    <row r="1530" spans="1:26" x14ac:dyDescent="0.3">
      <c r="A1530" t="s">
        <v>222</v>
      </c>
      <c r="B1530" t="s">
        <v>43</v>
      </c>
      <c r="C1530">
        <v>30</v>
      </c>
      <c r="D1530">
        <v>11</v>
      </c>
      <c r="E1530" s="1">
        <f t="shared" si="23"/>
        <v>0.36666666666666664</v>
      </c>
      <c r="F1530">
        <v>100.7</v>
      </c>
      <c r="G1530">
        <v>103.5</v>
      </c>
      <c r="H1530">
        <v>0.42159999999999997</v>
      </c>
      <c r="I1530">
        <v>45.8</v>
      </c>
      <c r="J1530">
        <v>50.1</v>
      </c>
      <c r="K1530">
        <v>18.5</v>
      </c>
      <c r="L1530">
        <v>19.5</v>
      </c>
      <c r="M1530">
        <v>32.6</v>
      </c>
      <c r="N1530">
        <v>30.5</v>
      </c>
      <c r="O1530">
        <v>38.5</v>
      </c>
      <c r="P1530">
        <v>50.3</v>
      </c>
      <c r="Q1530">
        <v>45.7</v>
      </c>
      <c r="R1530">
        <v>47.9</v>
      </c>
      <c r="S1530">
        <v>30.8</v>
      </c>
      <c r="T1530">
        <v>36.1</v>
      </c>
      <c r="U1530">
        <v>68</v>
      </c>
      <c r="V1530">
        <v>-11.8</v>
      </c>
      <c r="W1530" cm="1">
        <f t="array" ref="W1530">_xlfn.IFS(OR(X1530="N/A",X1530="NA"),0,OR(X1530="R64",X1530="R68"),1,X1530="R32",2,X1530="S16",3,X1530="E8",4,X1530="F4",5,X1530="2ND",6,X1530="Champions",7)</f>
        <v>0</v>
      </c>
      <c r="X1530" t="s">
        <v>90</v>
      </c>
      <c r="Y1530" t="s">
        <v>90</v>
      </c>
      <c r="Z1530">
        <v>2014</v>
      </c>
    </row>
    <row r="1531" spans="1:26" x14ac:dyDescent="0.3">
      <c r="A1531" t="s">
        <v>276</v>
      </c>
      <c r="B1531" t="s">
        <v>47</v>
      </c>
      <c r="C1531">
        <v>30</v>
      </c>
      <c r="D1531">
        <v>14</v>
      </c>
      <c r="E1531" s="1">
        <f t="shared" si="23"/>
        <v>0.46666666666666667</v>
      </c>
      <c r="F1531">
        <v>104.2</v>
      </c>
      <c r="G1531">
        <v>105.8</v>
      </c>
      <c r="H1531">
        <v>0.4556</v>
      </c>
      <c r="I1531">
        <v>52.1</v>
      </c>
      <c r="J1531">
        <v>51.2</v>
      </c>
      <c r="K1531">
        <v>18.8</v>
      </c>
      <c r="L1531">
        <v>16.899999999999999</v>
      </c>
      <c r="M1531">
        <v>26.8</v>
      </c>
      <c r="N1531">
        <v>27.1</v>
      </c>
      <c r="O1531">
        <v>38.200000000000003</v>
      </c>
      <c r="P1531">
        <v>38.6</v>
      </c>
      <c r="Q1531">
        <v>47.4</v>
      </c>
      <c r="R1531">
        <v>50.9</v>
      </c>
      <c r="S1531">
        <v>39.700000000000003</v>
      </c>
      <c r="T1531">
        <v>34.5</v>
      </c>
      <c r="U1531">
        <v>64.7</v>
      </c>
      <c r="V1531">
        <v>-8.3000000000000007</v>
      </c>
      <c r="W1531" cm="1">
        <f t="array" ref="W1531">_xlfn.IFS(OR(X1531="N/A",X1531="NA"),0,OR(X1531="R64",X1531="R68"),1,X1531="R32",2,X1531="S16",3,X1531="E8",4,X1531="F4",5,X1531="2ND",6,X1531="Champions",7)</f>
        <v>0</v>
      </c>
      <c r="X1531" t="s">
        <v>90</v>
      </c>
      <c r="Y1531" t="s">
        <v>90</v>
      </c>
      <c r="Z1531">
        <v>2014</v>
      </c>
    </row>
    <row r="1532" spans="1:26" x14ac:dyDescent="0.3">
      <c r="A1532" t="s">
        <v>199</v>
      </c>
      <c r="B1532" t="s">
        <v>53</v>
      </c>
      <c r="C1532">
        <v>30</v>
      </c>
      <c r="D1532">
        <v>16</v>
      </c>
      <c r="E1532" s="1">
        <f t="shared" si="23"/>
        <v>0.53333333333333333</v>
      </c>
      <c r="F1532">
        <v>103.9</v>
      </c>
      <c r="G1532">
        <v>101.5</v>
      </c>
      <c r="H1532">
        <v>0.56659999999999999</v>
      </c>
      <c r="I1532">
        <v>46.6</v>
      </c>
      <c r="J1532">
        <v>47.2</v>
      </c>
      <c r="K1532">
        <v>12.9</v>
      </c>
      <c r="L1532">
        <v>17.100000000000001</v>
      </c>
      <c r="M1532">
        <v>28.9</v>
      </c>
      <c r="N1532">
        <v>29.7</v>
      </c>
      <c r="O1532">
        <v>39.200000000000003</v>
      </c>
      <c r="P1532">
        <v>46.6</v>
      </c>
      <c r="Q1532">
        <v>46.4</v>
      </c>
      <c r="R1532">
        <v>47.6</v>
      </c>
      <c r="S1532">
        <v>31.4</v>
      </c>
      <c r="T1532">
        <v>30.8</v>
      </c>
      <c r="U1532">
        <v>64.099999999999994</v>
      </c>
      <c r="V1532">
        <v>-6.4</v>
      </c>
      <c r="W1532" cm="1">
        <f t="array" ref="W1532">_xlfn.IFS(OR(X1532="N/A",X1532="NA"),0,OR(X1532="R64",X1532="R68"),1,X1532="R32",2,X1532="S16",3,X1532="E8",4,X1532="F4",5,X1532="2ND",6,X1532="Champions",7)</f>
        <v>0</v>
      </c>
      <c r="X1532" t="s">
        <v>90</v>
      </c>
      <c r="Y1532" t="s">
        <v>90</v>
      </c>
      <c r="Z1532">
        <v>2014</v>
      </c>
    </row>
    <row r="1533" spans="1:26" x14ac:dyDescent="0.3">
      <c r="A1533" t="s">
        <v>89</v>
      </c>
      <c r="B1533" t="s">
        <v>45</v>
      </c>
      <c r="C1533">
        <v>30</v>
      </c>
      <c r="D1533">
        <v>13</v>
      </c>
      <c r="E1533" s="1">
        <f t="shared" si="23"/>
        <v>0.43333333333333335</v>
      </c>
      <c r="F1533">
        <v>109.9</v>
      </c>
      <c r="G1533">
        <v>108.1</v>
      </c>
      <c r="H1533">
        <v>0.54679999999999995</v>
      </c>
      <c r="I1533">
        <v>50.6</v>
      </c>
      <c r="J1533">
        <v>53.3</v>
      </c>
      <c r="K1533">
        <v>16.2</v>
      </c>
      <c r="L1533">
        <v>17.600000000000001</v>
      </c>
      <c r="M1533">
        <v>29.9</v>
      </c>
      <c r="N1533">
        <v>28.9</v>
      </c>
      <c r="O1533">
        <v>42.2</v>
      </c>
      <c r="P1533">
        <v>33.6</v>
      </c>
      <c r="Q1533">
        <v>48.5</v>
      </c>
      <c r="R1533">
        <v>49.6</v>
      </c>
      <c r="S1533">
        <v>36.299999999999997</v>
      </c>
      <c r="T1533">
        <v>39.299999999999997</v>
      </c>
      <c r="U1533">
        <v>68.5</v>
      </c>
      <c r="V1533">
        <v>-8</v>
      </c>
      <c r="W1533" cm="1">
        <f t="array" ref="W1533">_xlfn.IFS(OR(X1533="N/A",X1533="NA"),0,OR(X1533="R64",X1533="R68"),1,X1533="R32",2,X1533="S16",3,X1533="E8",4,X1533="F4",5,X1533="2ND",6,X1533="Champions",7)</f>
        <v>0</v>
      </c>
      <c r="X1533" t="s">
        <v>90</v>
      </c>
      <c r="Y1533" t="s">
        <v>90</v>
      </c>
      <c r="Z1533">
        <v>2014</v>
      </c>
    </row>
    <row r="1534" spans="1:26" x14ac:dyDescent="0.3">
      <c r="A1534" t="s">
        <v>121</v>
      </c>
      <c r="B1534" t="s">
        <v>40</v>
      </c>
      <c r="C1534">
        <v>30</v>
      </c>
      <c r="D1534">
        <v>13</v>
      </c>
      <c r="E1534" s="1">
        <f t="shared" si="23"/>
        <v>0.43333333333333335</v>
      </c>
      <c r="F1534">
        <v>106.4</v>
      </c>
      <c r="G1534">
        <v>110.3</v>
      </c>
      <c r="H1534">
        <v>0.39800000000000002</v>
      </c>
      <c r="I1534">
        <v>51.3</v>
      </c>
      <c r="J1534">
        <v>51.9</v>
      </c>
      <c r="K1534">
        <v>18.3</v>
      </c>
      <c r="L1534">
        <v>18.100000000000001</v>
      </c>
      <c r="M1534">
        <v>29.3</v>
      </c>
      <c r="N1534">
        <v>35.4</v>
      </c>
      <c r="O1534">
        <v>41.6</v>
      </c>
      <c r="P1534">
        <v>31.9</v>
      </c>
      <c r="Q1534">
        <v>48.3</v>
      </c>
      <c r="R1534">
        <v>54.1</v>
      </c>
      <c r="S1534">
        <v>36.700000000000003</v>
      </c>
      <c r="T1534">
        <v>31.9</v>
      </c>
      <c r="U1534">
        <v>65.5</v>
      </c>
      <c r="V1534">
        <v>-9.9</v>
      </c>
      <c r="W1534" cm="1">
        <f t="array" ref="W1534">_xlfn.IFS(OR(X1534="N/A",X1534="NA"),0,OR(X1534="R64",X1534="R68"),1,X1534="R32",2,X1534="S16",3,X1534="E8",4,X1534="F4",5,X1534="2ND",6,X1534="Champions",7)</f>
        <v>0</v>
      </c>
      <c r="X1534" t="s">
        <v>90</v>
      </c>
      <c r="Y1534" t="s">
        <v>90</v>
      </c>
      <c r="Z1534">
        <v>2014</v>
      </c>
    </row>
    <row r="1535" spans="1:26" x14ac:dyDescent="0.3">
      <c r="A1535" t="s">
        <v>349</v>
      </c>
      <c r="B1535" t="s">
        <v>131</v>
      </c>
      <c r="C1535">
        <v>34</v>
      </c>
      <c r="D1535">
        <v>18</v>
      </c>
      <c r="E1535" s="1">
        <f t="shared" si="23"/>
        <v>0.52941176470588236</v>
      </c>
      <c r="F1535">
        <v>102.8</v>
      </c>
      <c r="G1535">
        <v>109.8</v>
      </c>
      <c r="H1535">
        <v>0.31809999999999999</v>
      </c>
      <c r="I1535">
        <v>49.3</v>
      </c>
      <c r="J1535">
        <v>50.7</v>
      </c>
      <c r="K1535">
        <v>16.3</v>
      </c>
      <c r="L1535">
        <v>19.600000000000001</v>
      </c>
      <c r="M1535">
        <v>27.4</v>
      </c>
      <c r="N1535">
        <v>32.200000000000003</v>
      </c>
      <c r="O1535">
        <v>42.8</v>
      </c>
      <c r="P1535">
        <v>42</v>
      </c>
      <c r="Q1535">
        <v>46.4</v>
      </c>
      <c r="R1535">
        <v>51.4</v>
      </c>
      <c r="S1535">
        <v>36.1</v>
      </c>
      <c r="T1535">
        <v>33</v>
      </c>
      <c r="U1535">
        <v>70.2</v>
      </c>
      <c r="V1535">
        <v>-10.7</v>
      </c>
      <c r="W1535" cm="1">
        <f t="array" ref="W1535">_xlfn.IFS(OR(X1535="N/A",X1535="NA"),0,OR(X1535="R64",X1535="R68"),1,X1535="R32",2,X1535="S16",3,X1535="E8",4,X1535="F4",5,X1535="2ND",6,X1535="Champions",7)</f>
        <v>0</v>
      </c>
      <c r="X1535" t="s">
        <v>90</v>
      </c>
      <c r="Y1535" t="s">
        <v>90</v>
      </c>
      <c r="Z1535">
        <v>2014</v>
      </c>
    </row>
    <row r="1536" spans="1:26" x14ac:dyDescent="0.3">
      <c r="A1536" t="s">
        <v>305</v>
      </c>
      <c r="B1536" t="s">
        <v>64</v>
      </c>
      <c r="C1536">
        <v>27</v>
      </c>
      <c r="D1536">
        <v>9</v>
      </c>
      <c r="E1536" s="1">
        <f t="shared" si="23"/>
        <v>0.33333333333333331</v>
      </c>
      <c r="F1536">
        <v>99</v>
      </c>
      <c r="G1536">
        <v>111.1</v>
      </c>
      <c r="H1536">
        <v>0.2087</v>
      </c>
      <c r="I1536">
        <v>48.7</v>
      </c>
      <c r="J1536">
        <v>53.6</v>
      </c>
      <c r="K1536">
        <v>20.100000000000001</v>
      </c>
      <c r="L1536">
        <v>17.8</v>
      </c>
      <c r="M1536">
        <v>30.6</v>
      </c>
      <c r="N1536">
        <v>30.7</v>
      </c>
      <c r="O1536">
        <v>41.8</v>
      </c>
      <c r="P1536">
        <v>45.7</v>
      </c>
      <c r="Q1536">
        <v>48.7</v>
      </c>
      <c r="R1536">
        <v>50.3</v>
      </c>
      <c r="S1536">
        <v>32.5</v>
      </c>
      <c r="T1536">
        <v>40.299999999999997</v>
      </c>
      <c r="U1536">
        <v>65.599999999999994</v>
      </c>
      <c r="V1536">
        <v>-13.7</v>
      </c>
      <c r="W1536" cm="1">
        <f t="array" ref="W1536">_xlfn.IFS(OR(X1536="N/A",X1536="NA"),0,OR(X1536="R64",X1536="R68"),1,X1536="R32",2,X1536="S16",3,X1536="E8",4,X1536="F4",5,X1536="2ND",6,X1536="Champions",7)</f>
        <v>0</v>
      </c>
      <c r="X1536" t="s">
        <v>90</v>
      </c>
      <c r="Y1536" t="s">
        <v>90</v>
      </c>
      <c r="Z1536">
        <v>2014</v>
      </c>
    </row>
    <row r="1537" spans="1:26" x14ac:dyDescent="0.3">
      <c r="A1537" t="s">
        <v>255</v>
      </c>
      <c r="B1537" t="s">
        <v>57</v>
      </c>
      <c r="C1537">
        <v>34</v>
      </c>
      <c r="D1537">
        <v>19</v>
      </c>
      <c r="E1537" s="1">
        <f t="shared" si="23"/>
        <v>0.55882352941176472</v>
      </c>
      <c r="F1537">
        <v>97.9</v>
      </c>
      <c r="G1537">
        <v>94.4</v>
      </c>
      <c r="H1537">
        <v>0.60219999999999996</v>
      </c>
      <c r="I1537">
        <v>44.2</v>
      </c>
      <c r="J1537">
        <v>43.8</v>
      </c>
      <c r="K1537">
        <v>17.899999999999999</v>
      </c>
      <c r="L1537">
        <v>22.6</v>
      </c>
      <c r="M1537">
        <v>30.4</v>
      </c>
      <c r="N1537">
        <v>37.1</v>
      </c>
      <c r="O1537">
        <v>43</v>
      </c>
      <c r="P1537">
        <v>40.200000000000003</v>
      </c>
      <c r="Q1537">
        <v>43.8</v>
      </c>
      <c r="R1537">
        <v>41.2</v>
      </c>
      <c r="S1537">
        <v>30</v>
      </c>
      <c r="T1537">
        <v>32</v>
      </c>
      <c r="U1537">
        <v>64.8</v>
      </c>
      <c r="V1537">
        <v>-6.1</v>
      </c>
      <c r="W1537" cm="1">
        <f t="array" ref="W1537">_xlfn.IFS(OR(X1537="N/A",X1537="NA"),0,OR(X1537="R64",X1537="R68"),1,X1537="R32",2,X1537="S16",3,X1537="E8",4,X1537="F4",5,X1537="2ND",6,X1537="Champions",7)</f>
        <v>0</v>
      </c>
      <c r="X1537" t="s">
        <v>90</v>
      </c>
      <c r="Y1537" t="s">
        <v>90</v>
      </c>
      <c r="Z1537">
        <v>2014</v>
      </c>
    </row>
    <row r="1538" spans="1:26" x14ac:dyDescent="0.3">
      <c r="A1538" t="s">
        <v>175</v>
      </c>
      <c r="B1538" t="s">
        <v>164</v>
      </c>
      <c r="C1538">
        <v>29</v>
      </c>
      <c r="D1538">
        <v>13</v>
      </c>
      <c r="E1538" s="1">
        <f t="shared" si="23"/>
        <v>0.44827586206896552</v>
      </c>
      <c r="F1538">
        <v>105.9</v>
      </c>
      <c r="G1538">
        <v>110.4</v>
      </c>
      <c r="H1538">
        <v>0.3826</v>
      </c>
      <c r="I1538">
        <v>51.9</v>
      </c>
      <c r="J1538">
        <v>50.4</v>
      </c>
      <c r="K1538">
        <v>17.5</v>
      </c>
      <c r="L1538">
        <v>14.8</v>
      </c>
      <c r="M1538">
        <v>29.9</v>
      </c>
      <c r="N1538">
        <v>30.2</v>
      </c>
      <c r="O1538">
        <v>40.4</v>
      </c>
      <c r="P1538">
        <v>41.9</v>
      </c>
      <c r="Q1538">
        <v>49.5</v>
      </c>
      <c r="R1538">
        <v>49.4</v>
      </c>
      <c r="S1538">
        <v>37.200000000000003</v>
      </c>
      <c r="T1538">
        <v>35</v>
      </c>
      <c r="U1538">
        <v>71</v>
      </c>
      <c r="V1538">
        <v>-10.7</v>
      </c>
      <c r="W1538" cm="1">
        <f t="array" ref="W1538">_xlfn.IFS(OR(X1538="N/A",X1538="NA"),0,OR(X1538="R64",X1538="R68"),1,X1538="R32",2,X1538="S16",3,X1538="E8",4,X1538="F4",5,X1538="2ND",6,X1538="Champions",7)</f>
        <v>0</v>
      </c>
      <c r="X1538" t="s">
        <v>90</v>
      </c>
      <c r="Y1538" t="s">
        <v>90</v>
      </c>
      <c r="Z1538">
        <v>2014</v>
      </c>
    </row>
    <row r="1539" spans="1:26" x14ac:dyDescent="0.3">
      <c r="A1539" t="s">
        <v>200</v>
      </c>
      <c r="B1539" t="s">
        <v>62</v>
      </c>
      <c r="C1539">
        <v>29</v>
      </c>
      <c r="D1539">
        <v>16</v>
      </c>
      <c r="E1539" s="1">
        <f t="shared" ref="E1539:E1602" si="24">D1539/C1539</f>
        <v>0.55172413793103448</v>
      </c>
      <c r="F1539">
        <v>104.1</v>
      </c>
      <c r="G1539">
        <v>106.4</v>
      </c>
      <c r="H1539">
        <v>0.43690000000000001</v>
      </c>
      <c r="I1539">
        <v>52.3</v>
      </c>
      <c r="J1539">
        <v>49</v>
      </c>
      <c r="K1539">
        <v>17.600000000000001</v>
      </c>
      <c r="L1539">
        <v>16.8</v>
      </c>
      <c r="M1539">
        <v>26.9</v>
      </c>
      <c r="N1539">
        <v>31.8</v>
      </c>
      <c r="O1539">
        <v>35.799999999999997</v>
      </c>
      <c r="P1539">
        <v>40.6</v>
      </c>
      <c r="Q1539">
        <v>50.9</v>
      </c>
      <c r="R1539">
        <v>48.6</v>
      </c>
      <c r="S1539">
        <v>36.299999999999997</v>
      </c>
      <c r="T1539">
        <v>33.299999999999997</v>
      </c>
      <c r="U1539">
        <v>66.400000000000006</v>
      </c>
      <c r="V1539">
        <v>-7.7</v>
      </c>
      <c r="W1539" cm="1">
        <f t="array" ref="W1539">_xlfn.IFS(OR(X1539="N/A",X1539="NA"),0,OR(X1539="R64",X1539="R68"),1,X1539="R32",2,X1539="S16",3,X1539="E8",4,X1539="F4",5,X1539="2ND",6,X1539="Champions",7)</f>
        <v>0</v>
      </c>
      <c r="X1539" t="s">
        <v>90</v>
      </c>
      <c r="Y1539" t="s">
        <v>90</v>
      </c>
      <c r="Z1539">
        <v>2014</v>
      </c>
    </row>
    <row r="1540" spans="1:26" x14ac:dyDescent="0.3">
      <c r="A1540" t="s">
        <v>277</v>
      </c>
      <c r="B1540" t="s">
        <v>47</v>
      </c>
      <c r="C1540">
        <v>31</v>
      </c>
      <c r="D1540">
        <v>12</v>
      </c>
      <c r="E1540" s="1">
        <f t="shared" si="24"/>
        <v>0.38709677419354838</v>
      </c>
      <c r="F1540">
        <v>103.6</v>
      </c>
      <c r="G1540">
        <v>105.9</v>
      </c>
      <c r="H1540">
        <v>0.43980000000000002</v>
      </c>
      <c r="I1540">
        <v>49.8</v>
      </c>
      <c r="J1540">
        <v>51.1</v>
      </c>
      <c r="K1540">
        <v>19.2</v>
      </c>
      <c r="L1540">
        <v>18.100000000000001</v>
      </c>
      <c r="M1540">
        <v>26.5</v>
      </c>
      <c r="N1540">
        <v>32.299999999999997</v>
      </c>
      <c r="O1540">
        <v>49.1</v>
      </c>
      <c r="P1540">
        <v>37.700000000000003</v>
      </c>
      <c r="Q1540">
        <v>48.9</v>
      </c>
      <c r="R1540">
        <v>49.7</v>
      </c>
      <c r="S1540">
        <v>35.299999999999997</v>
      </c>
      <c r="T1540">
        <v>35.700000000000003</v>
      </c>
      <c r="U1540">
        <v>67.400000000000006</v>
      </c>
      <c r="V1540">
        <v>-10.6</v>
      </c>
      <c r="W1540" cm="1">
        <f t="array" ref="W1540">_xlfn.IFS(OR(X1540="N/A",X1540="NA"),0,OR(X1540="R64",X1540="R68"),1,X1540="R32",2,X1540="S16",3,X1540="E8",4,X1540="F4",5,X1540="2ND",6,X1540="Champions",7)</f>
        <v>0</v>
      </c>
      <c r="X1540" t="s">
        <v>90</v>
      </c>
      <c r="Y1540" t="s">
        <v>90</v>
      </c>
      <c r="Z1540">
        <v>2014</v>
      </c>
    </row>
    <row r="1541" spans="1:26" x14ac:dyDescent="0.3">
      <c r="A1541" t="s">
        <v>241</v>
      </c>
      <c r="B1541" t="s">
        <v>69</v>
      </c>
      <c r="C1541">
        <v>32</v>
      </c>
      <c r="D1541">
        <v>7</v>
      </c>
      <c r="E1541" s="1">
        <f t="shared" si="24"/>
        <v>0.21875</v>
      </c>
      <c r="F1541">
        <v>96.3</v>
      </c>
      <c r="G1541">
        <v>103.2</v>
      </c>
      <c r="H1541">
        <v>0.31180000000000002</v>
      </c>
      <c r="I1541">
        <v>46</v>
      </c>
      <c r="J1541">
        <v>47.1</v>
      </c>
      <c r="K1541">
        <v>21.8</v>
      </c>
      <c r="L1541">
        <v>16.600000000000001</v>
      </c>
      <c r="M1541">
        <v>30.5</v>
      </c>
      <c r="N1541">
        <v>29.1</v>
      </c>
      <c r="O1541">
        <v>34.6</v>
      </c>
      <c r="P1541">
        <v>58.6</v>
      </c>
      <c r="Q1541">
        <v>43.6</v>
      </c>
      <c r="R1541">
        <v>45.3</v>
      </c>
      <c r="S1541">
        <v>33.299999999999997</v>
      </c>
      <c r="T1541">
        <v>34.6</v>
      </c>
      <c r="U1541">
        <v>66.400000000000006</v>
      </c>
      <c r="V1541">
        <v>-17.5</v>
      </c>
      <c r="W1541" cm="1">
        <f t="array" ref="W1541">_xlfn.IFS(OR(X1541="N/A",X1541="NA"),0,OR(X1541="R64",X1541="R68"),1,X1541="R32",2,X1541="S16",3,X1541="E8",4,X1541="F4",5,X1541="2ND",6,X1541="Champions",7)</f>
        <v>0</v>
      </c>
      <c r="X1541" t="s">
        <v>90</v>
      </c>
      <c r="Y1541" t="s">
        <v>90</v>
      </c>
      <c r="Z1541">
        <v>2014</v>
      </c>
    </row>
    <row r="1542" spans="1:26" x14ac:dyDescent="0.3">
      <c r="A1542" t="s">
        <v>296</v>
      </c>
      <c r="B1542" t="s">
        <v>77</v>
      </c>
      <c r="C1542">
        <v>29</v>
      </c>
      <c r="D1542">
        <v>9</v>
      </c>
      <c r="E1542" s="1">
        <f t="shared" si="24"/>
        <v>0.31034482758620691</v>
      </c>
      <c r="F1542">
        <v>100.8</v>
      </c>
      <c r="G1542">
        <v>113</v>
      </c>
      <c r="H1542">
        <v>0.21190000000000001</v>
      </c>
      <c r="I1542">
        <v>47.7</v>
      </c>
      <c r="J1542">
        <v>51.2</v>
      </c>
      <c r="K1542">
        <v>17.600000000000001</v>
      </c>
      <c r="L1542">
        <v>18.399999999999999</v>
      </c>
      <c r="M1542">
        <v>30.3</v>
      </c>
      <c r="N1542">
        <v>38.1</v>
      </c>
      <c r="O1542">
        <v>35.700000000000003</v>
      </c>
      <c r="P1542">
        <v>47.8</v>
      </c>
      <c r="Q1542">
        <v>45</v>
      </c>
      <c r="R1542">
        <v>49</v>
      </c>
      <c r="S1542">
        <v>35</v>
      </c>
      <c r="T1542">
        <v>37</v>
      </c>
      <c r="U1542">
        <v>66.599999999999994</v>
      </c>
      <c r="V1542">
        <v>-14</v>
      </c>
      <c r="W1542" cm="1">
        <f t="array" ref="W1542">_xlfn.IFS(OR(X1542="N/A",X1542="NA"),0,OR(X1542="R64",X1542="R68"),1,X1542="R32",2,X1542="S16",3,X1542="E8",4,X1542="F4",5,X1542="2ND",6,X1542="Champions",7)</f>
        <v>0</v>
      </c>
      <c r="X1542" t="s">
        <v>90</v>
      </c>
      <c r="Y1542" t="s">
        <v>90</v>
      </c>
      <c r="Z1542">
        <v>2014</v>
      </c>
    </row>
    <row r="1543" spans="1:26" x14ac:dyDescent="0.3">
      <c r="A1543" t="s">
        <v>208</v>
      </c>
      <c r="B1543" t="s">
        <v>40</v>
      </c>
      <c r="C1543">
        <v>28</v>
      </c>
      <c r="D1543">
        <v>13</v>
      </c>
      <c r="E1543" s="1">
        <f t="shared" si="24"/>
        <v>0.4642857142857143</v>
      </c>
      <c r="F1543">
        <v>100.8</v>
      </c>
      <c r="G1543">
        <v>106.6</v>
      </c>
      <c r="H1543">
        <v>0.34410000000000002</v>
      </c>
      <c r="I1543">
        <v>48.5</v>
      </c>
      <c r="J1543">
        <v>49.4</v>
      </c>
      <c r="K1543">
        <v>20.399999999999999</v>
      </c>
      <c r="L1543">
        <v>18.2</v>
      </c>
      <c r="M1543">
        <v>33.200000000000003</v>
      </c>
      <c r="N1543">
        <v>33.700000000000003</v>
      </c>
      <c r="O1543">
        <v>42.9</v>
      </c>
      <c r="P1543">
        <v>37.5</v>
      </c>
      <c r="Q1543">
        <v>49.1</v>
      </c>
      <c r="R1543">
        <v>49</v>
      </c>
      <c r="S1543">
        <v>31.3</v>
      </c>
      <c r="T1543">
        <v>33.5</v>
      </c>
      <c r="U1543">
        <v>66.7</v>
      </c>
      <c r="V1543">
        <v>-8.8000000000000007</v>
      </c>
      <c r="W1543" cm="1">
        <f t="array" ref="W1543">_xlfn.IFS(OR(X1543="N/A",X1543="NA"),0,OR(X1543="R64",X1543="R68"),1,X1543="R32",2,X1543="S16",3,X1543="E8",4,X1543="F4",5,X1543="2ND",6,X1543="Champions",7)</f>
        <v>0</v>
      </c>
      <c r="X1543" t="s">
        <v>90</v>
      </c>
      <c r="Y1543" t="s">
        <v>90</v>
      </c>
      <c r="Z1543">
        <v>2014</v>
      </c>
    </row>
    <row r="1544" spans="1:26" x14ac:dyDescent="0.3">
      <c r="A1544" t="s">
        <v>266</v>
      </c>
      <c r="B1544" t="s">
        <v>66</v>
      </c>
      <c r="C1544">
        <v>30</v>
      </c>
      <c r="D1544">
        <v>12</v>
      </c>
      <c r="E1544" s="1">
        <f t="shared" si="24"/>
        <v>0.4</v>
      </c>
      <c r="F1544">
        <v>93.9</v>
      </c>
      <c r="G1544">
        <v>108.1</v>
      </c>
      <c r="H1544">
        <v>0.16489999999999999</v>
      </c>
      <c r="I1544">
        <v>44.4</v>
      </c>
      <c r="J1544">
        <v>47.8</v>
      </c>
      <c r="K1544">
        <v>20.399999999999999</v>
      </c>
      <c r="L1544">
        <v>20.6</v>
      </c>
      <c r="M1544">
        <v>35.6</v>
      </c>
      <c r="N1544">
        <v>35.799999999999997</v>
      </c>
      <c r="O1544">
        <v>33.9</v>
      </c>
      <c r="P1544">
        <v>56.3</v>
      </c>
      <c r="Q1544">
        <v>42.5</v>
      </c>
      <c r="R1544">
        <v>47.2</v>
      </c>
      <c r="S1544">
        <v>32.299999999999997</v>
      </c>
      <c r="T1544">
        <v>32.799999999999997</v>
      </c>
      <c r="U1544">
        <v>71.7</v>
      </c>
      <c r="V1544">
        <v>-13.6</v>
      </c>
      <c r="W1544" cm="1">
        <f t="array" ref="W1544">_xlfn.IFS(OR(X1544="N/A",X1544="NA"),0,OR(X1544="R64",X1544="R68"),1,X1544="R32",2,X1544="S16",3,X1544="E8",4,X1544="F4",5,X1544="2ND",6,X1544="Champions",7)</f>
        <v>0</v>
      </c>
      <c r="X1544" t="s">
        <v>90</v>
      </c>
      <c r="Y1544" t="s">
        <v>90</v>
      </c>
      <c r="Z1544">
        <v>2014</v>
      </c>
    </row>
    <row r="1545" spans="1:26" x14ac:dyDescent="0.3">
      <c r="A1545" t="s">
        <v>209</v>
      </c>
      <c r="B1545" t="s">
        <v>40</v>
      </c>
      <c r="C1545">
        <v>30</v>
      </c>
      <c r="D1545">
        <v>8</v>
      </c>
      <c r="E1545" s="1">
        <f t="shared" si="24"/>
        <v>0.26666666666666666</v>
      </c>
      <c r="F1545">
        <v>101.2</v>
      </c>
      <c r="G1545">
        <v>106.9</v>
      </c>
      <c r="H1545">
        <v>0.34699999999999998</v>
      </c>
      <c r="I1545">
        <v>47.7</v>
      </c>
      <c r="J1545">
        <v>47.7</v>
      </c>
      <c r="K1545">
        <v>19.5</v>
      </c>
      <c r="L1545">
        <v>16.7</v>
      </c>
      <c r="M1545">
        <v>33.299999999999997</v>
      </c>
      <c r="N1545">
        <v>34</v>
      </c>
      <c r="O1545">
        <v>36.200000000000003</v>
      </c>
      <c r="P1545">
        <v>41.4</v>
      </c>
      <c r="Q1545">
        <v>46.9</v>
      </c>
      <c r="R1545">
        <v>46.6</v>
      </c>
      <c r="S1545">
        <v>32.700000000000003</v>
      </c>
      <c r="T1545">
        <v>33.700000000000003</v>
      </c>
      <c r="U1545">
        <v>65</v>
      </c>
      <c r="V1545">
        <v>-15.1</v>
      </c>
      <c r="W1545" cm="1">
        <f t="array" ref="W1545">_xlfn.IFS(OR(X1545="N/A",X1545="NA"),0,OR(X1545="R64",X1545="R68"),1,X1545="R32",2,X1545="S16",3,X1545="E8",4,X1545="F4",5,X1545="2ND",6,X1545="Champions",7)</f>
        <v>0</v>
      </c>
      <c r="X1545" t="s">
        <v>90</v>
      </c>
      <c r="Y1545" t="s">
        <v>90</v>
      </c>
      <c r="Z1545">
        <v>2014</v>
      </c>
    </row>
    <row r="1546" spans="1:26" x14ac:dyDescent="0.3">
      <c r="A1546" t="s">
        <v>130</v>
      </c>
      <c r="B1546" t="s">
        <v>131</v>
      </c>
      <c r="C1546">
        <v>33</v>
      </c>
      <c r="D1546">
        <v>20</v>
      </c>
      <c r="E1546" s="1">
        <f t="shared" si="24"/>
        <v>0.60606060606060608</v>
      </c>
      <c r="F1546">
        <v>99.2</v>
      </c>
      <c r="G1546">
        <v>100.8</v>
      </c>
      <c r="H1546">
        <v>0.45329999999999998</v>
      </c>
      <c r="I1546">
        <v>51.1</v>
      </c>
      <c r="J1546">
        <v>47.7</v>
      </c>
      <c r="K1546">
        <v>19.2</v>
      </c>
      <c r="L1546">
        <v>18.600000000000001</v>
      </c>
      <c r="M1546">
        <v>30</v>
      </c>
      <c r="N1546">
        <v>28.6</v>
      </c>
      <c r="O1546">
        <v>36</v>
      </c>
      <c r="P1546">
        <v>35.4</v>
      </c>
      <c r="Q1546">
        <v>52.5</v>
      </c>
      <c r="R1546">
        <v>45.8</v>
      </c>
      <c r="S1546">
        <v>31.9</v>
      </c>
      <c r="T1546">
        <v>34.200000000000003</v>
      </c>
      <c r="U1546">
        <v>67.8</v>
      </c>
      <c r="V1546">
        <v>-7.4</v>
      </c>
      <c r="W1546" cm="1">
        <f t="array" ref="W1546">_xlfn.IFS(OR(X1546="N/A",X1546="NA"),0,OR(X1546="R64",X1546="R68"),1,X1546="R32",2,X1546="S16",3,X1546="E8",4,X1546="F4",5,X1546="2ND",6,X1546="Champions",7)</f>
        <v>0</v>
      </c>
      <c r="X1546" t="s">
        <v>90</v>
      </c>
      <c r="Y1546" t="s">
        <v>90</v>
      </c>
      <c r="Z1546">
        <v>2014</v>
      </c>
    </row>
    <row r="1547" spans="1:26" x14ac:dyDescent="0.3">
      <c r="A1547" t="s">
        <v>60</v>
      </c>
      <c r="B1547" t="s">
        <v>26</v>
      </c>
      <c r="C1547">
        <v>36</v>
      </c>
      <c r="D1547">
        <v>22</v>
      </c>
      <c r="E1547" s="1">
        <f t="shared" si="24"/>
        <v>0.61111111111111116</v>
      </c>
      <c r="F1547">
        <v>112</v>
      </c>
      <c r="G1547">
        <v>97.6</v>
      </c>
      <c r="H1547">
        <v>0.83009999999999995</v>
      </c>
      <c r="I1547">
        <v>51.7</v>
      </c>
      <c r="J1547">
        <v>45.4</v>
      </c>
      <c r="K1547">
        <v>21.3</v>
      </c>
      <c r="L1547">
        <v>18.899999999999999</v>
      </c>
      <c r="M1547">
        <v>34.5</v>
      </c>
      <c r="N1547">
        <v>35.700000000000003</v>
      </c>
      <c r="O1547">
        <v>45.6</v>
      </c>
      <c r="P1547">
        <v>36.200000000000003</v>
      </c>
      <c r="Q1547">
        <v>49.7</v>
      </c>
      <c r="R1547">
        <v>43.5</v>
      </c>
      <c r="S1547">
        <v>38</v>
      </c>
      <c r="T1547">
        <v>32.9</v>
      </c>
      <c r="U1547">
        <v>67.2</v>
      </c>
      <c r="V1547">
        <v>1.4</v>
      </c>
      <c r="W1547" cm="1">
        <f t="array" ref="W1547">_xlfn.IFS(OR(X1547="N/A",X1547="NA"),0,OR(X1547="R64",X1547="R68"),1,X1547="R32",2,X1547="S16",3,X1547="E8",4,X1547="F4",5,X1547="2ND",6,X1547="Champions",7)</f>
        <v>0</v>
      </c>
      <c r="X1547" t="s">
        <v>90</v>
      </c>
      <c r="Y1547" t="s">
        <v>90</v>
      </c>
      <c r="Z1547">
        <v>2014</v>
      </c>
    </row>
    <row r="1548" spans="1:26" x14ac:dyDescent="0.3">
      <c r="A1548" t="s">
        <v>91</v>
      </c>
      <c r="B1548" t="s">
        <v>45</v>
      </c>
      <c r="C1548">
        <v>31</v>
      </c>
      <c r="D1548">
        <v>10</v>
      </c>
      <c r="E1548" s="1">
        <f t="shared" si="24"/>
        <v>0.32258064516129031</v>
      </c>
      <c r="F1548">
        <v>108</v>
      </c>
      <c r="G1548">
        <v>110.9</v>
      </c>
      <c r="H1548">
        <v>0.42320000000000002</v>
      </c>
      <c r="I1548">
        <v>45</v>
      </c>
      <c r="J1548">
        <v>52.5</v>
      </c>
      <c r="K1548">
        <v>16.399999999999999</v>
      </c>
      <c r="L1548">
        <v>18</v>
      </c>
      <c r="M1548">
        <v>35.4</v>
      </c>
      <c r="N1548">
        <v>35.6</v>
      </c>
      <c r="O1548">
        <v>33.4</v>
      </c>
      <c r="P1548">
        <v>42.3</v>
      </c>
      <c r="Q1548">
        <v>44.5</v>
      </c>
      <c r="R1548">
        <v>51.9</v>
      </c>
      <c r="S1548">
        <v>30.6</v>
      </c>
      <c r="T1548">
        <v>35.700000000000003</v>
      </c>
      <c r="U1548">
        <v>69.3</v>
      </c>
      <c r="V1548">
        <v>-10.3</v>
      </c>
      <c r="W1548" cm="1">
        <f t="array" ref="W1548">_xlfn.IFS(OR(X1548="N/A",X1548="NA"),0,OR(X1548="R64",X1548="R68"),1,X1548="R32",2,X1548="S16",3,X1548="E8",4,X1548="F4",5,X1548="2ND",6,X1548="Champions",7)</f>
        <v>0</v>
      </c>
      <c r="X1548" t="s">
        <v>90</v>
      </c>
      <c r="Y1548" t="s">
        <v>90</v>
      </c>
      <c r="Z1548">
        <v>2014</v>
      </c>
    </row>
    <row r="1549" spans="1:26" x14ac:dyDescent="0.3">
      <c r="A1549" t="s">
        <v>285</v>
      </c>
      <c r="B1549" t="s">
        <v>55</v>
      </c>
      <c r="C1549">
        <v>37</v>
      </c>
      <c r="D1549">
        <v>19</v>
      </c>
      <c r="E1549" s="1">
        <f t="shared" si="24"/>
        <v>0.51351351351351349</v>
      </c>
      <c r="F1549">
        <v>110.7</v>
      </c>
      <c r="G1549">
        <v>103.9</v>
      </c>
      <c r="H1549">
        <v>0.67379999999999995</v>
      </c>
      <c r="I1549">
        <v>49.9</v>
      </c>
      <c r="J1549">
        <v>48.8</v>
      </c>
      <c r="K1549">
        <v>14.7</v>
      </c>
      <c r="L1549">
        <v>16.600000000000001</v>
      </c>
      <c r="M1549">
        <v>24</v>
      </c>
      <c r="N1549">
        <v>31.6</v>
      </c>
      <c r="O1549">
        <v>40.6</v>
      </c>
      <c r="P1549">
        <v>42</v>
      </c>
      <c r="Q1549">
        <v>47.1</v>
      </c>
      <c r="R1549">
        <v>49.5</v>
      </c>
      <c r="S1549">
        <v>36.299999999999997</v>
      </c>
      <c r="T1549">
        <v>31.5</v>
      </c>
      <c r="U1549">
        <v>67.099999999999994</v>
      </c>
      <c r="V1549">
        <v>-5.8</v>
      </c>
      <c r="W1549" cm="1">
        <f t="array" ref="W1549">_xlfn.IFS(OR(X1549="N/A",X1549="NA"),0,OR(X1549="R64",X1549="R68"),1,X1549="R32",2,X1549="S16",3,X1549="E8",4,X1549="F4",5,X1549="2ND",6,X1549="Champions",7)</f>
        <v>0</v>
      </c>
      <c r="X1549" t="s">
        <v>90</v>
      </c>
      <c r="Y1549" t="s">
        <v>90</v>
      </c>
      <c r="Z1549">
        <v>2014</v>
      </c>
    </row>
    <row r="1550" spans="1:26" x14ac:dyDescent="0.3">
      <c r="A1550" t="s">
        <v>350</v>
      </c>
      <c r="B1550" t="s">
        <v>62</v>
      </c>
      <c r="C1550">
        <v>27</v>
      </c>
      <c r="D1550">
        <v>7</v>
      </c>
      <c r="E1550" s="1">
        <f t="shared" si="24"/>
        <v>0.25925925925925924</v>
      </c>
      <c r="F1550">
        <v>94</v>
      </c>
      <c r="G1550">
        <v>114</v>
      </c>
      <c r="H1550">
        <v>9.7699999999999995E-2</v>
      </c>
      <c r="I1550">
        <v>48.8</v>
      </c>
      <c r="J1550">
        <v>52.5</v>
      </c>
      <c r="K1550">
        <v>20.9</v>
      </c>
      <c r="L1550">
        <v>16.100000000000001</v>
      </c>
      <c r="M1550">
        <v>26.5</v>
      </c>
      <c r="N1550">
        <v>34.9</v>
      </c>
      <c r="O1550">
        <v>40.6</v>
      </c>
      <c r="P1550">
        <v>29.9</v>
      </c>
      <c r="Q1550">
        <v>48.9</v>
      </c>
      <c r="R1550">
        <v>51</v>
      </c>
      <c r="S1550">
        <v>32.4</v>
      </c>
      <c r="T1550">
        <v>37</v>
      </c>
      <c r="U1550">
        <v>65.2</v>
      </c>
      <c r="V1550">
        <v>-16</v>
      </c>
      <c r="W1550" cm="1">
        <f t="array" ref="W1550">_xlfn.IFS(OR(X1550="N/A",X1550="NA"),0,OR(X1550="R64",X1550="R68"),1,X1550="R32",2,X1550="S16",3,X1550="E8",4,X1550="F4",5,X1550="2ND",6,X1550="Champions",7)</f>
        <v>0</v>
      </c>
      <c r="X1550" t="s">
        <v>90</v>
      </c>
      <c r="Y1550" t="s">
        <v>90</v>
      </c>
      <c r="Z1550">
        <v>2014</v>
      </c>
    </row>
    <row r="1551" spans="1:26" x14ac:dyDescent="0.3">
      <c r="A1551" t="s">
        <v>178</v>
      </c>
      <c r="B1551" t="s">
        <v>74</v>
      </c>
      <c r="C1551">
        <v>30</v>
      </c>
      <c r="D1551">
        <v>15</v>
      </c>
      <c r="E1551" s="1">
        <f t="shared" si="24"/>
        <v>0.5</v>
      </c>
      <c r="F1551">
        <v>99.7</v>
      </c>
      <c r="G1551">
        <v>104.6</v>
      </c>
      <c r="H1551">
        <v>0.36509999999999998</v>
      </c>
      <c r="I1551">
        <v>47.6</v>
      </c>
      <c r="J1551">
        <v>50.8</v>
      </c>
      <c r="K1551">
        <v>17.899999999999999</v>
      </c>
      <c r="L1551">
        <v>20</v>
      </c>
      <c r="M1551">
        <v>33.200000000000003</v>
      </c>
      <c r="N1551">
        <v>31.5</v>
      </c>
      <c r="O1551">
        <v>41.2</v>
      </c>
      <c r="P1551">
        <v>38.700000000000003</v>
      </c>
      <c r="Q1551">
        <v>47.2</v>
      </c>
      <c r="R1551">
        <v>51.2</v>
      </c>
      <c r="S1551">
        <v>32.5</v>
      </c>
      <c r="T1551">
        <v>33.200000000000003</v>
      </c>
      <c r="U1551">
        <v>66.8</v>
      </c>
      <c r="V1551">
        <v>-9.9</v>
      </c>
      <c r="W1551" cm="1">
        <f t="array" ref="W1551">_xlfn.IFS(OR(X1551="N/A",X1551="NA"),0,OR(X1551="R64",X1551="R68"),1,X1551="R32",2,X1551="S16",3,X1551="E8",4,X1551="F4",5,X1551="2ND",6,X1551="Champions",7)</f>
        <v>0</v>
      </c>
      <c r="X1551" t="s">
        <v>90</v>
      </c>
      <c r="Y1551" t="s">
        <v>90</v>
      </c>
      <c r="Z1551">
        <v>2014</v>
      </c>
    </row>
    <row r="1552" spans="1:26" x14ac:dyDescent="0.3">
      <c r="A1552" t="s">
        <v>92</v>
      </c>
      <c r="B1552" t="s">
        <v>45</v>
      </c>
      <c r="C1552">
        <v>31</v>
      </c>
      <c r="D1552">
        <v>11</v>
      </c>
      <c r="E1552" s="1">
        <f t="shared" si="24"/>
        <v>0.35483870967741937</v>
      </c>
      <c r="F1552">
        <v>106.3</v>
      </c>
      <c r="G1552">
        <v>102.4</v>
      </c>
      <c r="H1552">
        <v>0.60660000000000003</v>
      </c>
      <c r="I1552">
        <v>48.4</v>
      </c>
      <c r="J1552">
        <v>50.1</v>
      </c>
      <c r="K1552">
        <v>19.8</v>
      </c>
      <c r="L1552">
        <v>17.8</v>
      </c>
      <c r="M1552">
        <v>31.7</v>
      </c>
      <c r="N1552">
        <v>29.9</v>
      </c>
      <c r="O1552">
        <v>40.1</v>
      </c>
      <c r="P1552">
        <v>47.3</v>
      </c>
      <c r="Q1552">
        <v>47</v>
      </c>
      <c r="R1552">
        <v>50</v>
      </c>
      <c r="S1552">
        <v>35.200000000000003</v>
      </c>
      <c r="T1552">
        <v>33.5</v>
      </c>
      <c r="U1552">
        <v>66.900000000000006</v>
      </c>
      <c r="V1552">
        <v>-9.4</v>
      </c>
      <c r="W1552" cm="1">
        <f t="array" ref="W1552">_xlfn.IFS(OR(X1552="N/A",X1552="NA"),0,OR(X1552="R64",X1552="R68"),1,X1552="R32",2,X1552="S16",3,X1552="E8",4,X1552="F4",5,X1552="2ND",6,X1552="Champions",7)</f>
        <v>0</v>
      </c>
      <c r="X1552" t="s">
        <v>90</v>
      </c>
      <c r="Y1552" t="s">
        <v>90</v>
      </c>
      <c r="Z1552">
        <v>2014</v>
      </c>
    </row>
    <row r="1553" spans="1:26" x14ac:dyDescent="0.3">
      <c r="A1553" t="s">
        <v>159</v>
      </c>
      <c r="B1553" t="s">
        <v>33</v>
      </c>
      <c r="C1553">
        <v>33</v>
      </c>
      <c r="D1553">
        <v>18</v>
      </c>
      <c r="E1553" s="1">
        <f t="shared" si="24"/>
        <v>0.54545454545454541</v>
      </c>
      <c r="F1553">
        <v>114.3</v>
      </c>
      <c r="G1553">
        <v>100</v>
      </c>
      <c r="H1553">
        <v>0.82279999999999998</v>
      </c>
      <c r="I1553">
        <v>51.1</v>
      </c>
      <c r="J1553">
        <v>47.9</v>
      </c>
      <c r="K1553">
        <v>17.899999999999999</v>
      </c>
      <c r="L1553">
        <v>18.2</v>
      </c>
      <c r="M1553">
        <v>31.9</v>
      </c>
      <c r="N1553">
        <v>32.1</v>
      </c>
      <c r="O1553">
        <v>44.8</v>
      </c>
      <c r="P1553">
        <v>52.4</v>
      </c>
      <c r="Q1553">
        <v>51.8</v>
      </c>
      <c r="R1553">
        <v>46.8</v>
      </c>
      <c r="S1553">
        <v>33.1</v>
      </c>
      <c r="T1553">
        <v>33.299999999999997</v>
      </c>
      <c r="U1553">
        <v>65.099999999999994</v>
      </c>
      <c r="V1553">
        <v>-1.6</v>
      </c>
      <c r="W1553" cm="1">
        <f t="array" ref="W1553">_xlfn.IFS(OR(X1553="N/A",X1553="NA"),0,OR(X1553="R64",X1553="R68"),1,X1553="R32",2,X1553="S16",3,X1553="E8",4,X1553="F4",5,X1553="2ND",6,X1553="Champions",7)</f>
        <v>0</v>
      </c>
      <c r="X1553" t="s">
        <v>90</v>
      </c>
      <c r="Y1553" t="s">
        <v>90</v>
      </c>
      <c r="Z1553">
        <v>2014</v>
      </c>
    </row>
    <row r="1554" spans="1:26" x14ac:dyDescent="0.3">
      <c r="A1554" t="s">
        <v>365</v>
      </c>
      <c r="B1554" t="s">
        <v>29</v>
      </c>
      <c r="C1554">
        <v>34</v>
      </c>
      <c r="D1554">
        <v>20</v>
      </c>
      <c r="E1554" s="1">
        <f t="shared" si="24"/>
        <v>0.58823529411764708</v>
      </c>
      <c r="F1554">
        <v>107.9</v>
      </c>
      <c r="G1554">
        <v>99</v>
      </c>
      <c r="H1554">
        <v>0.72750000000000004</v>
      </c>
      <c r="I1554">
        <v>48.9</v>
      </c>
      <c r="J1554">
        <v>45.9</v>
      </c>
      <c r="K1554">
        <v>20</v>
      </c>
      <c r="L1554">
        <v>16</v>
      </c>
      <c r="M1554">
        <v>35.299999999999997</v>
      </c>
      <c r="N1554">
        <v>29.8</v>
      </c>
      <c r="O1554">
        <v>54.1</v>
      </c>
      <c r="P1554">
        <v>43.4</v>
      </c>
      <c r="Q1554">
        <v>47.5</v>
      </c>
      <c r="R1554">
        <v>44.8</v>
      </c>
      <c r="S1554">
        <v>34.9</v>
      </c>
      <c r="T1554">
        <v>31.9</v>
      </c>
      <c r="U1554">
        <v>64.5</v>
      </c>
      <c r="V1554">
        <v>-1.8</v>
      </c>
      <c r="W1554" cm="1">
        <f t="array" ref="W1554">_xlfn.IFS(OR(X1554="N/A",X1554="NA"),0,OR(X1554="R64",X1554="R68"),1,X1554="R32",2,X1554="S16",3,X1554="E8",4,X1554="F4",5,X1554="2ND",6,X1554="Champions",7)</f>
        <v>0</v>
      </c>
      <c r="X1554" t="s">
        <v>90</v>
      </c>
      <c r="Y1554" t="s">
        <v>90</v>
      </c>
      <c r="Z1554">
        <v>2014</v>
      </c>
    </row>
    <row r="1555" spans="1:26" x14ac:dyDescent="0.3">
      <c r="A1555" t="s">
        <v>339</v>
      </c>
      <c r="B1555" t="s">
        <v>62</v>
      </c>
      <c r="C1555">
        <v>31</v>
      </c>
      <c r="D1555">
        <v>12</v>
      </c>
      <c r="E1555" s="1">
        <f t="shared" si="24"/>
        <v>0.38709677419354838</v>
      </c>
      <c r="F1555">
        <v>97.9</v>
      </c>
      <c r="G1555">
        <v>110.1</v>
      </c>
      <c r="H1555">
        <v>0.2072</v>
      </c>
      <c r="I1555">
        <v>48.8</v>
      </c>
      <c r="J1555">
        <v>51.8</v>
      </c>
      <c r="K1555">
        <v>17.899999999999999</v>
      </c>
      <c r="L1555">
        <v>18.100000000000001</v>
      </c>
      <c r="M1555">
        <v>30.3</v>
      </c>
      <c r="N1555">
        <v>30.3</v>
      </c>
      <c r="O1555">
        <v>36.9</v>
      </c>
      <c r="P1555">
        <v>32.799999999999997</v>
      </c>
      <c r="Q1555">
        <v>48.4</v>
      </c>
      <c r="R1555">
        <v>51.5</v>
      </c>
      <c r="S1555">
        <v>33</v>
      </c>
      <c r="T1555">
        <v>34.9</v>
      </c>
      <c r="U1555">
        <v>66.7</v>
      </c>
      <c r="V1555">
        <v>-14.5</v>
      </c>
      <c r="W1555" cm="1">
        <f t="array" ref="W1555">_xlfn.IFS(OR(X1555="N/A",X1555="NA"),0,OR(X1555="R64",X1555="R68"),1,X1555="R32",2,X1555="S16",3,X1555="E8",4,X1555="F4",5,X1555="2ND",6,X1555="Champions",7)</f>
        <v>0</v>
      </c>
      <c r="X1555" t="s">
        <v>90</v>
      </c>
      <c r="Y1555" t="s">
        <v>90</v>
      </c>
      <c r="Z1555">
        <v>2014</v>
      </c>
    </row>
    <row r="1556" spans="1:26" x14ac:dyDescent="0.3">
      <c r="A1556" t="s">
        <v>346</v>
      </c>
      <c r="B1556" t="s">
        <v>58</v>
      </c>
      <c r="C1556">
        <v>32</v>
      </c>
      <c r="D1556">
        <v>23</v>
      </c>
      <c r="E1556" s="1">
        <f t="shared" si="24"/>
        <v>0.71875</v>
      </c>
      <c r="F1556">
        <v>114</v>
      </c>
      <c r="G1556">
        <v>104.3</v>
      </c>
      <c r="H1556">
        <v>0.73599999999999999</v>
      </c>
      <c r="I1556">
        <v>53.1</v>
      </c>
      <c r="J1556">
        <v>49.6</v>
      </c>
      <c r="K1556">
        <v>11.9</v>
      </c>
      <c r="L1556">
        <v>20.100000000000001</v>
      </c>
      <c r="M1556">
        <v>24.9</v>
      </c>
      <c r="N1556">
        <v>34.1</v>
      </c>
      <c r="O1556">
        <v>38.799999999999997</v>
      </c>
      <c r="P1556">
        <v>36</v>
      </c>
      <c r="Q1556">
        <v>51.1</v>
      </c>
      <c r="R1556">
        <v>48.3</v>
      </c>
      <c r="S1556">
        <v>38</v>
      </c>
      <c r="T1556">
        <v>34.299999999999997</v>
      </c>
      <c r="U1556">
        <v>66</v>
      </c>
      <c r="V1556">
        <v>-2.2000000000000002</v>
      </c>
      <c r="W1556" cm="1">
        <f t="array" ref="W1556">_xlfn.IFS(OR(X1556="N/A",X1556="NA"),0,OR(X1556="R64",X1556="R68"),1,X1556="R32",2,X1556="S16",3,X1556="E8",4,X1556="F4",5,X1556="2ND",6,X1556="Champions",7)</f>
        <v>0</v>
      </c>
      <c r="X1556" t="s">
        <v>90</v>
      </c>
      <c r="Y1556" t="s">
        <v>90</v>
      </c>
      <c r="Z1556">
        <v>2014</v>
      </c>
    </row>
    <row r="1557" spans="1:26" x14ac:dyDescent="0.3">
      <c r="A1557" t="s">
        <v>105</v>
      </c>
      <c r="B1557" t="s">
        <v>26</v>
      </c>
      <c r="C1557">
        <v>33</v>
      </c>
      <c r="D1557">
        <v>16</v>
      </c>
      <c r="E1557" s="1">
        <f t="shared" si="24"/>
        <v>0.48484848484848486</v>
      </c>
      <c r="F1557">
        <v>105.7</v>
      </c>
      <c r="G1557">
        <v>97.9</v>
      </c>
      <c r="H1557">
        <v>0.70820000000000005</v>
      </c>
      <c r="I1557">
        <v>47.8</v>
      </c>
      <c r="J1557">
        <v>47.4</v>
      </c>
      <c r="K1557">
        <v>18.399999999999999</v>
      </c>
      <c r="L1557">
        <v>15.4</v>
      </c>
      <c r="M1557">
        <v>32.700000000000003</v>
      </c>
      <c r="N1557">
        <v>28.5</v>
      </c>
      <c r="O1557">
        <v>34.4</v>
      </c>
      <c r="P1557">
        <v>37.9</v>
      </c>
      <c r="Q1557">
        <v>48</v>
      </c>
      <c r="R1557">
        <v>46.2</v>
      </c>
      <c r="S1557">
        <v>31.5</v>
      </c>
      <c r="T1557">
        <v>33.200000000000003</v>
      </c>
      <c r="U1557">
        <v>66.2</v>
      </c>
      <c r="V1557">
        <v>-4.5</v>
      </c>
      <c r="W1557" cm="1">
        <f t="array" ref="W1557">_xlfn.IFS(OR(X1557="N/A",X1557="NA"),0,OR(X1557="R64",X1557="R68"),1,X1557="R32",2,X1557="S16",3,X1557="E8",4,X1557="F4",5,X1557="2ND",6,X1557="Champions",7)</f>
        <v>0</v>
      </c>
      <c r="X1557" t="s">
        <v>90</v>
      </c>
      <c r="Y1557" t="s">
        <v>90</v>
      </c>
      <c r="Z1557">
        <v>2014</v>
      </c>
    </row>
    <row r="1558" spans="1:26" x14ac:dyDescent="0.3">
      <c r="A1558" t="s">
        <v>394</v>
      </c>
      <c r="B1558" t="s">
        <v>76</v>
      </c>
      <c r="C1558">
        <v>27</v>
      </c>
      <c r="D1558">
        <v>4</v>
      </c>
      <c r="E1558" s="1">
        <f t="shared" si="24"/>
        <v>0.14814814814814814</v>
      </c>
      <c r="F1558">
        <v>94.5</v>
      </c>
      <c r="G1558">
        <v>122.4</v>
      </c>
      <c r="H1558">
        <v>4.8599999999999997E-2</v>
      </c>
      <c r="I1558">
        <v>46.5</v>
      </c>
      <c r="J1558">
        <v>57.4</v>
      </c>
      <c r="K1558">
        <v>21.9</v>
      </c>
      <c r="L1558">
        <v>18.3</v>
      </c>
      <c r="M1558">
        <v>30.6</v>
      </c>
      <c r="N1558">
        <v>36.1</v>
      </c>
      <c r="O1558">
        <v>40.5</v>
      </c>
      <c r="P1558">
        <v>40.5</v>
      </c>
      <c r="Q1558">
        <v>45.3</v>
      </c>
      <c r="R1558">
        <v>57.7</v>
      </c>
      <c r="S1558">
        <v>32.5</v>
      </c>
      <c r="T1558">
        <v>37.9</v>
      </c>
      <c r="U1558">
        <v>68.400000000000006</v>
      </c>
      <c r="V1558">
        <v>-19.3</v>
      </c>
      <c r="W1558" cm="1">
        <f t="array" ref="W1558">_xlfn.IFS(OR(X1558="N/A",X1558="NA"),0,OR(X1558="R64",X1558="R68"),1,X1558="R32",2,X1558="S16",3,X1558="E8",4,X1558="F4",5,X1558="2ND",6,X1558="Champions",7)</f>
        <v>0</v>
      </c>
      <c r="X1558" t="s">
        <v>90</v>
      </c>
      <c r="Y1558" t="s">
        <v>90</v>
      </c>
      <c r="Z1558">
        <v>2014</v>
      </c>
    </row>
    <row r="1559" spans="1:26" x14ac:dyDescent="0.3">
      <c r="A1559" t="s">
        <v>402</v>
      </c>
      <c r="B1559" t="s">
        <v>51</v>
      </c>
      <c r="C1559">
        <v>27</v>
      </c>
      <c r="D1559">
        <v>12</v>
      </c>
      <c r="E1559" s="1">
        <f t="shared" si="24"/>
        <v>0.44444444444444442</v>
      </c>
      <c r="F1559">
        <v>104.5</v>
      </c>
      <c r="G1559">
        <v>111.5</v>
      </c>
      <c r="H1559">
        <v>0.32140000000000002</v>
      </c>
      <c r="I1559">
        <v>49.2</v>
      </c>
      <c r="J1559">
        <v>49.8</v>
      </c>
      <c r="K1559">
        <v>18.899999999999999</v>
      </c>
      <c r="L1559">
        <v>14.5</v>
      </c>
      <c r="M1559">
        <v>27.4</v>
      </c>
      <c r="N1559">
        <v>29.2</v>
      </c>
      <c r="O1559">
        <v>52.1</v>
      </c>
      <c r="P1559">
        <v>40</v>
      </c>
      <c r="Q1559">
        <v>47</v>
      </c>
      <c r="R1559">
        <v>48.5</v>
      </c>
      <c r="S1559">
        <v>35.1</v>
      </c>
      <c r="T1559">
        <v>35.4</v>
      </c>
      <c r="U1559">
        <v>67.099999999999994</v>
      </c>
      <c r="V1559">
        <v>-8.6999999999999993</v>
      </c>
      <c r="W1559" cm="1">
        <f t="array" ref="W1559">_xlfn.IFS(OR(X1559="N/A",X1559="NA"),0,OR(X1559="R64",X1559="R68"),1,X1559="R32",2,X1559="S16",3,X1559="E8",4,X1559="F4",5,X1559="2ND",6,X1559="Champions",7)</f>
        <v>0</v>
      </c>
      <c r="X1559" t="s">
        <v>90</v>
      </c>
      <c r="Y1559" t="s">
        <v>90</v>
      </c>
      <c r="Z1559">
        <v>2014</v>
      </c>
    </row>
    <row r="1560" spans="1:26" x14ac:dyDescent="0.3">
      <c r="A1560" t="s">
        <v>223</v>
      </c>
      <c r="B1560" t="s">
        <v>43</v>
      </c>
      <c r="C1560">
        <v>28</v>
      </c>
      <c r="D1560">
        <v>21</v>
      </c>
      <c r="E1560" s="1">
        <f t="shared" si="24"/>
        <v>0.75</v>
      </c>
      <c r="F1560">
        <v>106.5</v>
      </c>
      <c r="G1560">
        <v>98.3</v>
      </c>
      <c r="H1560">
        <v>0.71650000000000003</v>
      </c>
      <c r="I1560">
        <v>50.9</v>
      </c>
      <c r="J1560">
        <v>46</v>
      </c>
      <c r="K1560">
        <v>18.7</v>
      </c>
      <c r="L1560">
        <v>19.899999999999999</v>
      </c>
      <c r="M1560">
        <v>34</v>
      </c>
      <c r="N1560">
        <v>32.5</v>
      </c>
      <c r="O1560">
        <v>43</v>
      </c>
      <c r="P1560">
        <v>34.1</v>
      </c>
      <c r="Q1560">
        <v>50.9</v>
      </c>
      <c r="R1560">
        <v>44.7</v>
      </c>
      <c r="S1560">
        <v>34</v>
      </c>
      <c r="T1560">
        <v>32.4</v>
      </c>
      <c r="U1560">
        <v>67.2</v>
      </c>
      <c r="V1560">
        <v>0.4</v>
      </c>
      <c r="W1560" cm="1">
        <f t="array" ref="W1560">_xlfn.IFS(OR(X1560="N/A",X1560="NA"),0,OR(X1560="R64",X1560="R68"),1,X1560="R32",2,X1560="S16",3,X1560="E8",4,X1560="F4",5,X1560="2ND",6,X1560="Champions",7)</f>
        <v>0</v>
      </c>
      <c r="X1560" t="s">
        <v>90</v>
      </c>
      <c r="Y1560" t="s">
        <v>90</v>
      </c>
      <c r="Z1560">
        <v>2014</v>
      </c>
    </row>
    <row r="1561" spans="1:26" x14ac:dyDescent="0.3">
      <c r="A1561" t="s">
        <v>187</v>
      </c>
      <c r="B1561" t="s">
        <v>66</v>
      </c>
      <c r="C1561">
        <v>30</v>
      </c>
      <c r="D1561">
        <v>17</v>
      </c>
      <c r="E1561" s="1">
        <f t="shared" si="24"/>
        <v>0.56666666666666665</v>
      </c>
      <c r="F1561">
        <v>95.5</v>
      </c>
      <c r="G1561">
        <v>101</v>
      </c>
      <c r="H1561">
        <v>0.34539999999999998</v>
      </c>
      <c r="I1561">
        <v>46.4</v>
      </c>
      <c r="J1561">
        <v>45.1</v>
      </c>
      <c r="K1561">
        <v>20.2</v>
      </c>
      <c r="L1561">
        <v>22.1</v>
      </c>
      <c r="M1561">
        <v>32.9</v>
      </c>
      <c r="N1561">
        <v>35.1</v>
      </c>
      <c r="O1561">
        <v>50.9</v>
      </c>
      <c r="P1561">
        <v>53.6</v>
      </c>
      <c r="Q1561">
        <v>46</v>
      </c>
      <c r="R1561">
        <v>41.6</v>
      </c>
      <c r="S1561">
        <v>31.6</v>
      </c>
      <c r="T1561">
        <v>35.4</v>
      </c>
      <c r="U1561">
        <v>71.400000000000006</v>
      </c>
      <c r="V1561">
        <v>-8.4</v>
      </c>
      <c r="W1561" cm="1">
        <f t="array" ref="W1561">_xlfn.IFS(OR(X1561="N/A",X1561="NA"),0,OR(X1561="R64",X1561="R68"),1,X1561="R32",2,X1561="S16",3,X1561="E8",4,X1561="F4",5,X1561="2ND",6,X1561="Champions",7)</f>
        <v>0</v>
      </c>
      <c r="X1561" t="s">
        <v>90</v>
      </c>
      <c r="Y1561" t="s">
        <v>90</v>
      </c>
      <c r="Z1561">
        <v>2014</v>
      </c>
    </row>
    <row r="1562" spans="1:26" x14ac:dyDescent="0.3">
      <c r="A1562" t="s">
        <v>113</v>
      </c>
      <c r="B1562" t="s">
        <v>112</v>
      </c>
      <c r="C1562">
        <v>33</v>
      </c>
      <c r="D1562">
        <v>17</v>
      </c>
      <c r="E1562" s="1">
        <f t="shared" si="24"/>
        <v>0.51515151515151514</v>
      </c>
      <c r="F1562">
        <v>101.2</v>
      </c>
      <c r="G1562">
        <v>107.6</v>
      </c>
      <c r="H1562">
        <v>0.33169999999999999</v>
      </c>
      <c r="I1562">
        <v>54.2</v>
      </c>
      <c r="J1562">
        <v>51.3</v>
      </c>
      <c r="K1562">
        <v>21.7</v>
      </c>
      <c r="L1562">
        <v>20.399999999999999</v>
      </c>
      <c r="M1562">
        <v>24</v>
      </c>
      <c r="N1562">
        <v>32</v>
      </c>
      <c r="O1562">
        <v>38.9</v>
      </c>
      <c r="P1562">
        <v>41.3</v>
      </c>
      <c r="Q1562">
        <v>52.4</v>
      </c>
      <c r="R1562">
        <v>51.2</v>
      </c>
      <c r="S1562">
        <v>37.6</v>
      </c>
      <c r="T1562">
        <v>34.299999999999997</v>
      </c>
      <c r="U1562">
        <v>63.8</v>
      </c>
      <c r="V1562">
        <v>-10.8</v>
      </c>
      <c r="W1562" cm="1">
        <f t="array" ref="W1562">_xlfn.IFS(OR(X1562="N/A",X1562="NA"),0,OR(X1562="R64",X1562="R68"),1,X1562="R32",2,X1562="S16",3,X1562="E8",4,X1562="F4",5,X1562="2ND",6,X1562="Champions",7)</f>
        <v>0</v>
      </c>
      <c r="X1562" t="s">
        <v>90</v>
      </c>
      <c r="Y1562" t="s">
        <v>90</v>
      </c>
      <c r="Z1562">
        <v>2014</v>
      </c>
    </row>
    <row r="1563" spans="1:26" x14ac:dyDescent="0.3">
      <c r="A1563" t="s">
        <v>191</v>
      </c>
      <c r="B1563" t="s">
        <v>48</v>
      </c>
      <c r="C1563">
        <v>29</v>
      </c>
      <c r="D1563">
        <v>18</v>
      </c>
      <c r="E1563" s="1">
        <f t="shared" si="24"/>
        <v>0.62068965517241381</v>
      </c>
      <c r="F1563">
        <v>109.9</v>
      </c>
      <c r="G1563">
        <v>107.5</v>
      </c>
      <c r="H1563">
        <v>0.5635</v>
      </c>
      <c r="I1563">
        <v>51.3</v>
      </c>
      <c r="J1563">
        <v>51</v>
      </c>
      <c r="K1563">
        <v>16.8</v>
      </c>
      <c r="L1563">
        <v>19.2</v>
      </c>
      <c r="M1563">
        <v>37.299999999999997</v>
      </c>
      <c r="N1563">
        <v>31.6</v>
      </c>
      <c r="O1563">
        <v>42.4</v>
      </c>
      <c r="P1563">
        <v>40.4</v>
      </c>
      <c r="Q1563">
        <v>51.9</v>
      </c>
      <c r="R1563">
        <v>50.8</v>
      </c>
      <c r="S1563">
        <v>33.200000000000003</v>
      </c>
      <c r="T1563">
        <v>34.200000000000003</v>
      </c>
      <c r="U1563">
        <v>69</v>
      </c>
      <c r="V1563">
        <v>-6.3</v>
      </c>
      <c r="W1563" cm="1">
        <f t="array" ref="W1563">_xlfn.IFS(OR(X1563="N/A",X1563="NA"),0,OR(X1563="R64",X1563="R68"),1,X1563="R32",2,X1563="S16",3,X1563="E8",4,X1563="F4",5,X1563="2ND",6,X1563="Champions",7)</f>
        <v>0</v>
      </c>
      <c r="X1563" t="s">
        <v>90</v>
      </c>
      <c r="Y1563" t="s">
        <v>90</v>
      </c>
      <c r="Z1563">
        <v>2014</v>
      </c>
    </row>
    <row r="1564" spans="1:26" x14ac:dyDescent="0.3">
      <c r="A1564" t="s">
        <v>179</v>
      </c>
      <c r="B1564" t="s">
        <v>74</v>
      </c>
      <c r="C1564">
        <v>29</v>
      </c>
      <c r="D1564">
        <v>14</v>
      </c>
      <c r="E1564" s="1">
        <f t="shared" si="24"/>
        <v>0.48275862068965519</v>
      </c>
      <c r="F1564">
        <v>105.8</v>
      </c>
      <c r="G1564">
        <v>111.3</v>
      </c>
      <c r="H1564">
        <v>0.35880000000000001</v>
      </c>
      <c r="I1564">
        <v>52.2</v>
      </c>
      <c r="J1564">
        <v>53.7</v>
      </c>
      <c r="K1564">
        <v>18.3</v>
      </c>
      <c r="L1564">
        <v>18</v>
      </c>
      <c r="M1564">
        <v>30.3</v>
      </c>
      <c r="N1564">
        <v>33.299999999999997</v>
      </c>
      <c r="O1564">
        <v>32.4</v>
      </c>
      <c r="P1564">
        <v>35</v>
      </c>
      <c r="Q1564">
        <v>49.7</v>
      </c>
      <c r="R1564">
        <v>54.3</v>
      </c>
      <c r="S1564">
        <v>38.6</v>
      </c>
      <c r="T1564">
        <v>35</v>
      </c>
      <c r="U1564">
        <v>64.599999999999994</v>
      </c>
      <c r="V1564">
        <v>-8.8000000000000007</v>
      </c>
      <c r="W1564" cm="1">
        <f t="array" ref="W1564">_xlfn.IFS(OR(X1564="N/A",X1564="NA"),0,OR(X1564="R64",X1564="R68"),1,X1564="R32",2,X1564="S16",3,X1564="E8",4,X1564="F4",5,X1564="2ND",6,X1564="Champions",7)</f>
        <v>0</v>
      </c>
      <c r="X1564" t="s">
        <v>90</v>
      </c>
      <c r="Y1564" t="s">
        <v>90</v>
      </c>
      <c r="Z1564">
        <v>2014</v>
      </c>
    </row>
    <row r="1565" spans="1:26" x14ac:dyDescent="0.3">
      <c r="A1565" t="s">
        <v>201</v>
      </c>
      <c r="B1565" t="s">
        <v>53</v>
      </c>
      <c r="C1565">
        <v>33</v>
      </c>
      <c r="D1565">
        <v>10</v>
      </c>
      <c r="E1565" s="1">
        <f t="shared" si="24"/>
        <v>0.30303030303030304</v>
      </c>
      <c r="F1565">
        <v>105</v>
      </c>
      <c r="G1565">
        <v>112.2</v>
      </c>
      <c r="H1565">
        <v>0.31890000000000002</v>
      </c>
      <c r="I1565">
        <v>48.4</v>
      </c>
      <c r="J1565">
        <v>51.9</v>
      </c>
      <c r="K1565">
        <v>18.8</v>
      </c>
      <c r="L1565">
        <v>15.3</v>
      </c>
      <c r="M1565">
        <v>35.5</v>
      </c>
      <c r="N1565">
        <v>30.9</v>
      </c>
      <c r="O1565">
        <v>45.1</v>
      </c>
      <c r="P1565">
        <v>41.2</v>
      </c>
      <c r="Q1565">
        <v>47.2</v>
      </c>
      <c r="R1565">
        <v>49.4</v>
      </c>
      <c r="S1565">
        <v>33.4</v>
      </c>
      <c r="T1565">
        <v>37.700000000000003</v>
      </c>
      <c r="U1565">
        <v>65.5</v>
      </c>
      <c r="V1565">
        <v>-16</v>
      </c>
      <c r="W1565" cm="1">
        <f t="array" ref="W1565">_xlfn.IFS(OR(X1565="N/A",X1565="NA"),0,OR(X1565="R64",X1565="R68"),1,X1565="R32",2,X1565="S16",3,X1565="E8",4,X1565="F4",5,X1565="2ND",6,X1565="Champions",7)</f>
        <v>0</v>
      </c>
      <c r="X1565" t="s">
        <v>90</v>
      </c>
      <c r="Y1565" t="s">
        <v>90</v>
      </c>
      <c r="Z1565">
        <v>2014</v>
      </c>
    </row>
    <row r="1566" spans="1:26" x14ac:dyDescent="0.3">
      <c r="A1566" t="s">
        <v>331</v>
      </c>
      <c r="B1566" t="s">
        <v>67</v>
      </c>
      <c r="C1566">
        <v>34</v>
      </c>
      <c r="D1566">
        <v>20</v>
      </c>
      <c r="E1566" s="1">
        <f t="shared" si="24"/>
        <v>0.58823529411764708</v>
      </c>
      <c r="F1566">
        <v>104.2</v>
      </c>
      <c r="G1566">
        <v>102.3</v>
      </c>
      <c r="H1566">
        <v>0.55200000000000005</v>
      </c>
      <c r="I1566">
        <v>49</v>
      </c>
      <c r="J1566">
        <v>49.9</v>
      </c>
      <c r="K1566">
        <v>18.2</v>
      </c>
      <c r="L1566">
        <v>18.8</v>
      </c>
      <c r="M1566">
        <v>29.8</v>
      </c>
      <c r="N1566">
        <v>27.5</v>
      </c>
      <c r="O1566">
        <v>39.4</v>
      </c>
      <c r="P1566">
        <v>30.2</v>
      </c>
      <c r="Q1566">
        <v>46.9</v>
      </c>
      <c r="R1566">
        <v>47</v>
      </c>
      <c r="S1566">
        <v>35.299999999999997</v>
      </c>
      <c r="T1566">
        <v>37.4</v>
      </c>
      <c r="U1566">
        <v>64.7</v>
      </c>
      <c r="V1566">
        <v>-6.4</v>
      </c>
      <c r="W1566" cm="1">
        <f t="array" ref="W1566">_xlfn.IFS(OR(X1566="N/A",X1566="NA"),0,OR(X1566="R64",X1566="R68"),1,X1566="R32",2,X1566="S16",3,X1566="E8",4,X1566="F4",5,X1566="2ND",6,X1566="Champions",7)</f>
        <v>0</v>
      </c>
      <c r="X1566" t="s">
        <v>90</v>
      </c>
      <c r="Y1566" t="s">
        <v>90</v>
      </c>
      <c r="Z1566">
        <v>2014</v>
      </c>
    </row>
    <row r="1567" spans="1:26" x14ac:dyDescent="0.3">
      <c r="A1567" t="s">
        <v>122</v>
      </c>
      <c r="B1567" t="s">
        <v>50</v>
      </c>
      <c r="C1567">
        <v>33</v>
      </c>
      <c r="D1567">
        <v>17</v>
      </c>
      <c r="E1567" s="1">
        <f t="shared" si="24"/>
        <v>0.51515151515151514</v>
      </c>
      <c r="F1567">
        <v>110.7</v>
      </c>
      <c r="G1567">
        <v>107.9</v>
      </c>
      <c r="H1567">
        <v>0.57310000000000005</v>
      </c>
      <c r="I1567">
        <v>51.2</v>
      </c>
      <c r="J1567">
        <v>50.1</v>
      </c>
      <c r="K1567">
        <v>18.899999999999999</v>
      </c>
      <c r="L1567">
        <v>16.399999999999999</v>
      </c>
      <c r="M1567">
        <v>31.6</v>
      </c>
      <c r="N1567">
        <v>34</v>
      </c>
      <c r="O1567">
        <v>38.200000000000003</v>
      </c>
      <c r="P1567">
        <v>34.6</v>
      </c>
      <c r="Q1567">
        <v>49.5</v>
      </c>
      <c r="R1567">
        <v>49</v>
      </c>
      <c r="S1567">
        <v>36.700000000000003</v>
      </c>
      <c r="T1567">
        <v>34.9</v>
      </c>
      <c r="U1567">
        <v>67.3</v>
      </c>
      <c r="V1567">
        <v>-4.5</v>
      </c>
      <c r="W1567" cm="1">
        <f t="array" ref="W1567">_xlfn.IFS(OR(X1567="N/A",X1567="NA"),0,OR(X1567="R64",X1567="R68"),1,X1567="R32",2,X1567="S16",3,X1567="E8",4,X1567="F4",5,X1567="2ND",6,X1567="Champions",7)</f>
        <v>0</v>
      </c>
      <c r="X1567" t="s">
        <v>90</v>
      </c>
      <c r="Y1567" t="s">
        <v>90</v>
      </c>
      <c r="Z1567">
        <v>2014</v>
      </c>
    </row>
    <row r="1568" spans="1:26" x14ac:dyDescent="0.3">
      <c r="A1568" t="s">
        <v>370</v>
      </c>
      <c r="B1568" t="s">
        <v>61</v>
      </c>
      <c r="C1568">
        <v>29</v>
      </c>
      <c r="D1568">
        <v>4</v>
      </c>
      <c r="E1568" s="1">
        <f t="shared" si="24"/>
        <v>0.13793103448275862</v>
      </c>
      <c r="F1568">
        <v>91.5</v>
      </c>
      <c r="G1568">
        <v>111.1</v>
      </c>
      <c r="H1568">
        <v>9.6799999999999997E-2</v>
      </c>
      <c r="I1568">
        <v>46.3</v>
      </c>
      <c r="J1568">
        <v>50.9</v>
      </c>
      <c r="K1568">
        <v>22.4</v>
      </c>
      <c r="L1568">
        <v>16.399999999999999</v>
      </c>
      <c r="M1568">
        <v>30.6</v>
      </c>
      <c r="N1568">
        <v>33.6</v>
      </c>
      <c r="O1568">
        <v>39.5</v>
      </c>
      <c r="P1568">
        <v>43.2</v>
      </c>
      <c r="Q1568">
        <v>44.8</v>
      </c>
      <c r="R1568">
        <v>51</v>
      </c>
      <c r="S1568">
        <v>33.700000000000003</v>
      </c>
      <c r="T1568">
        <v>33.700000000000003</v>
      </c>
      <c r="U1568">
        <v>69.5</v>
      </c>
      <c r="V1568">
        <v>-19.7</v>
      </c>
      <c r="W1568" cm="1">
        <f t="array" ref="W1568">_xlfn.IFS(OR(X1568="N/A",X1568="NA"),0,OR(X1568="R64",X1568="R68"),1,X1568="R32",2,X1568="S16",3,X1568="E8",4,X1568="F4",5,X1568="2ND",6,X1568="Champions",7)</f>
        <v>0</v>
      </c>
      <c r="X1568" t="s">
        <v>90</v>
      </c>
      <c r="Y1568" t="s">
        <v>90</v>
      </c>
      <c r="Z1568">
        <v>2014</v>
      </c>
    </row>
    <row r="1569" spans="1:26" x14ac:dyDescent="0.3">
      <c r="A1569" t="s">
        <v>267</v>
      </c>
      <c r="B1569" t="s">
        <v>66</v>
      </c>
      <c r="C1569">
        <v>31</v>
      </c>
      <c r="D1569">
        <v>6</v>
      </c>
      <c r="E1569" s="1">
        <f t="shared" si="24"/>
        <v>0.19354838709677419</v>
      </c>
      <c r="F1569">
        <v>87.6</v>
      </c>
      <c r="G1569">
        <v>105.8</v>
      </c>
      <c r="H1569">
        <v>0.1017</v>
      </c>
      <c r="I1569">
        <v>42.1</v>
      </c>
      <c r="J1569">
        <v>49.9</v>
      </c>
      <c r="K1569">
        <v>24</v>
      </c>
      <c r="L1569">
        <v>21.3</v>
      </c>
      <c r="M1569">
        <v>31.8</v>
      </c>
      <c r="N1569">
        <v>36.299999999999997</v>
      </c>
      <c r="O1569">
        <v>49.3</v>
      </c>
      <c r="P1569">
        <v>54.4</v>
      </c>
      <c r="Q1569">
        <v>38.9</v>
      </c>
      <c r="R1569">
        <v>49.8</v>
      </c>
      <c r="S1569">
        <v>32.9</v>
      </c>
      <c r="T1569">
        <v>33.4</v>
      </c>
      <c r="U1569">
        <v>67.599999999999994</v>
      </c>
      <c r="V1569">
        <v>-19</v>
      </c>
      <c r="W1569" cm="1">
        <f t="array" ref="W1569">_xlfn.IFS(OR(X1569="N/A",X1569="NA"),0,OR(X1569="R64",X1569="R68"),1,X1569="R32",2,X1569="S16",3,X1569="E8",4,X1569="F4",5,X1569="2ND",6,X1569="Champions",7)</f>
        <v>0</v>
      </c>
      <c r="X1569" t="s">
        <v>90</v>
      </c>
      <c r="Y1569" t="s">
        <v>90</v>
      </c>
      <c r="Z1569">
        <v>2014</v>
      </c>
    </row>
    <row r="1570" spans="1:26" x14ac:dyDescent="0.3">
      <c r="A1570" t="s">
        <v>163</v>
      </c>
      <c r="B1570" t="s">
        <v>51</v>
      </c>
      <c r="C1570">
        <v>33</v>
      </c>
      <c r="D1570">
        <v>15</v>
      </c>
      <c r="E1570" s="1">
        <f t="shared" si="24"/>
        <v>0.45454545454545453</v>
      </c>
      <c r="F1570">
        <v>104.9</v>
      </c>
      <c r="G1570">
        <v>112</v>
      </c>
      <c r="H1570">
        <v>0.3201</v>
      </c>
      <c r="I1570">
        <v>50.3</v>
      </c>
      <c r="J1570">
        <v>51.5</v>
      </c>
      <c r="K1570">
        <v>16.899999999999999</v>
      </c>
      <c r="L1570">
        <v>15.1</v>
      </c>
      <c r="M1570">
        <v>30.7</v>
      </c>
      <c r="N1570">
        <v>30.8</v>
      </c>
      <c r="O1570">
        <v>44.8</v>
      </c>
      <c r="P1570">
        <v>41.2</v>
      </c>
      <c r="Q1570">
        <v>48.7</v>
      </c>
      <c r="R1570">
        <v>52</v>
      </c>
      <c r="S1570">
        <v>35.6</v>
      </c>
      <c r="T1570">
        <v>33.700000000000003</v>
      </c>
      <c r="U1570">
        <v>67.3</v>
      </c>
      <c r="V1570">
        <v>-12.6</v>
      </c>
      <c r="W1570" cm="1">
        <f t="array" ref="W1570">_xlfn.IFS(OR(X1570="N/A",X1570="NA"),0,OR(X1570="R64",X1570="R68"),1,X1570="R32",2,X1570="S16",3,X1570="E8",4,X1570="F4",5,X1570="2ND",6,X1570="Champions",7)</f>
        <v>0</v>
      </c>
      <c r="X1570" t="s">
        <v>90</v>
      </c>
      <c r="Y1570" t="s">
        <v>90</v>
      </c>
      <c r="Z1570">
        <v>2014</v>
      </c>
    </row>
    <row r="1571" spans="1:26" x14ac:dyDescent="0.3">
      <c r="A1571" t="s">
        <v>165</v>
      </c>
      <c r="B1571" t="s">
        <v>164</v>
      </c>
      <c r="C1571">
        <v>27</v>
      </c>
      <c r="D1571">
        <v>9</v>
      </c>
      <c r="E1571" s="1">
        <f t="shared" si="24"/>
        <v>0.33333333333333331</v>
      </c>
      <c r="F1571">
        <v>103.1</v>
      </c>
      <c r="G1571">
        <v>112</v>
      </c>
      <c r="H1571">
        <v>0.27929999999999999</v>
      </c>
      <c r="I1571">
        <v>49.4</v>
      </c>
      <c r="J1571">
        <v>53.9</v>
      </c>
      <c r="K1571">
        <v>18.899999999999999</v>
      </c>
      <c r="L1571">
        <v>19.2</v>
      </c>
      <c r="M1571">
        <v>35.4</v>
      </c>
      <c r="N1571">
        <v>31.8</v>
      </c>
      <c r="O1571">
        <v>45.4</v>
      </c>
      <c r="P1571">
        <v>35.299999999999997</v>
      </c>
      <c r="Q1571">
        <v>47.8</v>
      </c>
      <c r="R1571">
        <v>50.7</v>
      </c>
      <c r="S1571">
        <v>35.6</v>
      </c>
      <c r="T1571">
        <v>38.700000000000003</v>
      </c>
      <c r="U1571">
        <v>64.599999999999994</v>
      </c>
      <c r="V1571">
        <v>-13.4</v>
      </c>
      <c r="W1571" cm="1">
        <f t="array" ref="W1571">_xlfn.IFS(OR(X1571="N/A",X1571="NA"),0,OR(X1571="R64",X1571="R68"),1,X1571="R32",2,X1571="S16",3,X1571="E8",4,X1571="F4",5,X1571="2ND",6,X1571="Champions",7)</f>
        <v>0</v>
      </c>
      <c r="X1571" t="s">
        <v>90</v>
      </c>
      <c r="Y1571" t="s">
        <v>90</v>
      </c>
      <c r="Z1571">
        <v>2014</v>
      </c>
    </row>
    <row r="1572" spans="1:26" x14ac:dyDescent="0.3">
      <c r="A1572" t="s">
        <v>141</v>
      </c>
      <c r="B1572" t="s">
        <v>31</v>
      </c>
      <c r="C1572">
        <v>35</v>
      </c>
      <c r="D1572">
        <v>20</v>
      </c>
      <c r="E1572" s="1">
        <f t="shared" si="24"/>
        <v>0.5714285714285714</v>
      </c>
      <c r="F1572">
        <v>105.4</v>
      </c>
      <c r="G1572">
        <v>93.1</v>
      </c>
      <c r="H1572">
        <v>0.80649999999999999</v>
      </c>
      <c r="I1572">
        <v>46.5</v>
      </c>
      <c r="J1572">
        <v>48.1</v>
      </c>
      <c r="K1572">
        <v>16.5</v>
      </c>
      <c r="L1572">
        <v>18.7</v>
      </c>
      <c r="M1572">
        <v>31.2</v>
      </c>
      <c r="N1572">
        <v>29.3</v>
      </c>
      <c r="O1572">
        <v>31.2</v>
      </c>
      <c r="P1572">
        <v>32.200000000000003</v>
      </c>
      <c r="Q1572">
        <v>45.9</v>
      </c>
      <c r="R1572">
        <v>46.3</v>
      </c>
      <c r="S1572">
        <v>31.7</v>
      </c>
      <c r="T1572">
        <v>34.299999999999997</v>
      </c>
      <c r="U1572">
        <v>63.1</v>
      </c>
      <c r="V1572">
        <v>0.3</v>
      </c>
      <c r="W1572" cm="1">
        <f t="array" ref="W1572">_xlfn.IFS(OR(X1572="N/A",X1572="NA"),0,OR(X1572="R64",X1572="R68"),1,X1572="R32",2,X1572="S16",3,X1572="E8",4,X1572="F4",5,X1572="2ND",6,X1572="Champions",7)</f>
        <v>0</v>
      </c>
      <c r="X1572" t="s">
        <v>90</v>
      </c>
      <c r="Y1572" t="s">
        <v>90</v>
      </c>
      <c r="Z1572">
        <v>2014</v>
      </c>
    </row>
    <row r="1573" spans="1:26" x14ac:dyDescent="0.3">
      <c r="A1573" t="s">
        <v>224</v>
      </c>
      <c r="B1573" t="s">
        <v>43</v>
      </c>
      <c r="C1573">
        <v>29</v>
      </c>
      <c r="D1573">
        <v>4</v>
      </c>
      <c r="E1573" s="1">
        <f t="shared" si="24"/>
        <v>0.13793103448275862</v>
      </c>
      <c r="F1573">
        <v>101.3</v>
      </c>
      <c r="G1573">
        <v>108.1</v>
      </c>
      <c r="H1573">
        <v>0.32079999999999997</v>
      </c>
      <c r="I1573">
        <v>46.1</v>
      </c>
      <c r="J1573">
        <v>53.1</v>
      </c>
      <c r="K1573">
        <v>19</v>
      </c>
      <c r="L1573">
        <v>16.600000000000001</v>
      </c>
      <c r="M1573">
        <v>30.4</v>
      </c>
      <c r="N1573">
        <v>28.1</v>
      </c>
      <c r="O1573">
        <v>39.200000000000003</v>
      </c>
      <c r="P1573">
        <v>49.9</v>
      </c>
      <c r="Q1573">
        <v>44.8</v>
      </c>
      <c r="R1573">
        <v>51.4</v>
      </c>
      <c r="S1573">
        <v>32.6</v>
      </c>
      <c r="T1573">
        <v>37.799999999999997</v>
      </c>
      <c r="U1573">
        <v>66.400000000000006</v>
      </c>
      <c r="V1573">
        <v>-18.3</v>
      </c>
      <c r="W1573" cm="1">
        <f t="array" ref="W1573">_xlfn.IFS(OR(X1573="N/A",X1573="NA"),0,OR(X1573="R64",X1573="R68"),1,X1573="R32",2,X1573="S16",3,X1573="E8",4,X1573="F4",5,X1573="2ND",6,X1573="Champions",7)</f>
        <v>0</v>
      </c>
      <c r="X1573" t="s">
        <v>90</v>
      </c>
      <c r="Y1573" t="s">
        <v>90</v>
      </c>
      <c r="Z1573">
        <v>2014</v>
      </c>
    </row>
    <row r="1574" spans="1:26" x14ac:dyDescent="0.3">
      <c r="A1574" t="s">
        <v>278</v>
      </c>
      <c r="B1574" t="s">
        <v>47</v>
      </c>
      <c r="C1574">
        <v>33</v>
      </c>
      <c r="D1574">
        <v>17</v>
      </c>
      <c r="E1574" s="1">
        <f t="shared" si="24"/>
        <v>0.51515151515151514</v>
      </c>
      <c r="F1574">
        <v>101.3</v>
      </c>
      <c r="G1574">
        <v>99.7</v>
      </c>
      <c r="H1574">
        <v>0.54530000000000001</v>
      </c>
      <c r="I1574">
        <v>46.9</v>
      </c>
      <c r="J1574">
        <v>48.8</v>
      </c>
      <c r="K1574">
        <v>18</v>
      </c>
      <c r="L1574">
        <v>20.2</v>
      </c>
      <c r="M1574">
        <v>26.9</v>
      </c>
      <c r="N1574">
        <v>30.5</v>
      </c>
      <c r="O1574">
        <v>40.700000000000003</v>
      </c>
      <c r="P1574">
        <v>42.3</v>
      </c>
      <c r="Q1574">
        <v>47.5</v>
      </c>
      <c r="R1574">
        <v>46.2</v>
      </c>
      <c r="S1574">
        <v>30.8</v>
      </c>
      <c r="T1574">
        <v>35.4</v>
      </c>
      <c r="U1574">
        <v>68.5</v>
      </c>
      <c r="V1574">
        <v>-7</v>
      </c>
      <c r="W1574" cm="1">
        <f t="array" ref="W1574">_xlfn.IFS(OR(X1574="N/A",X1574="NA"),0,OR(X1574="R64",X1574="R68"),1,X1574="R32",2,X1574="S16",3,X1574="E8",4,X1574="F4",5,X1574="2ND",6,X1574="Champions",7)</f>
        <v>0</v>
      </c>
      <c r="X1574" t="s">
        <v>90</v>
      </c>
      <c r="Y1574" t="s">
        <v>90</v>
      </c>
      <c r="Z1574">
        <v>2014</v>
      </c>
    </row>
    <row r="1575" spans="1:26" x14ac:dyDescent="0.3">
      <c r="A1575" t="s">
        <v>371</v>
      </c>
      <c r="B1575" t="s">
        <v>61</v>
      </c>
      <c r="C1575">
        <v>15</v>
      </c>
      <c r="D1575">
        <v>9</v>
      </c>
      <c r="E1575" s="1">
        <f t="shared" si="24"/>
        <v>0.6</v>
      </c>
      <c r="F1575">
        <v>101.3</v>
      </c>
      <c r="G1575">
        <v>111.5</v>
      </c>
      <c r="H1575">
        <v>0.24829999999999999</v>
      </c>
      <c r="I1575">
        <v>52.3</v>
      </c>
      <c r="J1575">
        <v>51</v>
      </c>
      <c r="K1575">
        <v>18.399999999999999</v>
      </c>
      <c r="L1575">
        <v>19.5</v>
      </c>
      <c r="M1575">
        <v>31.2</v>
      </c>
      <c r="N1575">
        <v>30</v>
      </c>
      <c r="O1575">
        <v>41.3</v>
      </c>
      <c r="P1575">
        <v>41.5</v>
      </c>
      <c r="Q1575">
        <v>50.6</v>
      </c>
      <c r="R1575">
        <v>46.2</v>
      </c>
      <c r="S1575">
        <v>37.1</v>
      </c>
      <c r="T1575">
        <v>41.9</v>
      </c>
      <c r="U1575">
        <v>69.599999999999994</v>
      </c>
      <c r="V1575">
        <v>-4.5</v>
      </c>
      <c r="W1575" cm="1">
        <f t="array" ref="W1575">_xlfn.IFS(OR(X1575="N/A",X1575="NA"),0,OR(X1575="R64",X1575="R68"),1,X1575="R32",2,X1575="S16",3,X1575="E8",4,X1575="F4",5,X1575="2ND",6,X1575="Champions",7)</f>
        <v>0</v>
      </c>
      <c r="X1575" t="s">
        <v>90</v>
      </c>
      <c r="Y1575" t="s">
        <v>90</v>
      </c>
      <c r="Z1575">
        <v>2014</v>
      </c>
    </row>
    <row r="1576" spans="1:26" x14ac:dyDescent="0.3">
      <c r="A1576" t="s">
        <v>147</v>
      </c>
      <c r="B1576" t="s">
        <v>31</v>
      </c>
      <c r="C1576">
        <v>32</v>
      </c>
      <c r="D1576">
        <v>17</v>
      </c>
      <c r="E1576" s="1">
        <f t="shared" si="24"/>
        <v>0.53125</v>
      </c>
      <c r="F1576">
        <v>108.4</v>
      </c>
      <c r="G1576">
        <v>94.7</v>
      </c>
      <c r="H1576">
        <v>0.8246</v>
      </c>
      <c r="I1576">
        <v>49.9</v>
      </c>
      <c r="J1576">
        <v>46.2</v>
      </c>
      <c r="K1576">
        <v>21.8</v>
      </c>
      <c r="L1576">
        <v>17.8</v>
      </c>
      <c r="M1576">
        <v>37.200000000000003</v>
      </c>
      <c r="N1576">
        <v>28</v>
      </c>
      <c r="O1576">
        <v>45.3</v>
      </c>
      <c r="P1576">
        <v>35.5</v>
      </c>
      <c r="Q1576">
        <v>49.1</v>
      </c>
      <c r="R1576">
        <v>46.8</v>
      </c>
      <c r="S1576">
        <v>34.4</v>
      </c>
      <c r="T1576">
        <v>29.9</v>
      </c>
      <c r="U1576">
        <v>69.5</v>
      </c>
      <c r="V1576">
        <v>-2.1</v>
      </c>
      <c r="W1576" cm="1">
        <f t="array" ref="W1576">_xlfn.IFS(OR(X1576="N/A",X1576="NA"),0,OR(X1576="R64",X1576="R68"),1,X1576="R32",2,X1576="S16",3,X1576="E8",4,X1576="F4",5,X1576="2ND",6,X1576="Champions",7)</f>
        <v>0</v>
      </c>
      <c r="X1576" t="s">
        <v>90</v>
      </c>
      <c r="Y1576" t="s">
        <v>90</v>
      </c>
      <c r="Z1576">
        <v>2014</v>
      </c>
    </row>
    <row r="1577" spans="1:26" x14ac:dyDescent="0.3">
      <c r="A1577" t="s">
        <v>279</v>
      </c>
      <c r="B1577" t="s">
        <v>47</v>
      </c>
      <c r="C1577">
        <v>32</v>
      </c>
      <c r="D1577">
        <v>21</v>
      </c>
      <c r="E1577" s="1">
        <f t="shared" si="24"/>
        <v>0.65625</v>
      </c>
      <c r="F1577">
        <v>105.6</v>
      </c>
      <c r="G1577">
        <v>101</v>
      </c>
      <c r="H1577">
        <v>0.62690000000000001</v>
      </c>
      <c r="I1577">
        <v>50.4</v>
      </c>
      <c r="J1577">
        <v>49</v>
      </c>
      <c r="K1577">
        <v>17.2</v>
      </c>
      <c r="L1577">
        <v>17.600000000000001</v>
      </c>
      <c r="M1577">
        <v>27</v>
      </c>
      <c r="N1577">
        <v>28</v>
      </c>
      <c r="O1577">
        <v>43.3</v>
      </c>
      <c r="P1577">
        <v>43.7</v>
      </c>
      <c r="Q1577">
        <v>49.8</v>
      </c>
      <c r="R1577">
        <v>47.3</v>
      </c>
      <c r="S1577">
        <v>34.299999999999997</v>
      </c>
      <c r="T1577">
        <v>35</v>
      </c>
      <c r="U1577">
        <v>66.7</v>
      </c>
      <c r="V1577">
        <v>-1.6</v>
      </c>
      <c r="W1577" cm="1">
        <f t="array" ref="W1577">_xlfn.IFS(OR(X1577="N/A",X1577="NA"),0,OR(X1577="R64",X1577="R68"),1,X1577="R32",2,X1577="S16",3,X1577="E8",4,X1577="F4",5,X1577="2ND",6,X1577="Champions",7)</f>
        <v>0</v>
      </c>
      <c r="X1577" t="s">
        <v>90</v>
      </c>
      <c r="Y1577" t="s">
        <v>90</v>
      </c>
      <c r="Z1577">
        <v>2014</v>
      </c>
    </row>
    <row r="1578" spans="1:26" x14ac:dyDescent="0.3">
      <c r="A1578" t="s">
        <v>242</v>
      </c>
      <c r="B1578" t="s">
        <v>69</v>
      </c>
      <c r="C1578">
        <v>33</v>
      </c>
      <c r="D1578">
        <v>22</v>
      </c>
      <c r="E1578" s="1">
        <f t="shared" si="24"/>
        <v>0.66666666666666663</v>
      </c>
      <c r="F1578">
        <v>118</v>
      </c>
      <c r="G1578">
        <v>107.8</v>
      </c>
      <c r="H1578">
        <v>0.73909999999999998</v>
      </c>
      <c r="I1578">
        <v>57.4</v>
      </c>
      <c r="J1578">
        <v>50.6</v>
      </c>
      <c r="K1578">
        <v>14.8</v>
      </c>
      <c r="L1578">
        <v>16.7</v>
      </c>
      <c r="M1578">
        <v>26.1</v>
      </c>
      <c r="N1578">
        <v>35.6</v>
      </c>
      <c r="O1578">
        <v>38</v>
      </c>
      <c r="P1578">
        <v>29.4</v>
      </c>
      <c r="Q1578">
        <v>55.8</v>
      </c>
      <c r="R1578">
        <v>50.4</v>
      </c>
      <c r="S1578">
        <v>39.6</v>
      </c>
      <c r="T1578">
        <v>34.1</v>
      </c>
      <c r="U1578">
        <v>70.3</v>
      </c>
      <c r="V1578">
        <v>-2.5</v>
      </c>
      <c r="W1578" cm="1">
        <f t="array" ref="W1578">_xlfn.IFS(OR(X1578="N/A",X1578="NA"),0,OR(X1578="R64",X1578="R68"),1,X1578="R32",2,X1578="S16",3,X1578="E8",4,X1578="F4",5,X1578="2ND",6,X1578="Champions",7)</f>
        <v>0</v>
      </c>
      <c r="X1578" t="s">
        <v>90</v>
      </c>
      <c r="Y1578" t="s">
        <v>90</v>
      </c>
      <c r="Z1578">
        <v>2014</v>
      </c>
    </row>
    <row r="1579" spans="1:26" x14ac:dyDescent="0.3">
      <c r="A1579" t="s">
        <v>382</v>
      </c>
      <c r="B1579" t="s">
        <v>72</v>
      </c>
      <c r="C1579">
        <v>33</v>
      </c>
      <c r="D1579">
        <v>22</v>
      </c>
      <c r="E1579" s="1">
        <f t="shared" si="24"/>
        <v>0.66666666666666663</v>
      </c>
      <c r="F1579">
        <v>109.7</v>
      </c>
      <c r="G1579">
        <v>107.5</v>
      </c>
      <c r="H1579">
        <v>0.55820000000000003</v>
      </c>
      <c r="I1579">
        <v>55.3</v>
      </c>
      <c r="J1579">
        <v>52.1</v>
      </c>
      <c r="K1579">
        <v>18.7</v>
      </c>
      <c r="L1579">
        <v>17.8</v>
      </c>
      <c r="M1579">
        <v>32.1</v>
      </c>
      <c r="N1579">
        <v>27.5</v>
      </c>
      <c r="O1579">
        <v>41.7</v>
      </c>
      <c r="P1579">
        <v>32.200000000000003</v>
      </c>
      <c r="Q1579">
        <v>54</v>
      </c>
      <c r="R1579">
        <v>52</v>
      </c>
      <c r="S1579">
        <v>38.4</v>
      </c>
      <c r="T1579">
        <v>34.799999999999997</v>
      </c>
      <c r="U1579">
        <v>67.5</v>
      </c>
      <c r="V1579">
        <v>-4.3</v>
      </c>
      <c r="W1579" cm="1">
        <f t="array" ref="W1579">_xlfn.IFS(OR(X1579="N/A",X1579="NA"),0,OR(X1579="R64",X1579="R68"),1,X1579="R32",2,X1579="S16",3,X1579="E8",4,X1579="F4",5,X1579="2ND",6,X1579="Champions",7)</f>
        <v>0</v>
      </c>
      <c r="X1579" t="s">
        <v>90</v>
      </c>
      <c r="Y1579" t="s">
        <v>90</v>
      </c>
      <c r="Z1579">
        <v>2014</v>
      </c>
    </row>
    <row r="1580" spans="1:26" x14ac:dyDescent="0.3">
      <c r="A1580" t="s">
        <v>230</v>
      </c>
      <c r="B1580" t="s">
        <v>72</v>
      </c>
      <c r="C1580">
        <v>29</v>
      </c>
      <c r="D1580">
        <v>3</v>
      </c>
      <c r="E1580" s="1">
        <f t="shared" si="24"/>
        <v>0.10344827586206896</v>
      </c>
      <c r="F1580">
        <v>96.7</v>
      </c>
      <c r="G1580">
        <v>113.9</v>
      </c>
      <c r="H1580">
        <v>0.13220000000000001</v>
      </c>
      <c r="I1580">
        <v>46.5</v>
      </c>
      <c r="J1580">
        <v>54.1</v>
      </c>
      <c r="K1580">
        <v>17.2</v>
      </c>
      <c r="L1580">
        <v>15.3</v>
      </c>
      <c r="M1580">
        <v>22.7</v>
      </c>
      <c r="N1580">
        <v>31.9</v>
      </c>
      <c r="O1580">
        <v>32.6</v>
      </c>
      <c r="P1580">
        <v>33.200000000000003</v>
      </c>
      <c r="Q1580">
        <v>46.8</v>
      </c>
      <c r="R1580">
        <v>53.6</v>
      </c>
      <c r="S1580">
        <v>30.4</v>
      </c>
      <c r="T1580">
        <v>37</v>
      </c>
      <c r="U1580">
        <v>66.3</v>
      </c>
      <c r="V1580">
        <v>-19.8</v>
      </c>
      <c r="W1580" cm="1">
        <f t="array" ref="W1580">_xlfn.IFS(OR(X1580="N/A",X1580="NA"),0,OR(X1580="R64",X1580="R68"),1,X1580="R32",2,X1580="S16",3,X1580="E8",4,X1580="F4",5,X1580="2ND",6,X1580="Champions",7)</f>
        <v>0</v>
      </c>
      <c r="X1580" t="s">
        <v>90</v>
      </c>
      <c r="Y1580" t="s">
        <v>90</v>
      </c>
      <c r="Z1580">
        <v>2014</v>
      </c>
    </row>
    <row r="1581" spans="1:26" x14ac:dyDescent="0.3">
      <c r="A1581" t="s">
        <v>395</v>
      </c>
      <c r="B1581" t="s">
        <v>76</v>
      </c>
      <c r="C1581">
        <v>31</v>
      </c>
      <c r="D1581">
        <v>11</v>
      </c>
      <c r="E1581" s="1">
        <f t="shared" si="24"/>
        <v>0.35483870967741937</v>
      </c>
      <c r="F1581">
        <v>93</v>
      </c>
      <c r="G1581">
        <v>106.5</v>
      </c>
      <c r="H1581">
        <v>0.17449999999999999</v>
      </c>
      <c r="I1581">
        <v>45.2</v>
      </c>
      <c r="J1581">
        <v>49.4</v>
      </c>
      <c r="K1581">
        <v>21.9</v>
      </c>
      <c r="L1581">
        <v>21.2</v>
      </c>
      <c r="M1581">
        <v>33.4</v>
      </c>
      <c r="N1581">
        <v>30.3</v>
      </c>
      <c r="O1581">
        <v>40.299999999999997</v>
      </c>
      <c r="P1581">
        <v>55.8</v>
      </c>
      <c r="Q1581">
        <v>45.6</v>
      </c>
      <c r="R1581">
        <v>47.9</v>
      </c>
      <c r="S1581">
        <v>29.3</v>
      </c>
      <c r="T1581">
        <v>34.700000000000003</v>
      </c>
      <c r="U1581">
        <v>67.099999999999994</v>
      </c>
      <c r="V1581">
        <v>-15.3</v>
      </c>
      <c r="W1581" cm="1">
        <f t="array" ref="W1581">_xlfn.IFS(OR(X1581="N/A",X1581="NA"),0,OR(X1581="R64",X1581="R68"),1,X1581="R32",2,X1581="S16",3,X1581="E8",4,X1581="F4",5,X1581="2ND",6,X1581="Champions",7)</f>
        <v>0</v>
      </c>
      <c r="X1581" t="s">
        <v>90</v>
      </c>
      <c r="Y1581" t="s">
        <v>90</v>
      </c>
      <c r="Z1581">
        <v>2014</v>
      </c>
    </row>
    <row r="1582" spans="1:26" x14ac:dyDescent="0.3">
      <c r="A1582" t="s">
        <v>132</v>
      </c>
      <c r="B1582" t="s">
        <v>131</v>
      </c>
      <c r="C1582">
        <v>28</v>
      </c>
      <c r="D1582">
        <v>10</v>
      </c>
      <c r="E1582" s="1">
        <f t="shared" si="24"/>
        <v>0.35714285714285715</v>
      </c>
      <c r="F1582">
        <v>102.9</v>
      </c>
      <c r="G1582">
        <v>116.6</v>
      </c>
      <c r="H1582">
        <v>0.19270000000000001</v>
      </c>
      <c r="I1582">
        <v>48.9</v>
      </c>
      <c r="J1582">
        <v>55.7</v>
      </c>
      <c r="K1582">
        <v>19.399999999999999</v>
      </c>
      <c r="L1582">
        <v>18.899999999999999</v>
      </c>
      <c r="M1582">
        <v>32.700000000000003</v>
      </c>
      <c r="N1582">
        <v>35.200000000000003</v>
      </c>
      <c r="O1582">
        <v>42.2</v>
      </c>
      <c r="P1582">
        <v>38.9</v>
      </c>
      <c r="Q1582">
        <v>48.3</v>
      </c>
      <c r="R1582">
        <v>54.2</v>
      </c>
      <c r="S1582">
        <v>33.5</v>
      </c>
      <c r="T1582">
        <v>39</v>
      </c>
      <c r="U1582">
        <v>69.7</v>
      </c>
      <c r="V1582">
        <v>-12.8</v>
      </c>
      <c r="W1582" cm="1">
        <f t="array" ref="W1582">_xlfn.IFS(OR(X1582="N/A",X1582="NA"),0,OR(X1582="R64",X1582="R68"),1,X1582="R32",2,X1582="S16",3,X1582="E8",4,X1582="F4",5,X1582="2ND",6,X1582="Champions",7)</f>
        <v>0</v>
      </c>
      <c r="X1582" t="s">
        <v>90</v>
      </c>
      <c r="Y1582" t="s">
        <v>90</v>
      </c>
      <c r="Z1582">
        <v>2014</v>
      </c>
    </row>
    <row r="1583" spans="1:26" x14ac:dyDescent="0.3">
      <c r="A1583" t="s">
        <v>307</v>
      </c>
      <c r="B1583" t="s">
        <v>64</v>
      </c>
      <c r="C1583">
        <v>29</v>
      </c>
      <c r="D1583">
        <v>8</v>
      </c>
      <c r="E1583" s="1">
        <f t="shared" si="24"/>
        <v>0.27586206896551724</v>
      </c>
      <c r="F1583">
        <v>96.9</v>
      </c>
      <c r="G1583">
        <v>111.5</v>
      </c>
      <c r="H1583">
        <v>0.16750000000000001</v>
      </c>
      <c r="I1583">
        <v>46.4</v>
      </c>
      <c r="J1583">
        <v>53.7</v>
      </c>
      <c r="K1583">
        <v>17.5</v>
      </c>
      <c r="L1583">
        <v>19.3</v>
      </c>
      <c r="M1583">
        <v>31.1</v>
      </c>
      <c r="N1583">
        <v>34.700000000000003</v>
      </c>
      <c r="O1583">
        <v>41.4</v>
      </c>
      <c r="P1583">
        <v>47.6</v>
      </c>
      <c r="Q1583">
        <v>45.9</v>
      </c>
      <c r="R1583">
        <v>52</v>
      </c>
      <c r="S1583">
        <v>31.6</v>
      </c>
      <c r="T1583">
        <v>38.700000000000003</v>
      </c>
      <c r="U1583">
        <v>62.8</v>
      </c>
      <c r="V1583">
        <v>-15.8</v>
      </c>
      <c r="W1583" cm="1">
        <f t="array" ref="W1583">_xlfn.IFS(OR(X1583="N/A",X1583="NA"),0,OR(X1583="R64",X1583="R68"),1,X1583="R32",2,X1583="S16",3,X1583="E8",4,X1583="F4",5,X1583="2ND",6,X1583="Champions",7)</f>
        <v>0</v>
      </c>
      <c r="X1583" t="s">
        <v>90</v>
      </c>
      <c r="Y1583" t="s">
        <v>90</v>
      </c>
      <c r="Z1583">
        <v>2014</v>
      </c>
    </row>
    <row r="1584" spans="1:26" x14ac:dyDescent="0.3">
      <c r="A1584" t="s">
        <v>202</v>
      </c>
      <c r="B1584" t="s">
        <v>53</v>
      </c>
      <c r="C1584">
        <v>31</v>
      </c>
      <c r="D1584">
        <v>11</v>
      </c>
      <c r="E1584" s="1">
        <f t="shared" si="24"/>
        <v>0.35483870967741937</v>
      </c>
      <c r="F1584">
        <v>98.1</v>
      </c>
      <c r="G1584">
        <v>106.5</v>
      </c>
      <c r="H1584">
        <v>0.28139999999999998</v>
      </c>
      <c r="I1584">
        <v>45.7</v>
      </c>
      <c r="J1584">
        <v>49.1</v>
      </c>
      <c r="K1584">
        <v>18.8</v>
      </c>
      <c r="L1584">
        <v>18.399999999999999</v>
      </c>
      <c r="M1584">
        <v>29.7</v>
      </c>
      <c r="N1584">
        <v>31.8</v>
      </c>
      <c r="O1584">
        <v>47.4</v>
      </c>
      <c r="P1584">
        <v>44.4</v>
      </c>
      <c r="Q1584">
        <v>48.2</v>
      </c>
      <c r="R1584">
        <v>46.8</v>
      </c>
      <c r="S1584">
        <v>27.3</v>
      </c>
      <c r="T1584">
        <v>35.1</v>
      </c>
      <c r="U1584">
        <v>65.5</v>
      </c>
      <c r="V1584">
        <v>-13.5</v>
      </c>
      <c r="W1584" cm="1">
        <f t="array" ref="W1584">_xlfn.IFS(OR(X1584="N/A",X1584="NA"),0,OR(X1584="R64",X1584="R68"),1,X1584="R32",2,X1584="S16",3,X1584="E8",4,X1584="F4",5,X1584="2ND",6,X1584="Champions",7)</f>
        <v>0</v>
      </c>
      <c r="X1584" t="s">
        <v>90</v>
      </c>
      <c r="Y1584" t="s">
        <v>90</v>
      </c>
      <c r="Z1584">
        <v>2014</v>
      </c>
    </row>
    <row r="1585" spans="1:26" x14ac:dyDescent="0.3">
      <c r="A1585" t="s">
        <v>133</v>
      </c>
      <c r="B1585" t="s">
        <v>131</v>
      </c>
      <c r="C1585">
        <v>29</v>
      </c>
      <c r="D1585">
        <v>4</v>
      </c>
      <c r="E1585" s="1">
        <f t="shared" si="24"/>
        <v>0.13793103448275862</v>
      </c>
      <c r="F1585">
        <v>92.2</v>
      </c>
      <c r="G1585">
        <v>111</v>
      </c>
      <c r="H1585">
        <v>0.10630000000000001</v>
      </c>
      <c r="I1585">
        <v>47.2</v>
      </c>
      <c r="J1585">
        <v>51.2</v>
      </c>
      <c r="K1585">
        <v>23.8</v>
      </c>
      <c r="L1585">
        <v>18.100000000000001</v>
      </c>
      <c r="M1585">
        <v>31</v>
      </c>
      <c r="N1585">
        <v>34.799999999999997</v>
      </c>
      <c r="O1585">
        <v>38.299999999999997</v>
      </c>
      <c r="P1585">
        <v>47.3</v>
      </c>
      <c r="Q1585">
        <v>45.3</v>
      </c>
      <c r="R1585">
        <v>51.4</v>
      </c>
      <c r="S1585">
        <v>34</v>
      </c>
      <c r="T1585">
        <v>33.799999999999997</v>
      </c>
      <c r="U1585">
        <v>67.900000000000006</v>
      </c>
      <c r="V1585">
        <v>-19.8</v>
      </c>
      <c r="W1585" cm="1">
        <f t="array" ref="W1585">_xlfn.IFS(OR(X1585="N/A",X1585="NA"),0,OR(X1585="R64",X1585="R68"),1,X1585="R32",2,X1585="S16",3,X1585="E8",4,X1585="F4",5,X1585="2ND",6,X1585="Champions",7)</f>
        <v>0</v>
      </c>
      <c r="X1585" t="s">
        <v>90</v>
      </c>
      <c r="Y1585" t="s">
        <v>90</v>
      </c>
      <c r="Z1585">
        <v>2014</v>
      </c>
    </row>
    <row r="1586" spans="1:26" x14ac:dyDescent="0.3">
      <c r="A1586" t="s">
        <v>256</v>
      </c>
      <c r="B1586" t="s">
        <v>57</v>
      </c>
      <c r="C1586">
        <v>31</v>
      </c>
      <c r="D1586">
        <v>15</v>
      </c>
      <c r="E1586" s="1">
        <f t="shared" si="24"/>
        <v>0.4838709677419355</v>
      </c>
      <c r="F1586">
        <v>103.1</v>
      </c>
      <c r="G1586">
        <v>106.1</v>
      </c>
      <c r="H1586">
        <v>0.41930000000000001</v>
      </c>
      <c r="I1586">
        <v>49.4</v>
      </c>
      <c r="J1586">
        <v>48.9</v>
      </c>
      <c r="K1586">
        <v>18.3</v>
      </c>
      <c r="L1586">
        <v>19.600000000000001</v>
      </c>
      <c r="M1586">
        <v>30.4</v>
      </c>
      <c r="N1586">
        <v>31.5</v>
      </c>
      <c r="O1586">
        <v>37</v>
      </c>
      <c r="P1586">
        <v>47.6</v>
      </c>
      <c r="Q1586">
        <v>47.3</v>
      </c>
      <c r="R1586">
        <v>47.6</v>
      </c>
      <c r="S1586">
        <v>35.1</v>
      </c>
      <c r="T1586">
        <v>34.5</v>
      </c>
      <c r="U1586">
        <v>66.599999999999994</v>
      </c>
      <c r="V1586">
        <v>-10.1</v>
      </c>
      <c r="W1586" cm="1">
        <f t="array" ref="W1586">_xlfn.IFS(OR(X1586="N/A",X1586="NA"),0,OR(X1586="R64",X1586="R68"),1,X1586="R32",2,X1586="S16",3,X1586="E8",4,X1586="F4",5,X1586="2ND",6,X1586="Champions",7)</f>
        <v>0</v>
      </c>
      <c r="X1586" t="s">
        <v>90</v>
      </c>
      <c r="Y1586" t="s">
        <v>90</v>
      </c>
      <c r="Z1586">
        <v>2014</v>
      </c>
    </row>
    <row r="1587" spans="1:26" x14ac:dyDescent="0.3">
      <c r="A1587" t="s">
        <v>94</v>
      </c>
      <c r="B1587" t="s">
        <v>45</v>
      </c>
      <c r="C1587">
        <v>31</v>
      </c>
      <c r="D1587">
        <v>15</v>
      </c>
      <c r="E1587" s="1">
        <f t="shared" si="24"/>
        <v>0.4838709677419355</v>
      </c>
      <c r="F1587">
        <v>105.9</v>
      </c>
      <c r="G1587">
        <v>99.4</v>
      </c>
      <c r="H1587">
        <v>0.67410000000000003</v>
      </c>
      <c r="I1587">
        <v>46.4</v>
      </c>
      <c r="J1587">
        <v>48.1</v>
      </c>
      <c r="K1587">
        <v>17.5</v>
      </c>
      <c r="L1587">
        <v>17.600000000000001</v>
      </c>
      <c r="M1587">
        <v>33.1</v>
      </c>
      <c r="N1587">
        <v>32.5</v>
      </c>
      <c r="O1587">
        <v>39.1</v>
      </c>
      <c r="P1587">
        <v>32.1</v>
      </c>
      <c r="Q1587">
        <v>45.3</v>
      </c>
      <c r="R1587">
        <v>47.5</v>
      </c>
      <c r="S1587">
        <v>32.5</v>
      </c>
      <c r="T1587">
        <v>33.1</v>
      </c>
      <c r="U1587">
        <v>64.7</v>
      </c>
      <c r="V1587">
        <v>-5.2</v>
      </c>
      <c r="W1587" cm="1">
        <f t="array" ref="W1587">_xlfn.IFS(OR(X1587="N/A",X1587="NA"),0,OR(X1587="R64",X1587="R68"),1,X1587="R32",2,X1587="S16",3,X1587="E8",4,X1587="F4",5,X1587="2ND",6,X1587="Champions",7)</f>
        <v>0</v>
      </c>
      <c r="X1587" t="s">
        <v>90</v>
      </c>
      <c r="Y1587" t="s">
        <v>90</v>
      </c>
      <c r="Z1587">
        <v>2014</v>
      </c>
    </row>
    <row r="1588" spans="1:26" x14ac:dyDescent="0.3">
      <c r="A1588" t="s">
        <v>335</v>
      </c>
      <c r="B1588" t="s">
        <v>67</v>
      </c>
      <c r="C1588">
        <v>30</v>
      </c>
      <c r="D1588">
        <v>10</v>
      </c>
      <c r="E1588" s="1">
        <f t="shared" si="24"/>
        <v>0.33333333333333331</v>
      </c>
      <c r="F1588">
        <v>108.7</v>
      </c>
      <c r="G1588">
        <v>115.2</v>
      </c>
      <c r="H1588">
        <v>0.3382</v>
      </c>
      <c r="I1588">
        <v>53.7</v>
      </c>
      <c r="J1588">
        <v>54.3</v>
      </c>
      <c r="K1588">
        <v>18.899999999999999</v>
      </c>
      <c r="L1588">
        <v>17.7</v>
      </c>
      <c r="M1588">
        <v>27.4</v>
      </c>
      <c r="N1588">
        <v>33.700000000000003</v>
      </c>
      <c r="O1588">
        <v>33.299999999999997</v>
      </c>
      <c r="P1588">
        <v>35.799999999999997</v>
      </c>
      <c r="Q1588">
        <v>50.6</v>
      </c>
      <c r="R1588">
        <v>53.4</v>
      </c>
      <c r="S1588">
        <v>39.700000000000003</v>
      </c>
      <c r="T1588">
        <v>37.200000000000003</v>
      </c>
      <c r="U1588">
        <v>66.3</v>
      </c>
      <c r="V1588">
        <v>-13.7</v>
      </c>
      <c r="W1588" cm="1">
        <f t="array" ref="W1588">_xlfn.IFS(OR(X1588="N/A",X1588="NA"),0,OR(X1588="R64",X1588="R68"),1,X1588="R32",2,X1588="S16",3,X1588="E8",4,X1588="F4",5,X1588="2ND",6,X1588="Champions",7)</f>
        <v>0</v>
      </c>
      <c r="X1588" t="s">
        <v>90</v>
      </c>
      <c r="Y1588" t="s">
        <v>90</v>
      </c>
      <c r="Z1588">
        <v>2014</v>
      </c>
    </row>
    <row r="1589" spans="1:26" x14ac:dyDescent="0.3">
      <c r="A1589" t="s">
        <v>372</v>
      </c>
      <c r="B1589" t="s">
        <v>61</v>
      </c>
      <c r="C1589">
        <v>30</v>
      </c>
      <c r="D1589">
        <v>4</v>
      </c>
      <c r="E1589" s="1">
        <f t="shared" si="24"/>
        <v>0.13333333333333333</v>
      </c>
      <c r="F1589">
        <v>94</v>
      </c>
      <c r="G1589">
        <v>112.6</v>
      </c>
      <c r="H1589">
        <v>0.11070000000000001</v>
      </c>
      <c r="I1589">
        <v>46.7</v>
      </c>
      <c r="J1589">
        <v>54.5</v>
      </c>
      <c r="K1589">
        <v>20.2</v>
      </c>
      <c r="L1589">
        <v>18.5</v>
      </c>
      <c r="M1589">
        <v>27.6</v>
      </c>
      <c r="N1589">
        <v>34.200000000000003</v>
      </c>
      <c r="O1589">
        <v>39.799999999999997</v>
      </c>
      <c r="P1589">
        <v>38.5</v>
      </c>
      <c r="Q1589">
        <v>46.8</v>
      </c>
      <c r="R1589">
        <v>53.5</v>
      </c>
      <c r="S1589">
        <v>30.8</v>
      </c>
      <c r="T1589">
        <v>37.9</v>
      </c>
      <c r="U1589">
        <v>68.8</v>
      </c>
      <c r="V1589">
        <v>-21.2</v>
      </c>
      <c r="W1589" cm="1">
        <f t="array" ref="W1589">_xlfn.IFS(OR(X1589="N/A",X1589="NA"),0,OR(X1589="R64",X1589="R68"),1,X1589="R32",2,X1589="S16",3,X1589="E8",4,X1589="F4",5,X1589="2ND",6,X1589="Champions",7)</f>
        <v>0</v>
      </c>
      <c r="X1589" t="s">
        <v>90</v>
      </c>
      <c r="Y1589" t="s">
        <v>90</v>
      </c>
      <c r="Z1589">
        <v>2014</v>
      </c>
    </row>
    <row r="1590" spans="1:26" x14ac:dyDescent="0.3">
      <c r="A1590" t="s">
        <v>332</v>
      </c>
      <c r="B1590" t="s">
        <v>67</v>
      </c>
      <c r="C1590">
        <v>32</v>
      </c>
      <c r="D1590">
        <v>14</v>
      </c>
      <c r="E1590" s="1">
        <f t="shared" si="24"/>
        <v>0.4375</v>
      </c>
      <c r="F1590">
        <v>96.8</v>
      </c>
      <c r="G1590">
        <v>104</v>
      </c>
      <c r="H1590">
        <v>0.3049</v>
      </c>
      <c r="I1590">
        <v>48.8</v>
      </c>
      <c r="J1590">
        <v>48.1</v>
      </c>
      <c r="K1590">
        <v>18</v>
      </c>
      <c r="L1590">
        <v>16.8</v>
      </c>
      <c r="M1590">
        <v>26.1</v>
      </c>
      <c r="N1590">
        <v>32.4</v>
      </c>
      <c r="O1590">
        <v>32.700000000000003</v>
      </c>
      <c r="P1590">
        <v>31.1</v>
      </c>
      <c r="Q1590">
        <v>46.5</v>
      </c>
      <c r="R1590">
        <v>46.7</v>
      </c>
      <c r="S1590">
        <v>35.9</v>
      </c>
      <c r="T1590">
        <v>34</v>
      </c>
      <c r="U1590">
        <v>66.2</v>
      </c>
      <c r="V1590">
        <v>-11.5</v>
      </c>
      <c r="W1590" cm="1">
        <f t="array" ref="W1590">_xlfn.IFS(OR(X1590="N/A",X1590="NA"),0,OR(X1590="R64",X1590="R68"),1,X1590="R32",2,X1590="S16",3,X1590="E8",4,X1590="F4",5,X1590="2ND",6,X1590="Champions",7)</f>
        <v>0</v>
      </c>
      <c r="X1590" t="s">
        <v>90</v>
      </c>
      <c r="Y1590" t="s">
        <v>90</v>
      </c>
      <c r="Z1590">
        <v>2014</v>
      </c>
    </row>
    <row r="1591" spans="1:26" x14ac:dyDescent="0.3">
      <c r="A1591" t="s">
        <v>180</v>
      </c>
      <c r="B1591" t="s">
        <v>74</v>
      </c>
      <c r="C1591">
        <v>29</v>
      </c>
      <c r="D1591">
        <v>8</v>
      </c>
      <c r="E1591" s="1">
        <f t="shared" si="24"/>
        <v>0.27586206896551724</v>
      </c>
      <c r="F1591">
        <v>101.5</v>
      </c>
      <c r="G1591">
        <v>111.9</v>
      </c>
      <c r="H1591">
        <v>0.2455</v>
      </c>
      <c r="I1591">
        <v>49.9</v>
      </c>
      <c r="J1591">
        <v>51</v>
      </c>
      <c r="K1591">
        <v>20.5</v>
      </c>
      <c r="L1591">
        <v>15.1</v>
      </c>
      <c r="M1591">
        <v>38</v>
      </c>
      <c r="N1591">
        <v>29.9</v>
      </c>
      <c r="O1591">
        <v>34.5</v>
      </c>
      <c r="P1591">
        <v>38.1</v>
      </c>
      <c r="Q1591">
        <v>48.4</v>
      </c>
      <c r="R1591">
        <v>50</v>
      </c>
      <c r="S1591">
        <v>35.700000000000003</v>
      </c>
      <c r="T1591">
        <v>35</v>
      </c>
      <c r="U1591">
        <v>64.599999999999994</v>
      </c>
      <c r="V1591">
        <v>-16.7</v>
      </c>
      <c r="W1591" cm="1">
        <f t="array" ref="W1591">_xlfn.IFS(OR(X1591="N/A",X1591="NA"),0,OR(X1591="R64",X1591="R68"),1,X1591="R32",2,X1591="S16",3,X1591="E8",4,X1591="F4",5,X1591="2ND",6,X1591="Champions",7)</f>
        <v>0</v>
      </c>
      <c r="X1591" t="s">
        <v>90</v>
      </c>
      <c r="Y1591" t="s">
        <v>90</v>
      </c>
      <c r="Z1591">
        <v>2014</v>
      </c>
    </row>
    <row r="1592" spans="1:26" x14ac:dyDescent="0.3">
      <c r="A1592" t="s">
        <v>134</v>
      </c>
      <c r="B1592" t="s">
        <v>131</v>
      </c>
      <c r="C1592">
        <v>29</v>
      </c>
      <c r="D1592">
        <v>14</v>
      </c>
      <c r="E1592" s="1">
        <f t="shared" si="24"/>
        <v>0.48275862068965519</v>
      </c>
      <c r="F1592">
        <v>102.5</v>
      </c>
      <c r="G1592">
        <v>111.3</v>
      </c>
      <c r="H1592">
        <v>0.28029999999999999</v>
      </c>
      <c r="I1592">
        <v>51.3</v>
      </c>
      <c r="J1592">
        <v>54.2</v>
      </c>
      <c r="K1592">
        <v>17.5</v>
      </c>
      <c r="L1592">
        <v>20.100000000000001</v>
      </c>
      <c r="M1592">
        <v>25.8</v>
      </c>
      <c r="N1592">
        <v>31.5</v>
      </c>
      <c r="O1592">
        <v>47.9</v>
      </c>
      <c r="P1592">
        <v>48.7</v>
      </c>
      <c r="Q1592">
        <v>49.7</v>
      </c>
      <c r="R1592">
        <v>55.2</v>
      </c>
      <c r="S1592">
        <v>35.5</v>
      </c>
      <c r="T1592">
        <v>35.1</v>
      </c>
      <c r="U1592">
        <v>70.400000000000006</v>
      </c>
      <c r="V1592">
        <v>-9.8000000000000007</v>
      </c>
      <c r="W1592" cm="1">
        <f t="array" ref="W1592">_xlfn.IFS(OR(X1592="N/A",X1592="NA"),0,OR(X1592="R64",X1592="R68"),1,X1592="R32",2,X1592="S16",3,X1592="E8",4,X1592="F4",5,X1592="2ND",6,X1592="Champions",7)</f>
        <v>0</v>
      </c>
      <c r="X1592" t="s">
        <v>90</v>
      </c>
      <c r="Y1592" t="s">
        <v>90</v>
      </c>
      <c r="Z1592">
        <v>2014</v>
      </c>
    </row>
    <row r="1593" spans="1:26" x14ac:dyDescent="0.3">
      <c r="A1593" t="s">
        <v>297</v>
      </c>
      <c r="B1593" t="s">
        <v>77</v>
      </c>
      <c r="C1593">
        <v>29</v>
      </c>
      <c r="D1593">
        <v>9</v>
      </c>
      <c r="E1593" s="1">
        <f t="shared" si="24"/>
        <v>0.31034482758620691</v>
      </c>
      <c r="F1593">
        <v>102.5</v>
      </c>
      <c r="G1593">
        <v>118.3</v>
      </c>
      <c r="H1593">
        <v>0.16120000000000001</v>
      </c>
      <c r="I1593">
        <v>49.4</v>
      </c>
      <c r="J1593">
        <v>54.6</v>
      </c>
      <c r="K1593">
        <v>18.600000000000001</v>
      </c>
      <c r="L1593">
        <v>15.6</v>
      </c>
      <c r="M1593">
        <v>31</v>
      </c>
      <c r="N1593">
        <v>33.9</v>
      </c>
      <c r="O1593">
        <v>37.799999999999997</v>
      </c>
      <c r="P1593">
        <v>30.9</v>
      </c>
      <c r="Q1593">
        <v>47.8</v>
      </c>
      <c r="R1593">
        <v>52.5</v>
      </c>
      <c r="S1593">
        <v>34.5</v>
      </c>
      <c r="T1593">
        <v>39</v>
      </c>
      <c r="U1593">
        <v>68.099999999999994</v>
      </c>
      <c r="V1593">
        <v>-15.2</v>
      </c>
      <c r="W1593" cm="1">
        <f t="array" ref="W1593">_xlfn.IFS(OR(X1593="N/A",X1593="NA"),0,OR(X1593="R64",X1593="R68"),1,X1593="R32",2,X1593="S16",3,X1593="E8",4,X1593="F4",5,X1593="2ND",6,X1593="Champions",7)</f>
        <v>0</v>
      </c>
      <c r="X1593" t="s">
        <v>90</v>
      </c>
      <c r="Y1593" t="s">
        <v>90</v>
      </c>
      <c r="Z1593">
        <v>2014</v>
      </c>
    </row>
    <row r="1594" spans="1:26" x14ac:dyDescent="0.3">
      <c r="A1594" t="s">
        <v>192</v>
      </c>
      <c r="B1594" t="s">
        <v>48</v>
      </c>
      <c r="C1594">
        <v>30</v>
      </c>
      <c r="D1594">
        <v>13</v>
      </c>
      <c r="E1594" s="1">
        <f t="shared" si="24"/>
        <v>0.43333333333333335</v>
      </c>
      <c r="F1594">
        <v>103.8</v>
      </c>
      <c r="G1594">
        <v>102.8</v>
      </c>
      <c r="H1594">
        <v>0.52800000000000002</v>
      </c>
      <c r="I1594">
        <v>48.6</v>
      </c>
      <c r="J1594">
        <v>49.8</v>
      </c>
      <c r="K1594">
        <v>18.2</v>
      </c>
      <c r="L1594">
        <v>18.7</v>
      </c>
      <c r="M1594">
        <v>34.5</v>
      </c>
      <c r="N1594">
        <v>33.5</v>
      </c>
      <c r="O1594">
        <v>30.8</v>
      </c>
      <c r="P1594">
        <v>37.200000000000003</v>
      </c>
      <c r="Q1594">
        <v>49.1</v>
      </c>
      <c r="R1594">
        <v>50</v>
      </c>
      <c r="S1594">
        <v>31.6</v>
      </c>
      <c r="T1594">
        <v>32.9</v>
      </c>
      <c r="U1594">
        <v>66.400000000000006</v>
      </c>
      <c r="V1594">
        <v>-7.9</v>
      </c>
      <c r="W1594" cm="1">
        <f t="array" ref="W1594">_xlfn.IFS(OR(X1594="N/A",X1594="NA"),0,OR(X1594="R64",X1594="R68"),1,X1594="R32",2,X1594="S16",3,X1594="E8",4,X1594="F4",5,X1594="2ND",6,X1594="Champions",7)</f>
        <v>0</v>
      </c>
      <c r="X1594" t="s">
        <v>90</v>
      </c>
      <c r="Y1594" t="s">
        <v>90</v>
      </c>
      <c r="Z1594">
        <v>2014</v>
      </c>
    </row>
    <row r="1595" spans="1:26" x14ac:dyDescent="0.3">
      <c r="A1595" t="s">
        <v>181</v>
      </c>
      <c r="B1595" t="s">
        <v>74</v>
      </c>
      <c r="C1595">
        <v>28</v>
      </c>
      <c r="D1595">
        <v>4</v>
      </c>
      <c r="E1595" s="1">
        <f t="shared" si="24"/>
        <v>0.14285714285714285</v>
      </c>
      <c r="F1595">
        <v>95.7</v>
      </c>
      <c r="G1595">
        <v>117.1</v>
      </c>
      <c r="H1595">
        <v>8.9200000000000002E-2</v>
      </c>
      <c r="I1595">
        <v>47.1</v>
      </c>
      <c r="J1595">
        <v>55.7</v>
      </c>
      <c r="K1595">
        <v>18.8</v>
      </c>
      <c r="L1595">
        <v>18.2</v>
      </c>
      <c r="M1595">
        <v>26.8</v>
      </c>
      <c r="N1595">
        <v>35.299999999999997</v>
      </c>
      <c r="O1595">
        <v>30.9</v>
      </c>
      <c r="P1595">
        <v>44.4</v>
      </c>
      <c r="Q1595">
        <v>45.6</v>
      </c>
      <c r="R1595">
        <v>55.2</v>
      </c>
      <c r="S1595">
        <v>34.1</v>
      </c>
      <c r="T1595">
        <v>37.700000000000003</v>
      </c>
      <c r="U1595">
        <v>68.400000000000006</v>
      </c>
      <c r="V1595">
        <v>-19</v>
      </c>
      <c r="W1595" cm="1">
        <f t="array" ref="W1595">_xlfn.IFS(OR(X1595="N/A",X1595="NA"),0,OR(X1595="R64",X1595="R68"),1,X1595="R32",2,X1595="S16",3,X1595="E8",4,X1595="F4",5,X1595="2ND",6,X1595="Champions",7)</f>
        <v>0</v>
      </c>
      <c r="X1595" t="s">
        <v>90</v>
      </c>
      <c r="Y1595" t="s">
        <v>90</v>
      </c>
      <c r="Z1595">
        <v>2014</v>
      </c>
    </row>
    <row r="1596" spans="1:26" x14ac:dyDescent="0.3">
      <c r="A1596" t="s">
        <v>341</v>
      </c>
      <c r="B1596" t="s">
        <v>58</v>
      </c>
      <c r="C1596">
        <v>26</v>
      </c>
      <c r="D1596">
        <v>9</v>
      </c>
      <c r="E1596" s="1">
        <f t="shared" si="24"/>
        <v>0.34615384615384615</v>
      </c>
      <c r="F1596">
        <v>96.5</v>
      </c>
      <c r="G1596">
        <v>103.9</v>
      </c>
      <c r="H1596">
        <v>0.29899999999999999</v>
      </c>
      <c r="I1596">
        <v>47</v>
      </c>
      <c r="J1596">
        <v>49.2</v>
      </c>
      <c r="K1596">
        <v>19.7</v>
      </c>
      <c r="L1596">
        <v>16.5</v>
      </c>
      <c r="M1596">
        <v>30.3</v>
      </c>
      <c r="N1596">
        <v>31.3</v>
      </c>
      <c r="O1596">
        <v>35.5</v>
      </c>
      <c r="P1596">
        <v>38.200000000000003</v>
      </c>
      <c r="Q1596">
        <v>47</v>
      </c>
      <c r="R1596">
        <v>48.8</v>
      </c>
      <c r="S1596">
        <v>31.4</v>
      </c>
      <c r="T1596">
        <v>33.299999999999997</v>
      </c>
      <c r="U1596">
        <v>63.4</v>
      </c>
      <c r="V1596">
        <v>-10.199999999999999</v>
      </c>
      <c r="W1596" cm="1">
        <f t="array" ref="W1596">_xlfn.IFS(OR(X1596="N/A",X1596="NA"),0,OR(X1596="R64",X1596="R68"),1,X1596="R32",2,X1596="S16",3,X1596="E8",4,X1596="F4",5,X1596="2ND",6,X1596="Champions",7)</f>
        <v>0</v>
      </c>
      <c r="X1596" t="s">
        <v>90</v>
      </c>
      <c r="Y1596" t="s">
        <v>90</v>
      </c>
      <c r="Z1596">
        <v>2014</v>
      </c>
    </row>
    <row r="1597" spans="1:26" x14ac:dyDescent="0.3">
      <c r="A1597" t="s">
        <v>210</v>
      </c>
      <c r="B1597" t="s">
        <v>40</v>
      </c>
      <c r="C1597">
        <v>36</v>
      </c>
      <c r="D1597">
        <v>28</v>
      </c>
      <c r="E1597" s="1">
        <f t="shared" si="24"/>
        <v>0.77777777777777779</v>
      </c>
      <c r="F1597">
        <v>109.8</v>
      </c>
      <c r="G1597">
        <v>94.9</v>
      </c>
      <c r="H1597">
        <v>0.84230000000000005</v>
      </c>
      <c r="I1597">
        <v>51.2</v>
      </c>
      <c r="J1597">
        <v>46</v>
      </c>
      <c r="K1597">
        <v>15.7</v>
      </c>
      <c r="L1597">
        <v>22.8</v>
      </c>
      <c r="M1597">
        <v>33.5</v>
      </c>
      <c r="N1597">
        <v>29.9</v>
      </c>
      <c r="O1597">
        <v>41.7</v>
      </c>
      <c r="P1597">
        <v>38.6</v>
      </c>
      <c r="Q1597">
        <v>52.2</v>
      </c>
      <c r="R1597">
        <v>45.6</v>
      </c>
      <c r="S1597">
        <v>33</v>
      </c>
      <c r="T1597">
        <v>31.5</v>
      </c>
      <c r="U1597">
        <v>71.099999999999994</v>
      </c>
      <c r="V1597">
        <v>0</v>
      </c>
      <c r="W1597" cm="1">
        <f t="array" ref="W1597">_xlfn.IFS(OR(X1597="N/A",X1597="NA"),0,OR(X1597="R64",X1597="R68"),1,X1597="R32",2,X1597="S16",3,X1597="E8",4,X1597="F4",5,X1597="2ND",6,X1597="Champions",7)</f>
        <v>0</v>
      </c>
      <c r="X1597" t="s">
        <v>90</v>
      </c>
      <c r="Y1597" t="s">
        <v>90</v>
      </c>
      <c r="Z1597">
        <v>2014</v>
      </c>
    </row>
    <row r="1598" spans="1:26" x14ac:dyDescent="0.3">
      <c r="A1598" t="s">
        <v>85</v>
      </c>
      <c r="B1598" t="s">
        <v>47</v>
      </c>
      <c r="C1598">
        <v>31</v>
      </c>
      <c r="D1598">
        <v>9</v>
      </c>
      <c r="E1598" s="1">
        <f t="shared" si="24"/>
        <v>0.29032258064516131</v>
      </c>
      <c r="F1598">
        <v>102.3</v>
      </c>
      <c r="G1598">
        <v>107.5</v>
      </c>
      <c r="H1598">
        <v>0.3614</v>
      </c>
      <c r="I1598">
        <v>51.9</v>
      </c>
      <c r="J1598">
        <v>51.2</v>
      </c>
      <c r="K1598">
        <v>20.7</v>
      </c>
      <c r="L1598">
        <v>18.100000000000001</v>
      </c>
      <c r="M1598">
        <v>26.8</v>
      </c>
      <c r="N1598">
        <v>31.5</v>
      </c>
      <c r="O1598">
        <v>38</v>
      </c>
      <c r="P1598">
        <v>42.1</v>
      </c>
      <c r="Q1598">
        <v>51.6</v>
      </c>
      <c r="R1598">
        <v>51</v>
      </c>
      <c r="S1598">
        <v>35</v>
      </c>
      <c r="T1598">
        <v>34.5</v>
      </c>
      <c r="U1598">
        <v>63.7</v>
      </c>
      <c r="V1598">
        <v>-15.4</v>
      </c>
      <c r="W1598" cm="1">
        <f t="array" ref="W1598">_xlfn.IFS(OR(X1598="N/A",X1598="NA"),0,OR(X1598="R64",X1598="R68"),1,X1598="R32",2,X1598="S16",3,X1598="E8",4,X1598="F4",5,X1598="2ND",6,X1598="Champions",7)</f>
        <v>0</v>
      </c>
      <c r="X1598" t="s">
        <v>90</v>
      </c>
      <c r="Y1598" t="s">
        <v>90</v>
      </c>
      <c r="Z1598">
        <v>2014</v>
      </c>
    </row>
    <row r="1599" spans="1:26" x14ac:dyDescent="0.3">
      <c r="A1599" t="s">
        <v>409</v>
      </c>
      <c r="B1599" t="s">
        <v>37</v>
      </c>
      <c r="C1599">
        <v>31</v>
      </c>
      <c r="D1599">
        <v>12</v>
      </c>
      <c r="E1599" s="1">
        <f t="shared" si="24"/>
        <v>0.38709677419354838</v>
      </c>
      <c r="F1599">
        <v>104.7</v>
      </c>
      <c r="G1599">
        <v>106</v>
      </c>
      <c r="H1599">
        <v>0.4652</v>
      </c>
      <c r="I1599">
        <v>47.1</v>
      </c>
      <c r="J1599">
        <v>52</v>
      </c>
      <c r="K1599">
        <v>17.3</v>
      </c>
      <c r="L1599">
        <v>19.7</v>
      </c>
      <c r="M1599">
        <v>32.4</v>
      </c>
      <c r="N1599">
        <v>36.200000000000003</v>
      </c>
      <c r="O1599">
        <v>36.4</v>
      </c>
      <c r="P1599">
        <v>43.1</v>
      </c>
      <c r="Q1599">
        <v>48</v>
      </c>
      <c r="R1599">
        <v>50.8</v>
      </c>
      <c r="S1599">
        <v>29.8</v>
      </c>
      <c r="T1599">
        <v>36.5</v>
      </c>
      <c r="U1599">
        <v>70</v>
      </c>
      <c r="V1599">
        <v>-9.3000000000000007</v>
      </c>
      <c r="W1599" cm="1">
        <f t="array" ref="W1599">_xlfn.IFS(OR(X1599="N/A",X1599="NA"),0,OR(X1599="R64",X1599="R68"),1,X1599="R32",2,X1599="S16",3,X1599="E8",4,X1599="F4",5,X1599="2ND",6,X1599="Champions",7)</f>
        <v>0</v>
      </c>
      <c r="X1599" t="s">
        <v>90</v>
      </c>
      <c r="Y1599" t="s">
        <v>90</v>
      </c>
      <c r="Z1599">
        <v>2014</v>
      </c>
    </row>
    <row r="1600" spans="1:26" x14ac:dyDescent="0.3">
      <c r="A1600" t="s">
        <v>333</v>
      </c>
      <c r="B1600" t="s">
        <v>67</v>
      </c>
      <c r="C1600">
        <v>28</v>
      </c>
      <c r="D1600">
        <v>9</v>
      </c>
      <c r="E1600" s="1">
        <f t="shared" si="24"/>
        <v>0.32142857142857145</v>
      </c>
      <c r="F1600">
        <v>96.1</v>
      </c>
      <c r="G1600">
        <v>108.3</v>
      </c>
      <c r="H1600">
        <v>0.20219999999999999</v>
      </c>
      <c r="I1600">
        <v>44.9</v>
      </c>
      <c r="J1600">
        <v>52.8</v>
      </c>
      <c r="K1600">
        <v>18.3</v>
      </c>
      <c r="L1600">
        <v>20.9</v>
      </c>
      <c r="M1600">
        <v>30.5</v>
      </c>
      <c r="N1600">
        <v>35.4</v>
      </c>
      <c r="O1600">
        <v>41.1</v>
      </c>
      <c r="P1600">
        <v>40.299999999999997</v>
      </c>
      <c r="Q1600">
        <v>44.1</v>
      </c>
      <c r="R1600">
        <v>48.3</v>
      </c>
      <c r="S1600">
        <v>31.5</v>
      </c>
      <c r="T1600">
        <v>41.5</v>
      </c>
      <c r="U1600">
        <v>66.400000000000006</v>
      </c>
      <c r="V1600">
        <v>-12.9</v>
      </c>
      <c r="W1600" cm="1">
        <f t="array" ref="W1600">_xlfn.IFS(OR(X1600="N/A",X1600="NA"),0,OR(X1600="R64",X1600="R68"),1,X1600="R32",2,X1600="S16",3,X1600="E8",4,X1600="F4",5,X1600="2ND",6,X1600="Champions",7)</f>
        <v>0</v>
      </c>
      <c r="X1600" t="s">
        <v>90</v>
      </c>
      <c r="Y1600" t="s">
        <v>90</v>
      </c>
      <c r="Z1600">
        <v>2014</v>
      </c>
    </row>
    <row r="1601" spans="1:26" x14ac:dyDescent="0.3">
      <c r="A1601" t="s">
        <v>366</v>
      </c>
      <c r="B1601" t="s">
        <v>29</v>
      </c>
      <c r="C1601">
        <v>34</v>
      </c>
      <c r="D1601">
        <v>20</v>
      </c>
      <c r="E1601" s="1">
        <f t="shared" si="24"/>
        <v>0.58823529411764708</v>
      </c>
      <c r="F1601">
        <v>111.3</v>
      </c>
      <c r="G1601">
        <v>98.4</v>
      </c>
      <c r="H1601">
        <v>0.80430000000000001</v>
      </c>
      <c r="I1601">
        <v>50</v>
      </c>
      <c r="J1601">
        <v>46.7</v>
      </c>
      <c r="K1601">
        <v>19.2</v>
      </c>
      <c r="L1601">
        <v>18</v>
      </c>
      <c r="M1601">
        <v>35</v>
      </c>
      <c r="N1601">
        <v>31.6</v>
      </c>
      <c r="O1601">
        <v>34.200000000000003</v>
      </c>
      <c r="P1601">
        <v>38.700000000000003</v>
      </c>
      <c r="Q1601">
        <v>49.4</v>
      </c>
      <c r="R1601">
        <v>43.8</v>
      </c>
      <c r="S1601">
        <v>34.200000000000003</v>
      </c>
      <c r="T1601">
        <v>35.799999999999997</v>
      </c>
      <c r="U1601">
        <v>70.099999999999994</v>
      </c>
      <c r="V1601">
        <v>-1.1000000000000001</v>
      </c>
      <c r="W1601" cm="1">
        <f t="array" ref="W1601">_xlfn.IFS(OR(X1601="N/A",X1601="NA"),0,OR(X1601="R64",X1601="R68"),1,X1601="R32",2,X1601="S16",3,X1601="E8",4,X1601="F4",5,X1601="2ND",6,X1601="Champions",7)</f>
        <v>0</v>
      </c>
      <c r="X1601" t="s">
        <v>90</v>
      </c>
      <c r="Y1601" t="s">
        <v>90</v>
      </c>
      <c r="Z1601">
        <v>2014</v>
      </c>
    </row>
    <row r="1602" spans="1:26" x14ac:dyDescent="0.3">
      <c r="A1602" t="s">
        <v>114</v>
      </c>
      <c r="B1602" t="s">
        <v>112</v>
      </c>
      <c r="C1602">
        <v>28</v>
      </c>
      <c r="D1602">
        <v>5</v>
      </c>
      <c r="E1602" s="1">
        <f t="shared" si="24"/>
        <v>0.17857142857142858</v>
      </c>
      <c r="F1602">
        <v>94.1</v>
      </c>
      <c r="G1602">
        <v>115.3</v>
      </c>
      <c r="H1602">
        <v>8.8400000000000006E-2</v>
      </c>
      <c r="I1602">
        <v>48.9</v>
      </c>
      <c r="J1602">
        <v>53.2</v>
      </c>
      <c r="K1602">
        <v>20.3</v>
      </c>
      <c r="L1602">
        <v>17.600000000000001</v>
      </c>
      <c r="M1602">
        <v>24.5</v>
      </c>
      <c r="N1602">
        <v>35.5</v>
      </c>
      <c r="O1602">
        <v>33.9</v>
      </c>
      <c r="P1602">
        <v>39.4</v>
      </c>
      <c r="Q1602">
        <v>48.7</v>
      </c>
      <c r="R1602">
        <v>52.9</v>
      </c>
      <c r="S1602">
        <v>32.9</v>
      </c>
      <c r="T1602">
        <v>36.1</v>
      </c>
      <c r="U1602">
        <v>74.8</v>
      </c>
      <c r="V1602">
        <v>-17.7</v>
      </c>
      <c r="W1602" cm="1">
        <f t="array" ref="W1602">_xlfn.IFS(OR(X1602="N/A",X1602="NA"),0,OR(X1602="R64",X1602="R68"),1,X1602="R32",2,X1602="S16",3,X1602="E8",4,X1602="F4",5,X1602="2ND",6,X1602="Champions",7)</f>
        <v>0</v>
      </c>
      <c r="X1602" t="s">
        <v>90</v>
      </c>
      <c r="Y1602" t="s">
        <v>90</v>
      </c>
      <c r="Z1602">
        <v>2014</v>
      </c>
    </row>
    <row r="1603" spans="1:26" x14ac:dyDescent="0.3">
      <c r="A1603" t="s">
        <v>243</v>
      </c>
      <c r="B1603" t="s">
        <v>69</v>
      </c>
      <c r="C1603">
        <v>31</v>
      </c>
      <c r="D1603">
        <v>12</v>
      </c>
      <c r="E1603" s="1">
        <f t="shared" ref="E1603:E1666" si="25">D1603/C1603</f>
        <v>0.38709677419354838</v>
      </c>
      <c r="F1603">
        <v>100.4</v>
      </c>
      <c r="G1603">
        <v>105.4</v>
      </c>
      <c r="H1603">
        <v>0.36399999999999999</v>
      </c>
      <c r="I1603">
        <v>46.6</v>
      </c>
      <c r="J1603">
        <v>50.6</v>
      </c>
      <c r="K1603">
        <v>18.100000000000001</v>
      </c>
      <c r="L1603">
        <v>19.5</v>
      </c>
      <c r="M1603">
        <v>29.7</v>
      </c>
      <c r="N1603">
        <v>33</v>
      </c>
      <c r="O1603">
        <v>40.299999999999997</v>
      </c>
      <c r="P1603">
        <v>38.299999999999997</v>
      </c>
      <c r="Q1603">
        <v>43.9</v>
      </c>
      <c r="R1603">
        <v>47.5</v>
      </c>
      <c r="S1603">
        <v>34.700000000000003</v>
      </c>
      <c r="T1603">
        <v>38.200000000000003</v>
      </c>
      <c r="U1603">
        <v>66.3</v>
      </c>
      <c r="V1603">
        <v>-12.2</v>
      </c>
      <c r="W1603" cm="1">
        <f t="array" ref="W1603">_xlfn.IFS(OR(X1603="N/A",X1603="NA"),0,OR(X1603="R64",X1603="R68"),1,X1603="R32",2,X1603="S16",3,X1603="E8",4,X1603="F4",5,X1603="2ND",6,X1603="Champions",7)</f>
        <v>0</v>
      </c>
      <c r="X1603" t="s">
        <v>90</v>
      </c>
      <c r="Y1603" t="s">
        <v>90</v>
      </c>
      <c r="Z1603">
        <v>2014</v>
      </c>
    </row>
    <row r="1604" spans="1:26" x14ac:dyDescent="0.3">
      <c r="A1604" t="s">
        <v>81</v>
      </c>
      <c r="B1604" t="s">
        <v>33</v>
      </c>
      <c r="C1604">
        <v>32</v>
      </c>
      <c r="D1604">
        <v>17</v>
      </c>
      <c r="E1604" s="1">
        <f t="shared" si="25"/>
        <v>0.53125</v>
      </c>
      <c r="F1604">
        <v>109.8</v>
      </c>
      <c r="G1604">
        <v>98</v>
      </c>
      <c r="H1604">
        <v>0.78849999999999998</v>
      </c>
      <c r="I1604">
        <v>48.7</v>
      </c>
      <c r="J1604">
        <v>49.1</v>
      </c>
      <c r="K1604">
        <v>17.5</v>
      </c>
      <c r="L1604">
        <v>19.3</v>
      </c>
      <c r="M1604">
        <v>34.1</v>
      </c>
      <c r="N1604">
        <v>29.6</v>
      </c>
      <c r="O1604">
        <v>44.8</v>
      </c>
      <c r="P1604">
        <v>38.700000000000003</v>
      </c>
      <c r="Q1604">
        <v>48.9</v>
      </c>
      <c r="R1604">
        <v>45.7</v>
      </c>
      <c r="S1604">
        <v>32.1</v>
      </c>
      <c r="T1604">
        <v>36.5</v>
      </c>
      <c r="U1604">
        <v>66.7</v>
      </c>
      <c r="V1604">
        <v>-2.1</v>
      </c>
      <c r="W1604" cm="1">
        <f t="array" ref="W1604">_xlfn.IFS(OR(X1604="N/A",X1604="NA"),0,OR(X1604="R64",X1604="R68"),1,X1604="R32",2,X1604="S16",3,X1604="E8",4,X1604="F4",5,X1604="2ND",6,X1604="Champions",7)</f>
        <v>0</v>
      </c>
      <c r="X1604" t="s">
        <v>90</v>
      </c>
      <c r="Y1604" t="s">
        <v>90</v>
      </c>
      <c r="Z1604">
        <v>2014</v>
      </c>
    </row>
    <row r="1605" spans="1:26" x14ac:dyDescent="0.3">
      <c r="A1605" t="s">
        <v>211</v>
      </c>
      <c r="B1605" t="s">
        <v>40</v>
      </c>
      <c r="C1605">
        <v>31</v>
      </c>
      <c r="D1605">
        <v>9</v>
      </c>
      <c r="E1605" s="1">
        <f t="shared" si="25"/>
        <v>0.29032258064516131</v>
      </c>
      <c r="F1605">
        <v>99.8</v>
      </c>
      <c r="G1605">
        <v>104.7</v>
      </c>
      <c r="H1605">
        <v>0.3679</v>
      </c>
      <c r="I1605">
        <v>46.6</v>
      </c>
      <c r="J1605">
        <v>50.3</v>
      </c>
      <c r="K1605">
        <v>18.899999999999999</v>
      </c>
      <c r="L1605">
        <v>19.5</v>
      </c>
      <c r="M1605">
        <v>32.799999999999997</v>
      </c>
      <c r="N1605">
        <v>34.5</v>
      </c>
      <c r="O1605">
        <v>42.4</v>
      </c>
      <c r="P1605">
        <v>43.5</v>
      </c>
      <c r="Q1605">
        <v>48</v>
      </c>
      <c r="R1605">
        <v>51.1</v>
      </c>
      <c r="S1605">
        <v>29.1</v>
      </c>
      <c r="T1605">
        <v>32.4</v>
      </c>
      <c r="U1605">
        <v>68.900000000000006</v>
      </c>
      <c r="V1605">
        <v>-15.1</v>
      </c>
      <c r="W1605" cm="1">
        <f t="array" ref="W1605">_xlfn.IFS(OR(X1605="N/A",X1605="NA"),0,OR(X1605="R64",X1605="R68"),1,X1605="R32",2,X1605="S16",3,X1605="E8",4,X1605="F4",5,X1605="2ND",6,X1605="Champions",7)</f>
        <v>0</v>
      </c>
      <c r="X1605" t="s">
        <v>90</v>
      </c>
      <c r="Y1605" t="s">
        <v>90</v>
      </c>
      <c r="Z1605">
        <v>2014</v>
      </c>
    </row>
    <row r="1606" spans="1:26" x14ac:dyDescent="0.3">
      <c r="A1606" t="s">
        <v>149</v>
      </c>
      <c r="B1606" t="s">
        <v>26</v>
      </c>
      <c r="C1606">
        <v>32</v>
      </c>
      <c r="D1606">
        <v>17</v>
      </c>
      <c r="E1606" s="1">
        <f t="shared" si="25"/>
        <v>0.53125</v>
      </c>
      <c r="F1606">
        <v>108.1</v>
      </c>
      <c r="G1606">
        <v>94.5</v>
      </c>
      <c r="H1606">
        <v>0.82369999999999999</v>
      </c>
      <c r="I1606">
        <v>49.1</v>
      </c>
      <c r="J1606">
        <v>47.2</v>
      </c>
      <c r="K1606">
        <v>18.600000000000001</v>
      </c>
      <c r="L1606">
        <v>18.7</v>
      </c>
      <c r="M1606">
        <v>33.5</v>
      </c>
      <c r="N1606">
        <v>28.9</v>
      </c>
      <c r="O1606">
        <v>36.700000000000003</v>
      </c>
      <c r="P1606">
        <v>42.1</v>
      </c>
      <c r="Q1606">
        <v>47.8</v>
      </c>
      <c r="R1606">
        <v>45.4</v>
      </c>
      <c r="S1606">
        <v>34.200000000000003</v>
      </c>
      <c r="T1606">
        <v>34.1</v>
      </c>
      <c r="U1606">
        <v>69.099999999999994</v>
      </c>
      <c r="V1606">
        <v>-1.5</v>
      </c>
      <c r="W1606" cm="1">
        <f t="array" ref="W1606">_xlfn.IFS(OR(X1606="N/A",X1606="NA"),0,OR(X1606="R64",X1606="R68"),1,X1606="R32",2,X1606="S16",3,X1606="E8",4,X1606="F4",5,X1606="2ND",6,X1606="Champions",7)</f>
        <v>0</v>
      </c>
      <c r="X1606" t="s">
        <v>90</v>
      </c>
      <c r="Y1606" t="s">
        <v>90</v>
      </c>
      <c r="Z1606">
        <v>2014</v>
      </c>
    </row>
    <row r="1607" spans="1:26" x14ac:dyDescent="0.3">
      <c r="A1607" t="s">
        <v>268</v>
      </c>
      <c r="B1607" t="s">
        <v>66</v>
      </c>
      <c r="C1607">
        <v>28</v>
      </c>
      <c r="D1607">
        <v>5</v>
      </c>
      <c r="E1607" s="1">
        <f t="shared" si="25"/>
        <v>0.17857142857142858</v>
      </c>
      <c r="F1607">
        <v>99.2</v>
      </c>
      <c r="G1607">
        <v>120.6</v>
      </c>
      <c r="H1607">
        <v>9.5000000000000001E-2</v>
      </c>
      <c r="I1607">
        <v>45</v>
      </c>
      <c r="J1607">
        <v>54.3</v>
      </c>
      <c r="K1607">
        <v>18.7</v>
      </c>
      <c r="L1607">
        <v>19</v>
      </c>
      <c r="M1607">
        <v>32.299999999999997</v>
      </c>
      <c r="N1607">
        <v>35.9</v>
      </c>
      <c r="O1607">
        <v>42.3</v>
      </c>
      <c r="P1607">
        <v>43.6</v>
      </c>
      <c r="Q1607">
        <v>43.4</v>
      </c>
      <c r="R1607">
        <v>53</v>
      </c>
      <c r="S1607">
        <v>32.1</v>
      </c>
      <c r="T1607">
        <v>38.1</v>
      </c>
      <c r="U1607">
        <v>66.8</v>
      </c>
      <c r="V1607">
        <v>-18.7</v>
      </c>
      <c r="W1607" cm="1">
        <f t="array" ref="W1607">_xlfn.IFS(OR(X1607="N/A",X1607="NA"),0,OR(X1607="R64",X1607="R68"),1,X1607="R32",2,X1607="S16",3,X1607="E8",4,X1607="F4",5,X1607="2ND",6,X1607="Champions",7)</f>
        <v>0</v>
      </c>
      <c r="X1607" t="s">
        <v>90</v>
      </c>
      <c r="Y1607" t="s">
        <v>90</v>
      </c>
      <c r="Z1607">
        <v>2014</v>
      </c>
    </row>
    <row r="1608" spans="1:26" x14ac:dyDescent="0.3">
      <c r="A1608" t="s">
        <v>373</v>
      </c>
      <c r="B1608" t="s">
        <v>61</v>
      </c>
      <c r="C1608">
        <v>29</v>
      </c>
      <c r="D1608">
        <v>9</v>
      </c>
      <c r="E1608" s="1">
        <f t="shared" si="25"/>
        <v>0.31034482758620691</v>
      </c>
      <c r="F1608">
        <v>96.2</v>
      </c>
      <c r="G1608">
        <v>112.2</v>
      </c>
      <c r="H1608">
        <v>0.1462</v>
      </c>
      <c r="I1608">
        <v>44.1</v>
      </c>
      <c r="J1608">
        <v>51.8</v>
      </c>
      <c r="K1608">
        <v>18.2</v>
      </c>
      <c r="L1608">
        <v>18.899999999999999</v>
      </c>
      <c r="M1608">
        <v>32.799999999999997</v>
      </c>
      <c r="N1608">
        <v>36.1</v>
      </c>
      <c r="O1608">
        <v>33.6</v>
      </c>
      <c r="P1608">
        <v>36.6</v>
      </c>
      <c r="Q1608">
        <v>43.5</v>
      </c>
      <c r="R1608">
        <v>48.3</v>
      </c>
      <c r="S1608">
        <v>30.2</v>
      </c>
      <c r="T1608">
        <v>38.9</v>
      </c>
      <c r="U1608">
        <v>67.900000000000006</v>
      </c>
      <c r="V1608">
        <v>-12.6</v>
      </c>
      <c r="W1608" cm="1">
        <f t="array" ref="W1608">_xlfn.IFS(OR(X1608="N/A",X1608="NA"),0,OR(X1608="R64",X1608="R68"),1,X1608="R32",2,X1608="S16",3,X1608="E8",4,X1608="F4",5,X1608="2ND",6,X1608="Champions",7)</f>
        <v>0</v>
      </c>
      <c r="X1608" t="s">
        <v>90</v>
      </c>
      <c r="Y1608" t="s">
        <v>90</v>
      </c>
      <c r="Z1608">
        <v>2014</v>
      </c>
    </row>
    <row r="1609" spans="1:26" x14ac:dyDescent="0.3">
      <c r="A1609" t="s">
        <v>106</v>
      </c>
      <c r="B1609" t="s">
        <v>26</v>
      </c>
      <c r="C1609">
        <v>33</v>
      </c>
      <c r="D1609">
        <v>17</v>
      </c>
      <c r="E1609" s="1">
        <f t="shared" si="25"/>
        <v>0.51515151515151514</v>
      </c>
      <c r="F1609">
        <v>109.8</v>
      </c>
      <c r="G1609">
        <v>98.5</v>
      </c>
      <c r="H1609">
        <v>0.77710000000000001</v>
      </c>
      <c r="I1609">
        <v>47.6</v>
      </c>
      <c r="J1609">
        <v>47</v>
      </c>
      <c r="K1609">
        <v>17.2</v>
      </c>
      <c r="L1609">
        <v>16.399999999999999</v>
      </c>
      <c r="M1609">
        <v>33.5</v>
      </c>
      <c r="N1609">
        <v>30.4</v>
      </c>
      <c r="O1609">
        <v>36.1</v>
      </c>
      <c r="P1609">
        <v>31.2</v>
      </c>
      <c r="Q1609">
        <v>47.2</v>
      </c>
      <c r="R1609">
        <v>43.4</v>
      </c>
      <c r="S1609">
        <v>32.299999999999997</v>
      </c>
      <c r="T1609">
        <v>35.5</v>
      </c>
      <c r="U1609">
        <v>58.7</v>
      </c>
      <c r="V1609">
        <v>-3.8</v>
      </c>
      <c r="W1609" cm="1">
        <f t="array" ref="W1609">_xlfn.IFS(OR(X1609="N/A",X1609="NA"),0,OR(X1609="R64",X1609="R68"),1,X1609="R32",2,X1609="S16",3,X1609="E8",4,X1609="F4",5,X1609="2ND",6,X1609="Champions",7)</f>
        <v>0</v>
      </c>
      <c r="X1609" t="s">
        <v>90</v>
      </c>
      <c r="Y1609" t="s">
        <v>90</v>
      </c>
      <c r="Z1609">
        <v>2014</v>
      </c>
    </row>
    <row r="1610" spans="1:26" x14ac:dyDescent="0.3">
      <c r="A1610" t="s">
        <v>257</v>
      </c>
      <c r="B1610" t="s">
        <v>57</v>
      </c>
      <c r="C1610">
        <v>30</v>
      </c>
      <c r="D1610">
        <v>13</v>
      </c>
      <c r="E1610" s="1">
        <f t="shared" si="25"/>
        <v>0.43333333333333335</v>
      </c>
      <c r="F1610">
        <v>98.6</v>
      </c>
      <c r="G1610">
        <v>102</v>
      </c>
      <c r="H1610">
        <v>0.4017</v>
      </c>
      <c r="I1610">
        <v>48.3</v>
      </c>
      <c r="J1610">
        <v>53.8</v>
      </c>
      <c r="K1610">
        <v>20.2</v>
      </c>
      <c r="L1610">
        <v>21.7</v>
      </c>
      <c r="M1610">
        <v>24.5</v>
      </c>
      <c r="N1610">
        <v>29.5</v>
      </c>
      <c r="O1610">
        <v>34.799999999999997</v>
      </c>
      <c r="P1610">
        <v>33.299999999999997</v>
      </c>
      <c r="Q1610">
        <v>49.7</v>
      </c>
      <c r="R1610">
        <v>52.4</v>
      </c>
      <c r="S1610">
        <v>30</v>
      </c>
      <c r="T1610">
        <v>37.299999999999997</v>
      </c>
      <c r="U1610">
        <v>66.8</v>
      </c>
      <c r="V1610">
        <v>-10.199999999999999</v>
      </c>
      <c r="W1610" cm="1">
        <f t="array" ref="W1610">_xlfn.IFS(OR(X1610="N/A",X1610="NA"),0,OR(X1610="R64",X1610="R68"),1,X1610="R32",2,X1610="S16",3,X1610="E8",4,X1610="F4",5,X1610="2ND",6,X1610="Champions",7)</f>
        <v>0</v>
      </c>
      <c r="X1610" t="s">
        <v>90</v>
      </c>
      <c r="Y1610" t="s">
        <v>90</v>
      </c>
      <c r="Z1610">
        <v>2014</v>
      </c>
    </row>
    <row r="1611" spans="1:26" x14ac:dyDescent="0.3">
      <c r="A1611" t="s">
        <v>212</v>
      </c>
      <c r="B1611" t="s">
        <v>40</v>
      </c>
      <c r="C1611">
        <v>31</v>
      </c>
      <c r="D1611">
        <v>22</v>
      </c>
      <c r="E1611" s="1">
        <f t="shared" si="25"/>
        <v>0.70967741935483875</v>
      </c>
      <c r="F1611">
        <v>104.7</v>
      </c>
      <c r="G1611">
        <v>95.6</v>
      </c>
      <c r="H1611">
        <v>0.74009999999999998</v>
      </c>
      <c r="I1611">
        <v>49.5</v>
      </c>
      <c r="J1611">
        <v>46.8</v>
      </c>
      <c r="K1611">
        <v>19.2</v>
      </c>
      <c r="L1611">
        <v>21.7</v>
      </c>
      <c r="M1611">
        <v>34.9</v>
      </c>
      <c r="N1611">
        <v>29.4</v>
      </c>
      <c r="O1611">
        <v>44.1</v>
      </c>
      <c r="P1611">
        <v>43.9</v>
      </c>
      <c r="Q1611">
        <v>48.8</v>
      </c>
      <c r="R1611">
        <v>45.6</v>
      </c>
      <c r="S1611">
        <v>34.200000000000003</v>
      </c>
      <c r="T1611">
        <v>33</v>
      </c>
      <c r="U1611">
        <v>64.5</v>
      </c>
      <c r="V1611">
        <v>-1.8</v>
      </c>
      <c r="W1611" cm="1">
        <f t="array" ref="W1611">_xlfn.IFS(OR(X1611="N/A",X1611="NA"),0,OR(X1611="R64",X1611="R68"),1,X1611="R32",2,X1611="S16",3,X1611="E8",4,X1611="F4",5,X1611="2ND",6,X1611="Champions",7)</f>
        <v>0</v>
      </c>
      <c r="X1611" t="s">
        <v>90</v>
      </c>
      <c r="Y1611" t="s">
        <v>90</v>
      </c>
      <c r="Z1611">
        <v>2014</v>
      </c>
    </row>
    <row r="1612" spans="1:26" x14ac:dyDescent="0.3">
      <c r="A1612" t="s">
        <v>142</v>
      </c>
      <c r="B1612" t="s">
        <v>31</v>
      </c>
      <c r="C1612">
        <v>37</v>
      </c>
      <c r="D1612">
        <v>24</v>
      </c>
      <c r="E1612" s="1">
        <f t="shared" si="25"/>
        <v>0.64864864864864868</v>
      </c>
      <c r="F1612">
        <v>114.4</v>
      </c>
      <c r="G1612">
        <v>98.4</v>
      </c>
      <c r="H1612">
        <v>0.84989999999999999</v>
      </c>
      <c r="I1612">
        <v>51.6</v>
      </c>
      <c r="J1612">
        <v>48.7</v>
      </c>
      <c r="K1612">
        <v>18.100000000000001</v>
      </c>
      <c r="L1612">
        <v>18.7</v>
      </c>
      <c r="M1612">
        <v>31.4</v>
      </c>
      <c r="N1612">
        <v>31.2</v>
      </c>
      <c r="O1612">
        <v>39.700000000000003</v>
      </c>
      <c r="P1612">
        <v>40.200000000000003</v>
      </c>
      <c r="Q1612">
        <v>50.6</v>
      </c>
      <c r="R1612">
        <v>47.1</v>
      </c>
      <c r="S1612">
        <v>35.5</v>
      </c>
      <c r="T1612">
        <v>34.4</v>
      </c>
      <c r="U1612">
        <v>65</v>
      </c>
      <c r="V1612">
        <v>0.5</v>
      </c>
      <c r="W1612" cm="1">
        <f t="array" ref="W1612">_xlfn.IFS(OR(X1612="N/A",X1612="NA"),0,OR(X1612="R64",X1612="R68"),1,X1612="R32",2,X1612="S16",3,X1612="E8",4,X1612="F4",5,X1612="2ND",6,X1612="Champions",7)</f>
        <v>0</v>
      </c>
      <c r="X1612" t="s">
        <v>90</v>
      </c>
      <c r="Y1612" t="s">
        <v>90</v>
      </c>
      <c r="Z1612">
        <v>2014</v>
      </c>
    </row>
    <row r="1613" spans="1:26" x14ac:dyDescent="0.3">
      <c r="A1613" t="s">
        <v>367</v>
      </c>
      <c r="B1613" t="s">
        <v>29</v>
      </c>
      <c r="C1613">
        <v>33</v>
      </c>
      <c r="D1613">
        <v>19</v>
      </c>
      <c r="E1613" s="1">
        <f t="shared" si="25"/>
        <v>0.5757575757575758</v>
      </c>
      <c r="F1613">
        <v>111.1</v>
      </c>
      <c r="G1613">
        <v>102</v>
      </c>
      <c r="H1613">
        <v>0.72770000000000001</v>
      </c>
      <c r="I1613">
        <v>48.2</v>
      </c>
      <c r="J1613">
        <v>48.4</v>
      </c>
      <c r="K1613">
        <v>15.9</v>
      </c>
      <c r="L1613">
        <v>19.899999999999999</v>
      </c>
      <c r="M1613">
        <v>33.1</v>
      </c>
      <c r="N1613">
        <v>35.5</v>
      </c>
      <c r="O1613">
        <v>39.6</v>
      </c>
      <c r="P1613">
        <v>43.3</v>
      </c>
      <c r="Q1613">
        <v>46.5</v>
      </c>
      <c r="R1613">
        <v>46.2</v>
      </c>
      <c r="S1613">
        <v>33.9</v>
      </c>
      <c r="T1613">
        <v>34.700000000000003</v>
      </c>
      <c r="U1613">
        <v>69.8</v>
      </c>
      <c r="V1613">
        <v>-2.7</v>
      </c>
      <c r="W1613" cm="1">
        <f t="array" ref="W1613">_xlfn.IFS(OR(X1613="N/A",X1613="NA"),0,OR(X1613="R64",X1613="R68"),1,X1613="R32",2,X1613="S16",3,X1613="E8",4,X1613="F4",5,X1613="2ND",6,X1613="Champions",7)</f>
        <v>0</v>
      </c>
      <c r="X1613" t="s">
        <v>90</v>
      </c>
      <c r="Y1613" t="s">
        <v>90</v>
      </c>
      <c r="Z1613">
        <v>2014</v>
      </c>
    </row>
    <row r="1614" spans="1:26" x14ac:dyDescent="0.3">
      <c r="A1614" t="s">
        <v>359</v>
      </c>
      <c r="B1614" t="s">
        <v>29</v>
      </c>
      <c r="C1614">
        <v>33</v>
      </c>
      <c r="D1614">
        <v>14</v>
      </c>
      <c r="E1614" s="1">
        <f t="shared" si="25"/>
        <v>0.42424242424242425</v>
      </c>
      <c r="F1614">
        <v>100.7</v>
      </c>
      <c r="G1614">
        <v>102.5</v>
      </c>
      <c r="H1614">
        <v>0.44679999999999997</v>
      </c>
      <c r="I1614">
        <v>48.5</v>
      </c>
      <c r="J1614">
        <v>51.1</v>
      </c>
      <c r="K1614">
        <v>20.2</v>
      </c>
      <c r="L1614">
        <v>20.3</v>
      </c>
      <c r="M1614">
        <v>28.6</v>
      </c>
      <c r="N1614">
        <v>31.5</v>
      </c>
      <c r="O1614">
        <v>43.3</v>
      </c>
      <c r="P1614">
        <v>33</v>
      </c>
      <c r="Q1614">
        <v>49.5</v>
      </c>
      <c r="R1614">
        <v>52.3</v>
      </c>
      <c r="S1614">
        <v>30.7</v>
      </c>
      <c r="T1614">
        <v>32.6</v>
      </c>
      <c r="U1614">
        <v>68.400000000000006</v>
      </c>
      <c r="V1614">
        <v>-9</v>
      </c>
      <c r="W1614" cm="1">
        <f t="array" ref="W1614">_xlfn.IFS(OR(X1614="N/A",X1614="NA"),0,OR(X1614="R64",X1614="R68"),1,X1614="R32",2,X1614="S16",3,X1614="E8",4,X1614="F4",5,X1614="2ND",6,X1614="Champions",7)</f>
        <v>0</v>
      </c>
      <c r="X1614" t="s">
        <v>90</v>
      </c>
      <c r="Y1614" t="s">
        <v>90</v>
      </c>
      <c r="Z1614">
        <v>2014</v>
      </c>
    </row>
    <row r="1615" spans="1:26" x14ac:dyDescent="0.3">
      <c r="A1615" t="s">
        <v>396</v>
      </c>
      <c r="B1615" t="s">
        <v>76</v>
      </c>
      <c r="C1615">
        <v>29</v>
      </c>
      <c r="D1615">
        <v>6</v>
      </c>
      <c r="E1615" s="1">
        <f t="shared" si="25"/>
        <v>0.20689655172413793</v>
      </c>
      <c r="F1615">
        <v>93.3</v>
      </c>
      <c r="G1615">
        <v>115.5</v>
      </c>
      <c r="H1615">
        <v>7.9399999999999998E-2</v>
      </c>
      <c r="I1615">
        <v>45.3</v>
      </c>
      <c r="J1615">
        <v>54.8</v>
      </c>
      <c r="K1615">
        <v>20.3</v>
      </c>
      <c r="L1615">
        <v>18.600000000000001</v>
      </c>
      <c r="M1615">
        <v>29.9</v>
      </c>
      <c r="N1615">
        <v>32</v>
      </c>
      <c r="O1615">
        <v>36.1</v>
      </c>
      <c r="P1615">
        <v>49.3</v>
      </c>
      <c r="Q1615">
        <v>44.7</v>
      </c>
      <c r="R1615">
        <v>54.5</v>
      </c>
      <c r="S1615">
        <v>31.1</v>
      </c>
      <c r="T1615">
        <v>37.200000000000003</v>
      </c>
      <c r="U1615">
        <v>72.900000000000006</v>
      </c>
      <c r="V1615">
        <v>-18.100000000000001</v>
      </c>
      <c r="W1615" cm="1">
        <f t="array" ref="W1615">_xlfn.IFS(OR(X1615="N/A",X1615="NA"),0,OR(X1615="R64",X1615="R68"),1,X1615="R32",2,X1615="S16",3,X1615="E8",4,X1615="F4",5,X1615="2ND",6,X1615="Champions",7)</f>
        <v>0</v>
      </c>
      <c r="X1615" t="s">
        <v>90</v>
      </c>
      <c r="Y1615" t="s">
        <v>90</v>
      </c>
      <c r="Z1615">
        <v>2014</v>
      </c>
    </row>
    <row r="1616" spans="1:26" x14ac:dyDescent="0.3">
      <c r="A1616" t="s">
        <v>360</v>
      </c>
      <c r="B1616" t="s">
        <v>29</v>
      </c>
      <c r="C1616">
        <v>35</v>
      </c>
      <c r="D1616">
        <v>23</v>
      </c>
      <c r="E1616" s="1">
        <f t="shared" si="25"/>
        <v>0.65714285714285714</v>
      </c>
      <c r="F1616">
        <v>114.2</v>
      </c>
      <c r="G1616">
        <v>102.9</v>
      </c>
      <c r="H1616">
        <v>0.76819999999999999</v>
      </c>
      <c r="I1616">
        <v>51.2</v>
      </c>
      <c r="J1616">
        <v>47.8</v>
      </c>
      <c r="K1616">
        <v>19</v>
      </c>
      <c r="L1616">
        <v>15.9</v>
      </c>
      <c r="M1616">
        <v>34.700000000000003</v>
      </c>
      <c r="N1616">
        <v>30.7</v>
      </c>
      <c r="O1616">
        <v>52.5</v>
      </c>
      <c r="P1616">
        <v>37.700000000000003</v>
      </c>
      <c r="Q1616">
        <v>51</v>
      </c>
      <c r="R1616">
        <v>46.6</v>
      </c>
      <c r="S1616">
        <v>34.4</v>
      </c>
      <c r="T1616">
        <v>33.200000000000003</v>
      </c>
      <c r="U1616">
        <v>66.400000000000006</v>
      </c>
      <c r="V1616">
        <v>1.3</v>
      </c>
      <c r="W1616" cm="1">
        <f t="array" ref="W1616">_xlfn.IFS(OR(X1616="N/A",X1616="NA"),0,OR(X1616="R64",X1616="R68"),1,X1616="R32",2,X1616="S16",3,X1616="E8",4,X1616="F4",5,X1616="2ND",6,X1616="Champions",7)</f>
        <v>0</v>
      </c>
      <c r="X1616" t="s">
        <v>90</v>
      </c>
      <c r="Y1616" t="s">
        <v>90</v>
      </c>
      <c r="Z1616">
        <v>2014</v>
      </c>
    </row>
    <row r="1617" spans="1:26" x14ac:dyDescent="0.3">
      <c r="A1617" t="s">
        <v>280</v>
      </c>
      <c r="B1617" t="s">
        <v>47</v>
      </c>
      <c r="C1617">
        <v>32</v>
      </c>
      <c r="D1617">
        <v>19</v>
      </c>
      <c r="E1617" s="1">
        <f t="shared" si="25"/>
        <v>0.59375</v>
      </c>
      <c r="F1617">
        <v>105.2</v>
      </c>
      <c r="G1617">
        <v>104.3</v>
      </c>
      <c r="H1617">
        <v>0.52539999999999998</v>
      </c>
      <c r="I1617">
        <v>49.6</v>
      </c>
      <c r="J1617">
        <v>51.1</v>
      </c>
      <c r="K1617">
        <v>17</v>
      </c>
      <c r="L1617">
        <v>18.100000000000001</v>
      </c>
      <c r="M1617">
        <v>27.1</v>
      </c>
      <c r="N1617">
        <v>28.6</v>
      </c>
      <c r="O1617">
        <v>40.9</v>
      </c>
      <c r="P1617">
        <v>42.9</v>
      </c>
      <c r="Q1617">
        <v>47.1</v>
      </c>
      <c r="R1617">
        <v>50.2</v>
      </c>
      <c r="S1617">
        <v>35.9</v>
      </c>
      <c r="T1617">
        <v>35.1</v>
      </c>
      <c r="U1617">
        <v>65.099999999999994</v>
      </c>
      <c r="V1617">
        <v>-3.3</v>
      </c>
      <c r="W1617" cm="1">
        <f t="array" ref="W1617">_xlfn.IFS(OR(X1617="N/A",X1617="NA"),0,OR(X1617="R64",X1617="R68"),1,X1617="R32",2,X1617="S16",3,X1617="E8",4,X1617="F4",5,X1617="2ND",6,X1617="Champions",7)</f>
        <v>0</v>
      </c>
      <c r="X1617" t="s">
        <v>90</v>
      </c>
      <c r="Y1617" t="s">
        <v>90</v>
      </c>
      <c r="Z1617">
        <v>2014</v>
      </c>
    </row>
    <row r="1618" spans="1:26" x14ac:dyDescent="0.3">
      <c r="A1618" t="s">
        <v>244</v>
      </c>
      <c r="B1618" t="s">
        <v>69</v>
      </c>
      <c r="C1618">
        <v>32</v>
      </c>
      <c r="D1618">
        <v>11</v>
      </c>
      <c r="E1618" s="1">
        <f t="shared" si="25"/>
        <v>0.34375</v>
      </c>
      <c r="F1618">
        <v>95.7</v>
      </c>
      <c r="G1618">
        <v>104.4</v>
      </c>
      <c r="H1618">
        <v>0.26850000000000002</v>
      </c>
      <c r="I1618">
        <v>46.8</v>
      </c>
      <c r="J1618">
        <v>51.2</v>
      </c>
      <c r="K1618">
        <v>20.5</v>
      </c>
      <c r="L1618">
        <v>21.3</v>
      </c>
      <c r="M1618">
        <v>33.700000000000003</v>
      </c>
      <c r="N1618">
        <v>30.9</v>
      </c>
      <c r="O1618">
        <v>40.6</v>
      </c>
      <c r="P1618">
        <v>48.6</v>
      </c>
      <c r="Q1618">
        <v>45.4</v>
      </c>
      <c r="R1618">
        <v>50</v>
      </c>
      <c r="S1618">
        <v>33.6</v>
      </c>
      <c r="T1618">
        <v>35.299999999999997</v>
      </c>
      <c r="U1618">
        <v>68.3</v>
      </c>
      <c r="V1618">
        <v>-14.7</v>
      </c>
      <c r="W1618" cm="1">
        <f t="array" ref="W1618">_xlfn.IFS(OR(X1618="N/A",X1618="NA"),0,OR(X1618="R64",X1618="R68"),1,X1618="R32",2,X1618="S16",3,X1618="E8",4,X1618="F4",5,X1618="2ND",6,X1618="Champions",7)</f>
        <v>0</v>
      </c>
      <c r="X1618" t="s">
        <v>90</v>
      </c>
      <c r="Y1618" t="s">
        <v>90</v>
      </c>
      <c r="Z1618">
        <v>2014</v>
      </c>
    </row>
    <row r="1619" spans="1:26" x14ac:dyDescent="0.3">
      <c r="A1619" t="s">
        <v>166</v>
      </c>
      <c r="B1619" t="s">
        <v>164</v>
      </c>
      <c r="C1619">
        <v>28</v>
      </c>
      <c r="D1619">
        <v>15</v>
      </c>
      <c r="E1619" s="1">
        <f t="shared" si="25"/>
        <v>0.5357142857142857</v>
      </c>
      <c r="F1619">
        <v>106.8</v>
      </c>
      <c r="G1619">
        <v>111.5</v>
      </c>
      <c r="H1619">
        <v>0.37990000000000002</v>
      </c>
      <c r="I1619">
        <v>54.7</v>
      </c>
      <c r="J1619">
        <v>52.8</v>
      </c>
      <c r="K1619">
        <v>15.9</v>
      </c>
      <c r="L1619">
        <v>18.399999999999999</v>
      </c>
      <c r="M1619">
        <v>24.7</v>
      </c>
      <c r="N1619">
        <v>34.5</v>
      </c>
      <c r="O1619">
        <v>42.3</v>
      </c>
      <c r="P1619">
        <v>45.6</v>
      </c>
      <c r="Q1619">
        <v>54.1</v>
      </c>
      <c r="R1619">
        <v>52.4</v>
      </c>
      <c r="S1619">
        <v>37</v>
      </c>
      <c r="T1619">
        <v>35.700000000000003</v>
      </c>
      <c r="U1619">
        <v>61.6</v>
      </c>
      <c r="V1619">
        <v>-8.8000000000000007</v>
      </c>
      <c r="W1619" cm="1">
        <f t="array" ref="W1619">_xlfn.IFS(OR(X1619="N/A",X1619="NA"),0,OR(X1619="R64",X1619="R68"),1,X1619="R32",2,X1619="S16",3,X1619="E8",4,X1619="F4",5,X1619="2ND",6,X1619="Champions",7)</f>
        <v>0</v>
      </c>
      <c r="X1619" t="s">
        <v>90</v>
      </c>
      <c r="Y1619" t="s">
        <v>90</v>
      </c>
      <c r="Z1619">
        <v>2014</v>
      </c>
    </row>
    <row r="1620" spans="1:26" x14ac:dyDescent="0.3">
      <c r="A1620" t="s">
        <v>167</v>
      </c>
      <c r="B1620" t="s">
        <v>164</v>
      </c>
      <c r="C1620">
        <v>29</v>
      </c>
      <c r="D1620">
        <v>12</v>
      </c>
      <c r="E1620" s="1">
        <f t="shared" si="25"/>
        <v>0.41379310344827586</v>
      </c>
      <c r="F1620">
        <v>94.7</v>
      </c>
      <c r="G1620">
        <v>108.6</v>
      </c>
      <c r="H1620">
        <v>0.1714</v>
      </c>
      <c r="I1620">
        <v>48</v>
      </c>
      <c r="J1620">
        <v>53.8</v>
      </c>
      <c r="K1620">
        <v>18</v>
      </c>
      <c r="L1620">
        <v>19.600000000000001</v>
      </c>
      <c r="M1620">
        <v>25.8</v>
      </c>
      <c r="N1620">
        <v>27.4</v>
      </c>
      <c r="O1620">
        <v>39.299999999999997</v>
      </c>
      <c r="P1620">
        <v>38.700000000000003</v>
      </c>
      <c r="Q1620">
        <v>46.8</v>
      </c>
      <c r="R1620">
        <v>52.6</v>
      </c>
      <c r="S1620">
        <v>33.799999999999997</v>
      </c>
      <c r="T1620">
        <v>37.299999999999997</v>
      </c>
      <c r="U1620">
        <v>65.900000000000006</v>
      </c>
      <c r="V1620">
        <v>-13.2</v>
      </c>
      <c r="W1620" cm="1">
        <f t="array" ref="W1620">_xlfn.IFS(OR(X1620="N/A",X1620="NA"),0,OR(X1620="R64",X1620="R68"),1,X1620="R32",2,X1620="S16",3,X1620="E8",4,X1620="F4",5,X1620="2ND",6,X1620="Champions",7)</f>
        <v>0</v>
      </c>
      <c r="X1620" t="s">
        <v>90</v>
      </c>
      <c r="Y1620" t="s">
        <v>90</v>
      </c>
      <c r="Z1620">
        <v>2014</v>
      </c>
    </row>
    <row r="1621" spans="1:26" x14ac:dyDescent="0.3">
      <c r="A1621" t="s">
        <v>308</v>
      </c>
      <c r="B1621" t="s">
        <v>64</v>
      </c>
      <c r="C1621">
        <v>32</v>
      </c>
      <c r="D1621">
        <v>18</v>
      </c>
      <c r="E1621" s="1">
        <f t="shared" si="25"/>
        <v>0.5625</v>
      </c>
      <c r="F1621">
        <v>101.9</v>
      </c>
      <c r="G1621">
        <v>104.5</v>
      </c>
      <c r="H1621">
        <v>0.42749999999999999</v>
      </c>
      <c r="I1621">
        <v>49.3</v>
      </c>
      <c r="J1621">
        <v>51</v>
      </c>
      <c r="K1621">
        <v>22.1</v>
      </c>
      <c r="L1621">
        <v>20.6</v>
      </c>
      <c r="M1621">
        <v>38.1</v>
      </c>
      <c r="N1621">
        <v>27.5</v>
      </c>
      <c r="O1621">
        <v>53.2</v>
      </c>
      <c r="P1621">
        <v>52.3</v>
      </c>
      <c r="Q1621">
        <v>51.1</v>
      </c>
      <c r="R1621">
        <v>50.6</v>
      </c>
      <c r="S1621">
        <v>30.4</v>
      </c>
      <c r="T1621">
        <v>34.6</v>
      </c>
      <c r="U1621">
        <v>69.599999999999994</v>
      </c>
      <c r="V1621">
        <v>-6.5</v>
      </c>
      <c r="W1621" cm="1">
        <f t="array" ref="W1621">_xlfn.IFS(OR(X1621="N/A",X1621="NA"),0,OR(X1621="R64",X1621="R68"),1,X1621="R32",2,X1621="S16",3,X1621="E8",4,X1621="F4",5,X1621="2ND",6,X1621="Champions",7)</f>
        <v>0</v>
      </c>
      <c r="X1621" t="s">
        <v>90</v>
      </c>
      <c r="Y1621" t="s">
        <v>90</v>
      </c>
      <c r="Z1621">
        <v>2014</v>
      </c>
    </row>
    <row r="1622" spans="1:26" x14ac:dyDescent="0.3">
      <c r="A1622" t="s">
        <v>269</v>
      </c>
      <c r="B1622" t="s">
        <v>66</v>
      </c>
      <c r="C1622">
        <v>31</v>
      </c>
      <c r="D1622">
        <v>15</v>
      </c>
      <c r="E1622" s="1">
        <f t="shared" si="25"/>
        <v>0.4838709677419355</v>
      </c>
      <c r="F1622">
        <v>99.8</v>
      </c>
      <c r="G1622">
        <v>105.3</v>
      </c>
      <c r="H1622">
        <v>0.35089999999999999</v>
      </c>
      <c r="I1622">
        <v>46.5</v>
      </c>
      <c r="J1622">
        <v>48.6</v>
      </c>
      <c r="K1622">
        <v>18.399999999999999</v>
      </c>
      <c r="L1622">
        <v>19.8</v>
      </c>
      <c r="M1622">
        <v>36.1</v>
      </c>
      <c r="N1622">
        <v>34</v>
      </c>
      <c r="O1622">
        <v>41.5</v>
      </c>
      <c r="P1622">
        <v>44.7</v>
      </c>
      <c r="Q1622">
        <v>49.5</v>
      </c>
      <c r="R1622">
        <v>46.6</v>
      </c>
      <c r="S1622">
        <v>26.1</v>
      </c>
      <c r="T1622">
        <v>35.6</v>
      </c>
      <c r="U1622">
        <v>69.599999999999994</v>
      </c>
      <c r="V1622">
        <v>-10.1</v>
      </c>
      <c r="W1622" cm="1">
        <f t="array" ref="W1622">_xlfn.IFS(OR(X1622="N/A",X1622="NA"),0,OR(X1622="R64",X1622="R68"),1,X1622="R32",2,X1622="S16",3,X1622="E8",4,X1622="F4",5,X1622="2ND",6,X1622="Champions",7)</f>
        <v>0</v>
      </c>
      <c r="X1622" t="s">
        <v>90</v>
      </c>
      <c r="Y1622" t="s">
        <v>90</v>
      </c>
      <c r="Z1622">
        <v>2014</v>
      </c>
    </row>
    <row r="1623" spans="1:26" x14ac:dyDescent="0.3">
      <c r="A1623" t="s">
        <v>309</v>
      </c>
      <c r="B1623" t="s">
        <v>64</v>
      </c>
      <c r="C1623">
        <v>32</v>
      </c>
      <c r="D1623">
        <v>21</v>
      </c>
      <c r="E1623" s="1">
        <f t="shared" si="25"/>
        <v>0.65625</v>
      </c>
      <c r="F1623">
        <v>109.1</v>
      </c>
      <c r="G1623">
        <v>105.3</v>
      </c>
      <c r="H1623">
        <v>0.60170000000000001</v>
      </c>
      <c r="I1623">
        <v>53.7</v>
      </c>
      <c r="J1623">
        <v>49.4</v>
      </c>
      <c r="K1623">
        <v>18</v>
      </c>
      <c r="L1623">
        <v>17</v>
      </c>
      <c r="M1623">
        <v>31.7</v>
      </c>
      <c r="N1623">
        <v>31.3</v>
      </c>
      <c r="O1623">
        <v>45.9</v>
      </c>
      <c r="P1623">
        <v>35</v>
      </c>
      <c r="Q1623">
        <v>52.2</v>
      </c>
      <c r="R1623">
        <v>49.8</v>
      </c>
      <c r="S1623">
        <v>37.6</v>
      </c>
      <c r="T1623">
        <v>32.200000000000003</v>
      </c>
      <c r="U1623">
        <v>67.5</v>
      </c>
      <c r="V1623">
        <v>-5.9</v>
      </c>
      <c r="W1623" cm="1">
        <f t="array" ref="W1623">_xlfn.IFS(OR(X1623="N/A",X1623="NA"),0,OR(X1623="R64",X1623="R68"),1,X1623="R32",2,X1623="S16",3,X1623="E8",4,X1623="F4",5,X1623="2ND",6,X1623="Champions",7)</f>
        <v>0</v>
      </c>
      <c r="X1623" t="s">
        <v>90</v>
      </c>
      <c r="Y1623" t="s">
        <v>90</v>
      </c>
      <c r="Z1623">
        <v>2014</v>
      </c>
    </row>
    <row r="1624" spans="1:26" x14ac:dyDescent="0.3">
      <c r="A1624" t="s">
        <v>334</v>
      </c>
      <c r="B1624" t="s">
        <v>67</v>
      </c>
      <c r="C1624">
        <v>29</v>
      </c>
      <c r="D1624">
        <v>8</v>
      </c>
      <c r="E1624" s="1">
        <f t="shared" si="25"/>
        <v>0.27586206896551724</v>
      </c>
      <c r="F1624">
        <v>93.7</v>
      </c>
      <c r="G1624">
        <v>106</v>
      </c>
      <c r="H1624">
        <v>0.1943</v>
      </c>
      <c r="I1624">
        <v>45.8</v>
      </c>
      <c r="J1624">
        <v>51.2</v>
      </c>
      <c r="K1624">
        <v>20</v>
      </c>
      <c r="L1624">
        <v>20.8</v>
      </c>
      <c r="M1624">
        <v>29.7</v>
      </c>
      <c r="N1624">
        <v>29.8</v>
      </c>
      <c r="O1624">
        <v>29.4</v>
      </c>
      <c r="P1624">
        <v>43.2</v>
      </c>
      <c r="Q1624">
        <v>43.7</v>
      </c>
      <c r="R1624">
        <v>49.8</v>
      </c>
      <c r="S1624">
        <v>32.9</v>
      </c>
      <c r="T1624">
        <v>35.700000000000003</v>
      </c>
      <c r="U1624">
        <v>63.6</v>
      </c>
      <c r="V1624">
        <v>-15.8</v>
      </c>
      <c r="W1624" cm="1">
        <f t="array" ref="W1624">_xlfn.IFS(OR(X1624="N/A",X1624="NA"),0,OR(X1624="R64",X1624="R68"),1,X1624="R32",2,X1624="S16",3,X1624="E8",4,X1624="F4",5,X1624="2ND",6,X1624="Champions",7)</f>
        <v>0</v>
      </c>
      <c r="X1624" t="s">
        <v>90</v>
      </c>
      <c r="Y1624" t="s">
        <v>90</v>
      </c>
      <c r="Z1624">
        <v>2014</v>
      </c>
    </row>
    <row r="1625" spans="1:26" x14ac:dyDescent="0.3">
      <c r="A1625" t="s">
        <v>383</v>
      </c>
      <c r="B1625" t="s">
        <v>72</v>
      </c>
      <c r="C1625">
        <v>29</v>
      </c>
      <c r="D1625">
        <v>14</v>
      </c>
      <c r="E1625" s="1">
        <f t="shared" si="25"/>
        <v>0.48275862068965519</v>
      </c>
      <c r="F1625">
        <v>103.7</v>
      </c>
      <c r="G1625">
        <v>104.4</v>
      </c>
      <c r="H1625">
        <v>0.47960000000000003</v>
      </c>
      <c r="I1625">
        <v>49.6</v>
      </c>
      <c r="J1625">
        <v>51.6</v>
      </c>
      <c r="K1625">
        <v>17.2</v>
      </c>
      <c r="L1625">
        <v>20.6</v>
      </c>
      <c r="M1625">
        <v>28.4</v>
      </c>
      <c r="N1625">
        <v>31.1</v>
      </c>
      <c r="O1625">
        <v>39.299999999999997</v>
      </c>
      <c r="P1625">
        <v>36.799999999999997</v>
      </c>
      <c r="Q1625">
        <v>49.5</v>
      </c>
      <c r="R1625">
        <v>51.5</v>
      </c>
      <c r="S1625">
        <v>33.200000000000003</v>
      </c>
      <c r="T1625">
        <v>34.5</v>
      </c>
      <c r="U1625">
        <v>74.099999999999994</v>
      </c>
      <c r="V1625">
        <v>-8</v>
      </c>
      <c r="W1625" cm="1">
        <f t="array" ref="W1625">_xlfn.IFS(OR(X1625="N/A",X1625="NA"),0,OR(X1625="R64",X1625="R68"),1,X1625="R32",2,X1625="S16",3,X1625="E8",4,X1625="F4",5,X1625="2ND",6,X1625="Champions",7)</f>
        <v>0</v>
      </c>
      <c r="X1625" t="s">
        <v>90</v>
      </c>
      <c r="Y1625" t="s">
        <v>90</v>
      </c>
      <c r="Z1625">
        <v>2014</v>
      </c>
    </row>
    <row r="1626" spans="1:26" x14ac:dyDescent="0.3">
      <c r="A1626" t="s">
        <v>286</v>
      </c>
      <c r="B1626" t="s">
        <v>55</v>
      </c>
      <c r="C1626">
        <v>32</v>
      </c>
      <c r="D1626">
        <v>15</v>
      </c>
      <c r="E1626" s="1">
        <f t="shared" si="25"/>
        <v>0.46875</v>
      </c>
      <c r="F1626">
        <v>109.1</v>
      </c>
      <c r="G1626">
        <v>107</v>
      </c>
      <c r="H1626">
        <v>0.55610000000000004</v>
      </c>
      <c r="I1626">
        <v>49.2</v>
      </c>
      <c r="J1626">
        <v>50</v>
      </c>
      <c r="K1626">
        <v>15.5</v>
      </c>
      <c r="L1626">
        <v>15.9</v>
      </c>
      <c r="M1626">
        <v>31.1</v>
      </c>
      <c r="N1626">
        <v>31.7</v>
      </c>
      <c r="O1626">
        <v>38.1</v>
      </c>
      <c r="P1626">
        <v>40.5</v>
      </c>
      <c r="Q1626">
        <v>48.5</v>
      </c>
      <c r="R1626">
        <v>49.9</v>
      </c>
      <c r="S1626">
        <v>33.799999999999997</v>
      </c>
      <c r="T1626">
        <v>33.5</v>
      </c>
      <c r="U1626">
        <v>65.5</v>
      </c>
      <c r="V1626">
        <v>-7.5</v>
      </c>
      <c r="W1626" cm="1">
        <f t="array" ref="W1626">_xlfn.IFS(OR(X1626="N/A",X1626="NA"),0,OR(X1626="R64",X1626="R68"),1,X1626="R32",2,X1626="S16",3,X1626="E8",4,X1626="F4",5,X1626="2ND",6,X1626="Champions",7)</f>
        <v>0</v>
      </c>
      <c r="X1626" t="s">
        <v>90</v>
      </c>
      <c r="Y1626" t="s">
        <v>90</v>
      </c>
      <c r="Z1626">
        <v>2014</v>
      </c>
    </row>
    <row r="1627" spans="1:26" x14ac:dyDescent="0.3">
      <c r="A1627" t="s">
        <v>115</v>
      </c>
      <c r="B1627" t="s">
        <v>112</v>
      </c>
      <c r="C1627">
        <v>29</v>
      </c>
      <c r="D1627">
        <v>5</v>
      </c>
      <c r="E1627" s="1">
        <f t="shared" si="25"/>
        <v>0.17241379310344829</v>
      </c>
      <c r="F1627">
        <v>89.4</v>
      </c>
      <c r="G1627">
        <v>106.6</v>
      </c>
      <c r="H1627">
        <v>0.1167</v>
      </c>
      <c r="I1627">
        <v>43.7</v>
      </c>
      <c r="J1627">
        <v>46.6</v>
      </c>
      <c r="K1627">
        <v>20.5</v>
      </c>
      <c r="L1627">
        <v>17</v>
      </c>
      <c r="M1627">
        <v>27.3</v>
      </c>
      <c r="N1627">
        <v>29.1</v>
      </c>
      <c r="O1627">
        <v>32.299999999999997</v>
      </c>
      <c r="P1627">
        <v>43.8</v>
      </c>
      <c r="Q1627">
        <v>39.700000000000003</v>
      </c>
      <c r="R1627">
        <v>46.5</v>
      </c>
      <c r="S1627">
        <v>32.9</v>
      </c>
      <c r="T1627">
        <v>31.3</v>
      </c>
      <c r="U1627">
        <v>62.7</v>
      </c>
      <c r="V1627">
        <v>-19.3</v>
      </c>
      <c r="W1627" cm="1">
        <f t="array" ref="W1627">_xlfn.IFS(OR(X1627="N/A",X1627="NA"),0,OR(X1627="R64",X1627="R68"),1,X1627="R32",2,X1627="S16",3,X1627="E8",4,X1627="F4",5,X1627="2ND",6,X1627="Champions",7)</f>
        <v>0</v>
      </c>
      <c r="X1627" t="s">
        <v>90</v>
      </c>
      <c r="Y1627" t="s">
        <v>90</v>
      </c>
      <c r="Z1627">
        <v>2014</v>
      </c>
    </row>
    <row r="1628" spans="1:26" x14ac:dyDescent="0.3">
      <c r="A1628" t="s">
        <v>374</v>
      </c>
      <c r="B1628" t="s">
        <v>61</v>
      </c>
      <c r="C1628">
        <v>24</v>
      </c>
      <c r="D1628">
        <v>9</v>
      </c>
      <c r="E1628" s="1">
        <f t="shared" si="25"/>
        <v>0.375</v>
      </c>
      <c r="F1628">
        <v>94.7</v>
      </c>
      <c r="G1628">
        <v>112.8</v>
      </c>
      <c r="H1628">
        <v>0.1187</v>
      </c>
      <c r="I1628">
        <v>46.7</v>
      </c>
      <c r="J1628">
        <v>53.2</v>
      </c>
      <c r="K1628">
        <v>23.4</v>
      </c>
      <c r="L1628">
        <v>19.7</v>
      </c>
      <c r="M1628">
        <v>34.1</v>
      </c>
      <c r="N1628">
        <v>33.1</v>
      </c>
      <c r="O1628">
        <v>51.8</v>
      </c>
      <c r="P1628">
        <v>42.5</v>
      </c>
      <c r="Q1628">
        <v>45.6</v>
      </c>
      <c r="R1628">
        <v>52.7</v>
      </c>
      <c r="S1628">
        <v>32.9</v>
      </c>
      <c r="T1628">
        <v>36.4</v>
      </c>
      <c r="U1628">
        <v>71.8</v>
      </c>
      <c r="V1628">
        <v>-10.199999999999999</v>
      </c>
      <c r="W1628" cm="1">
        <f t="array" ref="W1628">_xlfn.IFS(OR(X1628="N/A",X1628="NA"),0,OR(X1628="R64",X1628="R68"),1,X1628="R32",2,X1628="S16",3,X1628="E8",4,X1628="F4",5,X1628="2ND",6,X1628="Champions",7)</f>
        <v>0</v>
      </c>
      <c r="X1628" t="s">
        <v>90</v>
      </c>
      <c r="Y1628" t="s">
        <v>90</v>
      </c>
      <c r="Z1628">
        <v>2014</v>
      </c>
    </row>
    <row r="1629" spans="1:26" x14ac:dyDescent="0.3">
      <c r="A1629" t="s">
        <v>245</v>
      </c>
      <c r="B1629" t="s">
        <v>69</v>
      </c>
      <c r="C1629">
        <v>33</v>
      </c>
      <c r="D1629">
        <v>7</v>
      </c>
      <c r="E1629" s="1">
        <f t="shared" si="25"/>
        <v>0.21212121212121213</v>
      </c>
      <c r="F1629">
        <v>100.5</v>
      </c>
      <c r="G1629">
        <v>110.2</v>
      </c>
      <c r="H1629">
        <v>0.25919999999999999</v>
      </c>
      <c r="I1629">
        <v>47.2</v>
      </c>
      <c r="J1629">
        <v>54.7</v>
      </c>
      <c r="K1629">
        <v>18.5</v>
      </c>
      <c r="L1629">
        <v>20.2</v>
      </c>
      <c r="M1629">
        <v>32.1</v>
      </c>
      <c r="N1629">
        <v>34.5</v>
      </c>
      <c r="O1629">
        <v>48.6</v>
      </c>
      <c r="P1629">
        <v>50.6</v>
      </c>
      <c r="Q1629">
        <v>48</v>
      </c>
      <c r="R1629">
        <v>53.3</v>
      </c>
      <c r="S1629">
        <v>30</v>
      </c>
      <c r="T1629">
        <v>38.4</v>
      </c>
      <c r="U1629">
        <v>72.400000000000006</v>
      </c>
      <c r="V1629">
        <v>-19.3</v>
      </c>
      <c r="W1629" cm="1">
        <f t="array" ref="W1629">_xlfn.IFS(OR(X1629="N/A",X1629="NA"),0,OR(X1629="R64",X1629="R68"),1,X1629="R32",2,X1629="S16",3,X1629="E8",4,X1629="F4",5,X1629="2ND",6,X1629="Champions",7)</f>
        <v>0</v>
      </c>
      <c r="X1629" t="s">
        <v>90</v>
      </c>
      <c r="Y1629" t="s">
        <v>90</v>
      </c>
      <c r="Z1629">
        <v>2014</v>
      </c>
    </row>
    <row r="1630" spans="1:26" x14ac:dyDescent="0.3">
      <c r="A1630" t="s">
        <v>375</v>
      </c>
      <c r="B1630" t="s">
        <v>61</v>
      </c>
      <c r="C1630">
        <v>28</v>
      </c>
      <c r="D1630">
        <v>13</v>
      </c>
      <c r="E1630" s="1">
        <f t="shared" si="25"/>
        <v>0.4642857142857143</v>
      </c>
      <c r="F1630">
        <v>97.4</v>
      </c>
      <c r="G1630">
        <v>111.3</v>
      </c>
      <c r="H1630">
        <v>0.17680000000000001</v>
      </c>
      <c r="I1630">
        <v>49.8</v>
      </c>
      <c r="J1630">
        <v>51.7</v>
      </c>
      <c r="K1630">
        <v>18.2</v>
      </c>
      <c r="L1630">
        <v>19.2</v>
      </c>
      <c r="M1630">
        <v>28.2</v>
      </c>
      <c r="N1630">
        <v>31.2</v>
      </c>
      <c r="O1630">
        <v>39.5</v>
      </c>
      <c r="P1630">
        <v>60.7</v>
      </c>
      <c r="Q1630">
        <v>52.2</v>
      </c>
      <c r="R1630">
        <v>52.2</v>
      </c>
      <c r="S1630">
        <v>30.4</v>
      </c>
      <c r="T1630">
        <v>33.700000000000003</v>
      </c>
      <c r="U1630">
        <v>65.5</v>
      </c>
      <c r="V1630">
        <v>-10.4</v>
      </c>
      <c r="W1630" cm="1">
        <f t="array" ref="W1630">_xlfn.IFS(OR(X1630="N/A",X1630="NA"),0,OR(X1630="R64",X1630="R68"),1,X1630="R32",2,X1630="S16",3,X1630="E8",4,X1630="F4",5,X1630="2ND",6,X1630="Champions",7)</f>
        <v>0</v>
      </c>
      <c r="X1630" t="s">
        <v>90</v>
      </c>
      <c r="Y1630" t="s">
        <v>90</v>
      </c>
      <c r="Z1630">
        <v>2014</v>
      </c>
    </row>
    <row r="1631" spans="1:26" x14ac:dyDescent="0.3">
      <c r="A1631" t="s">
        <v>138</v>
      </c>
      <c r="B1631" t="s">
        <v>418</v>
      </c>
      <c r="C1631">
        <v>25</v>
      </c>
      <c r="D1631">
        <v>9</v>
      </c>
      <c r="E1631" s="1">
        <f t="shared" si="25"/>
        <v>0.36</v>
      </c>
      <c r="F1631">
        <v>95.1</v>
      </c>
      <c r="G1631">
        <v>110.4</v>
      </c>
      <c r="H1631">
        <v>0.15290000000000001</v>
      </c>
      <c r="I1631">
        <v>48</v>
      </c>
      <c r="J1631">
        <v>50.3</v>
      </c>
      <c r="K1631">
        <v>18.600000000000001</v>
      </c>
      <c r="L1631">
        <v>18.8</v>
      </c>
      <c r="M1631">
        <v>26.1</v>
      </c>
      <c r="N1631">
        <v>32.700000000000003</v>
      </c>
      <c r="O1631">
        <v>38.799999999999997</v>
      </c>
      <c r="P1631">
        <v>47.5</v>
      </c>
      <c r="Q1631">
        <v>45</v>
      </c>
      <c r="R1631">
        <v>49.8</v>
      </c>
      <c r="S1631">
        <v>35.700000000000003</v>
      </c>
      <c r="T1631">
        <v>34.1</v>
      </c>
      <c r="U1631">
        <v>68.8</v>
      </c>
      <c r="V1631">
        <v>-12.4</v>
      </c>
      <c r="W1631" cm="1">
        <f t="array" ref="W1631">_xlfn.IFS(OR(X1631="N/A",X1631="NA"),0,OR(X1631="R64",X1631="R68"),1,X1631="R32",2,X1631="S16",3,X1631="E8",4,X1631="F4",5,X1631="2ND",6,X1631="Champions",7)</f>
        <v>0</v>
      </c>
      <c r="X1631" t="s">
        <v>90</v>
      </c>
      <c r="Y1631" t="s">
        <v>90</v>
      </c>
      <c r="Z1631">
        <v>2014</v>
      </c>
    </row>
    <row r="1632" spans="1:26" x14ac:dyDescent="0.3">
      <c r="A1632" t="s">
        <v>270</v>
      </c>
      <c r="B1632" t="s">
        <v>66</v>
      </c>
      <c r="C1632">
        <v>31</v>
      </c>
      <c r="D1632">
        <v>16</v>
      </c>
      <c r="E1632" s="1">
        <f t="shared" si="25"/>
        <v>0.5161290322580645</v>
      </c>
      <c r="F1632">
        <v>101.9</v>
      </c>
      <c r="G1632">
        <v>108.5</v>
      </c>
      <c r="H1632">
        <v>0.32519999999999999</v>
      </c>
      <c r="I1632">
        <v>50.1</v>
      </c>
      <c r="J1632">
        <v>49.4</v>
      </c>
      <c r="K1632">
        <v>20.399999999999999</v>
      </c>
      <c r="L1632">
        <v>19.100000000000001</v>
      </c>
      <c r="M1632">
        <v>36.799999999999997</v>
      </c>
      <c r="N1632">
        <v>32.700000000000003</v>
      </c>
      <c r="O1632">
        <v>38.4</v>
      </c>
      <c r="P1632">
        <v>44.6</v>
      </c>
      <c r="Q1632">
        <v>49.5</v>
      </c>
      <c r="R1632">
        <v>47.8</v>
      </c>
      <c r="S1632">
        <v>34.4</v>
      </c>
      <c r="T1632">
        <v>34.700000000000003</v>
      </c>
      <c r="U1632">
        <v>64.400000000000006</v>
      </c>
      <c r="V1632">
        <v>-9.5</v>
      </c>
      <c r="W1632" cm="1">
        <f t="array" ref="W1632">_xlfn.IFS(OR(X1632="N/A",X1632="NA"),0,OR(X1632="R64",X1632="R68"),1,X1632="R32",2,X1632="S16",3,X1632="E8",4,X1632="F4",5,X1632="2ND",6,X1632="Champions",7)</f>
        <v>0</v>
      </c>
      <c r="X1632" t="s">
        <v>90</v>
      </c>
      <c r="Y1632" t="s">
        <v>90</v>
      </c>
      <c r="Z1632">
        <v>2014</v>
      </c>
    </row>
    <row r="1633" spans="1:26" x14ac:dyDescent="0.3">
      <c r="A1633" t="s">
        <v>271</v>
      </c>
      <c r="B1633" t="s">
        <v>66</v>
      </c>
      <c r="C1633">
        <v>31</v>
      </c>
      <c r="D1633">
        <v>8</v>
      </c>
      <c r="E1633" s="1">
        <f t="shared" si="25"/>
        <v>0.25806451612903225</v>
      </c>
      <c r="F1633">
        <v>93.1</v>
      </c>
      <c r="G1633">
        <v>113</v>
      </c>
      <c r="H1633">
        <v>9.7500000000000003E-2</v>
      </c>
      <c r="I1633">
        <v>42.7</v>
      </c>
      <c r="J1633">
        <v>50.1</v>
      </c>
      <c r="K1633">
        <v>22.1</v>
      </c>
      <c r="L1633">
        <v>17.899999999999999</v>
      </c>
      <c r="M1633">
        <v>33.4</v>
      </c>
      <c r="N1633">
        <v>32.1</v>
      </c>
      <c r="O1633">
        <v>58.6</v>
      </c>
      <c r="P1633">
        <v>54.4</v>
      </c>
      <c r="Q1633">
        <v>41.9</v>
      </c>
      <c r="R1633">
        <v>47.8</v>
      </c>
      <c r="S1633">
        <v>29.5</v>
      </c>
      <c r="T1633">
        <v>35.9</v>
      </c>
      <c r="U1633">
        <v>67.2</v>
      </c>
      <c r="V1633">
        <v>-17.899999999999999</v>
      </c>
      <c r="W1633" cm="1">
        <f t="array" ref="W1633">_xlfn.IFS(OR(X1633="N/A",X1633="NA"),0,OR(X1633="R64",X1633="R68"),1,X1633="R32",2,X1633="S16",3,X1633="E8",4,X1633="F4",5,X1633="2ND",6,X1633="Champions",7)</f>
        <v>0</v>
      </c>
      <c r="X1633" t="s">
        <v>90</v>
      </c>
      <c r="Y1633" t="s">
        <v>90</v>
      </c>
      <c r="Z1633">
        <v>2014</v>
      </c>
    </row>
    <row r="1634" spans="1:26" x14ac:dyDescent="0.3">
      <c r="A1634" t="s">
        <v>168</v>
      </c>
      <c r="B1634" t="s">
        <v>164</v>
      </c>
      <c r="C1634">
        <v>32</v>
      </c>
      <c r="D1634">
        <v>15</v>
      </c>
      <c r="E1634" s="1">
        <f t="shared" si="25"/>
        <v>0.46875</v>
      </c>
      <c r="F1634">
        <v>103.7</v>
      </c>
      <c r="G1634">
        <v>112.5</v>
      </c>
      <c r="H1634">
        <v>0.28189999999999998</v>
      </c>
      <c r="I1634">
        <v>49.9</v>
      </c>
      <c r="J1634">
        <v>55.4</v>
      </c>
      <c r="K1634">
        <v>16.399999999999999</v>
      </c>
      <c r="L1634">
        <v>20.9</v>
      </c>
      <c r="M1634">
        <v>30.7</v>
      </c>
      <c r="N1634">
        <v>31.7</v>
      </c>
      <c r="O1634">
        <v>41.6</v>
      </c>
      <c r="P1634">
        <v>48.4</v>
      </c>
      <c r="Q1634">
        <v>50.8</v>
      </c>
      <c r="R1634">
        <v>55.2</v>
      </c>
      <c r="S1634">
        <v>32</v>
      </c>
      <c r="T1634">
        <v>37.299999999999997</v>
      </c>
      <c r="U1634">
        <v>69.7</v>
      </c>
      <c r="V1634">
        <v>-10.7</v>
      </c>
      <c r="W1634" cm="1">
        <f t="array" ref="W1634">_xlfn.IFS(OR(X1634="N/A",X1634="NA"),0,OR(X1634="R64",X1634="R68"),1,X1634="R32",2,X1634="S16",3,X1634="E8",4,X1634="F4",5,X1634="2ND",6,X1634="Champions",7)</f>
        <v>0</v>
      </c>
      <c r="X1634" t="s">
        <v>90</v>
      </c>
      <c r="Y1634" t="s">
        <v>90</v>
      </c>
      <c r="Z1634">
        <v>2014</v>
      </c>
    </row>
    <row r="1635" spans="1:26" x14ac:dyDescent="0.3">
      <c r="A1635" t="s">
        <v>139</v>
      </c>
      <c r="B1635" t="s">
        <v>131</v>
      </c>
      <c r="C1635">
        <v>30</v>
      </c>
      <c r="D1635">
        <v>14</v>
      </c>
      <c r="E1635" s="1">
        <f t="shared" si="25"/>
        <v>0.46666666666666667</v>
      </c>
      <c r="F1635">
        <v>101.8</v>
      </c>
      <c r="G1635">
        <v>110.8</v>
      </c>
      <c r="H1635">
        <v>0.27329999999999999</v>
      </c>
      <c r="I1635">
        <v>49.4</v>
      </c>
      <c r="J1635">
        <v>51.3</v>
      </c>
      <c r="K1635">
        <v>21.9</v>
      </c>
      <c r="L1635">
        <v>15.5</v>
      </c>
      <c r="M1635">
        <v>34</v>
      </c>
      <c r="N1635">
        <v>31.1</v>
      </c>
      <c r="O1635">
        <v>40.5</v>
      </c>
      <c r="P1635">
        <v>40.200000000000003</v>
      </c>
      <c r="Q1635">
        <v>47.4</v>
      </c>
      <c r="R1635">
        <v>50.1</v>
      </c>
      <c r="S1635">
        <v>35.4</v>
      </c>
      <c r="T1635">
        <v>36.299999999999997</v>
      </c>
      <c r="U1635">
        <v>68.8</v>
      </c>
      <c r="V1635">
        <v>-8.9</v>
      </c>
      <c r="W1635" cm="1">
        <f t="array" ref="W1635">_xlfn.IFS(OR(X1635="N/A",X1635="NA"),0,OR(X1635="R64",X1635="R68"),1,X1635="R32",2,X1635="S16",3,X1635="E8",4,X1635="F4",5,X1635="2ND",6,X1635="Champions",7)</f>
        <v>0</v>
      </c>
      <c r="X1635" t="s">
        <v>90</v>
      </c>
      <c r="Y1635" t="s">
        <v>90</v>
      </c>
      <c r="Z1635">
        <v>2014</v>
      </c>
    </row>
    <row r="1636" spans="1:26" x14ac:dyDescent="0.3">
      <c r="A1636" t="s">
        <v>213</v>
      </c>
      <c r="B1636" t="s">
        <v>40</v>
      </c>
      <c r="C1636">
        <v>30</v>
      </c>
      <c r="D1636">
        <v>14</v>
      </c>
      <c r="E1636" s="1">
        <f t="shared" si="25"/>
        <v>0.46666666666666667</v>
      </c>
      <c r="F1636">
        <v>99.7</v>
      </c>
      <c r="G1636">
        <v>104.5</v>
      </c>
      <c r="H1636">
        <v>0.36849999999999999</v>
      </c>
      <c r="I1636">
        <v>46.5</v>
      </c>
      <c r="J1636">
        <v>48.9</v>
      </c>
      <c r="K1636">
        <v>18.100000000000001</v>
      </c>
      <c r="L1636">
        <v>17.600000000000001</v>
      </c>
      <c r="M1636">
        <v>29.2</v>
      </c>
      <c r="N1636">
        <v>30.5</v>
      </c>
      <c r="O1636">
        <v>41.3</v>
      </c>
      <c r="P1636">
        <v>42.5</v>
      </c>
      <c r="Q1636">
        <v>44.8</v>
      </c>
      <c r="R1636">
        <v>47</v>
      </c>
      <c r="S1636">
        <v>34.200000000000003</v>
      </c>
      <c r="T1636">
        <v>35.5</v>
      </c>
      <c r="U1636">
        <v>69.099999999999994</v>
      </c>
      <c r="V1636">
        <v>-9.5</v>
      </c>
      <c r="W1636" cm="1">
        <f t="array" ref="W1636">_xlfn.IFS(OR(X1636="N/A",X1636="NA"),0,OR(X1636="R64",X1636="R68"),1,X1636="R32",2,X1636="S16",3,X1636="E8",4,X1636="F4",5,X1636="2ND",6,X1636="Champions",7)</f>
        <v>0</v>
      </c>
      <c r="X1636" t="s">
        <v>90</v>
      </c>
      <c r="Y1636" t="s">
        <v>90</v>
      </c>
      <c r="Z1636">
        <v>2014</v>
      </c>
    </row>
    <row r="1637" spans="1:26" x14ac:dyDescent="0.3">
      <c r="A1637" t="s">
        <v>206</v>
      </c>
      <c r="B1637" t="s">
        <v>53</v>
      </c>
      <c r="C1637">
        <v>32</v>
      </c>
      <c r="D1637">
        <v>11</v>
      </c>
      <c r="E1637" s="1">
        <f t="shared" si="25"/>
        <v>0.34375</v>
      </c>
      <c r="F1637">
        <v>100.6</v>
      </c>
      <c r="G1637">
        <v>104.5</v>
      </c>
      <c r="H1637">
        <v>0.39219999999999999</v>
      </c>
      <c r="I1637">
        <v>48</v>
      </c>
      <c r="J1637">
        <v>50.8</v>
      </c>
      <c r="K1637">
        <v>20</v>
      </c>
      <c r="L1637">
        <v>17.100000000000001</v>
      </c>
      <c r="M1637">
        <v>32.700000000000003</v>
      </c>
      <c r="N1637">
        <v>29.7</v>
      </c>
      <c r="O1637">
        <v>44.4</v>
      </c>
      <c r="P1637">
        <v>33.4</v>
      </c>
      <c r="Q1637">
        <v>47.7</v>
      </c>
      <c r="R1637">
        <v>48.7</v>
      </c>
      <c r="S1637">
        <v>32.4</v>
      </c>
      <c r="T1637">
        <v>37.1</v>
      </c>
      <c r="U1637">
        <v>65.099999999999994</v>
      </c>
      <c r="V1637">
        <v>-13.6</v>
      </c>
      <c r="W1637" cm="1">
        <f t="array" ref="W1637">_xlfn.IFS(OR(X1637="N/A",X1637="NA"),0,OR(X1637="R64",X1637="R68"),1,X1637="R32",2,X1637="S16",3,X1637="E8",4,X1637="F4",5,X1637="2ND",6,X1637="Champions",7)</f>
        <v>0</v>
      </c>
      <c r="X1637" t="s">
        <v>90</v>
      </c>
      <c r="Y1637" t="s">
        <v>90</v>
      </c>
      <c r="Z1637">
        <v>2014</v>
      </c>
    </row>
    <row r="1638" spans="1:26" x14ac:dyDescent="0.3">
      <c r="A1638" t="s">
        <v>169</v>
      </c>
      <c r="B1638" t="s">
        <v>164</v>
      </c>
      <c r="C1638">
        <v>31</v>
      </c>
      <c r="D1638">
        <v>14</v>
      </c>
      <c r="E1638" s="1">
        <f t="shared" si="25"/>
        <v>0.45161290322580644</v>
      </c>
      <c r="F1638">
        <v>99.9</v>
      </c>
      <c r="G1638">
        <v>108.5</v>
      </c>
      <c r="H1638">
        <v>0.27879999999999999</v>
      </c>
      <c r="I1638">
        <v>49.9</v>
      </c>
      <c r="J1638">
        <v>53</v>
      </c>
      <c r="K1638">
        <v>19.600000000000001</v>
      </c>
      <c r="L1638">
        <v>18.399999999999999</v>
      </c>
      <c r="M1638">
        <v>33.1</v>
      </c>
      <c r="N1638">
        <v>28</v>
      </c>
      <c r="O1638">
        <v>34.299999999999997</v>
      </c>
      <c r="P1638">
        <v>40.1</v>
      </c>
      <c r="Q1638">
        <v>48.9</v>
      </c>
      <c r="R1638">
        <v>49.3</v>
      </c>
      <c r="S1638">
        <v>35</v>
      </c>
      <c r="T1638">
        <v>40.1</v>
      </c>
      <c r="U1638">
        <v>64.099999999999994</v>
      </c>
      <c r="V1638">
        <v>-12</v>
      </c>
      <c r="W1638" cm="1">
        <f t="array" ref="W1638">_xlfn.IFS(OR(X1638="N/A",X1638="NA"),0,OR(X1638="R64",X1638="R68"),1,X1638="R32",2,X1638="S16",3,X1638="E8",4,X1638="F4",5,X1638="2ND",6,X1638="Champions",7)</f>
        <v>0</v>
      </c>
      <c r="X1638" t="s">
        <v>90</v>
      </c>
      <c r="Y1638" t="s">
        <v>90</v>
      </c>
      <c r="Z1638">
        <v>2014</v>
      </c>
    </row>
    <row r="1639" spans="1:26" x14ac:dyDescent="0.3">
      <c r="A1639" t="s">
        <v>170</v>
      </c>
      <c r="B1639" t="s">
        <v>164</v>
      </c>
      <c r="C1639">
        <v>30</v>
      </c>
      <c r="D1639">
        <v>16</v>
      </c>
      <c r="E1639" s="1">
        <f t="shared" si="25"/>
        <v>0.53333333333333333</v>
      </c>
      <c r="F1639">
        <v>108.3</v>
      </c>
      <c r="G1639">
        <v>115.5</v>
      </c>
      <c r="H1639">
        <v>0.32079999999999997</v>
      </c>
      <c r="I1639">
        <v>53.9</v>
      </c>
      <c r="J1639">
        <v>54.1</v>
      </c>
      <c r="K1639">
        <v>17.2</v>
      </c>
      <c r="L1639">
        <v>19</v>
      </c>
      <c r="M1639">
        <v>33.4</v>
      </c>
      <c r="N1639">
        <v>30.9</v>
      </c>
      <c r="O1639">
        <v>37.6</v>
      </c>
      <c r="P1639">
        <v>40.700000000000003</v>
      </c>
      <c r="Q1639">
        <v>52.7</v>
      </c>
      <c r="R1639">
        <v>52.7</v>
      </c>
      <c r="S1639">
        <v>37.9</v>
      </c>
      <c r="T1639">
        <v>37.9</v>
      </c>
      <c r="U1639">
        <v>64.400000000000006</v>
      </c>
      <c r="V1639">
        <v>-8.8000000000000007</v>
      </c>
      <c r="W1639" cm="1">
        <f t="array" ref="W1639">_xlfn.IFS(OR(X1639="N/A",X1639="NA"),0,OR(X1639="R64",X1639="R68"),1,X1639="R32",2,X1639="S16",3,X1639="E8",4,X1639="F4",5,X1639="2ND",6,X1639="Champions",7)</f>
        <v>0</v>
      </c>
      <c r="X1639" t="s">
        <v>90</v>
      </c>
      <c r="Y1639" t="s">
        <v>90</v>
      </c>
      <c r="Z1639">
        <v>2014</v>
      </c>
    </row>
    <row r="1640" spans="1:26" x14ac:dyDescent="0.3">
      <c r="A1640" t="s">
        <v>258</v>
      </c>
      <c r="B1640" t="s">
        <v>57</v>
      </c>
      <c r="C1640">
        <v>31</v>
      </c>
      <c r="D1640">
        <v>14</v>
      </c>
      <c r="E1640" s="1">
        <f t="shared" si="25"/>
        <v>0.45161290322580644</v>
      </c>
      <c r="F1640">
        <v>94.1</v>
      </c>
      <c r="G1640">
        <v>97.4</v>
      </c>
      <c r="H1640">
        <v>0.40160000000000001</v>
      </c>
      <c r="I1640">
        <v>42.6</v>
      </c>
      <c r="J1640">
        <v>46.7</v>
      </c>
      <c r="K1640">
        <v>22.9</v>
      </c>
      <c r="L1640">
        <v>20.8</v>
      </c>
      <c r="M1640">
        <v>35.9</v>
      </c>
      <c r="N1640">
        <v>31</v>
      </c>
      <c r="O1640">
        <v>50.6</v>
      </c>
      <c r="P1640">
        <v>47.1</v>
      </c>
      <c r="Q1640">
        <v>43.2</v>
      </c>
      <c r="R1640">
        <v>47.3</v>
      </c>
      <c r="S1640">
        <v>27.6</v>
      </c>
      <c r="T1640">
        <v>30.5</v>
      </c>
      <c r="U1640">
        <v>63.2</v>
      </c>
      <c r="V1640">
        <v>-10.6</v>
      </c>
      <c r="W1640" cm="1">
        <f t="array" ref="W1640">_xlfn.IFS(OR(X1640="N/A",X1640="NA"),0,OR(X1640="R64",X1640="R68"),1,X1640="R32",2,X1640="S16",3,X1640="E8",4,X1640="F4",5,X1640="2ND",6,X1640="Champions",7)</f>
        <v>0</v>
      </c>
      <c r="X1640" t="s">
        <v>90</v>
      </c>
      <c r="Y1640" t="s">
        <v>90</v>
      </c>
      <c r="Z1640">
        <v>2014</v>
      </c>
    </row>
    <row r="1641" spans="1:26" x14ac:dyDescent="0.3">
      <c r="A1641" t="s">
        <v>282</v>
      </c>
      <c r="B1641" t="s">
        <v>47</v>
      </c>
      <c r="C1641">
        <v>30</v>
      </c>
      <c r="D1641">
        <v>15</v>
      </c>
      <c r="E1641" s="1">
        <f t="shared" si="25"/>
        <v>0.5</v>
      </c>
      <c r="F1641">
        <v>113.1</v>
      </c>
      <c r="G1641">
        <v>103.8</v>
      </c>
      <c r="H1641">
        <v>0.7298</v>
      </c>
      <c r="I1641">
        <v>52.7</v>
      </c>
      <c r="J1641">
        <v>51.1</v>
      </c>
      <c r="K1641">
        <v>16.100000000000001</v>
      </c>
      <c r="L1641">
        <v>17.100000000000001</v>
      </c>
      <c r="M1641">
        <v>25.9</v>
      </c>
      <c r="N1641">
        <v>27.9</v>
      </c>
      <c r="O1641">
        <v>38.5</v>
      </c>
      <c r="P1641">
        <v>37.299999999999997</v>
      </c>
      <c r="Q1641">
        <v>51.7</v>
      </c>
      <c r="R1641">
        <v>49.1</v>
      </c>
      <c r="S1641">
        <v>35.9</v>
      </c>
      <c r="T1641">
        <v>36.4</v>
      </c>
      <c r="U1641">
        <v>65.8</v>
      </c>
      <c r="V1641">
        <v>-6.1</v>
      </c>
      <c r="W1641" cm="1">
        <f t="array" ref="W1641">_xlfn.IFS(OR(X1641="N/A",X1641="NA"),0,OR(X1641="R64",X1641="R68"),1,X1641="R32",2,X1641="S16",3,X1641="E8",4,X1641="F4",5,X1641="2ND",6,X1641="Champions",7)</f>
        <v>0</v>
      </c>
      <c r="X1641" t="s">
        <v>90</v>
      </c>
      <c r="Y1641" t="s">
        <v>90</v>
      </c>
      <c r="Z1641">
        <v>2014</v>
      </c>
    </row>
    <row r="1642" spans="1:26" x14ac:dyDescent="0.3">
      <c r="A1642" t="s">
        <v>135</v>
      </c>
      <c r="B1642" t="s">
        <v>131</v>
      </c>
      <c r="C1642">
        <v>30</v>
      </c>
      <c r="D1642">
        <v>9</v>
      </c>
      <c r="E1642" s="1">
        <f t="shared" si="25"/>
        <v>0.3</v>
      </c>
      <c r="F1642">
        <v>102.5</v>
      </c>
      <c r="G1642">
        <v>117</v>
      </c>
      <c r="H1642">
        <v>0.1797</v>
      </c>
      <c r="I1642">
        <v>50.6</v>
      </c>
      <c r="J1642">
        <v>53.3</v>
      </c>
      <c r="K1642">
        <v>17.8</v>
      </c>
      <c r="L1642">
        <v>16.8</v>
      </c>
      <c r="M1642">
        <v>28.4</v>
      </c>
      <c r="N1642">
        <v>32.200000000000003</v>
      </c>
      <c r="O1642">
        <v>35.700000000000003</v>
      </c>
      <c r="P1642">
        <v>48.8</v>
      </c>
      <c r="Q1642">
        <v>49.4</v>
      </c>
      <c r="R1642">
        <v>51.7</v>
      </c>
      <c r="S1642">
        <v>34.9</v>
      </c>
      <c r="T1642">
        <v>37.700000000000003</v>
      </c>
      <c r="U1642">
        <v>63.4</v>
      </c>
      <c r="V1642">
        <v>-16.100000000000001</v>
      </c>
      <c r="W1642" cm="1">
        <f t="array" ref="W1642">_xlfn.IFS(OR(X1642="N/A",X1642="NA"),0,OR(X1642="R64",X1642="R68"),1,X1642="R32",2,X1642="S16",3,X1642="E8",4,X1642="F4",5,X1642="2ND",6,X1642="Champions",7)</f>
        <v>0</v>
      </c>
      <c r="X1642" t="s">
        <v>90</v>
      </c>
      <c r="Y1642" t="s">
        <v>90</v>
      </c>
      <c r="Z1642">
        <v>2014</v>
      </c>
    </row>
    <row r="1643" spans="1:26" x14ac:dyDescent="0.3">
      <c r="A1643" t="s">
        <v>144</v>
      </c>
      <c r="B1643" t="s">
        <v>31</v>
      </c>
      <c r="C1643">
        <v>33</v>
      </c>
      <c r="D1643">
        <v>14</v>
      </c>
      <c r="E1643" s="1">
        <f t="shared" si="25"/>
        <v>0.42424242424242425</v>
      </c>
      <c r="F1643">
        <v>98.8</v>
      </c>
      <c r="G1643">
        <v>94.7</v>
      </c>
      <c r="H1643">
        <v>0.62060000000000004</v>
      </c>
      <c r="I1643">
        <v>46.1</v>
      </c>
      <c r="J1643">
        <v>45.9</v>
      </c>
      <c r="K1643">
        <v>17.3</v>
      </c>
      <c r="L1643">
        <v>16.399999999999999</v>
      </c>
      <c r="M1643">
        <v>22.5</v>
      </c>
      <c r="N1643">
        <v>30.6</v>
      </c>
      <c r="O1643">
        <v>35.5</v>
      </c>
      <c r="P1643">
        <v>38</v>
      </c>
      <c r="Q1643">
        <v>46.1</v>
      </c>
      <c r="R1643">
        <v>45.3</v>
      </c>
      <c r="S1643">
        <v>30.6</v>
      </c>
      <c r="T1643">
        <v>31.5</v>
      </c>
      <c r="U1643">
        <v>62</v>
      </c>
      <c r="V1643">
        <v>-4.2</v>
      </c>
      <c r="W1643" cm="1">
        <f t="array" ref="W1643">_xlfn.IFS(OR(X1643="N/A",X1643="NA"),0,OR(X1643="R64",X1643="R68"),1,X1643="R32",2,X1643="S16",3,X1643="E8",4,X1643="F4",5,X1643="2ND",6,X1643="Champions",7)</f>
        <v>0</v>
      </c>
      <c r="X1643" t="s">
        <v>90</v>
      </c>
      <c r="Y1643" t="s">
        <v>90</v>
      </c>
      <c r="Z1643">
        <v>2014</v>
      </c>
    </row>
    <row r="1644" spans="1:26" x14ac:dyDescent="0.3">
      <c r="A1644" t="s">
        <v>376</v>
      </c>
      <c r="B1644" t="s">
        <v>61</v>
      </c>
      <c r="C1644">
        <v>29</v>
      </c>
      <c r="D1644">
        <v>15</v>
      </c>
      <c r="E1644" s="1">
        <f t="shared" si="25"/>
        <v>0.51724137931034486</v>
      </c>
      <c r="F1644">
        <v>107.1</v>
      </c>
      <c r="G1644">
        <v>109.8</v>
      </c>
      <c r="H1644">
        <v>0.4294</v>
      </c>
      <c r="I1644">
        <v>51.3</v>
      </c>
      <c r="J1644">
        <v>52.1</v>
      </c>
      <c r="K1644">
        <v>17</v>
      </c>
      <c r="L1644">
        <v>20</v>
      </c>
      <c r="M1644">
        <v>32.6</v>
      </c>
      <c r="N1644">
        <v>36.1</v>
      </c>
      <c r="O1644">
        <v>39.799999999999997</v>
      </c>
      <c r="P1644">
        <v>42.9</v>
      </c>
      <c r="Q1644">
        <v>51.4</v>
      </c>
      <c r="R1644">
        <v>51</v>
      </c>
      <c r="S1644">
        <v>34</v>
      </c>
      <c r="T1644">
        <v>36.200000000000003</v>
      </c>
      <c r="U1644">
        <v>75.8</v>
      </c>
      <c r="V1644">
        <v>-7.4</v>
      </c>
      <c r="W1644" cm="1">
        <f t="array" ref="W1644">_xlfn.IFS(OR(X1644="N/A",X1644="NA"),0,OR(X1644="R64",X1644="R68"),1,X1644="R32",2,X1644="S16",3,X1644="E8",4,X1644="F4",5,X1644="2ND",6,X1644="Champions",7)</f>
        <v>0</v>
      </c>
      <c r="X1644" t="s">
        <v>90</v>
      </c>
      <c r="Y1644" t="s">
        <v>90</v>
      </c>
      <c r="Z1644">
        <v>2014</v>
      </c>
    </row>
    <row r="1645" spans="1:26" x14ac:dyDescent="0.3">
      <c r="A1645" t="s">
        <v>56</v>
      </c>
      <c r="B1645" t="s">
        <v>26</v>
      </c>
      <c r="C1645">
        <v>32</v>
      </c>
      <c r="D1645">
        <v>15</v>
      </c>
      <c r="E1645" s="1">
        <f t="shared" si="25"/>
        <v>0.46875</v>
      </c>
      <c r="F1645">
        <v>113.5</v>
      </c>
      <c r="G1645">
        <v>104.9</v>
      </c>
      <c r="H1645">
        <v>0.71179999999999999</v>
      </c>
      <c r="I1645">
        <v>51.7</v>
      </c>
      <c r="J1645">
        <v>51.4</v>
      </c>
      <c r="K1645">
        <v>15.9</v>
      </c>
      <c r="L1645">
        <v>16.8</v>
      </c>
      <c r="M1645">
        <v>32.1</v>
      </c>
      <c r="N1645">
        <v>30.1</v>
      </c>
      <c r="O1645">
        <v>30</v>
      </c>
      <c r="P1645">
        <v>32.1</v>
      </c>
      <c r="Q1645">
        <v>50.7</v>
      </c>
      <c r="R1645">
        <v>48.2</v>
      </c>
      <c r="S1645">
        <v>35.799999999999997</v>
      </c>
      <c r="T1645">
        <v>38.5</v>
      </c>
      <c r="U1645">
        <v>64.7</v>
      </c>
      <c r="V1645">
        <v>-4.5999999999999996</v>
      </c>
      <c r="W1645" cm="1">
        <f t="array" ref="W1645">_xlfn.IFS(OR(X1645="N/A",X1645="NA"),0,OR(X1645="R64",X1645="R68"),1,X1645="R32",2,X1645="S16",3,X1645="E8",4,X1645="F4",5,X1645="2ND",6,X1645="Champions",7)</f>
        <v>0</v>
      </c>
      <c r="X1645" t="s">
        <v>90</v>
      </c>
      <c r="Y1645" t="s">
        <v>90</v>
      </c>
      <c r="Z1645">
        <v>2014</v>
      </c>
    </row>
    <row r="1646" spans="1:26" x14ac:dyDescent="0.3">
      <c r="A1646" t="s">
        <v>226</v>
      </c>
      <c r="B1646" t="s">
        <v>43</v>
      </c>
      <c r="C1646">
        <v>31</v>
      </c>
      <c r="D1646">
        <v>11</v>
      </c>
      <c r="E1646" s="1">
        <f t="shared" si="25"/>
        <v>0.35483870967741937</v>
      </c>
      <c r="F1646">
        <v>109</v>
      </c>
      <c r="G1646">
        <v>111</v>
      </c>
      <c r="H1646">
        <v>0.44950000000000001</v>
      </c>
      <c r="I1646">
        <v>50.2</v>
      </c>
      <c r="J1646">
        <v>57.1</v>
      </c>
      <c r="K1646">
        <v>16.100000000000001</v>
      </c>
      <c r="L1646">
        <v>19.7</v>
      </c>
      <c r="M1646">
        <v>25</v>
      </c>
      <c r="N1646">
        <v>30.4</v>
      </c>
      <c r="O1646">
        <v>37.700000000000003</v>
      </c>
      <c r="P1646">
        <v>42.9</v>
      </c>
      <c r="Q1646">
        <v>47</v>
      </c>
      <c r="R1646">
        <v>55.8</v>
      </c>
      <c r="S1646">
        <v>36.6</v>
      </c>
      <c r="T1646">
        <v>39.299999999999997</v>
      </c>
      <c r="U1646">
        <v>68.599999999999994</v>
      </c>
      <c r="V1646">
        <v>-10.7</v>
      </c>
      <c r="W1646" cm="1">
        <f t="array" ref="W1646">_xlfn.IFS(OR(X1646="N/A",X1646="NA"),0,OR(X1646="R64",X1646="R68"),1,X1646="R32",2,X1646="S16",3,X1646="E8",4,X1646="F4",5,X1646="2ND",6,X1646="Champions",7)</f>
        <v>0</v>
      </c>
      <c r="X1646" t="s">
        <v>90</v>
      </c>
      <c r="Y1646" t="s">
        <v>90</v>
      </c>
      <c r="Z1646">
        <v>2014</v>
      </c>
    </row>
    <row r="1647" spans="1:26" x14ac:dyDescent="0.3">
      <c r="A1647" t="s">
        <v>259</v>
      </c>
      <c r="B1647" t="s">
        <v>57</v>
      </c>
      <c r="C1647">
        <v>36</v>
      </c>
      <c r="D1647">
        <v>24</v>
      </c>
      <c r="E1647" s="1">
        <f t="shared" si="25"/>
        <v>0.66666666666666663</v>
      </c>
      <c r="F1647">
        <v>106</v>
      </c>
      <c r="G1647">
        <v>102.8</v>
      </c>
      <c r="H1647">
        <v>0.58620000000000005</v>
      </c>
      <c r="I1647">
        <v>52.4</v>
      </c>
      <c r="J1647">
        <v>46.2</v>
      </c>
      <c r="K1647">
        <v>19.100000000000001</v>
      </c>
      <c r="L1647">
        <v>18.3</v>
      </c>
      <c r="M1647">
        <v>27.4</v>
      </c>
      <c r="N1647">
        <v>30.1</v>
      </c>
      <c r="O1647">
        <v>34.299999999999997</v>
      </c>
      <c r="P1647">
        <v>41.5</v>
      </c>
      <c r="Q1647">
        <v>52.3</v>
      </c>
      <c r="R1647">
        <v>45.7</v>
      </c>
      <c r="S1647">
        <v>35.1</v>
      </c>
      <c r="T1647">
        <v>31.5</v>
      </c>
      <c r="U1647">
        <v>65.900000000000006</v>
      </c>
      <c r="V1647">
        <v>-4.2</v>
      </c>
      <c r="W1647" cm="1">
        <f t="array" ref="W1647">_xlfn.IFS(OR(X1647="N/A",X1647="NA"),0,OR(X1647="R64",X1647="R68"),1,X1647="R32",2,X1647="S16",3,X1647="E8",4,X1647="F4",5,X1647="2ND",6,X1647="Champions",7)</f>
        <v>0</v>
      </c>
      <c r="X1647" t="s">
        <v>90</v>
      </c>
      <c r="Y1647" t="s">
        <v>90</v>
      </c>
      <c r="Z1647">
        <v>2014</v>
      </c>
    </row>
    <row r="1648" spans="1:26" x14ac:dyDescent="0.3">
      <c r="A1648" t="s">
        <v>214</v>
      </c>
      <c r="B1648" t="s">
        <v>40</v>
      </c>
      <c r="C1648">
        <v>36</v>
      </c>
      <c r="D1648">
        <v>18</v>
      </c>
      <c r="E1648" s="1">
        <f t="shared" si="25"/>
        <v>0.5</v>
      </c>
      <c r="F1648">
        <v>100.2</v>
      </c>
      <c r="G1648">
        <v>100.4</v>
      </c>
      <c r="H1648">
        <v>0.49380000000000002</v>
      </c>
      <c r="I1648">
        <v>47.7</v>
      </c>
      <c r="J1648">
        <v>47.8</v>
      </c>
      <c r="K1648">
        <v>20.399999999999999</v>
      </c>
      <c r="L1648">
        <v>19.7</v>
      </c>
      <c r="M1648">
        <v>33.200000000000003</v>
      </c>
      <c r="N1648">
        <v>29.5</v>
      </c>
      <c r="O1648">
        <v>39.299999999999997</v>
      </c>
      <c r="P1648">
        <v>44.6</v>
      </c>
      <c r="Q1648">
        <v>47.2</v>
      </c>
      <c r="R1648">
        <v>45</v>
      </c>
      <c r="S1648">
        <v>32.6</v>
      </c>
      <c r="T1648">
        <v>35.799999999999997</v>
      </c>
      <c r="U1648">
        <v>64.2</v>
      </c>
      <c r="V1648">
        <v>-9.1</v>
      </c>
      <c r="W1648" cm="1">
        <f t="array" ref="W1648">_xlfn.IFS(OR(X1648="N/A",X1648="NA"),0,OR(X1648="R64",X1648="R68"),1,X1648="R32",2,X1648="S16",3,X1648="E8",4,X1648="F4",5,X1648="2ND",6,X1648="Champions",7)</f>
        <v>0</v>
      </c>
      <c r="X1648" t="s">
        <v>90</v>
      </c>
      <c r="Y1648" t="s">
        <v>90</v>
      </c>
      <c r="Z1648">
        <v>2014</v>
      </c>
    </row>
    <row r="1649" spans="1:26" x14ac:dyDescent="0.3">
      <c r="A1649" t="s">
        <v>384</v>
      </c>
      <c r="B1649" t="s">
        <v>61</v>
      </c>
      <c r="C1649">
        <v>31</v>
      </c>
      <c r="D1649">
        <v>15</v>
      </c>
      <c r="E1649" s="1">
        <f t="shared" si="25"/>
        <v>0.4838709677419355</v>
      </c>
      <c r="F1649">
        <v>107.6</v>
      </c>
      <c r="G1649">
        <v>108.9</v>
      </c>
      <c r="H1649">
        <v>0.46439999999999998</v>
      </c>
      <c r="I1649">
        <v>50.4</v>
      </c>
      <c r="J1649">
        <v>48.8</v>
      </c>
      <c r="K1649">
        <v>17</v>
      </c>
      <c r="L1649">
        <v>16.3</v>
      </c>
      <c r="M1649">
        <v>32.9</v>
      </c>
      <c r="N1649">
        <v>30.8</v>
      </c>
      <c r="O1649">
        <v>41.9</v>
      </c>
      <c r="P1649">
        <v>42.8</v>
      </c>
      <c r="Q1649">
        <v>49.4</v>
      </c>
      <c r="R1649">
        <v>46.1</v>
      </c>
      <c r="S1649">
        <v>35.799999999999997</v>
      </c>
      <c r="T1649">
        <v>37.299999999999997</v>
      </c>
      <c r="U1649">
        <v>64.900000000000006</v>
      </c>
      <c r="V1649">
        <v>-8.9</v>
      </c>
      <c r="W1649" cm="1">
        <f t="array" ref="W1649">_xlfn.IFS(OR(X1649="N/A",X1649="NA"),0,OR(X1649="R64",X1649="R68"),1,X1649="R32",2,X1649="S16",3,X1649="E8",4,X1649="F4",5,X1649="2ND",6,X1649="Champions",7)</f>
        <v>0</v>
      </c>
      <c r="X1649" t="s">
        <v>90</v>
      </c>
      <c r="Y1649" t="s">
        <v>90</v>
      </c>
      <c r="Z1649">
        <v>2014</v>
      </c>
    </row>
    <row r="1650" spans="1:26" x14ac:dyDescent="0.3">
      <c r="A1650" t="s">
        <v>319</v>
      </c>
      <c r="B1650" t="s">
        <v>38</v>
      </c>
      <c r="C1650">
        <v>32</v>
      </c>
      <c r="D1650">
        <v>16</v>
      </c>
      <c r="E1650" s="1">
        <f t="shared" si="25"/>
        <v>0.5</v>
      </c>
      <c r="F1650">
        <v>113.2</v>
      </c>
      <c r="G1650">
        <v>105.2</v>
      </c>
      <c r="H1650">
        <v>0.69889999999999997</v>
      </c>
      <c r="I1650">
        <v>54.1</v>
      </c>
      <c r="J1650">
        <v>50.6</v>
      </c>
      <c r="K1650">
        <v>19.5</v>
      </c>
      <c r="L1650">
        <v>15.2</v>
      </c>
      <c r="M1650">
        <v>30.7</v>
      </c>
      <c r="N1650">
        <v>32</v>
      </c>
      <c r="O1650">
        <v>50.9</v>
      </c>
      <c r="P1650">
        <v>36.799999999999997</v>
      </c>
      <c r="Q1650">
        <v>52.3</v>
      </c>
      <c r="R1650">
        <v>48.5</v>
      </c>
      <c r="S1650">
        <v>39.200000000000003</v>
      </c>
      <c r="T1650">
        <v>36.799999999999997</v>
      </c>
      <c r="U1650">
        <v>67.3</v>
      </c>
      <c r="V1650">
        <v>-3.7</v>
      </c>
      <c r="W1650" cm="1">
        <f t="array" ref="W1650">_xlfn.IFS(OR(X1650="N/A",X1650="NA"),0,OR(X1650="R64",X1650="R68"),1,X1650="R32",2,X1650="S16",3,X1650="E8",4,X1650="F4",5,X1650="2ND",6,X1650="Champions",7)</f>
        <v>0</v>
      </c>
      <c r="X1650" t="s">
        <v>90</v>
      </c>
      <c r="Y1650" t="s">
        <v>90</v>
      </c>
      <c r="Z1650">
        <v>2014</v>
      </c>
    </row>
    <row r="1651" spans="1:26" x14ac:dyDescent="0.3">
      <c r="A1651" t="s">
        <v>410</v>
      </c>
      <c r="B1651" t="s">
        <v>37</v>
      </c>
      <c r="C1651">
        <v>33</v>
      </c>
      <c r="D1651">
        <v>17</v>
      </c>
      <c r="E1651" s="1">
        <f t="shared" si="25"/>
        <v>0.51515151515151514</v>
      </c>
      <c r="F1651">
        <v>108.4</v>
      </c>
      <c r="G1651">
        <v>106.9</v>
      </c>
      <c r="H1651">
        <v>0.54149999999999998</v>
      </c>
      <c r="I1651">
        <v>50.3</v>
      </c>
      <c r="J1651">
        <v>52.9</v>
      </c>
      <c r="K1651">
        <v>18</v>
      </c>
      <c r="L1651">
        <v>17.3</v>
      </c>
      <c r="M1651">
        <v>31.2</v>
      </c>
      <c r="N1651">
        <v>26.8</v>
      </c>
      <c r="O1651">
        <v>40.6</v>
      </c>
      <c r="P1651">
        <v>52.7</v>
      </c>
      <c r="Q1651">
        <v>48.4</v>
      </c>
      <c r="R1651">
        <v>49.7</v>
      </c>
      <c r="S1651">
        <v>36.200000000000003</v>
      </c>
      <c r="T1651">
        <v>38.700000000000003</v>
      </c>
      <c r="U1651">
        <v>67.7</v>
      </c>
      <c r="V1651">
        <v>-6.1</v>
      </c>
      <c r="W1651" cm="1">
        <f t="array" ref="W1651">_xlfn.IFS(OR(X1651="N/A",X1651="NA"),0,OR(X1651="R64",X1651="R68"),1,X1651="R32",2,X1651="S16",3,X1651="E8",4,X1651="F4",5,X1651="2ND",6,X1651="Champions",7)</f>
        <v>0</v>
      </c>
      <c r="X1651" t="s">
        <v>90</v>
      </c>
      <c r="Y1651" t="s">
        <v>90</v>
      </c>
      <c r="Z1651">
        <v>2014</v>
      </c>
    </row>
    <row r="1652" spans="1:26" x14ac:dyDescent="0.3">
      <c r="A1652" t="s">
        <v>236</v>
      </c>
      <c r="B1652" t="s">
        <v>59</v>
      </c>
      <c r="C1652">
        <v>28</v>
      </c>
      <c r="D1652">
        <v>8</v>
      </c>
      <c r="E1652" s="1">
        <f t="shared" si="25"/>
        <v>0.2857142857142857</v>
      </c>
      <c r="F1652">
        <v>98.6</v>
      </c>
      <c r="G1652">
        <v>105.7</v>
      </c>
      <c r="H1652">
        <v>0.30869999999999997</v>
      </c>
      <c r="I1652">
        <v>49.7</v>
      </c>
      <c r="J1652">
        <v>48.9</v>
      </c>
      <c r="K1652">
        <v>22.9</v>
      </c>
      <c r="L1652">
        <v>18.2</v>
      </c>
      <c r="M1652">
        <v>28.6</v>
      </c>
      <c r="N1652">
        <v>34.5</v>
      </c>
      <c r="O1652">
        <v>39.1</v>
      </c>
      <c r="P1652">
        <v>49.5</v>
      </c>
      <c r="Q1652">
        <v>50.3</v>
      </c>
      <c r="R1652">
        <v>44.4</v>
      </c>
      <c r="S1652">
        <v>32.1</v>
      </c>
      <c r="T1652">
        <v>38.299999999999997</v>
      </c>
      <c r="U1652">
        <v>70.099999999999994</v>
      </c>
      <c r="V1652">
        <v>-12.9</v>
      </c>
      <c r="W1652" cm="1">
        <f t="array" ref="W1652">_xlfn.IFS(OR(X1652="N/A",X1652="NA"),0,OR(X1652="R64",X1652="R68"),1,X1652="R32",2,X1652="S16",3,X1652="E8",4,X1652="F4",5,X1652="2ND",6,X1652="Champions",7)</f>
        <v>0</v>
      </c>
      <c r="X1652" t="s">
        <v>90</v>
      </c>
      <c r="Y1652" t="s">
        <v>90</v>
      </c>
      <c r="Z1652">
        <v>2014</v>
      </c>
    </row>
    <row r="1653" spans="1:26" x14ac:dyDescent="0.3">
      <c r="A1653" t="s">
        <v>145</v>
      </c>
      <c r="B1653" t="s">
        <v>31</v>
      </c>
      <c r="C1653">
        <v>34</v>
      </c>
      <c r="D1653">
        <v>16</v>
      </c>
      <c r="E1653" s="1">
        <f t="shared" si="25"/>
        <v>0.47058823529411764</v>
      </c>
      <c r="F1653">
        <v>110.2</v>
      </c>
      <c r="G1653">
        <v>100.4</v>
      </c>
      <c r="H1653">
        <v>0.74329999999999996</v>
      </c>
      <c r="I1653">
        <v>48.3</v>
      </c>
      <c r="J1653">
        <v>47.7</v>
      </c>
      <c r="K1653">
        <v>15.8</v>
      </c>
      <c r="L1653">
        <v>16.399999999999999</v>
      </c>
      <c r="M1653">
        <v>29.9</v>
      </c>
      <c r="N1653">
        <v>28.7</v>
      </c>
      <c r="O1653">
        <v>39.4</v>
      </c>
      <c r="P1653">
        <v>47.9</v>
      </c>
      <c r="Q1653">
        <v>48.6</v>
      </c>
      <c r="R1653">
        <v>44.9</v>
      </c>
      <c r="S1653">
        <v>31.9</v>
      </c>
      <c r="T1653">
        <v>35.200000000000003</v>
      </c>
      <c r="U1653">
        <v>66.2</v>
      </c>
      <c r="V1653">
        <v>-3.7</v>
      </c>
      <c r="W1653" cm="1">
        <f t="array" ref="W1653">_xlfn.IFS(OR(X1653="N/A",X1653="NA"),0,OR(X1653="R64",X1653="R68"),1,X1653="R32",2,X1653="S16",3,X1653="E8",4,X1653="F4",5,X1653="2ND",6,X1653="Champions",7)</f>
        <v>0</v>
      </c>
      <c r="X1653" t="s">
        <v>90</v>
      </c>
      <c r="Y1653" t="s">
        <v>90</v>
      </c>
      <c r="Z1653">
        <v>2014</v>
      </c>
    </row>
    <row r="1654" spans="1:26" x14ac:dyDescent="0.3">
      <c r="A1654" t="s">
        <v>411</v>
      </c>
      <c r="B1654" t="s">
        <v>37</v>
      </c>
      <c r="C1654">
        <v>30</v>
      </c>
      <c r="D1654">
        <v>14</v>
      </c>
      <c r="E1654" s="1">
        <f t="shared" si="25"/>
        <v>0.46666666666666667</v>
      </c>
      <c r="F1654">
        <v>107.1</v>
      </c>
      <c r="G1654">
        <v>106.8</v>
      </c>
      <c r="H1654">
        <v>0.50960000000000005</v>
      </c>
      <c r="I1654">
        <v>51.1</v>
      </c>
      <c r="J1654">
        <v>50</v>
      </c>
      <c r="K1654">
        <v>18.100000000000001</v>
      </c>
      <c r="L1654">
        <v>15.1</v>
      </c>
      <c r="M1654">
        <v>30.9</v>
      </c>
      <c r="N1654">
        <v>32.4</v>
      </c>
      <c r="O1654">
        <v>39</v>
      </c>
      <c r="P1654">
        <v>38.299999999999997</v>
      </c>
      <c r="Q1654">
        <v>49.5</v>
      </c>
      <c r="R1654">
        <v>47.5</v>
      </c>
      <c r="S1654">
        <v>36.200000000000003</v>
      </c>
      <c r="T1654">
        <v>36.700000000000003</v>
      </c>
      <c r="U1654">
        <v>66.900000000000006</v>
      </c>
      <c r="V1654">
        <v>-7.5</v>
      </c>
      <c r="W1654" cm="1">
        <f t="array" ref="W1654">_xlfn.IFS(OR(X1654="N/A",X1654="NA"),0,OR(X1654="R64",X1654="R68"),1,X1654="R32",2,X1654="S16",3,X1654="E8",4,X1654="F4",5,X1654="2ND",6,X1654="Champions",7)</f>
        <v>0</v>
      </c>
      <c r="X1654" t="s">
        <v>90</v>
      </c>
      <c r="Y1654" t="s">
        <v>90</v>
      </c>
      <c r="Z1654">
        <v>2014</v>
      </c>
    </row>
    <row r="1655" spans="1:26" x14ac:dyDescent="0.3">
      <c r="A1655" t="s">
        <v>412</v>
      </c>
      <c r="B1655" t="s">
        <v>37</v>
      </c>
      <c r="C1655">
        <v>31</v>
      </c>
      <c r="D1655">
        <v>15</v>
      </c>
      <c r="E1655" s="1">
        <f t="shared" si="25"/>
        <v>0.4838709677419355</v>
      </c>
      <c r="F1655">
        <v>108.7</v>
      </c>
      <c r="G1655">
        <v>103</v>
      </c>
      <c r="H1655">
        <v>0.65139999999999998</v>
      </c>
      <c r="I1655">
        <v>50.9</v>
      </c>
      <c r="J1655">
        <v>49</v>
      </c>
      <c r="K1655">
        <v>17.100000000000001</v>
      </c>
      <c r="L1655">
        <v>16.7</v>
      </c>
      <c r="M1655">
        <v>32.1</v>
      </c>
      <c r="N1655">
        <v>29.3</v>
      </c>
      <c r="O1655">
        <v>39.5</v>
      </c>
      <c r="P1655">
        <v>43.9</v>
      </c>
      <c r="Q1655">
        <v>47.9</v>
      </c>
      <c r="R1655">
        <v>46</v>
      </c>
      <c r="S1655">
        <v>39.4</v>
      </c>
      <c r="T1655">
        <v>36.9</v>
      </c>
      <c r="U1655">
        <v>67.2</v>
      </c>
      <c r="V1655">
        <v>-7.6</v>
      </c>
      <c r="W1655" cm="1">
        <f t="array" ref="W1655">_xlfn.IFS(OR(X1655="N/A",X1655="NA"),0,OR(X1655="R64",X1655="R68"),1,X1655="R32",2,X1655="S16",3,X1655="E8",4,X1655="F4",5,X1655="2ND",6,X1655="Champions",7)</f>
        <v>0</v>
      </c>
      <c r="X1655" t="s">
        <v>90</v>
      </c>
      <c r="Y1655" t="s">
        <v>90</v>
      </c>
      <c r="Z1655">
        <v>2014</v>
      </c>
    </row>
    <row r="1656" spans="1:26" x14ac:dyDescent="0.3">
      <c r="A1656" t="s">
        <v>171</v>
      </c>
      <c r="B1656" t="s">
        <v>164</v>
      </c>
      <c r="C1656">
        <v>30</v>
      </c>
      <c r="D1656">
        <v>15</v>
      </c>
      <c r="E1656" s="1">
        <f t="shared" si="25"/>
        <v>0.5</v>
      </c>
      <c r="F1656">
        <v>101.5</v>
      </c>
      <c r="G1656">
        <v>111.5</v>
      </c>
      <c r="H1656">
        <v>0.254</v>
      </c>
      <c r="I1656">
        <v>51.7</v>
      </c>
      <c r="J1656">
        <v>53.3</v>
      </c>
      <c r="K1656">
        <v>17.100000000000001</v>
      </c>
      <c r="L1656">
        <v>19.5</v>
      </c>
      <c r="M1656">
        <v>26.3</v>
      </c>
      <c r="N1656">
        <v>32.5</v>
      </c>
      <c r="O1656">
        <v>39.6</v>
      </c>
      <c r="P1656">
        <v>41.5</v>
      </c>
      <c r="Q1656">
        <v>50.5</v>
      </c>
      <c r="R1656">
        <v>52.9</v>
      </c>
      <c r="S1656">
        <v>36.1</v>
      </c>
      <c r="T1656">
        <v>36.4</v>
      </c>
      <c r="U1656">
        <v>66.5</v>
      </c>
      <c r="V1656">
        <v>-10.4</v>
      </c>
      <c r="W1656" cm="1">
        <f t="array" ref="W1656">_xlfn.IFS(OR(X1656="N/A",X1656="NA"),0,OR(X1656="R64",X1656="R68"),1,X1656="R32",2,X1656="S16",3,X1656="E8",4,X1656="F4",5,X1656="2ND",6,X1656="Champions",7)</f>
        <v>0</v>
      </c>
      <c r="X1656" t="s">
        <v>90</v>
      </c>
      <c r="Y1656" t="s">
        <v>90</v>
      </c>
      <c r="Z1656">
        <v>2014</v>
      </c>
    </row>
    <row r="1657" spans="1:26" x14ac:dyDescent="0.3">
      <c r="A1657" t="s">
        <v>397</v>
      </c>
      <c r="B1657" t="s">
        <v>76</v>
      </c>
      <c r="C1657">
        <v>33</v>
      </c>
      <c r="D1657">
        <v>10</v>
      </c>
      <c r="E1657" s="1">
        <f t="shared" si="25"/>
        <v>0.30303030303030304</v>
      </c>
      <c r="F1657">
        <v>95.4</v>
      </c>
      <c r="G1657">
        <v>112.8</v>
      </c>
      <c r="H1657">
        <v>0.12690000000000001</v>
      </c>
      <c r="I1657">
        <v>46.8</v>
      </c>
      <c r="J1657">
        <v>51.8</v>
      </c>
      <c r="K1657">
        <v>20.399999999999999</v>
      </c>
      <c r="L1657">
        <v>19.5</v>
      </c>
      <c r="M1657">
        <v>31.1</v>
      </c>
      <c r="N1657">
        <v>36.9</v>
      </c>
      <c r="O1657">
        <v>40.6</v>
      </c>
      <c r="P1657">
        <v>50.1</v>
      </c>
      <c r="Q1657">
        <v>44.8</v>
      </c>
      <c r="R1657">
        <v>51.7</v>
      </c>
      <c r="S1657">
        <v>33.9</v>
      </c>
      <c r="T1657">
        <v>34.700000000000003</v>
      </c>
      <c r="U1657">
        <v>67.5</v>
      </c>
      <c r="V1657">
        <v>-17.2</v>
      </c>
      <c r="W1657" cm="1">
        <f t="array" ref="W1657">_xlfn.IFS(OR(X1657="N/A",X1657="NA"),0,OR(X1657="R64",X1657="R68"),1,X1657="R32",2,X1657="S16",3,X1657="E8",4,X1657="F4",5,X1657="2ND",6,X1657="Champions",7)</f>
        <v>0</v>
      </c>
      <c r="X1657" t="s">
        <v>90</v>
      </c>
      <c r="Y1657" t="s">
        <v>90</v>
      </c>
      <c r="Z1657">
        <v>2014</v>
      </c>
    </row>
    <row r="1658" spans="1:26" x14ac:dyDescent="0.3">
      <c r="A1658" t="s">
        <v>182</v>
      </c>
      <c r="B1658" t="s">
        <v>74</v>
      </c>
      <c r="C1658">
        <v>30</v>
      </c>
      <c r="D1658">
        <v>4</v>
      </c>
      <c r="E1658" s="1">
        <f t="shared" si="25"/>
        <v>0.13333333333333333</v>
      </c>
      <c r="F1658">
        <v>94.6</v>
      </c>
      <c r="G1658">
        <v>118.2</v>
      </c>
      <c r="H1658">
        <v>7.1199999999999999E-2</v>
      </c>
      <c r="I1658">
        <v>50.1</v>
      </c>
      <c r="J1658">
        <v>54.1</v>
      </c>
      <c r="K1658">
        <v>19.100000000000001</v>
      </c>
      <c r="L1658">
        <v>15</v>
      </c>
      <c r="M1658">
        <v>21.6</v>
      </c>
      <c r="N1658">
        <v>34.5</v>
      </c>
      <c r="O1658">
        <v>30.6</v>
      </c>
      <c r="P1658">
        <v>28.3</v>
      </c>
      <c r="Q1658">
        <v>49.2</v>
      </c>
      <c r="R1658">
        <v>52.7</v>
      </c>
      <c r="S1658">
        <v>34.700000000000003</v>
      </c>
      <c r="T1658">
        <v>37.700000000000003</v>
      </c>
      <c r="U1658">
        <v>65.400000000000006</v>
      </c>
      <c r="V1658">
        <v>-21.7</v>
      </c>
      <c r="W1658" cm="1">
        <f t="array" ref="W1658">_xlfn.IFS(OR(X1658="N/A",X1658="NA"),0,OR(X1658="R64",X1658="R68"),1,X1658="R32",2,X1658="S16",3,X1658="E8",4,X1658="F4",5,X1658="2ND",6,X1658="Champions",7)</f>
        <v>0</v>
      </c>
      <c r="X1658" t="s">
        <v>90</v>
      </c>
      <c r="Y1658" t="s">
        <v>90</v>
      </c>
      <c r="Z1658">
        <v>2014</v>
      </c>
    </row>
    <row r="1659" spans="1:26" x14ac:dyDescent="0.3">
      <c r="A1659" t="s">
        <v>237</v>
      </c>
      <c r="B1659" t="s">
        <v>59</v>
      </c>
      <c r="C1659">
        <v>29</v>
      </c>
      <c r="D1659">
        <v>20</v>
      </c>
      <c r="E1659" s="1">
        <f t="shared" si="25"/>
        <v>0.68965517241379315</v>
      </c>
      <c r="F1659">
        <v>105.1</v>
      </c>
      <c r="G1659">
        <v>98.1</v>
      </c>
      <c r="H1659">
        <v>0.69010000000000005</v>
      </c>
      <c r="I1659">
        <v>52.8</v>
      </c>
      <c r="J1659">
        <v>48</v>
      </c>
      <c r="K1659">
        <v>17.100000000000001</v>
      </c>
      <c r="L1659">
        <v>18.8</v>
      </c>
      <c r="M1659">
        <v>25</v>
      </c>
      <c r="N1659">
        <v>25.1</v>
      </c>
      <c r="O1659">
        <v>38</v>
      </c>
      <c r="P1659">
        <v>37.4</v>
      </c>
      <c r="Q1659">
        <v>52.1</v>
      </c>
      <c r="R1659">
        <v>47.5</v>
      </c>
      <c r="S1659">
        <v>35.700000000000003</v>
      </c>
      <c r="T1659">
        <v>32.799999999999997</v>
      </c>
      <c r="U1659">
        <v>64.8</v>
      </c>
      <c r="V1659">
        <v>-2.5</v>
      </c>
      <c r="W1659" cm="1">
        <f t="array" ref="W1659">_xlfn.IFS(OR(X1659="N/A",X1659="NA"),0,OR(X1659="R64",X1659="R68"),1,X1659="R32",2,X1659="S16",3,X1659="E8",4,X1659="F4",5,X1659="2ND",6,X1659="Champions",7)</f>
        <v>0</v>
      </c>
      <c r="X1659" t="s">
        <v>90</v>
      </c>
      <c r="Y1659" t="s">
        <v>90</v>
      </c>
      <c r="Z1659">
        <v>2014</v>
      </c>
    </row>
    <row r="1660" spans="1:26" x14ac:dyDescent="0.3">
      <c r="A1660" t="s">
        <v>63</v>
      </c>
      <c r="B1660" t="s">
        <v>31</v>
      </c>
      <c r="C1660">
        <v>31</v>
      </c>
      <c r="D1660">
        <v>14</v>
      </c>
      <c r="E1660" s="1">
        <f t="shared" si="25"/>
        <v>0.45161290322580644</v>
      </c>
      <c r="F1660">
        <v>108.6</v>
      </c>
      <c r="G1660">
        <v>100.2</v>
      </c>
      <c r="H1660">
        <v>0.71719999999999995</v>
      </c>
      <c r="I1660">
        <v>47.2</v>
      </c>
      <c r="J1660">
        <v>47.8</v>
      </c>
      <c r="K1660">
        <v>17.8</v>
      </c>
      <c r="L1660">
        <v>16.399999999999999</v>
      </c>
      <c r="M1660">
        <v>36.299999999999997</v>
      </c>
      <c r="N1660">
        <v>30.6</v>
      </c>
      <c r="O1660">
        <v>37.5</v>
      </c>
      <c r="P1660">
        <v>41.9</v>
      </c>
      <c r="Q1660">
        <v>46.2</v>
      </c>
      <c r="R1660">
        <v>46.9</v>
      </c>
      <c r="S1660">
        <v>33.200000000000003</v>
      </c>
      <c r="T1660">
        <v>33</v>
      </c>
      <c r="U1660">
        <v>69</v>
      </c>
      <c r="V1660">
        <v>-3.8</v>
      </c>
      <c r="W1660" cm="1">
        <f t="array" ref="W1660">_xlfn.IFS(OR(X1660="N/A",X1660="NA"),0,OR(X1660="R64",X1660="R68"),1,X1660="R32",2,X1660="S16",3,X1660="E8",4,X1660="F4",5,X1660="2ND",6,X1660="Champions",7)</f>
        <v>0</v>
      </c>
      <c r="X1660" t="s">
        <v>90</v>
      </c>
      <c r="Y1660" t="s">
        <v>90</v>
      </c>
      <c r="Z1660">
        <v>2014</v>
      </c>
    </row>
    <row r="1661" spans="1:26" x14ac:dyDescent="0.3">
      <c r="A1661" t="s">
        <v>246</v>
      </c>
      <c r="B1661" t="s">
        <v>69</v>
      </c>
      <c r="C1661">
        <v>32</v>
      </c>
      <c r="D1661">
        <v>20</v>
      </c>
      <c r="E1661" s="1">
        <f t="shared" si="25"/>
        <v>0.625</v>
      </c>
      <c r="F1661">
        <v>110.3</v>
      </c>
      <c r="G1661">
        <v>109.9</v>
      </c>
      <c r="H1661">
        <v>0.5121</v>
      </c>
      <c r="I1661">
        <v>46.8</v>
      </c>
      <c r="J1661">
        <v>48</v>
      </c>
      <c r="K1661">
        <v>17.600000000000001</v>
      </c>
      <c r="L1661">
        <v>12</v>
      </c>
      <c r="M1661">
        <v>41.9</v>
      </c>
      <c r="N1661">
        <v>27.2</v>
      </c>
      <c r="O1661">
        <v>48.1</v>
      </c>
      <c r="P1661">
        <v>36.200000000000003</v>
      </c>
      <c r="Q1661">
        <v>44.6</v>
      </c>
      <c r="R1661">
        <v>46.5</v>
      </c>
      <c r="S1661">
        <v>35.700000000000003</v>
      </c>
      <c r="T1661">
        <v>34.700000000000003</v>
      </c>
      <c r="U1661">
        <v>69.900000000000006</v>
      </c>
      <c r="V1661">
        <v>-4.9000000000000004</v>
      </c>
      <c r="W1661" cm="1">
        <f t="array" ref="W1661">_xlfn.IFS(OR(X1661="N/A",X1661="NA"),0,OR(X1661="R64",X1661="R68"),1,X1661="R32",2,X1661="S16",3,X1661="E8",4,X1661="F4",5,X1661="2ND",6,X1661="Champions",7)</f>
        <v>0</v>
      </c>
      <c r="X1661" t="s">
        <v>90</v>
      </c>
      <c r="Y1661" t="s">
        <v>90</v>
      </c>
      <c r="Z1661">
        <v>2014</v>
      </c>
    </row>
    <row r="1662" spans="1:26" x14ac:dyDescent="0.3">
      <c r="A1662" t="s">
        <v>183</v>
      </c>
      <c r="B1662" t="s">
        <v>74</v>
      </c>
      <c r="C1662">
        <v>32</v>
      </c>
      <c r="D1662">
        <v>19</v>
      </c>
      <c r="E1662" s="1">
        <f t="shared" si="25"/>
        <v>0.59375</v>
      </c>
      <c r="F1662">
        <v>107.1</v>
      </c>
      <c r="G1662">
        <v>113.7</v>
      </c>
      <c r="H1662">
        <v>0.33589999999999998</v>
      </c>
      <c r="I1662">
        <v>51.9</v>
      </c>
      <c r="J1662">
        <v>52.4</v>
      </c>
      <c r="K1662">
        <v>15.8</v>
      </c>
      <c r="L1662">
        <v>17.5</v>
      </c>
      <c r="M1662">
        <v>31.5</v>
      </c>
      <c r="N1662">
        <v>31.5</v>
      </c>
      <c r="O1662">
        <v>40.4</v>
      </c>
      <c r="P1662">
        <v>39</v>
      </c>
      <c r="Q1662">
        <v>51.3</v>
      </c>
      <c r="R1662">
        <v>50.4</v>
      </c>
      <c r="S1662">
        <v>35.700000000000003</v>
      </c>
      <c r="T1662">
        <v>38.299999999999997</v>
      </c>
      <c r="U1662">
        <v>67.8</v>
      </c>
      <c r="V1662">
        <v>-8.1</v>
      </c>
      <c r="W1662" cm="1">
        <f t="array" ref="W1662">_xlfn.IFS(OR(X1662="N/A",X1662="NA"),0,OR(X1662="R64",X1662="R68"),1,X1662="R32",2,X1662="S16",3,X1662="E8",4,X1662="F4",5,X1662="2ND",6,X1662="Champions",7)</f>
        <v>0</v>
      </c>
      <c r="X1662" t="s">
        <v>90</v>
      </c>
      <c r="Y1662" t="s">
        <v>90</v>
      </c>
      <c r="Z1662">
        <v>2014</v>
      </c>
    </row>
    <row r="1663" spans="1:26" x14ac:dyDescent="0.3">
      <c r="A1663" t="s">
        <v>96</v>
      </c>
      <c r="B1663" t="s">
        <v>45</v>
      </c>
      <c r="C1663">
        <v>31</v>
      </c>
      <c r="D1663">
        <v>14</v>
      </c>
      <c r="E1663" s="1">
        <f t="shared" si="25"/>
        <v>0.45161290322580644</v>
      </c>
      <c r="F1663">
        <v>103.6</v>
      </c>
      <c r="G1663">
        <v>98.6</v>
      </c>
      <c r="H1663">
        <v>0.63819999999999999</v>
      </c>
      <c r="I1663">
        <v>48.6</v>
      </c>
      <c r="J1663">
        <v>46.9</v>
      </c>
      <c r="K1663">
        <v>20.8</v>
      </c>
      <c r="L1663">
        <v>17.399999999999999</v>
      </c>
      <c r="M1663">
        <v>32.9</v>
      </c>
      <c r="N1663">
        <v>31.3</v>
      </c>
      <c r="O1663">
        <v>46.2</v>
      </c>
      <c r="P1663">
        <v>43</v>
      </c>
      <c r="Q1663">
        <v>49.2</v>
      </c>
      <c r="R1663">
        <v>48.5</v>
      </c>
      <c r="S1663">
        <v>31.5</v>
      </c>
      <c r="T1663">
        <v>28.6</v>
      </c>
      <c r="U1663">
        <v>66.400000000000006</v>
      </c>
      <c r="V1663">
        <v>-6.2</v>
      </c>
      <c r="W1663" cm="1">
        <f t="array" ref="W1663">_xlfn.IFS(OR(X1663="N/A",X1663="NA"),0,OR(X1663="R64",X1663="R68"),1,X1663="R32",2,X1663="S16",3,X1663="E8",4,X1663="F4",5,X1663="2ND",6,X1663="Champions",7)</f>
        <v>0</v>
      </c>
      <c r="X1663" t="s">
        <v>90</v>
      </c>
      <c r="Y1663" t="s">
        <v>90</v>
      </c>
      <c r="Z1663">
        <v>2014</v>
      </c>
    </row>
    <row r="1664" spans="1:26" x14ac:dyDescent="0.3">
      <c r="A1664" t="s">
        <v>215</v>
      </c>
      <c r="B1664" t="s">
        <v>40</v>
      </c>
      <c r="C1664">
        <v>28</v>
      </c>
      <c r="D1664">
        <v>5</v>
      </c>
      <c r="E1664" s="1">
        <f t="shared" si="25"/>
        <v>0.17857142857142858</v>
      </c>
      <c r="F1664">
        <v>95.1</v>
      </c>
      <c r="G1664">
        <v>105.8</v>
      </c>
      <c r="H1664">
        <v>0.2266</v>
      </c>
      <c r="I1664">
        <v>48.2</v>
      </c>
      <c r="J1664">
        <v>49.5</v>
      </c>
      <c r="K1664">
        <v>19.600000000000001</v>
      </c>
      <c r="L1664">
        <v>16.8</v>
      </c>
      <c r="M1664">
        <v>21.3</v>
      </c>
      <c r="N1664">
        <v>30.5</v>
      </c>
      <c r="O1664">
        <v>31.9</v>
      </c>
      <c r="P1664">
        <v>46.4</v>
      </c>
      <c r="Q1664">
        <v>47.9</v>
      </c>
      <c r="R1664">
        <v>48.3</v>
      </c>
      <c r="S1664">
        <v>32.4</v>
      </c>
      <c r="T1664">
        <v>34.700000000000003</v>
      </c>
      <c r="U1664">
        <v>64.099999999999994</v>
      </c>
      <c r="V1664">
        <v>-16.3</v>
      </c>
      <c r="W1664" cm="1">
        <f t="array" ref="W1664">_xlfn.IFS(OR(X1664="N/A",X1664="NA"),0,OR(X1664="R64",X1664="R68"),1,X1664="R32",2,X1664="S16",3,X1664="E8",4,X1664="F4",5,X1664="2ND",6,X1664="Champions",7)</f>
        <v>0</v>
      </c>
      <c r="X1664" t="s">
        <v>90</v>
      </c>
      <c r="Y1664" t="s">
        <v>90</v>
      </c>
      <c r="Z1664">
        <v>2014</v>
      </c>
    </row>
    <row r="1665" spans="1:26" x14ac:dyDescent="0.3">
      <c r="A1665" t="s">
        <v>97</v>
      </c>
      <c r="B1665" t="s">
        <v>45</v>
      </c>
      <c r="C1665">
        <v>33</v>
      </c>
      <c r="D1665">
        <v>19</v>
      </c>
      <c r="E1665" s="1">
        <f t="shared" si="25"/>
        <v>0.5757575757575758</v>
      </c>
      <c r="F1665">
        <v>104.1</v>
      </c>
      <c r="G1665">
        <v>96.9</v>
      </c>
      <c r="H1665">
        <v>0.69589999999999996</v>
      </c>
      <c r="I1665">
        <v>48.1</v>
      </c>
      <c r="J1665">
        <v>45.9</v>
      </c>
      <c r="K1665">
        <v>16.2</v>
      </c>
      <c r="L1665">
        <v>20</v>
      </c>
      <c r="M1665">
        <v>25.9</v>
      </c>
      <c r="N1665">
        <v>34.299999999999997</v>
      </c>
      <c r="O1665">
        <v>41</v>
      </c>
      <c r="P1665">
        <v>40.4</v>
      </c>
      <c r="Q1665">
        <v>48</v>
      </c>
      <c r="R1665">
        <v>46.2</v>
      </c>
      <c r="S1665">
        <v>32.200000000000003</v>
      </c>
      <c r="T1665">
        <v>30.1</v>
      </c>
      <c r="U1665">
        <v>64</v>
      </c>
      <c r="V1665">
        <v>-3</v>
      </c>
      <c r="W1665" cm="1">
        <f t="array" ref="W1665">_xlfn.IFS(OR(X1665="N/A",X1665="NA"),0,OR(X1665="R64",X1665="R68"),1,X1665="R32",2,X1665="S16",3,X1665="E8",4,X1665="F4",5,X1665="2ND",6,X1665="Champions",7)</f>
        <v>0</v>
      </c>
      <c r="X1665" t="s">
        <v>90</v>
      </c>
      <c r="Y1665" t="s">
        <v>90</v>
      </c>
      <c r="Z1665">
        <v>2014</v>
      </c>
    </row>
    <row r="1666" spans="1:26" x14ac:dyDescent="0.3">
      <c r="A1666" t="s">
        <v>247</v>
      </c>
      <c r="B1666" t="s">
        <v>69</v>
      </c>
      <c r="C1666">
        <v>31</v>
      </c>
      <c r="D1666">
        <v>14</v>
      </c>
      <c r="E1666" s="1">
        <f t="shared" si="25"/>
        <v>0.45161290322580644</v>
      </c>
      <c r="F1666">
        <v>105.2</v>
      </c>
      <c r="G1666">
        <v>111.1</v>
      </c>
      <c r="H1666">
        <v>0.34960000000000002</v>
      </c>
      <c r="I1666">
        <v>50.6</v>
      </c>
      <c r="J1666">
        <v>53.9</v>
      </c>
      <c r="K1666">
        <v>19</v>
      </c>
      <c r="L1666">
        <v>19.2</v>
      </c>
      <c r="M1666">
        <v>31.2</v>
      </c>
      <c r="N1666">
        <v>31.6</v>
      </c>
      <c r="O1666">
        <v>45.7</v>
      </c>
      <c r="P1666">
        <v>43.8</v>
      </c>
      <c r="Q1666">
        <v>45.7</v>
      </c>
      <c r="R1666">
        <v>51.7</v>
      </c>
      <c r="S1666">
        <v>39.700000000000003</v>
      </c>
      <c r="T1666">
        <v>38.5</v>
      </c>
      <c r="U1666">
        <v>67.099999999999994</v>
      </c>
      <c r="V1666">
        <v>-10.5</v>
      </c>
      <c r="W1666" cm="1">
        <f t="array" ref="W1666">_xlfn.IFS(OR(X1666="N/A",X1666="NA"),0,OR(X1666="R64",X1666="R68"),1,X1666="R32",2,X1666="S16",3,X1666="E8",4,X1666="F4",5,X1666="2ND",6,X1666="Champions",7)</f>
        <v>0</v>
      </c>
      <c r="X1666" t="s">
        <v>90</v>
      </c>
      <c r="Y1666" t="s">
        <v>90</v>
      </c>
      <c r="Z1666">
        <v>2014</v>
      </c>
    </row>
    <row r="1667" spans="1:26" x14ac:dyDescent="0.3">
      <c r="A1667" t="s">
        <v>303</v>
      </c>
      <c r="B1667" t="s">
        <v>77</v>
      </c>
      <c r="C1667">
        <v>36</v>
      </c>
      <c r="D1667">
        <v>22</v>
      </c>
      <c r="E1667" s="1">
        <f t="shared" ref="E1667:E1730" si="26">D1667/C1667</f>
        <v>0.61111111111111116</v>
      </c>
      <c r="F1667">
        <v>104.6</v>
      </c>
      <c r="G1667">
        <v>105.9</v>
      </c>
      <c r="H1667">
        <v>0.4652</v>
      </c>
      <c r="I1667">
        <v>50.4</v>
      </c>
      <c r="J1667">
        <v>51.8</v>
      </c>
      <c r="K1667">
        <v>17</v>
      </c>
      <c r="L1667">
        <v>19.100000000000001</v>
      </c>
      <c r="M1667">
        <v>30.9</v>
      </c>
      <c r="N1667">
        <v>31.6</v>
      </c>
      <c r="O1667">
        <v>36.6</v>
      </c>
      <c r="P1667">
        <v>38.4</v>
      </c>
      <c r="Q1667">
        <v>46.5</v>
      </c>
      <c r="R1667">
        <v>52.7</v>
      </c>
      <c r="S1667">
        <v>38.5</v>
      </c>
      <c r="T1667">
        <v>33.5</v>
      </c>
      <c r="U1667">
        <v>66.2</v>
      </c>
      <c r="V1667">
        <v>-6.2</v>
      </c>
      <c r="W1667" cm="1">
        <f t="array" ref="W1667">_xlfn.IFS(OR(X1667="N/A",X1667="NA"),0,OR(X1667="R64",X1667="R68"),1,X1667="R32",2,X1667="S16",3,X1667="E8",4,X1667="F4",5,X1667="2ND",6,X1667="Champions",7)</f>
        <v>0</v>
      </c>
      <c r="X1667" t="s">
        <v>90</v>
      </c>
      <c r="Y1667" t="s">
        <v>90</v>
      </c>
      <c r="Z1667">
        <v>2014</v>
      </c>
    </row>
    <row r="1668" spans="1:26" x14ac:dyDescent="0.3">
      <c r="A1668" t="s">
        <v>146</v>
      </c>
      <c r="B1668" t="s">
        <v>50</v>
      </c>
      <c r="C1668">
        <v>32</v>
      </c>
      <c r="D1668">
        <v>11</v>
      </c>
      <c r="E1668" s="1">
        <f t="shared" si="26"/>
        <v>0.34375</v>
      </c>
      <c r="F1668">
        <v>104.7</v>
      </c>
      <c r="G1668">
        <v>106.2</v>
      </c>
      <c r="H1668">
        <v>0.46010000000000001</v>
      </c>
      <c r="I1668">
        <v>47</v>
      </c>
      <c r="J1668">
        <v>51.4</v>
      </c>
      <c r="K1668">
        <v>18.2</v>
      </c>
      <c r="L1668">
        <v>17.8</v>
      </c>
      <c r="M1668">
        <v>32.5</v>
      </c>
      <c r="N1668">
        <v>32.9</v>
      </c>
      <c r="O1668">
        <v>36.6</v>
      </c>
      <c r="P1668">
        <v>45</v>
      </c>
      <c r="Q1668">
        <v>46</v>
      </c>
      <c r="R1668">
        <v>49.1</v>
      </c>
      <c r="S1668">
        <v>32.9</v>
      </c>
      <c r="T1668">
        <v>37.4</v>
      </c>
      <c r="U1668">
        <v>68.5</v>
      </c>
      <c r="V1668">
        <v>-9.9</v>
      </c>
      <c r="W1668" cm="1">
        <f t="array" ref="W1668">_xlfn.IFS(OR(X1668="N/A",X1668="NA"),0,OR(X1668="R64",X1668="R68"),1,X1668="R32",2,X1668="S16",3,X1668="E8",4,X1668="F4",5,X1668="2ND",6,X1668="Champions",7)</f>
        <v>0</v>
      </c>
      <c r="X1668" t="s">
        <v>90</v>
      </c>
      <c r="Y1668" t="s">
        <v>90</v>
      </c>
      <c r="Z1668">
        <v>2014</v>
      </c>
    </row>
    <row r="1669" spans="1:26" x14ac:dyDescent="0.3">
      <c r="A1669" t="s">
        <v>172</v>
      </c>
      <c r="B1669" t="s">
        <v>164</v>
      </c>
      <c r="C1669">
        <v>28</v>
      </c>
      <c r="D1669">
        <v>12</v>
      </c>
      <c r="E1669" s="1">
        <f t="shared" si="26"/>
        <v>0.42857142857142855</v>
      </c>
      <c r="F1669">
        <v>104</v>
      </c>
      <c r="G1669">
        <v>110.4</v>
      </c>
      <c r="H1669">
        <v>0.33450000000000002</v>
      </c>
      <c r="I1669">
        <v>50.9</v>
      </c>
      <c r="J1669">
        <v>52.7</v>
      </c>
      <c r="K1669">
        <v>17.600000000000001</v>
      </c>
      <c r="L1669">
        <v>18.100000000000001</v>
      </c>
      <c r="M1669">
        <v>29.9</v>
      </c>
      <c r="N1669">
        <v>31.1</v>
      </c>
      <c r="O1669">
        <v>35.1</v>
      </c>
      <c r="P1669">
        <v>48.5</v>
      </c>
      <c r="Q1669">
        <v>48.8</v>
      </c>
      <c r="R1669">
        <v>53</v>
      </c>
      <c r="S1669">
        <v>37</v>
      </c>
      <c r="T1669">
        <v>34.9</v>
      </c>
      <c r="U1669">
        <v>64.3</v>
      </c>
      <c r="V1669">
        <v>-12.1</v>
      </c>
      <c r="W1669" cm="1">
        <f t="array" ref="W1669">_xlfn.IFS(OR(X1669="N/A",X1669="NA"),0,OR(X1669="R64",X1669="R68"),1,X1669="R32",2,X1669="S16",3,X1669="E8",4,X1669="F4",5,X1669="2ND",6,X1669="Champions",7)</f>
        <v>0</v>
      </c>
      <c r="X1669" t="s">
        <v>90</v>
      </c>
      <c r="Y1669" t="s">
        <v>90</v>
      </c>
      <c r="Z1669">
        <v>2014</v>
      </c>
    </row>
    <row r="1670" spans="1:26" x14ac:dyDescent="0.3">
      <c r="A1670" t="s">
        <v>299</v>
      </c>
      <c r="B1670" t="s">
        <v>77</v>
      </c>
      <c r="C1670">
        <v>31</v>
      </c>
      <c r="D1670">
        <v>5</v>
      </c>
      <c r="E1670" s="1">
        <f t="shared" si="26"/>
        <v>0.16129032258064516</v>
      </c>
      <c r="F1670">
        <v>98</v>
      </c>
      <c r="G1670">
        <v>112.6</v>
      </c>
      <c r="H1670">
        <v>0.16769999999999999</v>
      </c>
      <c r="I1670">
        <v>46.7</v>
      </c>
      <c r="J1670">
        <v>52.3</v>
      </c>
      <c r="K1670">
        <v>17.600000000000001</v>
      </c>
      <c r="L1670">
        <v>18.399999999999999</v>
      </c>
      <c r="M1670">
        <v>32.4</v>
      </c>
      <c r="N1670">
        <v>33</v>
      </c>
      <c r="O1670">
        <v>35.700000000000003</v>
      </c>
      <c r="P1670">
        <v>44.2</v>
      </c>
      <c r="Q1670">
        <v>45.5</v>
      </c>
      <c r="R1670">
        <v>52.8</v>
      </c>
      <c r="S1670">
        <v>32.700000000000003</v>
      </c>
      <c r="T1670">
        <v>34.200000000000003</v>
      </c>
      <c r="U1670">
        <v>68</v>
      </c>
      <c r="V1670">
        <v>-21.2</v>
      </c>
      <c r="W1670" cm="1">
        <f t="array" ref="W1670">_xlfn.IFS(OR(X1670="N/A",X1670="NA"),0,OR(X1670="R64",X1670="R68"),1,X1670="R32",2,X1670="S16",3,X1670="E8",4,X1670="F4",5,X1670="2ND",6,X1670="Champions",7)</f>
        <v>0</v>
      </c>
      <c r="X1670" t="s">
        <v>90</v>
      </c>
      <c r="Y1670" t="s">
        <v>90</v>
      </c>
      <c r="Z1670">
        <v>2014</v>
      </c>
    </row>
    <row r="1671" spans="1:26" x14ac:dyDescent="0.3">
      <c r="A1671" t="s">
        <v>413</v>
      </c>
      <c r="B1671" t="s">
        <v>37</v>
      </c>
      <c r="C1671">
        <v>34</v>
      </c>
      <c r="D1671">
        <v>22</v>
      </c>
      <c r="E1671" s="1">
        <f t="shared" si="26"/>
        <v>0.6470588235294118</v>
      </c>
      <c r="F1671">
        <v>111.9</v>
      </c>
      <c r="G1671">
        <v>99.8</v>
      </c>
      <c r="H1671">
        <v>0.78800000000000003</v>
      </c>
      <c r="I1671">
        <v>51.4</v>
      </c>
      <c r="J1671">
        <v>49.7</v>
      </c>
      <c r="K1671">
        <v>18.2</v>
      </c>
      <c r="L1671">
        <v>18.100000000000001</v>
      </c>
      <c r="M1671">
        <v>35.799999999999997</v>
      </c>
      <c r="N1671">
        <v>29.7</v>
      </c>
      <c r="O1671">
        <v>48</v>
      </c>
      <c r="P1671">
        <v>40.9</v>
      </c>
      <c r="Q1671">
        <v>48.3</v>
      </c>
      <c r="R1671">
        <v>49.1</v>
      </c>
      <c r="S1671">
        <v>38.1</v>
      </c>
      <c r="T1671">
        <v>34.200000000000003</v>
      </c>
      <c r="U1671">
        <v>63.3</v>
      </c>
      <c r="V1671">
        <v>-1.8</v>
      </c>
      <c r="W1671" cm="1">
        <f t="array" ref="W1671">_xlfn.IFS(OR(X1671="N/A",X1671="NA"),0,OR(X1671="R64",X1671="R68"),1,X1671="R32",2,X1671="S16",3,X1671="E8",4,X1671="F4",5,X1671="2ND",6,X1671="Champions",7)</f>
        <v>0</v>
      </c>
      <c r="X1671" t="s">
        <v>90</v>
      </c>
      <c r="Y1671" t="s">
        <v>90</v>
      </c>
      <c r="Z1671">
        <v>2014</v>
      </c>
    </row>
    <row r="1672" spans="1:26" x14ac:dyDescent="0.3">
      <c r="A1672" t="s">
        <v>248</v>
      </c>
      <c r="B1672" t="s">
        <v>69</v>
      </c>
      <c r="C1672">
        <v>31</v>
      </c>
      <c r="D1672">
        <v>14</v>
      </c>
      <c r="E1672" s="1">
        <f t="shared" si="26"/>
        <v>0.45161290322580644</v>
      </c>
      <c r="F1672">
        <v>97.7</v>
      </c>
      <c r="G1672">
        <v>104.1</v>
      </c>
      <c r="H1672">
        <v>0.32300000000000001</v>
      </c>
      <c r="I1672">
        <v>45.7</v>
      </c>
      <c r="J1672">
        <v>47.6</v>
      </c>
      <c r="K1672">
        <v>18.7</v>
      </c>
      <c r="L1672">
        <v>18.100000000000001</v>
      </c>
      <c r="M1672">
        <v>30.9</v>
      </c>
      <c r="N1672">
        <v>31.6</v>
      </c>
      <c r="O1672">
        <v>42.1</v>
      </c>
      <c r="P1672">
        <v>40.9</v>
      </c>
      <c r="Q1672">
        <v>45</v>
      </c>
      <c r="R1672">
        <v>46.5</v>
      </c>
      <c r="S1672">
        <v>31.6</v>
      </c>
      <c r="T1672">
        <v>33.299999999999997</v>
      </c>
      <c r="U1672">
        <v>62.5</v>
      </c>
      <c r="V1672">
        <v>-11.1</v>
      </c>
      <c r="W1672" cm="1">
        <f t="array" ref="W1672">_xlfn.IFS(OR(X1672="N/A",X1672="NA"),0,OR(X1672="R64",X1672="R68"),1,X1672="R32",2,X1672="S16",3,X1672="E8",4,X1672="F4",5,X1672="2ND",6,X1672="Champions",7)</f>
        <v>0</v>
      </c>
      <c r="X1672" t="s">
        <v>90</v>
      </c>
      <c r="Y1672" t="s">
        <v>90</v>
      </c>
      <c r="Z1672">
        <v>2014</v>
      </c>
    </row>
    <row r="1673" spans="1:26" x14ac:dyDescent="0.3">
      <c r="A1673" t="s">
        <v>377</v>
      </c>
      <c r="B1673" t="s">
        <v>61</v>
      </c>
      <c r="C1673">
        <v>33</v>
      </c>
      <c r="D1673">
        <v>22</v>
      </c>
      <c r="E1673" s="1">
        <f t="shared" si="26"/>
        <v>0.66666666666666663</v>
      </c>
      <c r="F1673">
        <v>105.1</v>
      </c>
      <c r="G1673">
        <v>107.4</v>
      </c>
      <c r="H1673">
        <v>0.43859999999999999</v>
      </c>
      <c r="I1673">
        <v>51.7</v>
      </c>
      <c r="J1673">
        <v>50.4</v>
      </c>
      <c r="K1673">
        <v>18.899999999999999</v>
      </c>
      <c r="L1673">
        <v>20.6</v>
      </c>
      <c r="M1673">
        <v>33.5</v>
      </c>
      <c r="N1673">
        <v>31.7</v>
      </c>
      <c r="O1673">
        <v>52.1</v>
      </c>
      <c r="P1673">
        <v>49.9</v>
      </c>
      <c r="Q1673">
        <v>48.9</v>
      </c>
      <c r="R1673">
        <v>49.5</v>
      </c>
      <c r="S1673">
        <v>38.200000000000003</v>
      </c>
      <c r="T1673">
        <v>35.1</v>
      </c>
      <c r="U1673">
        <v>66</v>
      </c>
      <c r="V1673">
        <v>-5.3</v>
      </c>
      <c r="W1673" cm="1">
        <f t="array" ref="W1673">_xlfn.IFS(OR(X1673="N/A",X1673="NA"),0,OR(X1673="R64",X1673="R68"),1,X1673="R32",2,X1673="S16",3,X1673="E8",4,X1673="F4",5,X1673="2ND",6,X1673="Champions",7)</f>
        <v>0</v>
      </c>
      <c r="X1673" t="s">
        <v>90</v>
      </c>
      <c r="Y1673" t="s">
        <v>90</v>
      </c>
      <c r="Z1673">
        <v>2014</v>
      </c>
    </row>
    <row r="1674" spans="1:26" x14ac:dyDescent="0.3">
      <c r="A1674" t="s">
        <v>352</v>
      </c>
      <c r="B1674" t="s">
        <v>62</v>
      </c>
      <c r="C1674">
        <v>30</v>
      </c>
      <c r="D1674">
        <v>10</v>
      </c>
      <c r="E1674" s="1">
        <f t="shared" si="26"/>
        <v>0.33333333333333331</v>
      </c>
      <c r="F1674">
        <v>99.8</v>
      </c>
      <c r="G1674">
        <v>117.1</v>
      </c>
      <c r="H1674">
        <v>0.1366</v>
      </c>
      <c r="I1674">
        <v>51.8</v>
      </c>
      <c r="J1674">
        <v>53.3</v>
      </c>
      <c r="K1674">
        <v>18.899999999999999</v>
      </c>
      <c r="L1674">
        <v>17.100000000000001</v>
      </c>
      <c r="M1674">
        <v>27.1</v>
      </c>
      <c r="N1674">
        <v>33.700000000000003</v>
      </c>
      <c r="O1674">
        <v>38.9</v>
      </c>
      <c r="P1674">
        <v>49.1</v>
      </c>
      <c r="Q1674">
        <v>53</v>
      </c>
      <c r="R1674">
        <v>52.3</v>
      </c>
      <c r="S1674">
        <v>32.6</v>
      </c>
      <c r="T1674">
        <v>36.799999999999997</v>
      </c>
      <c r="U1674">
        <v>67.3</v>
      </c>
      <c r="V1674">
        <v>-15.3</v>
      </c>
      <c r="W1674" cm="1">
        <f t="array" ref="W1674">_xlfn.IFS(OR(X1674="N/A",X1674="NA"),0,OR(X1674="R64",X1674="R68"),1,X1674="R32",2,X1674="S16",3,X1674="E8",4,X1674="F4",5,X1674="2ND",6,X1674="Champions",7)</f>
        <v>0</v>
      </c>
      <c r="X1674" t="s">
        <v>90</v>
      </c>
      <c r="Y1674" t="s">
        <v>90</v>
      </c>
      <c r="Z1674">
        <v>2014</v>
      </c>
    </row>
    <row r="1675" spans="1:26" x14ac:dyDescent="0.3">
      <c r="A1675" t="s">
        <v>414</v>
      </c>
      <c r="B1675" t="s">
        <v>37</v>
      </c>
      <c r="C1675">
        <v>33</v>
      </c>
      <c r="D1675">
        <v>16</v>
      </c>
      <c r="E1675" s="1">
        <f t="shared" si="26"/>
        <v>0.48484848484848486</v>
      </c>
      <c r="F1675">
        <v>105.7</v>
      </c>
      <c r="G1675">
        <v>101.6</v>
      </c>
      <c r="H1675">
        <v>0.61050000000000004</v>
      </c>
      <c r="I1675">
        <v>51</v>
      </c>
      <c r="J1675">
        <v>49.4</v>
      </c>
      <c r="K1675">
        <v>18.7</v>
      </c>
      <c r="L1675">
        <v>17.5</v>
      </c>
      <c r="M1675">
        <v>27.8</v>
      </c>
      <c r="N1675">
        <v>30.1</v>
      </c>
      <c r="O1675">
        <v>41.5</v>
      </c>
      <c r="P1675">
        <v>37.700000000000003</v>
      </c>
      <c r="Q1675">
        <v>47.9</v>
      </c>
      <c r="R1675">
        <v>47.9</v>
      </c>
      <c r="S1675">
        <v>38</v>
      </c>
      <c r="T1675">
        <v>35</v>
      </c>
      <c r="U1675">
        <v>63.4</v>
      </c>
      <c r="V1675">
        <v>-7.5</v>
      </c>
      <c r="W1675" cm="1">
        <f t="array" ref="W1675">_xlfn.IFS(OR(X1675="N/A",X1675="NA"),0,OR(X1675="R64",X1675="R68"),1,X1675="R32",2,X1675="S16",3,X1675="E8",4,X1675="F4",5,X1675="2ND",6,X1675="Champions",7)</f>
        <v>0</v>
      </c>
      <c r="X1675" t="s">
        <v>90</v>
      </c>
      <c r="Y1675" t="s">
        <v>90</v>
      </c>
      <c r="Z1675">
        <v>2014</v>
      </c>
    </row>
    <row r="1676" spans="1:26" x14ac:dyDescent="0.3">
      <c r="A1676" t="s">
        <v>415</v>
      </c>
      <c r="B1676" t="s">
        <v>37</v>
      </c>
      <c r="C1676">
        <v>31</v>
      </c>
      <c r="D1676">
        <v>19</v>
      </c>
      <c r="E1676" s="1">
        <f t="shared" si="26"/>
        <v>0.61290322580645162</v>
      </c>
      <c r="F1676">
        <v>111.4</v>
      </c>
      <c r="G1676">
        <v>103</v>
      </c>
      <c r="H1676">
        <v>0.70950000000000002</v>
      </c>
      <c r="I1676">
        <v>53.1</v>
      </c>
      <c r="J1676">
        <v>50.5</v>
      </c>
      <c r="K1676">
        <v>17.3</v>
      </c>
      <c r="L1676">
        <v>16.7</v>
      </c>
      <c r="M1676">
        <v>33</v>
      </c>
      <c r="N1676">
        <v>29.4</v>
      </c>
      <c r="O1676">
        <v>43.9</v>
      </c>
      <c r="P1676">
        <v>40.200000000000003</v>
      </c>
      <c r="Q1676">
        <v>52.7</v>
      </c>
      <c r="R1676">
        <v>49.1</v>
      </c>
      <c r="S1676">
        <v>36</v>
      </c>
      <c r="T1676">
        <v>35.299999999999997</v>
      </c>
      <c r="U1676">
        <v>65.8</v>
      </c>
      <c r="V1676">
        <v>-2</v>
      </c>
      <c r="W1676" cm="1">
        <f t="array" ref="W1676">_xlfn.IFS(OR(X1676="N/A",X1676="NA"),0,OR(X1676="R64",X1676="R68"),1,X1676="R32",2,X1676="S16",3,X1676="E8",4,X1676="F4",5,X1676="2ND",6,X1676="Champions",7)</f>
        <v>0</v>
      </c>
      <c r="X1676" t="s">
        <v>90</v>
      </c>
      <c r="Y1676" t="s">
        <v>90</v>
      </c>
      <c r="Z1676">
        <v>2014</v>
      </c>
    </row>
    <row r="1677" spans="1:26" x14ac:dyDescent="0.3">
      <c r="A1677" t="s">
        <v>288</v>
      </c>
      <c r="B1677" t="s">
        <v>55</v>
      </c>
      <c r="C1677">
        <v>29</v>
      </c>
      <c r="D1677">
        <v>5</v>
      </c>
      <c r="E1677" s="1">
        <f t="shared" si="26"/>
        <v>0.17241379310344829</v>
      </c>
      <c r="F1677">
        <v>92.8</v>
      </c>
      <c r="G1677">
        <v>105.6</v>
      </c>
      <c r="H1677">
        <v>0.18509999999999999</v>
      </c>
      <c r="I1677">
        <v>44.7</v>
      </c>
      <c r="J1677">
        <v>50</v>
      </c>
      <c r="K1677">
        <v>20.3</v>
      </c>
      <c r="L1677">
        <v>14.9</v>
      </c>
      <c r="M1677">
        <v>28.1</v>
      </c>
      <c r="N1677">
        <v>30.5</v>
      </c>
      <c r="O1677">
        <v>33</v>
      </c>
      <c r="P1677">
        <v>45.9</v>
      </c>
      <c r="Q1677">
        <v>40.700000000000003</v>
      </c>
      <c r="R1677">
        <v>48.5</v>
      </c>
      <c r="S1677">
        <v>32.799999999999997</v>
      </c>
      <c r="T1677">
        <v>35.200000000000003</v>
      </c>
      <c r="U1677">
        <v>66.3</v>
      </c>
      <c r="V1677">
        <v>-15.3</v>
      </c>
      <c r="W1677" cm="1">
        <f t="array" ref="W1677">_xlfn.IFS(OR(X1677="N/A",X1677="NA"),0,OR(X1677="R64",X1677="R68"),1,X1677="R32",2,X1677="S16",3,X1677="E8",4,X1677="F4",5,X1677="2ND",6,X1677="Champions",7)</f>
        <v>0</v>
      </c>
      <c r="X1677" t="s">
        <v>90</v>
      </c>
      <c r="Y1677" t="s">
        <v>90</v>
      </c>
      <c r="Z1677">
        <v>2014</v>
      </c>
    </row>
    <row r="1678" spans="1:26" x14ac:dyDescent="0.3">
      <c r="A1678" t="s">
        <v>416</v>
      </c>
      <c r="B1678" t="s">
        <v>37</v>
      </c>
      <c r="C1678">
        <v>31</v>
      </c>
      <c r="D1678">
        <v>12</v>
      </c>
      <c r="E1678" s="1">
        <f t="shared" si="26"/>
        <v>0.38709677419354838</v>
      </c>
      <c r="F1678">
        <v>106.9</v>
      </c>
      <c r="G1678">
        <v>105.9</v>
      </c>
      <c r="H1678">
        <v>0.52759999999999996</v>
      </c>
      <c r="I1678">
        <v>48.6</v>
      </c>
      <c r="J1678">
        <v>50.8</v>
      </c>
      <c r="K1678">
        <v>15.5</v>
      </c>
      <c r="L1678">
        <v>18</v>
      </c>
      <c r="M1678">
        <v>29</v>
      </c>
      <c r="N1678">
        <v>33.4</v>
      </c>
      <c r="O1678">
        <v>36.9</v>
      </c>
      <c r="P1678">
        <v>46.6</v>
      </c>
      <c r="Q1678">
        <v>45.3</v>
      </c>
      <c r="R1678">
        <v>49.9</v>
      </c>
      <c r="S1678">
        <v>36.4</v>
      </c>
      <c r="T1678">
        <v>35.799999999999997</v>
      </c>
      <c r="U1678">
        <v>65.5</v>
      </c>
      <c r="V1678">
        <v>-10</v>
      </c>
      <c r="W1678" cm="1">
        <f t="array" ref="W1678">_xlfn.IFS(OR(X1678="N/A",X1678="NA"),0,OR(X1678="R64",X1678="R68"),1,X1678="R32",2,X1678="S16",3,X1678="E8",4,X1678="F4",5,X1678="2ND",6,X1678="Champions",7)</f>
        <v>0</v>
      </c>
      <c r="X1678" t="s">
        <v>90</v>
      </c>
      <c r="Y1678" t="s">
        <v>90</v>
      </c>
      <c r="Z1678">
        <v>2014</v>
      </c>
    </row>
    <row r="1679" spans="1:26" x14ac:dyDescent="0.3">
      <c r="A1679" t="s">
        <v>273</v>
      </c>
      <c r="B1679" t="s">
        <v>66</v>
      </c>
      <c r="C1679">
        <v>30</v>
      </c>
      <c r="D1679">
        <v>11</v>
      </c>
      <c r="E1679" s="1">
        <f t="shared" si="26"/>
        <v>0.36666666666666664</v>
      </c>
      <c r="F1679">
        <v>91.3</v>
      </c>
      <c r="G1679">
        <v>100.8</v>
      </c>
      <c r="H1679">
        <v>0.24249999999999999</v>
      </c>
      <c r="I1679">
        <v>46.3</v>
      </c>
      <c r="J1679">
        <v>45.4</v>
      </c>
      <c r="K1679">
        <v>23.9</v>
      </c>
      <c r="L1679">
        <v>21.4</v>
      </c>
      <c r="M1679">
        <v>31.8</v>
      </c>
      <c r="N1679">
        <v>35</v>
      </c>
      <c r="O1679">
        <v>38.9</v>
      </c>
      <c r="P1679">
        <v>49</v>
      </c>
      <c r="Q1679">
        <v>46.3</v>
      </c>
      <c r="R1679">
        <v>45.4</v>
      </c>
      <c r="S1679">
        <v>30.8</v>
      </c>
      <c r="T1679">
        <v>30.3</v>
      </c>
      <c r="U1679">
        <v>64.900000000000006</v>
      </c>
      <c r="V1679">
        <v>-12.5</v>
      </c>
      <c r="W1679" cm="1">
        <f t="array" ref="W1679">_xlfn.IFS(OR(X1679="N/A",X1679="NA"),0,OR(X1679="R64",X1679="R68"),1,X1679="R32",2,X1679="S16",3,X1679="E8",4,X1679="F4",5,X1679="2ND",6,X1679="Champions",7)</f>
        <v>0</v>
      </c>
      <c r="X1679" t="s">
        <v>90</v>
      </c>
      <c r="Y1679" t="s">
        <v>90</v>
      </c>
      <c r="Z1679">
        <v>2014</v>
      </c>
    </row>
    <row r="1680" spans="1:26" x14ac:dyDescent="0.3">
      <c r="A1680" t="s">
        <v>403</v>
      </c>
      <c r="B1680" t="s">
        <v>51</v>
      </c>
      <c r="C1680">
        <v>28</v>
      </c>
      <c r="D1680">
        <v>11</v>
      </c>
      <c r="E1680" s="1">
        <f t="shared" si="26"/>
        <v>0.39285714285714285</v>
      </c>
      <c r="F1680">
        <v>99.6</v>
      </c>
      <c r="G1680">
        <v>106.1</v>
      </c>
      <c r="H1680">
        <v>0.32479999999999998</v>
      </c>
      <c r="I1680">
        <v>48.7</v>
      </c>
      <c r="J1680">
        <v>49.1</v>
      </c>
      <c r="K1680">
        <v>20.100000000000001</v>
      </c>
      <c r="L1680">
        <v>18.3</v>
      </c>
      <c r="M1680">
        <v>36.4</v>
      </c>
      <c r="N1680">
        <v>31.2</v>
      </c>
      <c r="O1680">
        <v>33.799999999999997</v>
      </c>
      <c r="P1680">
        <v>48</v>
      </c>
      <c r="Q1680">
        <v>47.1</v>
      </c>
      <c r="R1680">
        <v>47.5</v>
      </c>
      <c r="S1680">
        <v>34.200000000000003</v>
      </c>
      <c r="T1680">
        <v>34.799999999999997</v>
      </c>
      <c r="U1680">
        <v>67.2</v>
      </c>
      <c r="V1680">
        <v>-12.4</v>
      </c>
      <c r="W1680" cm="1">
        <f t="array" ref="W1680">_xlfn.IFS(OR(X1680="N/A",X1680="NA"),0,OR(X1680="R64",X1680="R68"),1,X1680="R32",2,X1680="S16",3,X1680="E8",4,X1680="F4",5,X1680="2ND",6,X1680="Champions",7)</f>
        <v>0</v>
      </c>
      <c r="X1680" t="s">
        <v>90</v>
      </c>
      <c r="Y1680" t="s">
        <v>90</v>
      </c>
      <c r="Z1680">
        <v>2014</v>
      </c>
    </row>
    <row r="1681" spans="1:26" x14ac:dyDescent="0.3">
      <c r="A1681" t="s">
        <v>158</v>
      </c>
      <c r="B1681" t="s">
        <v>33</v>
      </c>
      <c r="C1681">
        <v>34</v>
      </c>
      <c r="D1681">
        <v>17</v>
      </c>
      <c r="E1681" s="1">
        <f t="shared" si="26"/>
        <v>0.5</v>
      </c>
      <c r="F1681">
        <v>108.8</v>
      </c>
      <c r="G1681">
        <v>99.8</v>
      </c>
      <c r="H1681">
        <v>0.72809999999999997</v>
      </c>
      <c r="I1681">
        <v>52.4</v>
      </c>
      <c r="J1681">
        <v>50.2</v>
      </c>
      <c r="K1681">
        <v>18.100000000000001</v>
      </c>
      <c r="L1681">
        <v>18.2</v>
      </c>
      <c r="M1681">
        <v>26.4</v>
      </c>
      <c r="N1681">
        <v>28.3</v>
      </c>
      <c r="O1681">
        <v>43.1</v>
      </c>
      <c r="P1681">
        <v>41.6</v>
      </c>
      <c r="Q1681">
        <v>51.6</v>
      </c>
      <c r="R1681">
        <v>49.1</v>
      </c>
      <c r="S1681">
        <v>35.799999999999997</v>
      </c>
      <c r="T1681">
        <v>34.9</v>
      </c>
      <c r="U1681">
        <v>66</v>
      </c>
      <c r="V1681">
        <v>-5</v>
      </c>
      <c r="W1681" cm="1">
        <f t="array" ref="W1681">_xlfn.IFS(OR(X1681="N/A",X1681="NA"),0,OR(X1681="R64",X1681="R68"),1,X1681="R32",2,X1681="S16",3,X1681="E8",4,X1681="F4",5,X1681="2ND",6,X1681="Champions",7)</f>
        <v>0</v>
      </c>
      <c r="X1681" t="s">
        <v>90</v>
      </c>
      <c r="Y1681" t="s">
        <v>90</v>
      </c>
      <c r="Z1681">
        <v>2014</v>
      </c>
    </row>
    <row r="1682" spans="1:26" x14ac:dyDescent="0.3">
      <c r="A1682" t="s">
        <v>249</v>
      </c>
      <c r="B1682" t="s">
        <v>69</v>
      </c>
      <c r="C1682">
        <v>38</v>
      </c>
      <c r="D1682">
        <v>20</v>
      </c>
      <c r="E1682" s="1">
        <f t="shared" si="26"/>
        <v>0.52631578947368418</v>
      </c>
      <c r="F1682">
        <v>101.3</v>
      </c>
      <c r="G1682">
        <v>100.4</v>
      </c>
      <c r="H1682">
        <v>0.52569999999999995</v>
      </c>
      <c r="I1682">
        <v>45.8</v>
      </c>
      <c r="J1682">
        <v>46.6</v>
      </c>
      <c r="K1682">
        <v>20.2</v>
      </c>
      <c r="L1682">
        <v>18.600000000000001</v>
      </c>
      <c r="M1682">
        <v>36.6</v>
      </c>
      <c r="N1682">
        <v>33.1</v>
      </c>
      <c r="O1682">
        <v>41.7</v>
      </c>
      <c r="P1682">
        <v>51.5</v>
      </c>
      <c r="Q1682">
        <v>44.8</v>
      </c>
      <c r="R1682">
        <v>45.3</v>
      </c>
      <c r="S1682">
        <v>32.799999999999997</v>
      </c>
      <c r="T1682">
        <v>33</v>
      </c>
      <c r="U1682">
        <v>66.400000000000006</v>
      </c>
      <c r="V1682">
        <v>-9.6999999999999993</v>
      </c>
      <c r="W1682" cm="1">
        <f t="array" ref="W1682">_xlfn.IFS(OR(X1682="N/A",X1682="NA"),0,OR(X1682="R64",X1682="R68"),1,X1682="R32",2,X1682="S16",3,X1682="E8",4,X1682="F4",5,X1682="2ND",6,X1682="Champions",7)</f>
        <v>0</v>
      </c>
      <c r="X1682" t="s">
        <v>90</v>
      </c>
      <c r="Y1682" t="s">
        <v>90</v>
      </c>
      <c r="Z1682">
        <v>2014</v>
      </c>
    </row>
    <row r="1683" spans="1:26" x14ac:dyDescent="0.3">
      <c r="A1683" t="s">
        <v>310</v>
      </c>
      <c r="B1683" t="s">
        <v>64</v>
      </c>
      <c r="C1683">
        <v>29</v>
      </c>
      <c r="D1683">
        <v>9</v>
      </c>
      <c r="E1683" s="1">
        <f t="shared" si="26"/>
        <v>0.31034482758620691</v>
      </c>
      <c r="F1683">
        <v>99.9</v>
      </c>
      <c r="G1683">
        <v>112.7</v>
      </c>
      <c r="H1683">
        <v>0.19980000000000001</v>
      </c>
      <c r="I1683">
        <v>52.3</v>
      </c>
      <c r="J1683">
        <v>55.5</v>
      </c>
      <c r="K1683">
        <v>20.100000000000001</v>
      </c>
      <c r="L1683">
        <v>19.5</v>
      </c>
      <c r="M1683">
        <v>29.2</v>
      </c>
      <c r="N1683">
        <v>33.200000000000003</v>
      </c>
      <c r="O1683">
        <v>37.9</v>
      </c>
      <c r="P1683">
        <v>40.799999999999997</v>
      </c>
      <c r="Q1683">
        <v>50.6</v>
      </c>
      <c r="R1683">
        <v>57.7</v>
      </c>
      <c r="S1683">
        <v>37.1</v>
      </c>
      <c r="T1683">
        <v>33.9</v>
      </c>
      <c r="U1683">
        <v>67.5</v>
      </c>
      <c r="V1683">
        <v>-15.5</v>
      </c>
      <c r="W1683" cm="1">
        <f t="array" ref="W1683">_xlfn.IFS(OR(X1683="N/A",X1683="NA"),0,OR(X1683="R64",X1683="R68"),1,X1683="R32",2,X1683="S16",3,X1683="E8",4,X1683="F4",5,X1683="2ND",6,X1683="Champions",7)</f>
        <v>0</v>
      </c>
      <c r="X1683" t="s">
        <v>90</v>
      </c>
      <c r="Y1683" t="s">
        <v>90</v>
      </c>
      <c r="Z1683">
        <v>2014</v>
      </c>
    </row>
    <row r="1684" spans="1:26" x14ac:dyDescent="0.3">
      <c r="A1684" t="s">
        <v>129</v>
      </c>
      <c r="B1684" t="s">
        <v>50</v>
      </c>
      <c r="C1684">
        <v>37</v>
      </c>
      <c r="D1684">
        <v>27</v>
      </c>
      <c r="E1684" s="1">
        <f t="shared" si="26"/>
        <v>0.72972972972972971</v>
      </c>
      <c r="F1684">
        <v>110.4</v>
      </c>
      <c r="G1684">
        <v>93.7</v>
      </c>
      <c r="H1684">
        <v>0.8679</v>
      </c>
      <c r="I1684">
        <v>52.8</v>
      </c>
      <c r="J1684">
        <v>44.8</v>
      </c>
      <c r="K1684">
        <v>20.2</v>
      </c>
      <c r="L1684">
        <v>21.2</v>
      </c>
      <c r="M1684">
        <v>35</v>
      </c>
      <c r="N1684">
        <v>30.5</v>
      </c>
      <c r="O1684">
        <v>43.8</v>
      </c>
      <c r="P1684">
        <v>38.700000000000003</v>
      </c>
      <c r="Q1684">
        <v>51.6</v>
      </c>
      <c r="R1684">
        <v>42.7</v>
      </c>
      <c r="S1684">
        <v>37.9</v>
      </c>
      <c r="T1684">
        <v>32.1</v>
      </c>
      <c r="U1684">
        <v>66.2</v>
      </c>
      <c r="V1684">
        <v>1.4</v>
      </c>
      <c r="W1684" cm="1">
        <f t="array" ref="W1684">_xlfn.IFS(OR(X1684="N/A",X1684="NA"),0,OR(X1684="R64",X1684="R68"),1,X1684="R32",2,X1684="S16",3,X1684="E8",4,X1684="F4",5,X1684="2ND",6,X1684="Champions",7)</f>
        <v>0</v>
      </c>
      <c r="X1684" t="s">
        <v>90</v>
      </c>
      <c r="Y1684" t="s">
        <v>90</v>
      </c>
      <c r="Z1684">
        <v>2014</v>
      </c>
    </row>
    <row r="1685" spans="1:26" x14ac:dyDescent="0.3">
      <c r="A1685" t="s">
        <v>342</v>
      </c>
      <c r="B1685" t="s">
        <v>58</v>
      </c>
      <c r="C1685">
        <v>28</v>
      </c>
      <c r="D1685">
        <v>8</v>
      </c>
      <c r="E1685" s="1">
        <f t="shared" si="26"/>
        <v>0.2857142857142857</v>
      </c>
      <c r="F1685">
        <v>102.7</v>
      </c>
      <c r="G1685">
        <v>107.1</v>
      </c>
      <c r="H1685">
        <v>0.38140000000000002</v>
      </c>
      <c r="I1685">
        <v>46.3</v>
      </c>
      <c r="J1685">
        <v>49.1</v>
      </c>
      <c r="K1685">
        <v>18.5</v>
      </c>
      <c r="L1685">
        <v>16.399999999999999</v>
      </c>
      <c r="M1685">
        <v>31.6</v>
      </c>
      <c r="N1685">
        <v>31.4</v>
      </c>
      <c r="O1685">
        <v>36.4</v>
      </c>
      <c r="P1685">
        <v>40.799999999999997</v>
      </c>
      <c r="Q1685">
        <v>43.8</v>
      </c>
      <c r="R1685">
        <v>47.7</v>
      </c>
      <c r="S1685">
        <v>33.299999999999997</v>
      </c>
      <c r="T1685">
        <v>34.799999999999997</v>
      </c>
      <c r="U1685">
        <v>66.099999999999994</v>
      </c>
      <c r="V1685">
        <v>-13.3</v>
      </c>
      <c r="W1685" cm="1">
        <f t="array" ref="W1685">_xlfn.IFS(OR(X1685="N/A",X1685="NA"),0,OR(X1685="R64",X1685="R68"),1,X1685="R32",2,X1685="S16",3,X1685="E8",4,X1685="F4",5,X1685="2ND",6,X1685="Champions",7)</f>
        <v>0</v>
      </c>
      <c r="X1685" t="s">
        <v>90</v>
      </c>
      <c r="Y1685" t="s">
        <v>90</v>
      </c>
      <c r="Z1685">
        <v>2014</v>
      </c>
    </row>
    <row r="1686" spans="1:26" x14ac:dyDescent="0.3">
      <c r="A1686" t="s">
        <v>86</v>
      </c>
      <c r="B1686" t="s">
        <v>29</v>
      </c>
      <c r="C1686">
        <v>34</v>
      </c>
      <c r="D1686">
        <v>14</v>
      </c>
      <c r="E1686" s="1">
        <f t="shared" si="26"/>
        <v>0.41176470588235292</v>
      </c>
      <c r="F1686">
        <v>106.6</v>
      </c>
      <c r="G1686">
        <v>101.2</v>
      </c>
      <c r="H1686">
        <v>0.64690000000000003</v>
      </c>
      <c r="I1686">
        <v>46.5</v>
      </c>
      <c r="J1686">
        <v>49.2</v>
      </c>
      <c r="K1686">
        <v>21.3</v>
      </c>
      <c r="L1686">
        <v>20</v>
      </c>
      <c r="M1686">
        <v>39.4</v>
      </c>
      <c r="N1686">
        <v>33.9</v>
      </c>
      <c r="O1686">
        <v>45.7</v>
      </c>
      <c r="P1686">
        <v>56.9</v>
      </c>
      <c r="Q1686">
        <v>42.6</v>
      </c>
      <c r="R1686">
        <v>49.4</v>
      </c>
      <c r="S1686">
        <v>37.799999999999997</v>
      </c>
      <c r="T1686">
        <v>32.6</v>
      </c>
      <c r="U1686">
        <v>67.2</v>
      </c>
      <c r="V1686">
        <v>-6.6</v>
      </c>
      <c r="W1686" cm="1">
        <f t="array" ref="W1686">_xlfn.IFS(OR(X1686="N/A",X1686="NA"),0,OR(X1686="R64",X1686="R68"),1,X1686="R32",2,X1686="S16",3,X1686="E8",4,X1686="F4",5,X1686="2ND",6,X1686="Champions",7)</f>
        <v>0</v>
      </c>
      <c r="X1686" t="s">
        <v>90</v>
      </c>
      <c r="Y1686" t="s">
        <v>90</v>
      </c>
      <c r="Z1686">
        <v>2014</v>
      </c>
    </row>
    <row r="1687" spans="1:26" x14ac:dyDescent="0.3">
      <c r="A1687" t="s">
        <v>274</v>
      </c>
      <c r="B1687" t="s">
        <v>66</v>
      </c>
      <c r="C1687">
        <v>28</v>
      </c>
      <c r="D1687">
        <v>7</v>
      </c>
      <c r="E1687" s="1">
        <f t="shared" si="26"/>
        <v>0.25</v>
      </c>
      <c r="F1687">
        <v>91.2</v>
      </c>
      <c r="G1687">
        <v>112</v>
      </c>
      <c r="H1687">
        <v>8.5699999999999998E-2</v>
      </c>
      <c r="I1687">
        <v>43.5</v>
      </c>
      <c r="J1687">
        <v>50.2</v>
      </c>
      <c r="K1687">
        <v>22.5</v>
      </c>
      <c r="L1687">
        <v>17.7</v>
      </c>
      <c r="M1687">
        <v>35.5</v>
      </c>
      <c r="N1687">
        <v>34.299999999999997</v>
      </c>
      <c r="O1687">
        <v>33.6</v>
      </c>
      <c r="P1687">
        <v>44.6</v>
      </c>
      <c r="Q1687">
        <v>44.2</v>
      </c>
      <c r="R1687">
        <v>50</v>
      </c>
      <c r="S1687">
        <v>28</v>
      </c>
      <c r="T1687">
        <v>33.799999999999997</v>
      </c>
      <c r="U1687">
        <v>66.599999999999994</v>
      </c>
      <c r="V1687">
        <v>-16</v>
      </c>
      <c r="W1687" cm="1">
        <f t="array" ref="W1687">_xlfn.IFS(OR(X1687="N/A",X1687="NA"),0,OR(X1687="R64",X1687="R68"),1,X1687="R32",2,X1687="S16",3,X1687="E8",4,X1687="F4",5,X1687="2ND",6,X1687="Champions",7)</f>
        <v>0</v>
      </c>
      <c r="X1687" t="s">
        <v>90</v>
      </c>
      <c r="Y1687" t="s">
        <v>90</v>
      </c>
      <c r="Z1687">
        <v>2014</v>
      </c>
    </row>
    <row r="1688" spans="1:26" x14ac:dyDescent="0.3">
      <c r="A1688" t="s">
        <v>385</v>
      </c>
      <c r="B1688" t="s">
        <v>72</v>
      </c>
      <c r="C1688">
        <v>27</v>
      </c>
      <c r="D1688">
        <v>9</v>
      </c>
      <c r="E1688" s="1">
        <f t="shared" si="26"/>
        <v>0.33333333333333331</v>
      </c>
      <c r="F1688">
        <v>100.4</v>
      </c>
      <c r="G1688">
        <v>109.3</v>
      </c>
      <c r="H1688">
        <v>0.27460000000000001</v>
      </c>
      <c r="I1688">
        <v>48.7</v>
      </c>
      <c r="J1688">
        <v>51.6</v>
      </c>
      <c r="K1688">
        <v>18.899999999999999</v>
      </c>
      <c r="L1688">
        <v>15.9</v>
      </c>
      <c r="M1688">
        <v>25.7</v>
      </c>
      <c r="N1688">
        <v>30.5</v>
      </c>
      <c r="O1688">
        <v>39.799999999999997</v>
      </c>
      <c r="P1688">
        <v>37.799999999999997</v>
      </c>
      <c r="Q1688">
        <v>46.7</v>
      </c>
      <c r="R1688">
        <v>47.8</v>
      </c>
      <c r="S1688">
        <v>35.200000000000003</v>
      </c>
      <c r="T1688">
        <v>39.200000000000003</v>
      </c>
      <c r="U1688">
        <v>67.3</v>
      </c>
      <c r="V1688">
        <v>-11.8</v>
      </c>
      <c r="W1688" cm="1">
        <f t="array" ref="W1688">_xlfn.IFS(OR(X1688="N/A",X1688="NA"),0,OR(X1688="R64",X1688="R68"),1,X1688="R32",2,X1688="S16",3,X1688="E8",4,X1688="F4",5,X1688="2ND",6,X1688="Champions",7)</f>
        <v>0</v>
      </c>
      <c r="X1688" t="s">
        <v>90</v>
      </c>
      <c r="Y1688" t="s">
        <v>90</v>
      </c>
      <c r="Z1688">
        <v>2014</v>
      </c>
    </row>
    <row r="1689" spans="1:26" x14ac:dyDescent="0.3">
      <c r="A1689" t="s">
        <v>386</v>
      </c>
      <c r="B1689" t="s">
        <v>72</v>
      </c>
      <c r="C1689">
        <v>29</v>
      </c>
      <c r="D1689">
        <v>16</v>
      </c>
      <c r="E1689" s="1">
        <f t="shared" si="26"/>
        <v>0.55172413793103448</v>
      </c>
      <c r="F1689">
        <v>105.2</v>
      </c>
      <c r="G1689">
        <v>103.4</v>
      </c>
      <c r="H1689">
        <v>0.54969999999999997</v>
      </c>
      <c r="I1689">
        <v>49.6</v>
      </c>
      <c r="J1689">
        <v>51.3</v>
      </c>
      <c r="K1689">
        <v>17.899999999999999</v>
      </c>
      <c r="L1689">
        <v>16.3</v>
      </c>
      <c r="M1689">
        <v>30.4</v>
      </c>
      <c r="N1689">
        <v>22.1</v>
      </c>
      <c r="O1689">
        <v>43.7</v>
      </c>
      <c r="P1689">
        <v>38.4</v>
      </c>
      <c r="Q1689">
        <v>48.9</v>
      </c>
      <c r="R1689">
        <v>50.3</v>
      </c>
      <c r="S1689">
        <v>33.9</v>
      </c>
      <c r="T1689">
        <v>35.5</v>
      </c>
      <c r="U1689">
        <v>67.5</v>
      </c>
      <c r="V1689">
        <v>-5.8</v>
      </c>
      <c r="W1689" cm="1">
        <f t="array" ref="W1689">_xlfn.IFS(OR(X1689="N/A",X1689="NA"),0,OR(X1689="R64",X1689="R68"),1,X1689="R32",2,X1689="S16",3,X1689="E8",4,X1689="F4",5,X1689="2ND",6,X1689="Champions",7)</f>
        <v>0</v>
      </c>
      <c r="X1689" t="s">
        <v>90</v>
      </c>
      <c r="Y1689" t="s">
        <v>90</v>
      </c>
      <c r="Z1689">
        <v>2014</v>
      </c>
    </row>
    <row r="1690" spans="1:26" x14ac:dyDescent="0.3">
      <c r="A1690" t="s">
        <v>124</v>
      </c>
      <c r="B1690" t="s">
        <v>50</v>
      </c>
      <c r="C1690">
        <v>32</v>
      </c>
      <c r="D1690">
        <v>12</v>
      </c>
      <c r="E1690" s="1">
        <f t="shared" si="26"/>
        <v>0.375</v>
      </c>
      <c r="F1690">
        <v>101.2</v>
      </c>
      <c r="G1690">
        <v>104.2</v>
      </c>
      <c r="H1690">
        <v>0.41670000000000001</v>
      </c>
      <c r="I1690">
        <v>46.2</v>
      </c>
      <c r="J1690">
        <v>49.7</v>
      </c>
      <c r="K1690">
        <v>19.2</v>
      </c>
      <c r="L1690">
        <v>17.5</v>
      </c>
      <c r="M1690">
        <v>31.6</v>
      </c>
      <c r="N1690">
        <v>31.8</v>
      </c>
      <c r="O1690">
        <v>43.8</v>
      </c>
      <c r="P1690">
        <v>33.9</v>
      </c>
      <c r="Q1690">
        <v>48.3</v>
      </c>
      <c r="R1690">
        <v>47.3</v>
      </c>
      <c r="S1690">
        <v>25.8</v>
      </c>
      <c r="T1690">
        <v>37</v>
      </c>
      <c r="U1690">
        <v>65.900000000000006</v>
      </c>
      <c r="V1690">
        <v>-9.6</v>
      </c>
      <c r="W1690" cm="1">
        <f t="array" ref="W1690">_xlfn.IFS(OR(X1690="N/A",X1690="NA"),0,OR(X1690="R64",X1690="R68"),1,X1690="R32",2,X1690="S16",3,X1690="E8",4,X1690="F4",5,X1690="2ND",6,X1690="Champions",7)</f>
        <v>0</v>
      </c>
      <c r="X1690" t="s">
        <v>90</v>
      </c>
      <c r="Y1690" t="s">
        <v>90</v>
      </c>
      <c r="Z1690">
        <v>2014</v>
      </c>
    </row>
    <row r="1691" spans="1:26" x14ac:dyDescent="0.3">
      <c r="A1691" t="s">
        <v>311</v>
      </c>
      <c r="B1691" t="s">
        <v>64</v>
      </c>
      <c r="C1691">
        <v>30</v>
      </c>
      <c r="D1691">
        <v>16</v>
      </c>
      <c r="E1691" s="1">
        <f t="shared" si="26"/>
        <v>0.53333333333333333</v>
      </c>
      <c r="F1691">
        <v>107.5</v>
      </c>
      <c r="G1691">
        <v>113.2</v>
      </c>
      <c r="H1691">
        <v>0.35520000000000002</v>
      </c>
      <c r="I1691">
        <v>55.1</v>
      </c>
      <c r="J1691">
        <v>51.8</v>
      </c>
      <c r="K1691">
        <v>18.5</v>
      </c>
      <c r="L1691">
        <v>15.9</v>
      </c>
      <c r="M1691">
        <v>32.299999999999997</v>
      </c>
      <c r="N1691">
        <v>29</v>
      </c>
      <c r="O1691">
        <v>39.5</v>
      </c>
      <c r="P1691">
        <v>43</v>
      </c>
      <c r="Q1691">
        <v>55.9</v>
      </c>
      <c r="R1691">
        <v>49.2</v>
      </c>
      <c r="S1691">
        <v>35.6</v>
      </c>
      <c r="T1691">
        <v>37.6</v>
      </c>
      <c r="U1691">
        <v>70.599999999999994</v>
      </c>
      <c r="V1691">
        <v>-9.5</v>
      </c>
      <c r="W1691" cm="1">
        <f t="array" ref="W1691">_xlfn.IFS(OR(X1691="N/A",X1691="NA"),0,OR(X1691="R64",X1691="R68"),1,X1691="R32",2,X1691="S16",3,X1691="E8",4,X1691="F4",5,X1691="2ND",6,X1691="Champions",7)</f>
        <v>0</v>
      </c>
      <c r="X1691" t="s">
        <v>90</v>
      </c>
      <c r="Y1691" t="s">
        <v>90</v>
      </c>
      <c r="Z1691">
        <v>2014</v>
      </c>
    </row>
    <row r="1692" spans="1:26" x14ac:dyDescent="0.3">
      <c r="A1692" t="s">
        <v>378</v>
      </c>
      <c r="B1692" t="s">
        <v>61</v>
      </c>
      <c r="C1692">
        <v>28</v>
      </c>
      <c r="D1692">
        <v>10</v>
      </c>
      <c r="E1692" s="1">
        <f t="shared" si="26"/>
        <v>0.35714285714285715</v>
      </c>
      <c r="F1692">
        <v>98</v>
      </c>
      <c r="G1692">
        <v>112.6</v>
      </c>
      <c r="H1692">
        <v>0.1673</v>
      </c>
      <c r="I1692">
        <v>50</v>
      </c>
      <c r="J1692">
        <v>50.6</v>
      </c>
      <c r="K1692">
        <v>18.5</v>
      </c>
      <c r="L1692">
        <v>15.9</v>
      </c>
      <c r="M1692">
        <v>25.3</v>
      </c>
      <c r="N1692">
        <v>33.5</v>
      </c>
      <c r="O1692">
        <v>39</v>
      </c>
      <c r="P1692">
        <v>43.9</v>
      </c>
      <c r="Q1692">
        <v>47.5</v>
      </c>
      <c r="R1692">
        <v>50.9</v>
      </c>
      <c r="S1692">
        <v>36.5</v>
      </c>
      <c r="T1692">
        <v>33.299999999999997</v>
      </c>
      <c r="U1692">
        <v>65</v>
      </c>
      <c r="V1692">
        <v>-14</v>
      </c>
      <c r="W1692" cm="1">
        <f t="array" ref="W1692">_xlfn.IFS(OR(X1692="N/A",X1692="NA"),0,OR(X1692="R64",X1692="R68"),1,X1692="R32",2,X1692="S16",3,X1692="E8",4,X1692="F4",5,X1692="2ND",6,X1692="Champions",7)</f>
        <v>0</v>
      </c>
      <c r="X1692" t="s">
        <v>90</v>
      </c>
      <c r="Y1692" t="s">
        <v>90</v>
      </c>
      <c r="Z1692">
        <v>2014</v>
      </c>
    </row>
    <row r="1693" spans="1:26" x14ac:dyDescent="0.3">
      <c r="A1693" t="s">
        <v>398</v>
      </c>
      <c r="B1693" t="s">
        <v>76</v>
      </c>
      <c r="C1693">
        <v>29</v>
      </c>
      <c r="D1693">
        <v>16</v>
      </c>
      <c r="E1693" s="1">
        <f t="shared" si="26"/>
        <v>0.55172413793103448</v>
      </c>
      <c r="F1693">
        <v>97.2</v>
      </c>
      <c r="G1693">
        <v>99.4</v>
      </c>
      <c r="H1693">
        <v>0.43430000000000002</v>
      </c>
      <c r="I1693">
        <v>49.3</v>
      </c>
      <c r="J1693">
        <v>42.8</v>
      </c>
      <c r="K1693">
        <v>20.5</v>
      </c>
      <c r="L1693">
        <v>18.3</v>
      </c>
      <c r="M1693">
        <v>32</v>
      </c>
      <c r="N1693">
        <v>30.1</v>
      </c>
      <c r="O1693">
        <v>39.299999999999997</v>
      </c>
      <c r="P1693">
        <v>53.7</v>
      </c>
      <c r="Q1693">
        <v>48.2</v>
      </c>
      <c r="R1693">
        <v>41.4</v>
      </c>
      <c r="S1693">
        <v>34.6</v>
      </c>
      <c r="T1693">
        <v>30.5</v>
      </c>
      <c r="U1693">
        <v>67.599999999999994</v>
      </c>
      <c r="V1693">
        <v>-7.3</v>
      </c>
      <c r="W1693" cm="1">
        <f t="array" ref="W1693">_xlfn.IFS(OR(X1693="N/A",X1693="NA"),0,OR(X1693="R64",X1693="R68"),1,X1693="R32",2,X1693="S16",3,X1693="E8",4,X1693="F4",5,X1693="2ND",6,X1693="Champions",7)</f>
        <v>0</v>
      </c>
      <c r="X1693" t="s">
        <v>90</v>
      </c>
      <c r="Y1693" t="s">
        <v>90</v>
      </c>
      <c r="Z1693">
        <v>2014</v>
      </c>
    </row>
    <row r="1694" spans="1:26" x14ac:dyDescent="0.3">
      <c r="A1694" t="s">
        <v>281</v>
      </c>
      <c r="B1694" t="s">
        <v>47</v>
      </c>
      <c r="C1694">
        <v>32</v>
      </c>
      <c r="D1694">
        <v>13</v>
      </c>
      <c r="E1694" s="1">
        <f t="shared" si="26"/>
        <v>0.40625</v>
      </c>
      <c r="F1694">
        <v>106.4</v>
      </c>
      <c r="G1694">
        <v>104.8</v>
      </c>
      <c r="H1694">
        <v>0.54459999999999997</v>
      </c>
      <c r="I1694">
        <v>49.4</v>
      </c>
      <c r="J1694">
        <v>50.5</v>
      </c>
      <c r="K1694">
        <v>18.899999999999999</v>
      </c>
      <c r="L1694">
        <v>19.8</v>
      </c>
      <c r="M1694">
        <v>33.799999999999997</v>
      </c>
      <c r="N1694">
        <v>31.2</v>
      </c>
      <c r="O1694">
        <v>42.4</v>
      </c>
      <c r="P1694">
        <v>42.2</v>
      </c>
      <c r="Q1694">
        <v>49.4</v>
      </c>
      <c r="R1694">
        <v>50.5</v>
      </c>
      <c r="S1694">
        <v>33</v>
      </c>
      <c r="T1694">
        <v>33.700000000000003</v>
      </c>
      <c r="U1694">
        <v>63.4</v>
      </c>
      <c r="V1694">
        <v>-11</v>
      </c>
      <c r="W1694" cm="1">
        <f t="array" ref="W1694">_xlfn.IFS(OR(X1694="N/A",X1694="NA"),0,OR(X1694="R64",X1694="R68"),1,X1694="R32",2,X1694="S16",3,X1694="E8",4,X1694="F4",5,X1694="2ND",6,X1694="Champions",7)</f>
        <v>0</v>
      </c>
      <c r="X1694" t="s">
        <v>90</v>
      </c>
      <c r="Y1694" t="s">
        <v>90</v>
      </c>
      <c r="Z1694">
        <v>2014</v>
      </c>
    </row>
    <row r="1695" spans="1:26" x14ac:dyDescent="0.3">
      <c r="A1695" t="s">
        <v>216</v>
      </c>
      <c r="B1695" t="s">
        <v>40</v>
      </c>
      <c r="C1695">
        <v>34</v>
      </c>
      <c r="D1695">
        <v>27</v>
      </c>
      <c r="E1695" s="1">
        <f t="shared" si="26"/>
        <v>0.79411764705882348</v>
      </c>
      <c r="F1695">
        <v>108.7</v>
      </c>
      <c r="G1695">
        <v>99.9</v>
      </c>
      <c r="H1695">
        <v>0.72660000000000002</v>
      </c>
      <c r="I1695">
        <v>50.6</v>
      </c>
      <c r="J1695">
        <v>50.2</v>
      </c>
      <c r="K1695">
        <v>20.5</v>
      </c>
      <c r="L1695">
        <v>23</v>
      </c>
      <c r="M1695">
        <v>38.6</v>
      </c>
      <c r="N1695">
        <v>29.1</v>
      </c>
      <c r="O1695">
        <v>51.5</v>
      </c>
      <c r="P1695">
        <v>46.3</v>
      </c>
      <c r="Q1695">
        <v>50</v>
      </c>
      <c r="R1695">
        <v>49.2</v>
      </c>
      <c r="S1695">
        <v>34.700000000000003</v>
      </c>
      <c r="T1695">
        <v>34.299999999999997</v>
      </c>
      <c r="U1695">
        <v>64.5</v>
      </c>
      <c r="V1695">
        <v>1.3</v>
      </c>
      <c r="W1695" cm="1">
        <f t="array" ref="W1695">_xlfn.IFS(OR(X1695="N/A",X1695="NA"),0,OR(X1695="R64",X1695="R68"),1,X1695="R32",2,X1695="S16",3,X1695="E8",4,X1695="F4",5,X1695="2ND",6,X1695="Champions",7)</f>
        <v>0</v>
      </c>
      <c r="X1695" t="s">
        <v>90</v>
      </c>
      <c r="Y1695" t="s">
        <v>90</v>
      </c>
      <c r="Z1695">
        <v>2014</v>
      </c>
    </row>
    <row r="1696" spans="1:26" x14ac:dyDescent="0.3">
      <c r="A1696" t="s">
        <v>173</v>
      </c>
      <c r="B1696" t="s">
        <v>164</v>
      </c>
      <c r="C1696">
        <v>28</v>
      </c>
      <c r="D1696">
        <v>1</v>
      </c>
      <c r="E1696" s="1">
        <f t="shared" si="26"/>
        <v>3.5714285714285712E-2</v>
      </c>
      <c r="F1696">
        <v>88.1</v>
      </c>
      <c r="G1696">
        <v>114.2</v>
      </c>
      <c r="H1696">
        <v>4.8599999999999997E-2</v>
      </c>
      <c r="I1696">
        <v>44.7</v>
      </c>
      <c r="J1696">
        <v>53.1</v>
      </c>
      <c r="K1696">
        <v>21.4</v>
      </c>
      <c r="L1696">
        <v>16.600000000000001</v>
      </c>
      <c r="M1696">
        <v>23.8</v>
      </c>
      <c r="N1696">
        <v>34.200000000000003</v>
      </c>
      <c r="O1696">
        <v>39.299999999999997</v>
      </c>
      <c r="P1696">
        <v>57.7</v>
      </c>
      <c r="Q1696">
        <v>43.1</v>
      </c>
      <c r="R1696">
        <v>51.4</v>
      </c>
      <c r="S1696">
        <v>32.6</v>
      </c>
      <c r="T1696">
        <v>38.299999999999997</v>
      </c>
      <c r="U1696">
        <v>65.400000000000006</v>
      </c>
      <c r="V1696">
        <v>-21.9</v>
      </c>
      <c r="W1696" cm="1">
        <f t="array" ref="W1696">_xlfn.IFS(OR(X1696="N/A",X1696="NA"),0,OR(X1696="R64",X1696="R68"),1,X1696="R32",2,X1696="S16",3,X1696="E8",4,X1696="F4",5,X1696="2ND",6,X1696="Champions",7)</f>
        <v>0</v>
      </c>
      <c r="X1696" t="s">
        <v>90</v>
      </c>
      <c r="Y1696" t="s">
        <v>90</v>
      </c>
      <c r="Z1696">
        <v>2014</v>
      </c>
    </row>
    <row r="1697" spans="1:26" x14ac:dyDescent="0.3">
      <c r="A1697" t="s">
        <v>100</v>
      </c>
      <c r="B1697" t="s">
        <v>45</v>
      </c>
      <c r="C1697">
        <v>33</v>
      </c>
      <c r="D1697">
        <v>18</v>
      </c>
      <c r="E1697" s="1">
        <f t="shared" si="26"/>
        <v>0.54545454545454541</v>
      </c>
      <c r="F1697">
        <v>111.6</v>
      </c>
      <c r="G1697">
        <v>101.6</v>
      </c>
      <c r="H1697">
        <v>0.74619999999999997</v>
      </c>
      <c r="I1697">
        <v>49.6</v>
      </c>
      <c r="J1697">
        <v>50.7</v>
      </c>
      <c r="K1697">
        <v>18.7</v>
      </c>
      <c r="L1697">
        <v>21.5</v>
      </c>
      <c r="M1697">
        <v>36.5</v>
      </c>
      <c r="N1697">
        <v>31.7</v>
      </c>
      <c r="O1697">
        <v>41.1</v>
      </c>
      <c r="P1697">
        <v>45</v>
      </c>
      <c r="Q1697">
        <v>49.9</v>
      </c>
      <c r="R1697">
        <v>49.4</v>
      </c>
      <c r="S1697">
        <v>32.6</v>
      </c>
      <c r="T1697">
        <v>35.5</v>
      </c>
      <c r="U1697">
        <v>67.400000000000006</v>
      </c>
      <c r="V1697">
        <v>-4.5999999999999996</v>
      </c>
      <c r="W1697" cm="1">
        <f t="array" ref="W1697">_xlfn.IFS(OR(X1697="N/A",X1697="NA"),0,OR(X1697="R64",X1697="R68"),1,X1697="R32",2,X1697="S16",3,X1697="E8",4,X1697="F4",5,X1697="2ND",6,X1697="Champions",7)</f>
        <v>0</v>
      </c>
      <c r="X1697" t="s">
        <v>90</v>
      </c>
      <c r="Y1697" t="s">
        <v>90</v>
      </c>
      <c r="Z1697">
        <v>2014</v>
      </c>
    </row>
    <row r="1698" spans="1:26" x14ac:dyDescent="0.3">
      <c r="A1698" t="s">
        <v>300</v>
      </c>
      <c r="B1698" t="s">
        <v>77</v>
      </c>
      <c r="C1698">
        <v>31</v>
      </c>
      <c r="D1698">
        <v>17</v>
      </c>
      <c r="E1698" s="1">
        <f t="shared" si="26"/>
        <v>0.54838709677419351</v>
      </c>
      <c r="F1698">
        <v>98.3</v>
      </c>
      <c r="G1698">
        <v>101.4</v>
      </c>
      <c r="H1698">
        <v>0.4108</v>
      </c>
      <c r="I1698">
        <v>48.2</v>
      </c>
      <c r="J1698">
        <v>45.9</v>
      </c>
      <c r="K1698">
        <v>19.399999999999999</v>
      </c>
      <c r="L1698">
        <v>18.2</v>
      </c>
      <c r="M1698">
        <v>33.200000000000003</v>
      </c>
      <c r="N1698">
        <v>29.1</v>
      </c>
      <c r="O1698">
        <v>36.1</v>
      </c>
      <c r="P1698">
        <v>43.7</v>
      </c>
      <c r="Q1698">
        <v>48.7</v>
      </c>
      <c r="R1698">
        <v>44.2</v>
      </c>
      <c r="S1698">
        <v>31.5</v>
      </c>
      <c r="T1698">
        <v>33.799999999999997</v>
      </c>
      <c r="U1698">
        <v>67</v>
      </c>
      <c r="V1698">
        <v>-8.6999999999999993</v>
      </c>
      <c r="W1698" cm="1">
        <f t="array" ref="W1698">_xlfn.IFS(OR(X1698="N/A",X1698="NA"),0,OR(X1698="R64",X1698="R68"),1,X1698="R32",2,X1698="S16",3,X1698="E8",4,X1698="F4",5,X1698="2ND",6,X1698="Champions",7)</f>
        <v>0</v>
      </c>
      <c r="X1698" t="s">
        <v>90</v>
      </c>
      <c r="Y1698" t="s">
        <v>90</v>
      </c>
      <c r="Z1698">
        <v>2014</v>
      </c>
    </row>
    <row r="1699" spans="1:26" x14ac:dyDescent="0.3">
      <c r="A1699" t="s">
        <v>301</v>
      </c>
      <c r="B1699" t="s">
        <v>77</v>
      </c>
      <c r="C1699">
        <v>31</v>
      </c>
      <c r="D1699">
        <v>10</v>
      </c>
      <c r="E1699" s="1">
        <f t="shared" si="26"/>
        <v>0.32258064516129031</v>
      </c>
      <c r="F1699">
        <v>95.8</v>
      </c>
      <c r="G1699">
        <v>110.7</v>
      </c>
      <c r="H1699">
        <v>0.1598</v>
      </c>
      <c r="I1699">
        <v>47.6</v>
      </c>
      <c r="J1699">
        <v>52.4</v>
      </c>
      <c r="K1699">
        <v>17</v>
      </c>
      <c r="L1699">
        <v>17.5</v>
      </c>
      <c r="M1699">
        <v>26</v>
      </c>
      <c r="N1699">
        <v>32.200000000000003</v>
      </c>
      <c r="O1699">
        <v>32.700000000000003</v>
      </c>
      <c r="P1699">
        <v>30.1</v>
      </c>
      <c r="Q1699">
        <v>47.3</v>
      </c>
      <c r="R1699">
        <v>50.8</v>
      </c>
      <c r="S1699">
        <v>32</v>
      </c>
      <c r="T1699">
        <v>37.5</v>
      </c>
      <c r="U1699">
        <v>63</v>
      </c>
      <c r="V1699">
        <v>-15.8</v>
      </c>
      <c r="W1699" cm="1">
        <f t="array" ref="W1699">_xlfn.IFS(OR(X1699="N/A",X1699="NA"),0,OR(X1699="R64",X1699="R68"),1,X1699="R32",2,X1699="S16",3,X1699="E8",4,X1699="F4",5,X1699="2ND",6,X1699="Champions",7)</f>
        <v>0</v>
      </c>
      <c r="X1699" t="s">
        <v>90</v>
      </c>
      <c r="Y1699" t="s">
        <v>90</v>
      </c>
      <c r="Z1699">
        <v>2014</v>
      </c>
    </row>
    <row r="1700" spans="1:26" x14ac:dyDescent="0.3">
      <c r="A1700" t="s">
        <v>160</v>
      </c>
      <c r="B1700" t="s">
        <v>33</v>
      </c>
      <c r="C1700">
        <v>33</v>
      </c>
      <c r="D1700">
        <v>20</v>
      </c>
      <c r="E1700" s="1">
        <f t="shared" si="26"/>
        <v>0.60606060606060608</v>
      </c>
      <c r="F1700">
        <v>107.7</v>
      </c>
      <c r="G1700">
        <v>95.1</v>
      </c>
      <c r="H1700">
        <v>0.80840000000000001</v>
      </c>
      <c r="I1700">
        <v>48.7</v>
      </c>
      <c r="J1700">
        <v>46.5</v>
      </c>
      <c r="K1700">
        <v>15.6</v>
      </c>
      <c r="L1700">
        <v>19.2</v>
      </c>
      <c r="M1700">
        <v>31.1</v>
      </c>
      <c r="N1700">
        <v>30.8</v>
      </c>
      <c r="O1700">
        <v>37.1</v>
      </c>
      <c r="P1700">
        <v>38.1</v>
      </c>
      <c r="Q1700">
        <v>47.6</v>
      </c>
      <c r="R1700">
        <v>44</v>
      </c>
      <c r="S1700">
        <v>34.9</v>
      </c>
      <c r="T1700">
        <v>34.5</v>
      </c>
      <c r="U1700">
        <v>68.099999999999994</v>
      </c>
      <c r="V1700">
        <v>-0.2</v>
      </c>
      <c r="W1700" cm="1">
        <f t="array" ref="W1700">_xlfn.IFS(OR(X1700="N/A",X1700="NA"),0,OR(X1700="R64",X1700="R68"),1,X1700="R32",2,X1700="S16",3,X1700="E8",4,X1700="F4",5,X1700="2ND",6,X1700="Champions",7)</f>
        <v>0</v>
      </c>
      <c r="X1700" t="s">
        <v>90</v>
      </c>
      <c r="Y1700" t="s">
        <v>90</v>
      </c>
      <c r="Z1700">
        <v>2014</v>
      </c>
    </row>
    <row r="1701" spans="1:26" x14ac:dyDescent="0.3">
      <c r="A1701" t="s">
        <v>136</v>
      </c>
      <c r="B1701" t="s">
        <v>131</v>
      </c>
      <c r="C1701">
        <v>30</v>
      </c>
      <c r="D1701">
        <v>7</v>
      </c>
      <c r="E1701" s="1">
        <f t="shared" si="26"/>
        <v>0.23333333333333334</v>
      </c>
      <c r="F1701">
        <v>93.9</v>
      </c>
      <c r="G1701">
        <v>113.8</v>
      </c>
      <c r="H1701">
        <v>9.9199999999999997E-2</v>
      </c>
      <c r="I1701">
        <v>47.1</v>
      </c>
      <c r="J1701">
        <v>53.2</v>
      </c>
      <c r="K1701">
        <v>19.399999999999999</v>
      </c>
      <c r="L1701">
        <v>18.8</v>
      </c>
      <c r="M1701">
        <v>27.5</v>
      </c>
      <c r="N1701">
        <v>36.299999999999997</v>
      </c>
      <c r="O1701">
        <v>36.700000000000003</v>
      </c>
      <c r="P1701">
        <v>38</v>
      </c>
      <c r="Q1701">
        <v>48.8</v>
      </c>
      <c r="R1701">
        <v>51.7</v>
      </c>
      <c r="S1701">
        <v>29.2</v>
      </c>
      <c r="T1701">
        <v>37.200000000000003</v>
      </c>
      <c r="U1701">
        <v>63.5</v>
      </c>
      <c r="V1701">
        <v>-18.2</v>
      </c>
      <c r="W1701" cm="1">
        <f t="array" ref="W1701">_xlfn.IFS(OR(X1701="N/A",X1701="NA"),0,OR(X1701="R64",X1701="R68"),1,X1701="R32",2,X1701="S16",3,X1701="E8",4,X1701="F4",5,X1701="2ND",6,X1701="Champions",7)</f>
        <v>0</v>
      </c>
      <c r="X1701" t="s">
        <v>90</v>
      </c>
      <c r="Y1701" t="s">
        <v>90</v>
      </c>
      <c r="Z1701">
        <v>2014</v>
      </c>
    </row>
    <row r="1702" spans="1:26" x14ac:dyDescent="0.3">
      <c r="A1702" t="s">
        <v>116</v>
      </c>
      <c r="B1702" t="s">
        <v>112</v>
      </c>
      <c r="C1702">
        <v>33</v>
      </c>
      <c r="D1702">
        <v>22</v>
      </c>
      <c r="E1702" s="1">
        <f t="shared" si="26"/>
        <v>0.66666666666666663</v>
      </c>
      <c r="F1702">
        <v>104.2</v>
      </c>
      <c r="G1702">
        <v>104.7</v>
      </c>
      <c r="H1702">
        <v>0.48580000000000001</v>
      </c>
      <c r="I1702">
        <v>50</v>
      </c>
      <c r="J1702">
        <v>48.1</v>
      </c>
      <c r="K1702">
        <v>18.7</v>
      </c>
      <c r="L1702">
        <v>19</v>
      </c>
      <c r="M1702">
        <v>34</v>
      </c>
      <c r="N1702">
        <v>26.9</v>
      </c>
      <c r="O1702">
        <v>38.4</v>
      </c>
      <c r="P1702">
        <v>42.1</v>
      </c>
      <c r="Q1702">
        <v>48.8</v>
      </c>
      <c r="R1702">
        <v>47.3</v>
      </c>
      <c r="S1702">
        <v>35.4</v>
      </c>
      <c r="T1702">
        <v>32.9</v>
      </c>
      <c r="U1702">
        <v>66.099999999999994</v>
      </c>
      <c r="V1702">
        <v>-5.2</v>
      </c>
      <c r="W1702" cm="1">
        <f t="array" ref="W1702">_xlfn.IFS(OR(X1702="N/A",X1702="NA"),0,OR(X1702="R64",X1702="R68"),1,X1702="R32",2,X1702="S16",3,X1702="E8",4,X1702="F4",5,X1702="2ND",6,X1702="Champions",7)</f>
        <v>0</v>
      </c>
      <c r="X1702" t="s">
        <v>90</v>
      </c>
      <c r="Y1702" t="s">
        <v>90</v>
      </c>
      <c r="Z1702">
        <v>2014</v>
      </c>
    </row>
    <row r="1703" spans="1:26" x14ac:dyDescent="0.3">
      <c r="A1703" t="s">
        <v>150</v>
      </c>
      <c r="B1703" t="s">
        <v>35</v>
      </c>
      <c r="C1703">
        <v>30</v>
      </c>
      <c r="D1703">
        <v>8</v>
      </c>
      <c r="E1703" s="1">
        <f t="shared" si="26"/>
        <v>0.26666666666666666</v>
      </c>
      <c r="F1703">
        <v>99.5</v>
      </c>
      <c r="G1703">
        <v>102.7</v>
      </c>
      <c r="H1703">
        <v>0.41039999999999999</v>
      </c>
      <c r="I1703">
        <v>44.6</v>
      </c>
      <c r="J1703">
        <v>50.3</v>
      </c>
      <c r="K1703">
        <v>17.600000000000001</v>
      </c>
      <c r="L1703">
        <v>18.899999999999999</v>
      </c>
      <c r="M1703">
        <v>24.6</v>
      </c>
      <c r="N1703">
        <v>39</v>
      </c>
      <c r="O1703">
        <v>44.8</v>
      </c>
      <c r="P1703">
        <v>35.4</v>
      </c>
      <c r="Q1703">
        <v>43.3</v>
      </c>
      <c r="R1703">
        <v>49.8</v>
      </c>
      <c r="S1703">
        <v>31.9</v>
      </c>
      <c r="T1703">
        <v>34.299999999999997</v>
      </c>
      <c r="U1703">
        <v>65.900000000000006</v>
      </c>
      <c r="V1703">
        <v>-8.8000000000000007</v>
      </c>
      <c r="W1703" cm="1">
        <f t="array" ref="W1703">_xlfn.IFS(OR(X1703="N/A",X1703="NA"),0,OR(X1703="R64",X1703="R68"),1,X1703="R32",2,X1703="S16",3,X1703="E8",4,X1703="F4",5,X1703="2ND",6,X1703="Champions",7)</f>
        <v>0</v>
      </c>
      <c r="X1703" t="s">
        <v>90</v>
      </c>
      <c r="Y1703" t="s">
        <v>90</v>
      </c>
      <c r="Z1703">
        <v>2014</v>
      </c>
    </row>
    <row r="1704" spans="1:26" x14ac:dyDescent="0.3">
      <c r="A1704" t="s">
        <v>125</v>
      </c>
      <c r="B1704" t="s">
        <v>50</v>
      </c>
      <c r="C1704">
        <v>31</v>
      </c>
      <c r="D1704">
        <v>9</v>
      </c>
      <c r="E1704" s="1">
        <f t="shared" si="26"/>
        <v>0.29032258064516131</v>
      </c>
      <c r="F1704">
        <v>109.7</v>
      </c>
      <c r="G1704">
        <v>108.6</v>
      </c>
      <c r="H1704">
        <v>0.53</v>
      </c>
      <c r="I1704">
        <v>48</v>
      </c>
      <c r="J1704">
        <v>52.6</v>
      </c>
      <c r="K1704">
        <v>15.1</v>
      </c>
      <c r="L1704">
        <v>15.9</v>
      </c>
      <c r="M1704">
        <v>32.299999999999997</v>
      </c>
      <c r="N1704">
        <v>33.9</v>
      </c>
      <c r="O1704">
        <v>31.7</v>
      </c>
      <c r="P1704">
        <v>37.200000000000003</v>
      </c>
      <c r="Q1704">
        <v>46.8</v>
      </c>
      <c r="R1704">
        <v>52.1</v>
      </c>
      <c r="S1704">
        <v>33.799999999999997</v>
      </c>
      <c r="T1704">
        <v>35.9</v>
      </c>
      <c r="U1704">
        <v>68.2</v>
      </c>
      <c r="V1704">
        <v>-10.5</v>
      </c>
      <c r="W1704" cm="1">
        <f t="array" ref="W1704">_xlfn.IFS(OR(X1704="N/A",X1704="NA"),0,OR(X1704="R64",X1704="R68"),1,X1704="R32",2,X1704="S16",3,X1704="E8",4,X1704="F4",5,X1704="2ND",6,X1704="Champions",7)</f>
        <v>0</v>
      </c>
      <c r="X1704" t="s">
        <v>90</v>
      </c>
      <c r="Y1704" t="s">
        <v>90</v>
      </c>
      <c r="Z1704">
        <v>2014</v>
      </c>
    </row>
    <row r="1705" spans="1:26" x14ac:dyDescent="0.3">
      <c r="A1705" t="s">
        <v>312</v>
      </c>
      <c r="B1705" t="s">
        <v>64</v>
      </c>
      <c r="C1705">
        <v>29</v>
      </c>
      <c r="D1705">
        <v>6</v>
      </c>
      <c r="E1705" s="1">
        <f t="shared" si="26"/>
        <v>0.20689655172413793</v>
      </c>
      <c r="F1705">
        <v>102.7</v>
      </c>
      <c r="G1705">
        <v>117.9</v>
      </c>
      <c r="H1705">
        <v>0.1694</v>
      </c>
      <c r="I1705">
        <v>48.1</v>
      </c>
      <c r="J1705">
        <v>58.8</v>
      </c>
      <c r="K1705">
        <v>16.2</v>
      </c>
      <c r="L1705">
        <v>19.5</v>
      </c>
      <c r="M1705">
        <v>30</v>
      </c>
      <c r="N1705">
        <v>32.700000000000003</v>
      </c>
      <c r="O1705">
        <v>35.1</v>
      </c>
      <c r="P1705">
        <v>49.7</v>
      </c>
      <c r="Q1705">
        <v>45.8</v>
      </c>
      <c r="R1705">
        <v>59.4</v>
      </c>
      <c r="S1705">
        <v>34.9</v>
      </c>
      <c r="T1705">
        <v>38.200000000000003</v>
      </c>
      <c r="U1705">
        <v>69.599999999999994</v>
      </c>
      <c r="V1705">
        <v>-17.5</v>
      </c>
      <c r="W1705" cm="1">
        <f t="array" ref="W1705">_xlfn.IFS(OR(X1705="N/A",X1705="NA"),0,OR(X1705="R64",X1705="R68"),1,X1705="R32",2,X1705="S16",3,X1705="E8",4,X1705="F4",5,X1705="2ND",6,X1705="Champions",7)</f>
        <v>0</v>
      </c>
      <c r="X1705" t="s">
        <v>90</v>
      </c>
      <c r="Y1705" t="s">
        <v>90</v>
      </c>
      <c r="Z1705">
        <v>2014</v>
      </c>
    </row>
    <row r="1706" spans="1:26" x14ac:dyDescent="0.3">
      <c r="A1706" t="s">
        <v>313</v>
      </c>
      <c r="B1706" t="s">
        <v>64</v>
      </c>
      <c r="C1706">
        <v>29</v>
      </c>
      <c r="D1706">
        <v>4</v>
      </c>
      <c r="E1706" s="1">
        <f t="shared" si="26"/>
        <v>0.13793103448275862</v>
      </c>
      <c r="F1706">
        <v>99.8</v>
      </c>
      <c r="G1706">
        <v>113.4</v>
      </c>
      <c r="H1706">
        <v>0.18720000000000001</v>
      </c>
      <c r="I1706">
        <v>47.1</v>
      </c>
      <c r="J1706">
        <v>52.3</v>
      </c>
      <c r="K1706">
        <v>18.399999999999999</v>
      </c>
      <c r="L1706">
        <v>16.600000000000001</v>
      </c>
      <c r="M1706">
        <v>31.9</v>
      </c>
      <c r="N1706">
        <v>33</v>
      </c>
      <c r="O1706">
        <v>43</v>
      </c>
      <c r="P1706">
        <v>51.4</v>
      </c>
      <c r="Q1706">
        <v>48.4</v>
      </c>
      <c r="R1706">
        <v>52.8</v>
      </c>
      <c r="S1706">
        <v>29.4</v>
      </c>
      <c r="T1706">
        <v>34.1</v>
      </c>
      <c r="U1706">
        <v>65.5</v>
      </c>
      <c r="V1706">
        <v>-18.2</v>
      </c>
      <c r="W1706" cm="1">
        <f t="array" ref="W1706">_xlfn.IFS(OR(X1706="N/A",X1706="NA"),0,OR(X1706="R64",X1706="R68"),1,X1706="R32",2,X1706="S16",3,X1706="E8",4,X1706="F4",5,X1706="2ND",6,X1706="Champions",7)</f>
        <v>0</v>
      </c>
      <c r="X1706" t="s">
        <v>90</v>
      </c>
      <c r="Y1706" t="s">
        <v>90</v>
      </c>
      <c r="Z1706">
        <v>2014</v>
      </c>
    </row>
    <row r="1707" spans="1:26" x14ac:dyDescent="0.3">
      <c r="A1707" t="s">
        <v>314</v>
      </c>
      <c r="B1707" t="s">
        <v>64</v>
      </c>
      <c r="C1707">
        <v>31</v>
      </c>
      <c r="D1707">
        <v>15</v>
      </c>
      <c r="E1707" s="1">
        <f t="shared" si="26"/>
        <v>0.4838709677419355</v>
      </c>
      <c r="F1707">
        <v>100.3</v>
      </c>
      <c r="G1707">
        <v>107.6</v>
      </c>
      <c r="H1707">
        <v>0.30790000000000001</v>
      </c>
      <c r="I1707">
        <v>50</v>
      </c>
      <c r="J1707">
        <v>51.5</v>
      </c>
      <c r="K1707">
        <v>22.4</v>
      </c>
      <c r="L1707">
        <v>19.5</v>
      </c>
      <c r="M1707">
        <v>35.5</v>
      </c>
      <c r="N1707">
        <v>31.6</v>
      </c>
      <c r="O1707">
        <v>46.1</v>
      </c>
      <c r="P1707">
        <v>54.3</v>
      </c>
      <c r="Q1707">
        <v>50.5</v>
      </c>
      <c r="R1707">
        <v>50.5</v>
      </c>
      <c r="S1707">
        <v>32.6</v>
      </c>
      <c r="T1707">
        <v>35.6</v>
      </c>
      <c r="U1707">
        <v>68.099999999999994</v>
      </c>
      <c r="V1707">
        <v>-10.7</v>
      </c>
      <c r="W1707" cm="1">
        <f t="array" ref="W1707">_xlfn.IFS(OR(X1707="N/A",X1707="NA"),0,OR(X1707="R64",X1707="R68"),1,X1707="R32",2,X1707="S16",3,X1707="E8",4,X1707="F4",5,X1707="2ND",6,X1707="Champions",7)</f>
        <v>0</v>
      </c>
      <c r="X1707" t="s">
        <v>90</v>
      </c>
      <c r="Y1707" t="s">
        <v>90</v>
      </c>
      <c r="Z1707">
        <v>2014</v>
      </c>
    </row>
    <row r="1708" spans="1:26" x14ac:dyDescent="0.3">
      <c r="A1708" t="s">
        <v>362</v>
      </c>
      <c r="B1708" t="s">
        <v>29</v>
      </c>
      <c r="C1708">
        <v>34</v>
      </c>
      <c r="D1708">
        <v>18</v>
      </c>
      <c r="E1708" s="1">
        <f t="shared" si="26"/>
        <v>0.52941176470588236</v>
      </c>
      <c r="F1708">
        <v>101.1</v>
      </c>
      <c r="G1708">
        <v>94.7</v>
      </c>
      <c r="H1708">
        <v>0.6794</v>
      </c>
      <c r="I1708">
        <v>47.9</v>
      </c>
      <c r="J1708">
        <v>45.3</v>
      </c>
      <c r="K1708">
        <v>17.399999999999999</v>
      </c>
      <c r="L1708">
        <v>20.3</v>
      </c>
      <c r="M1708">
        <v>27.2</v>
      </c>
      <c r="N1708">
        <v>31.4</v>
      </c>
      <c r="O1708">
        <v>38.799999999999997</v>
      </c>
      <c r="P1708">
        <v>39.799999999999997</v>
      </c>
      <c r="Q1708">
        <v>48.1</v>
      </c>
      <c r="R1708">
        <v>46.5</v>
      </c>
      <c r="S1708">
        <v>31.7</v>
      </c>
      <c r="T1708">
        <v>28.8</v>
      </c>
      <c r="U1708">
        <v>63.8</v>
      </c>
      <c r="V1708">
        <v>-4.9000000000000004</v>
      </c>
      <c r="W1708" cm="1">
        <f t="array" ref="W1708">_xlfn.IFS(OR(X1708="N/A",X1708="NA"),0,OR(X1708="R64",X1708="R68"),1,X1708="R32",2,X1708="S16",3,X1708="E8",4,X1708="F4",5,X1708="2ND",6,X1708="Champions",7)</f>
        <v>0</v>
      </c>
      <c r="X1708" t="s">
        <v>90</v>
      </c>
      <c r="Y1708" t="s">
        <v>90</v>
      </c>
      <c r="Z1708">
        <v>2014</v>
      </c>
    </row>
    <row r="1709" spans="1:26" x14ac:dyDescent="0.3">
      <c r="A1709" t="s">
        <v>379</v>
      </c>
      <c r="B1709" t="s">
        <v>61</v>
      </c>
      <c r="C1709">
        <v>32</v>
      </c>
      <c r="D1709">
        <v>17</v>
      </c>
      <c r="E1709" s="1">
        <f t="shared" si="26"/>
        <v>0.53125</v>
      </c>
      <c r="F1709">
        <v>103.4</v>
      </c>
      <c r="G1709">
        <v>109.8</v>
      </c>
      <c r="H1709">
        <v>0.3337</v>
      </c>
      <c r="I1709">
        <v>51.8</v>
      </c>
      <c r="J1709">
        <v>50.9</v>
      </c>
      <c r="K1709">
        <v>19.2</v>
      </c>
      <c r="L1709">
        <v>18.5</v>
      </c>
      <c r="M1709">
        <v>34.299999999999997</v>
      </c>
      <c r="N1709">
        <v>32.299999999999997</v>
      </c>
      <c r="O1709">
        <v>43.9</v>
      </c>
      <c r="P1709">
        <v>45.3</v>
      </c>
      <c r="Q1709">
        <v>50.6</v>
      </c>
      <c r="R1709">
        <v>50.8</v>
      </c>
      <c r="S1709">
        <v>37.200000000000003</v>
      </c>
      <c r="T1709">
        <v>34</v>
      </c>
      <c r="U1709">
        <v>62.2</v>
      </c>
      <c r="V1709">
        <v>-9.4</v>
      </c>
      <c r="W1709" cm="1">
        <f t="array" ref="W1709">_xlfn.IFS(OR(X1709="N/A",X1709="NA"),0,OR(X1709="R64",X1709="R68"),1,X1709="R32",2,X1709="S16",3,X1709="E8",4,X1709="F4",5,X1709="2ND",6,X1709="Champions",7)</f>
        <v>0</v>
      </c>
      <c r="X1709" t="s">
        <v>90</v>
      </c>
      <c r="Y1709" t="s">
        <v>90</v>
      </c>
      <c r="Z1709">
        <v>2014</v>
      </c>
    </row>
    <row r="1710" spans="1:26" x14ac:dyDescent="0.3">
      <c r="A1710" t="s">
        <v>343</v>
      </c>
      <c r="B1710" t="s">
        <v>58</v>
      </c>
      <c r="C1710">
        <v>29</v>
      </c>
      <c r="D1710">
        <v>6</v>
      </c>
      <c r="E1710" s="1">
        <f t="shared" si="26"/>
        <v>0.20689655172413793</v>
      </c>
      <c r="F1710">
        <v>94.8</v>
      </c>
      <c r="G1710">
        <v>102.6</v>
      </c>
      <c r="H1710">
        <v>0.28699999999999998</v>
      </c>
      <c r="I1710">
        <v>47.5</v>
      </c>
      <c r="J1710">
        <v>51.9</v>
      </c>
      <c r="K1710">
        <v>21.5</v>
      </c>
      <c r="L1710">
        <v>19.2</v>
      </c>
      <c r="M1710">
        <v>29.7</v>
      </c>
      <c r="N1710">
        <v>28.9</v>
      </c>
      <c r="O1710">
        <v>33.6</v>
      </c>
      <c r="P1710">
        <v>43.4</v>
      </c>
      <c r="Q1710">
        <v>48</v>
      </c>
      <c r="R1710">
        <v>47.9</v>
      </c>
      <c r="S1710">
        <v>30.7</v>
      </c>
      <c r="T1710">
        <v>40</v>
      </c>
      <c r="U1710">
        <v>63.1</v>
      </c>
      <c r="V1710">
        <v>-16.5</v>
      </c>
      <c r="W1710" cm="1">
        <f t="array" ref="W1710">_xlfn.IFS(OR(X1710="N/A",X1710="NA"),0,OR(X1710="R64",X1710="R68"),1,X1710="R32",2,X1710="S16",3,X1710="E8",4,X1710="F4",5,X1710="2ND",6,X1710="Champions",7)</f>
        <v>0</v>
      </c>
      <c r="X1710" t="s">
        <v>90</v>
      </c>
      <c r="Y1710" t="s">
        <v>90</v>
      </c>
      <c r="Z1710">
        <v>2014</v>
      </c>
    </row>
    <row r="1711" spans="1:26" x14ac:dyDescent="0.3">
      <c r="A1711" t="s">
        <v>34</v>
      </c>
      <c r="B1711" t="s">
        <v>35</v>
      </c>
      <c r="C1711">
        <v>32</v>
      </c>
      <c r="D1711">
        <v>14</v>
      </c>
      <c r="E1711" s="1">
        <f t="shared" si="26"/>
        <v>0.4375</v>
      </c>
      <c r="F1711">
        <v>110</v>
      </c>
      <c r="G1711">
        <v>101.6</v>
      </c>
      <c r="H1711">
        <v>0.71260000000000001</v>
      </c>
      <c r="I1711">
        <v>49.7</v>
      </c>
      <c r="J1711">
        <v>49.9</v>
      </c>
      <c r="K1711">
        <v>18.8</v>
      </c>
      <c r="L1711">
        <v>17.899999999999999</v>
      </c>
      <c r="M1711">
        <v>37.6</v>
      </c>
      <c r="N1711">
        <v>32.9</v>
      </c>
      <c r="O1711">
        <v>38.700000000000003</v>
      </c>
      <c r="P1711">
        <v>42</v>
      </c>
      <c r="Q1711">
        <v>50.7</v>
      </c>
      <c r="R1711">
        <v>50</v>
      </c>
      <c r="S1711">
        <v>31.1</v>
      </c>
      <c r="T1711">
        <v>33</v>
      </c>
      <c r="U1711">
        <v>62.5</v>
      </c>
      <c r="V1711">
        <v>-3.8</v>
      </c>
      <c r="W1711" cm="1">
        <f t="array" ref="W1711">_xlfn.IFS(OR(X1711="N/A",X1711="NA"),0,OR(X1711="R64",X1711="R68"),1,X1711="R32",2,X1711="S16",3,X1711="E8",4,X1711="F4",5,X1711="2ND",6,X1711="Champions",7)</f>
        <v>0</v>
      </c>
      <c r="X1711" t="s">
        <v>90</v>
      </c>
      <c r="Y1711" t="s">
        <v>90</v>
      </c>
      <c r="Z1711">
        <v>2014</v>
      </c>
    </row>
    <row r="1712" spans="1:26" x14ac:dyDescent="0.3">
      <c r="A1712" t="s">
        <v>353</v>
      </c>
      <c r="B1712" t="s">
        <v>62</v>
      </c>
      <c r="C1712">
        <v>29</v>
      </c>
      <c r="D1712">
        <v>4</v>
      </c>
      <c r="E1712" s="1">
        <f t="shared" si="26"/>
        <v>0.13793103448275862</v>
      </c>
      <c r="F1712">
        <v>96</v>
      </c>
      <c r="G1712">
        <v>117.8</v>
      </c>
      <c r="H1712">
        <v>8.6999999999999994E-2</v>
      </c>
      <c r="I1712">
        <v>47.7</v>
      </c>
      <c r="J1712">
        <v>51.6</v>
      </c>
      <c r="K1712">
        <v>19.2</v>
      </c>
      <c r="L1712">
        <v>14.8</v>
      </c>
      <c r="M1712">
        <v>27</v>
      </c>
      <c r="N1712">
        <v>34.6</v>
      </c>
      <c r="O1712">
        <v>34.4</v>
      </c>
      <c r="P1712">
        <v>36.4</v>
      </c>
      <c r="Q1712">
        <v>45.1</v>
      </c>
      <c r="R1712">
        <v>51.1</v>
      </c>
      <c r="S1712">
        <v>35.700000000000003</v>
      </c>
      <c r="T1712">
        <v>35.1</v>
      </c>
      <c r="U1712">
        <v>65.599999999999994</v>
      </c>
      <c r="V1712">
        <v>-20.100000000000001</v>
      </c>
      <c r="W1712" cm="1">
        <f t="array" ref="W1712">_xlfn.IFS(OR(X1712="N/A",X1712="NA"),0,OR(X1712="R64",X1712="R68"),1,X1712="R32",2,X1712="S16",3,X1712="E8",4,X1712="F4",5,X1712="2ND",6,X1712="Champions",7)</f>
        <v>0</v>
      </c>
      <c r="X1712" t="s">
        <v>90</v>
      </c>
      <c r="Y1712" t="s">
        <v>90</v>
      </c>
      <c r="Z1712">
        <v>2014</v>
      </c>
    </row>
    <row r="1713" spans="1:26" x14ac:dyDescent="0.3">
      <c r="A1713" t="s">
        <v>260</v>
      </c>
      <c r="B1713" t="s">
        <v>57</v>
      </c>
      <c r="C1713">
        <v>33</v>
      </c>
      <c r="D1713">
        <v>26</v>
      </c>
      <c r="E1713" s="1">
        <f t="shared" si="26"/>
        <v>0.78787878787878785</v>
      </c>
      <c r="F1713">
        <v>113.8</v>
      </c>
      <c r="G1713">
        <v>109.5</v>
      </c>
      <c r="H1713">
        <v>0.60980000000000001</v>
      </c>
      <c r="I1713">
        <v>51</v>
      </c>
      <c r="J1713">
        <v>52.6</v>
      </c>
      <c r="K1713">
        <v>14.7</v>
      </c>
      <c r="L1713">
        <v>19.5</v>
      </c>
      <c r="M1713">
        <v>35.200000000000003</v>
      </c>
      <c r="N1713">
        <v>31.7</v>
      </c>
      <c r="O1713">
        <v>43.8</v>
      </c>
      <c r="P1713">
        <v>35.1</v>
      </c>
      <c r="Q1713">
        <v>50.6</v>
      </c>
      <c r="R1713">
        <v>52</v>
      </c>
      <c r="S1713">
        <v>34.6</v>
      </c>
      <c r="T1713">
        <v>35.799999999999997</v>
      </c>
      <c r="U1713">
        <v>68.599999999999994</v>
      </c>
      <c r="V1713">
        <v>0.2</v>
      </c>
      <c r="W1713" cm="1">
        <f t="array" ref="W1713">_xlfn.IFS(OR(X1713="N/A",X1713="NA"),0,OR(X1713="R64",X1713="R68"),1,X1713="R32",2,X1713="S16",3,X1713="E8",4,X1713="F4",5,X1713="2ND",6,X1713="Champions",7)</f>
        <v>0</v>
      </c>
      <c r="X1713" t="s">
        <v>90</v>
      </c>
      <c r="Y1713" t="s">
        <v>90</v>
      </c>
      <c r="Z1713">
        <v>2014</v>
      </c>
    </row>
    <row r="1714" spans="1:26" x14ac:dyDescent="0.3">
      <c r="A1714" t="s">
        <v>203</v>
      </c>
      <c r="B1714" t="s">
        <v>53</v>
      </c>
      <c r="C1714">
        <v>35</v>
      </c>
      <c r="D1714">
        <v>24</v>
      </c>
      <c r="E1714" s="1">
        <f t="shared" si="26"/>
        <v>0.68571428571428572</v>
      </c>
      <c r="F1714">
        <v>108.8</v>
      </c>
      <c r="G1714">
        <v>107.2</v>
      </c>
      <c r="H1714">
        <v>0.54100000000000004</v>
      </c>
      <c r="I1714">
        <v>50.5</v>
      </c>
      <c r="J1714">
        <v>45.7</v>
      </c>
      <c r="K1714">
        <v>17.5</v>
      </c>
      <c r="L1714">
        <v>12.8</v>
      </c>
      <c r="M1714">
        <v>34.6</v>
      </c>
      <c r="N1714">
        <v>30.8</v>
      </c>
      <c r="O1714">
        <v>53.2</v>
      </c>
      <c r="P1714">
        <v>38.1</v>
      </c>
      <c r="Q1714">
        <v>49.2</v>
      </c>
      <c r="R1714">
        <v>45.2</v>
      </c>
      <c r="S1714">
        <v>35.700000000000003</v>
      </c>
      <c r="T1714">
        <v>31.1</v>
      </c>
      <c r="U1714">
        <v>65.599999999999994</v>
      </c>
      <c r="V1714">
        <v>-3.4</v>
      </c>
      <c r="W1714" cm="1">
        <f t="array" ref="W1714">_xlfn.IFS(OR(X1714="N/A",X1714="NA"),0,OR(X1714="R64",X1714="R68"),1,X1714="R32",2,X1714="S16",3,X1714="E8",4,X1714="F4",5,X1714="2ND",6,X1714="Champions",7)</f>
        <v>0</v>
      </c>
      <c r="X1714" t="s">
        <v>90</v>
      </c>
      <c r="Y1714" t="s">
        <v>90</v>
      </c>
      <c r="Z1714">
        <v>2014</v>
      </c>
    </row>
    <row r="1715" spans="1:26" x14ac:dyDescent="0.3">
      <c r="A1715" t="s">
        <v>344</v>
      </c>
      <c r="B1715" t="s">
        <v>58</v>
      </c>
      <c r="C1715">
        <v>29</v>
      </c>
      <c r="D1715">
        <v>9</v>
      </c>
      <c r="E1715" s="1">
        <f t="shared" si="26"/>
        <v>0.31034482758620691</v>
      </c>
      <c r="F1715">
        <v>101.4</v>
      </c>
      <c r="G1715">
        <v>108.4</v>
      </c>
      <c r="H1715">
        <v>0.31669999999999998</v>
      </c>
      <c r="I1715">
        <v>47.5</v>
      </c>
      <c r="J1715">
        <v>50.5</v>
      </c>
      <c r="K1715">
        <v>18.8</v>
      </c>
      <c r="L1715">
        <v>17.899999999999999</v>
      </c>
      <c r="M1715">
        <v>32.799999999999997</v>
      </c>
      <c r="N1715">
        <v>32.299999999999997</v>
      </c>
      <c r="O1715">
        <v>43.9</v>
      </c>
      <c r="P1715">
        <v>30.6</v>
      </c>
      <c r="Q1715">
        <v>45.4</v>
      </c>
      <c r="R1715">
        <v>51.4</v>
      </c>
      <c r="S1715">
        <v>33.9</v>
      </c>
      <c r="T1715">
        <v>32.5</v>
      </c>
      <c r="U1715">
        <v>65.099999999999994</v>
      </c>
      <c r="V1715">
        <v>-14.2</v>
      </c>
      <c r="W1715" cm="1">
        <f t="array" ref="W1715">_xlfn.IFS(OR(X1715="N/A",X1715="NA"),0,OR(X1715="R64",X1715="R68"),1,X1715="R32",2,X1715="S16",3,X1715="E8",4,X1715="F4",5,X1715="2ND",6,X1715="Champions",7)</f>
        <v>0</v>
      </c>
      <c r="X1715" t="s">
        <v>90</v>
      </c>
      <c r="Y1715" t="s">
        <v>90</v>
      </c>
      <c r="Z1715">
        <v>2014</v>
      </c>
    </row>
    <row r="1716" spans="1:26" x14ac:dyDescent="0.3">
      <c r="A1716" t="s">
        <v>126</v>
      </c>
      <c r="B1716" t="s">
        <v>40</v>
      </c>
      <c r="C1716">
        <v>33</v>
      </c>
      <c r="D1716">
        <v>16</v>
      </c>
      <c r="E1716" s="1">
        <f t="shared" si="26"/>
        <v>0.48484848484848486</v>
      </c>
      <c r="F1716">
        <v>99.1</v>
      </c>
      <c r="G1716">
        <v>110</v>
      </c>
      <c r="H1716">
        <v>0.2321</v>
      </c>
      <c r="I1716">
        <v>47.4</v>
      </c>
      <c r="J1716">
        <v>50.7</v>
      </c>
      <c r="K1716">
        <v>20.100000000000001</v>
      </c>
      <c r="L1716">
        <v>16.600000000000001</v>
      </c>
      <c r="M1716">
        <v>30.1</v>
      </c>
      <c r="N1716">
        <v>31.8</v>
      </c>
      <c r="O1716">
        <v>49.5</v>
      </c>
      <c r="P1716">
        <v>40.700000000000003</v>
      </c>
      <c r="Q1716">
        <v>44.6</v>
      </c>
      <c r="R1716">
        <v>49.3</v>
      </c>
      <c r="S1716">
        <v>35.1</v>
      </c>
      <c r="T1716">
        <v>35.4</v>
      </c>
      <c r="U1716">
        <v>63.5</v>
      </c>
      <c r="V1716">
        <v>-9.6999999999999993</v>
      </c>
      <c r="W1716" cm="1">
        <f t="array" ref="W1716">_xlfn.IFS(OR(X1716="N/A",X1716="NA"),0,OR(X1716="R64",X1716="R68"),1,X1716="R32",2,X1716="S16",3,X1716="E8",4,X1716="F4",5,X1716="2ND",6,X1716="Champions",7)</f>
        <v>0</v>
      </c>
      <c r="X1716" t="s">
        <v>90</v>
      </c>
      <c r="Y1716" t="s">
        <v>90</v>
      </c>
      <c r="Z1716">
        <v>2014</v>
      </c>
    </row>
    <row r="1717" spans="1:26" x14ac:dyDescent="0.3">
      <c r="A1717" t="s">
        <v>220</v>
      </c>
      <c r="B1717" t="s">
        <v>40</v>
      </c>
      <c r="C1717">
        <v>29</v>
      </c>
      <c r="D1717">
        <v>16</v>
      </c>
      <c r="E1717" s="1">
        <f t="shared" si="26"/>
        <v>0.55172413793103448</v>
      </c>
      <c r="F1717">
        <v>103.5</v>
      </c>
      <c r="G1717">
        <v>102.7</v>
      </c>
      <c r="H1717">
        <v>0.52429999999999999</v>
      </c>
      <c r="I1717">
        <v>45.3</v>
      </c>
      <c r="J1717">
        <v>46.7</v>
      </c>
      <c r="K1717">
        <v>18.5</v>
      </c>
      <c r="L1717">
        <v>15.3</v>
      </c>
      <c r="M1717">
        <v>39.799999999999997</v>
      </c>
      <c r="N1717">
        <v>29.7</v>
      </c>
      <c r="O1717">
        <v>41.6</v>
      </c>
      <c r="P1717">
        <v>30.9</v>
      </c>
      <c r="Q1717">
        <v>45.5</v>
      </c>
      <c r="R1717">
        <v>46.2</v>
      </c>
      <c r="S1717">
        <v>30</v>
      </c>
      <c r="T1717">
        <v>31.9</v>
      </c>
      <c r="U1717">
        <v>68.599999999999994</v>
      </c>
      <c r="V1717">
        <v>-6.6</v>
      </c>
      <c r="W1717" cm="1">
        <f t="array" ref="W1717">_xlfn.IFS(OR(X1717="N/A",X1717="NA"),0,OR(X1717="R64",X1717="R68"),1,X1717="R32",2,X1717="S16",3,X1717="E8",4,X1717="F4",5,X1717="2ND",6,X1717="Champions",7)</f>
        <v>0</v>
      </c>
      <c r="X1717" t="s">
        <v>90</v>
      </c>
      <c r="Y1717" t="s">
        <v>90</v>
      </c>
      <c r="Z1717">
        <v>2014</v>
      </c>
    </row>
    <row r="1718" spans="1:26" x14ac:dyDescent="0.3">
      <c r="A1718" t="s">
        <v>193</v>
      </c>
      <c r="B1718" t="s">
        <v>48</v>
      </c>
      <c r="C1718">
        <v>29</v>
      </c>
      <c r="D1718">
        <v>7</v>
      </c>
      <c r="E1718" s="1">
        <f t="shared" si="26"/>
        <v>0.2413793103448276</v>
      </c>
      <c r="F1718">
        <v>101.9</v>
      </c>
      <c r="G1718">
        <v>115.6</v>
      </c>
      <c r="H1718">
        <v>0.18990000000000001</v>
      </c>
      <c r="I1718">
        <v>49.9</v>
      </c>
      <c r="J1718">
        <v>55.8</v>
      </c>
      <c r="K1718">
        <v>17.3</v>
      </c>
      <c r="L1718">
        <v>18.3</v>
      </c>
      <c r="M1718">
        <v>23.9</v>
      </c>
      <c r="N1718">
        <v>35.6</v>
      </c>
      <c r="O1718">
        <v>37.200000000000003</v>
      </c>
      <c r="P1718">
        <v>38.799999999999997</v>
      </c>
      <c r="Q1718">
        <v>48.3</v>
      </c>
      <c r="R1718">
        <v>54.4</v>
      </c>
      <c r="S1718">
        <v>34.9</v>
      </c>
      <c r="T1718">
        <v>39.200000000000003</v>
      </c>
      <c r="U1718">
        <v>67</v>
      </c>
      <c r="V1718">
        <v>-16.399999999999999</v>
      </c>
      <c r="W1718" cm="1">
        <f t="array" ref="W1718">_xlfn.IFS(OR(X1718="N/A",X1718="NA"),0,OR(X1718="R64",X1718="R68"),1,X1718="R32",2,X1718="S16",3,X1718="E8",4,X1718="F4",5,X1718="2ND",6,X1718="Champions",7)</f>
        <v>0</v>
      </c>
      <c r="X1718" t="s">
        <v>90</v>
      </c>
      <c r="Y1718" t="s">
        <v>90</v>
      </c>
      <c r="Z1718">
        <v>2014</v>
      </c>
    </row>
    <row r="1719" spans="1:26" x14ac:dyDescent="0.3">
      <c r="A1719" t="s">
        <v>196</v>
      </c>
      <c r="B1719" t="s">
        <v>48</v>
      </c>
      <c r="C1719">
        <v>33</v>
      </c>
      <c r="D1719">
        <v>21</v>
      </c>
      <c r="E1719" s="1">
        <f t="shared" si="26"/>
        <v>0.63636363636363635</v>
      </c>
      <c r="F1719">
        <v>102.1</v>
      </c>
      <c r="G1719">
        <v>95.5</v>
      </c>
      <c r="H1719">
        <v>0.68310000000000004</v>
      </c>
      <c r="I1719">
        <v>51.4</v>
      </c>
      <c r="J1719">
        <v>42.3</v>
      </c>
      <c r="K1719">
        <v>19.399999999999999</v>
      </c>
      <c r="L1719">
        <v>14.9</v>
      </c>
      <c r="M1719">
        <v>32</v>
      </c>
      <c r="N1719">
        <v>29.5</v>
      </c>
      <c r="O1719">
        <v>36.299999999999997</v>
      </c>
      <c r="P1719">
        <v>39.299999999999997</v>
      </c>
      <c r="Q1719">
        <v>50.7</v>
      </c>
      <c r="R1719">
        <v>39.200000000000003</v>
      </c>
      <c r="S1719">
        <v>35.5</v>
      </c>
      <c r="T1719">
        <v>33.200000000000003</v>
      </c>
      <c r="U1719">
        <v>64.8</v>
      </c>
      <c r="V1719">
        <v>-4.3</v>
      </c>
      <c r="W1719" cm="1">
        <f t="array" ref="W1719">_xlfn.IFS(OR(X1719="N/A",X1719="NA"),0,OR(X1719="R64",X1719="R68"),1,X1719="R32",2,X1719="S16",3,X1719="E8",4,X1719="F4",5,X1719="2ND",6,X1719="Champions",7)</f>
        <v>0</v>
      </c>
      <c r="X1719" t="s">
        <v>90</v>
      </c>
      <c r="Y1719" t="s">
        <v>90</v>
      </c>
      <c r="Z1719">
        <v>2014</v>
      </c>
    </row>
    <row r="1720" spans="1:26" x14ac:dyDescent="0.3">
      <c r="A1720" t="s">
        <v>194</v>
      </c>
      <c r="B1720" t="s">
        <v>48</v>
      </c>
      <c r="C1720">
        <v>29</v>
      </c>
      <c r="D1720">
        <v>8</v>
      </c>
      <c r="E1720" s="1">
        <f t="shared" si="26"/>
        <v>0.27586206896551724</v>
      </c>
      <c r="F1720">
        <v>96.9</v>
      </c>
      <c r="G1720">
        <v>108.4</v>
      </c>
      <c r="H1720">
        <v>0.2165</v>
      </c>
      <c r="I1720">
        <v>46.5</v>
      </c>
      <c r="J1720">
        <v>49.3</v>
      </c>
      <c r="K1720">
        <v>19.399999999999999</v>
      </c>
      <c r="L1720">
        <v>17.399999999999999</v>
      </c>
      <c r="M1720">
        <v>29.3</v>
      </c>
      <c r="N1720">
        <v>30.7</v>
      </c>
      <c r="O1720">
        <v>41.8</v>
      </c>
      <c r="P1720">
        <v>43</v>
      </c>
      <c r="Q1720">
        <v>47.2</v>
      </c>
      <c r="R1720">
        <v>45.9</v>
      </c>
      <c r="S1720">
        <v>29.7</v>
      </c>
      <c r="T1720">
        <v>38.200000000000003</v>
      </c>
      <c r="U1720">
        <v>67.7</v>
      </c>
      <c r="V1720">
        <v>-15.7</v>
      </c>
      <c r="W1720" cm="1">
        <f t="array" ref="W1720">_xlfn.IFS(OR(X1720="N/A",X1720="NA"),0,OR(X1720="R64",X1720="R68"),1,X1720="R32",2,X1720="S16",3,X1720="E8",4,X1720="F4",5,X1720="2ND",6,X1720="Champions",7)</f>
        <v>0</v>
      </c>
      <c r="X1720" t="s">
        <v>90</v>
      </c>
      <c r="Y1720" t="s">
        <v>90</v>
      </c>
      <c r="Z1720">
        <v>2014</v>
      </c>
    </row>
    <row r="1721" spans="1:26" x14ac:dyDescent="0.3">
      <c r="A1721" t="s">
        <v>195</v>
      </c>
      <c r="B1721" t="s">
        <v>48</v>
      </c>
      <c r="C1721">
        <v>28</v>
      </c>
      <c r="D1721">
        <v>19</v>
      </c>
      <c r="E1721" s="1">
        <f t="shared" si="26"/>
        <v>0.6785714285714286</v>
      </c>
      <c r="F1721">
        <v>110.3</v>
      </c>
      <c r="G1721">
        <v>103.7</v>
      </c>
      <c r="H1721">
        <v>0.6694</v>
      </c>
      <c r="I1721">
        <v>53.1</v>
      </c>
      <c r="J1721">
        <v>47</v>
      </c>
      <c r="K1721">
        <v>17.600000000000001</v>
      </c>
      <c r="L1721">
        <v>16</v>
      </c>
      <c r="M1721">
        <v>31.1</v>
      </c>
      <c r="N1721">
        <v>31.5</v>
      </c>
      <c r="O1721">
        <v>41.9</v>
      </c>
      <c r="P1721">
        <v>39.299999999999997</v>
      </c>
      <c r="Q1721">
        <v>50.5</v>
      </c>
      <c r="R1721">
        <v>43.5</v>
      </c>
      <c r="S1721">
        <v>38.700000000000003</v>
      </c>
      <c r="T1721">
        <v>35.200000000000003</v>
      </c>
      <c r="U1721">
        <v>63.7</v>
      </c>
      <c r="V1721">
        <v>-2.8</v>
      </c>
      <c r="W1721" cm="1">
        <f t="array" ref="W1721">_xlfn.IFS(OR(X1721="N/A",X1721="NA"),0,OR(X1721="R64",X1721="R68"),1,X1721="R32",2,X1721="S16",3,X1721="E8",4,X1721="F4",5,X1721="2ND",6,X1721="Champions",7)</f>
        <v>0</v>
      </c>
      <c r="X1721" t="s">
        <v>90</v>
      </c>
      <c r="Y1721" t="s">
        <v>90</v>
      </c>
      <c r="Z1721">
        <v>2014</v>
      </c>
    </row>
    <row r="1722" spans="1:26" x14ac:dyDescent="0.3">
      <c r="A1722" t="s">
        <v>128</v>
      </c>
      <c r="B1722" t="s">
        <v>50</v>
      </c>
      <c r="C1722">
        <v>29</v>
      </c>
      <c r="D1722">
        <v>11</v>
      </c>
      <c r="E1722" s="1">
        <f t="shared" si="26"/>
        <v>0.37931034482758619</v>
      </c>
      <c r="F1722">
        <v>106.7</v>
      </c>
      <c r="G1722">
        <v>105.9</v>
      </c>
      <c r="H1722">
        <v>0.52159999999999995</v>
      </c>
      <c r="I1722">
        <v>49</v>
      </c>
      <c r="J1722">
        <v>51.9</v>
      </c>
      <c r="K1722">
        <v>20</v>
      </c>
      <c r="L1722">
        <v>17.2</v>
      </c>
      <c r="M1722">
        <v>38.1</v>
      </c>
      <c r="N1722">
        <v>33.1</v>
      </c>
      <c r="O1722">
        <v>38.200000000000003</v>
      </c>
      <c r="P1722">
        <v>36.6</v>
      </c>
      <c r="Q1722">
        <v>49.1</v>
      </c>
      <c r="R1722">
        <v>51</v>
      </c>
      <c r="S1722">
        <v>32.6</v>
      </c>
      <c r="T1722">
        <v>36</v>
      </c>
      <c r="U1722">
        <v>67.900000000000006</v>
      </c>
      <c r="V1722">
        <v>-7.7</v>
      </c>
      <c r="W1722" cm="1">
        <f t="array" ref="W1722">_xlfn.IFS(OR(X1722="N/A",X1722="NA"),0,OR(X1722="R64",X1722="R68"),1,X1722="R32",2,X1722="S16",3,X1722="E8",4,X1722="F4",5,X1722="2ND",6,X1722="Champions",7)</f>
        <v>0</v>
      </c>
      <c r="X1722" t="s">
        <v>90</v>
      </c>
      <c r="Y1722" t="s">
        <v>90</v>
      </c>
      <c r="Z1722">
        <v>2014</v>
      </c>
    </row>
    <row r="1723" spans="1:26" x14ac:dyDescent="0.3">
      <c r="A1723" t="s">
        <v>117</v>
      </c>
      <c r="B1723" t="s">
        <v>112</v>
      </c>
      <c r="C1723">
        <v>27</v>
      </c>
      <c r="D1723">
        <v>9</v>
      </c>
      <c r="E1723" s="1">
        <f t="shared" si="26"/>
        <v>0.33333333333333331</v>
      </c>
      <c r="F1723">
        <v>93.9</v>
      </c>
      <c r="G1723">
        <v>112.9</v>
      </c>
      <c r="H1723">
        <v>0.1071</v>
      </c>
      <c r="I1723">
        <v>45.6</v>
      </c>
      <c r="J1723">
        <v>50.3</v>
      </c>
      <c r="K1723">
        <v>20.8</v>
      </c>
      <c r="L1723">
        <v>18.2</v>
      </c>
      <c r="M1723">
        <v>28</v>
      </c>
      <c r="N1723">
        <v>36</v>
      </c>
      <c r="O1723">
        <v>38.799999999999997</v>
      </c>
      <c r="P1723">
        <v>35.5</v>
      </c>
      <c r="Q1723">
        <v>43.9</v>
      </c>
      <c r="R1723">
        <v>51.7</v>
      </c>
      <c r="S1723">
        <v>32.1</v>
      </c>
      <c r="T1723">
        <v>31.8</v>
      </c>
      <c r="U1723">
        <v>65</v>
      </c>
      <c r="V1723">
        <v>-12.4</v>
      </c>
      <c r="W1723" cm="1">
        <f t="array" ref="W1723">_xlfn.IFS(OR(X1723="N/A",X1723="NA"),0,OR(X1723="R64",X1723="R68"),1,X1723="R32",2,X1723="S16",3,X1723="E8",4,X1723="F4",5,X1723="2ND",6,X1723="Champions",7)</f>
        <v>0</v>
      </c>
      <c r="X1723" t="s">
        <v>90</v>
      </c>
      <c r="Y1723" t="s">
        <v>90</v>
      </c>
      <c r="Z1723">
        <v>2014</v>
      </c>
    </row>
    <row r="1724" spans="1:26" x14ac:dyDescent="0.3">
      <c r="A1724" t="s">
        <v>118</v>
      </c>
      <c r="B1724" t="s">
        <v>112</v>
      </c>
      <c r="C1724">
        <v>28</v>
      </c>
      <c r="D1724">
        <v>8</v>
      </c>
      <c r="E1724" s="1">
        <f t="shared" si="26"/>
        <v>0.2857142857142857</v>
      </c>
      <c r="F1724">
        <v>90.9</v>
      </c>
      <c r="G1724">
        <v>109.8</v>
      </c>
      <c r="H1724">
        <v>0.1026</v>
      </c>
      <c r="I1724">
        <v>45.4</v>
      </c>
      <c r="J1724">
        <v>51.3</v>
      </c>
      <c r="K1724">
        <v>21.3</v>
      </c>
      <c r="L1724">
        <v>21.7</v>
      </c>
      <c r="M1724">
        <v>29.1</v>
      </c>
      <c r="N1724">
        <v>31.3</v>
      </c>
      <c r="O1724">
        <v>40.200000000000003</v>
      </c>
      <c r="P1724">
        <v>57.4</v>
      </c>
      <c r="Q1724">
        <v>44.7</v>
      </c>
      <c r="R1724">
        <v>49.5</v>
      </c>
      <c r="S1724">
        <v>31.1</v>
      </c>
      <c r="T1724">
        <v>36.299999999999997</v>
      </c>
      <c r="U1724">
        <v>68.599999999999994</v>
      </c>
      <c r="V1724">
        <v>-15.2</v>
      </c>
      <c r="W1724" cm="1">
        <f t="array" ref="W1724">_xlfn.IFS(OR(X1724="N/A",X1724="NA"),0,OR(X1724="R64",X1724="R68"),1,X1724="R32",2,X1724="S16",3,X1724="E8",4,X1724="F4",5,X1724="2ND",6,X1724="Champions",7)</f>
        <v>0</v>
      </c>
      <c r="X1724" t="s">
        <v>90</v>
      </c>
      <c r="Y1724" t="s">
        <v>90</v>
      </c>
      <c r="Z1724">
        <v>2014</v>
      </c>
    </row>
    <row r="1725" spans="1:26" x14ac:dyDescent="0.3">
      <c r="A1725" t="s">
        <v>404</v>
      </c>
      <c r="B1725" t="s">
        <v>51</v>
      </c>
      <c r="C1725">
        <v>29</v>
      </c>
      <c r="D1725">
        <v>10</v>
      </c>
      <c r="E1725" s="1">
        <f t="shared" si="26"/>
        <v>0.34482758620689657</v>
      </c>
      <c r="F1725">
        <v>97.5</v>
      </c>
      <c r="G1725">
        <v>107.4</v>
      </c>
      <c r="H1725">
        <v>0.2462</v>
      </c>
      <c r="I1725">
        <v>48.2</v>
      </c>
      <c r="J1725">
        <v>52.5</v>
      </c>
      <c r="K1725">
        <v>18.3</v>
      </c>
      <c r="L1725">
        <v>19.3</v>
      </c>
      <c r="M1725">
        <v>25.7</v>
      </c>
      <c r="N1725">
        <v>31.2</v>
      </c>
      <c r="O1725">
        <v>40.9</v>
      </c>
      <c r="P1725">
        <v>43.3</v>
      </c>
      <c r="Q1725">
        <v>49.4</v>
      </c>
      <c r="R1725">
        <v>52.7</v>
      </c>
      <c r="S1725">
        <v>30.5</v>
      </c>
      <c r="T1725">
        <v>34.700000000000003</v>
      </c>
      <c r="U1725">
        <v>70.3</v>
      </c>
      <c r="V1725">
        <v>-12.9</v>
      </c>
      <c r="W1725" cm="1">
        <f t="array" ref="W1725">_xlfn.IFS(OR(X1725="N/A",X1725="NA"),0,OR(X1725="R64",X1725="R68"),1,X1725="R32",2,X1725="S16",3,X1725="E8",4,X1725="F4",5,X1725="2ND",6,X1725="Champions",7)</f>
        <v>0</v>
      </c>
      <c r="X1725" t="s">
        <v>90</v>
      </c>
      <c r="Y1725" t="s">
        <v>90</v>
      </c>
      <c r="Z1725">
        <v>2014</v>
      </c>
    </row>
    <row r="1726" spans="1:26" x14ac:dyDescent="0.3">
      <c r="A1726" t="s">
        <v>184</v>
      </c>
      <c r="B1726" t="s">
        <v>74</v>
      </c>
      <c r="C1726">
        <v>29</v>
      </c>
      <c r="D1726">
        <v>14</v>
      </c>
      <c r="E1726" s="1">
        <f t="shared" si="26"/>
        <v>0.48275862068965519</v>
      </c>
      <c r="F1726">
        <v>106.8</v>
      </c>
      <c r="G1726">
        <v>110.8</v>
      </c>
      <c r="H1726">
        <v>0.39389999999999997</v>
      </c>
      <c r="I1726">
        <v>51.4</v>
      </c>
      <c r="J1726">
        <v>51.2</v>
      </c>
      <c r="K1726">
        <v>19.3</v>
      </c>
      <c r="L1726">
        <v>16.8</v>
      </c>
      <c r="M1726">
        <v>33.6</v>
      </c>
      <c r="N1726">
        <v>34.200000000000003</v>
      </c>
      <c r="O1726">
        <v>43.4</v>
      </c>
      <c r="P1726">
        <v>41.3</v>
      </c>
      <c r="Q1726">
        <v>48.7</v>
      </c>
      <c r="R1726">
        <v>49.2</v>
      </c>
      <c r="S1726">
        <v>38.1</v>
      </c>
      <c r="T1726">
        <v>36.9</v>
      </c>
      <c r="U1726">
        <v>70.3</v>
      </c>
      <c r="V1726">
        <v>-9.8000000000000007</v>
      </c>
      <c r="W1726" cm="1">
        <f t="array" ref="W1726">_xlfn.IFS(OR(X1726="N/A",X1726="NA"),0,OR(X1726="R64",X1726="R68"),1,X1726="R32",2,X1726="S16",3,X1726="E8",4,X1726="F4",5,X1726="2ND",6,X1726="Champions",7)</f>
        <v>0</v>
      </c>
      <c r="X1726" t="s">
        <v>90</v>
      </c>
      <c r="Y1726" t="s">
        <v>90</v>
      </c>
      <c r="Z1726">
        <v>2014</v>
      </c>
    </row>
    <row r="1727" spans="1:26" x14ac:dyDescent="0.3">
      <c r="A1727" t="s">
        <v>354</v>
      </c>
      <c r="B1727" t="s">
        <v>62</v>
      </c>
      <c r="C1727">
        <v>29</v>
      </c>
      <c r="D1727">
        <v>11</v>
      </c>
      <c r="E1727" s="1">
        <f t="shared" si="26"/>
        <v>0.37931034482758619</v>
      </c>
      <c r="F1727">
        <v>94.3</v>
      </c>
      <c r="G1727">
        <v>109.3</v>
      </c>
      <c r="H1727">
        <v>0.15490000000000001</v>
      </c>
      <c r="I1727">
        <v>47.3</v>
      </c>
      <c r="J1727">
        <v>50.5</v>
      </c>
      <c r="K1727">
        <v>19.600000000000001</v>
      </c>
      <c r="L1727">
        <v>17.2</v>
      </c>
      <c r="M1727">
        <v>28.6</v>
      </c>
      <c r="N1727">
        <v>28.5</v>
      </c>
      <c r="O1727">
        <v>37.799999999999997</v>
      </c>
      <c r="P1727">
        <v>47.5</v>
      </c>
      <c r="Q1727">
        <v>46.1</v>
      </c>
      <c r="R1727">
        <v>50.5</v>
      </c>
      <c r="S1727">
        <v>33.6</v>
      </c>
      <c r="T1727">
        <v>33.700000000000003</v>
      </c>
      <c r="U1727">
        <v>70.5</v>
      </c>
      <c r="V1727">
        <v>-13.2</v>
      </c>
      <c r="W1727" cm="1">
        <f t="array" ref="W1727">_xlfn.IFS(OR(X1727="N/A",X1727="NA"),0,OR(X1727="R64",X1727="R68"),1,X1727="R32",2,X1727="S16",3,X1727="E8",4,X1727="F4",5,X1727="2ND",6,X1727="Champions",7)</f>
        <v>0</v>
      </c>
      <c r="X1727" t="s">
        <v>90</v>
      </c>
      <c r="Y1727" t="s">
        <v>90</v>
      </c>
      <c r="Z1727">
        <v>2014</v>
      </c>
    </row>
    <row r="1728" spans="1:26" x14ac:dyDescent="0.3">
      <c r="A1728" t="s">
        <v>204</v>
      </c>
      <c r="B1728" t="s">
        <v>53</v>
      </c>
      <c r="C1728">
        <v>30</v>
      </c>
      <c r="D1728">
        <v>7</v>
      </c>
      <c r="E1728" s="1">
        <f t="shared" si="26"/>
        <v>0.23333333333333334</v>
      </c>
      <c r="F1728">
        <v>95.7</v>
      </c>
      <c r="G1728">
        <v>103.8</v>
      </c>
      <c r="H1728">
        <v>0.28089999999999998</v>
      </c>
      <c r="I1728">
        <v>44</v>
      </c>
      <c r="J1728">
        <v>50.4</v>
      </c>
      <c r="K1728">
        <v>17.600000000000001</v>
      </c>
      <c r="L1728">
        <v>17.3</v>
      </c>
      <c r="M1728">
        <v>31.4</v>
      </c>
      <c r="N1728">
        <v>34.200000000000003</v>
      </c>
      <c r="O1728">
        <v>32.299999999999997</v>
      </c>
      <c r="P1728">
        <v>41.9</v>
      </c>
      <c r="Q1728">
        <v>44.6</v>
      </c>
      <c r="R1728">
        <v>49.7</v>
      </c>
      <c r="S1728">
        <v>28.3</v>
      </c>
      <c r="T1728">
        <v>34.4</v>
      </c>
      <c r="U1728">
        <v>64.400000000000006</v>
      </c>
      <c r="V1728">
        <v>-15.9</v>
      </c>
      <c r="W1728" cm="1">
        <f t="array" ref="W1728">_xlfn.IFS(OR(X1728="N/A",X1728="NA"),0,OR(X1728="R64",X1728="R68"),1,X1728="R32",2,X1728="S16",3,X1728="E8",4,X1728="F4",5,X1728="2ND",6,X1728="Champions",7)</f>
        <v>0</v>
      </c>
      <c r="X1728" t="s">
        <v>90</v>
      </c>
      <c r="Y1728" t="s">
        <v>90</v>
      </c>
      <c r="Z1728">
        <v>2014</v>
      </c>
    </row>
    <row r="1729" spans="1:26" x14ac:dyDescent="0.3">
      <c r="A1729" t="s">
        <v>289</v>
      </c>
      <c r="B1729" t="s">
        <v>55</v>
      </c>
      <c r="C1729">
        <v>33</v>
      </c>
      <c r="D1729">
        <v>20</v>
      </c>
      <c r="E1729" s="1">
        <f t="shared" si="26"/>
        <v>0.60606060606060608</v>
      </c>
      <c r="F1729">
        <v>107.9</v>
      </c>
      <c r="G1729">
        <v>98.1</v>
      </c>
      <c r="H1729">
        <v>0.74909999999999999</v>
      </c>
      <c r="I1729">
        <v>48.9</v>
      </c>
      <c r="J1729">
        <v>44.5</v>
      </c>
      <c r="K1729">
        <v>16.600000000000001</v>
      </c>
      <c r="L1729">
        <v>15.3</v>
      </c>
      <c r="M1729">
        <v>34.200000000000003</v>
      </c>
      <c r="N1729">
        <v>31</v>
      </c>
      <c r="O1729">
        <v>39.5</v>
      </c>
      <c r="P1729">
        <v>25.7</v>
      </c>
      <c r="Q1729">
        <v>48.7</v>
      </c>
      <c r="R1729">
        <v>44.2</v>
      </c>
      <c r="S1729">
        <v>32.9</v>
      </c>
      <c r="T1729">
        <v>30.2</v>
      </c>
      <c r="U1729">
        <v>67.2</v>
      </c>
      <c r="V1729">
        <v>-3.9</v>
      </c>
      <c r="W1729" cm="1">
        <f t="array" ref="W1729">_xlfn.IFS(OR(X1729="N/A",X1729="NA"),0,OR(X1729="R64",X1729="R68"),1,X1729="R32",2,X1729="S16",3,X1729="E8",4,X1729="F4",5,X1729="2ND",6,X1729="Champions",7)</f>
        <v>0</v>
      </c>
      <c r="X1729" t="s">
        <v>90</v>
      </c>
      <c r="Y1729" t="s">
        <v>90</v>
      </c>
      <c r="Z1729">
        <v>2014</v>
      </c>
    </row>
    <row r="1730" spans="1:26" x14ac:dyDescent="0.3">
      <c r="A1730" t="s">
        <v>321</v>
      </c>
      <c r="B1730" t="s">
        <v>38</v>
      </c>
      <c r="C1730">
        <v>31</v>
      </c>
      <c r="D1730">
        <v>10</v>
      </c>
      <c r="E1730" s="1">
        <f t="shared" si="26"/>
        <v>0.32258064516129031</v>
      </c>
      <c r="F1730">
        <v>102.8</v>
      </c>
      <c r="G1730">
        <v>101.5</v>
      </c>
      <c r="H1730">
        <v>0.5373</v>
      </c>
      <c r="I1730">
        <v>47.8</v>
      </c>
      <c r="J1730">
        <v>48.9</v>
      </c>
      <c r="K1730">
        <v>19.600000000000001</v>
      </c>
      <c r="L1730">
        <v>15.7</v>
      </c>
      <c r="M1730">
        <v>30.6</v>
      </c>
      <c r="N1730">
        <v>32.200000000000003</v>
      </c>
      <c r="O1730">
        <v>42.3</v>
      </c>
      <c r="P1730">
        <v>38.700000000000003</v>
      </c>
      <c r="Q1730">
        <v>49.7</v>
      </c>
      <c r="R1730">
        <v>49.2</v>
      </c>
      <c r="S1730">
        <v>28.5</v>
      </c>
      <c r="T1730">
        <v>32.1</v>
      </c>
      <c r="U1730">
        <v>70.3</v>
      </c>
      <c r="V1730">
        <v>-8.6999999999999993</v>
      </c>
      <c r="W1730" cm="1">
        <f t="array" ref="W1730">_xlfn.IFS(OR(X1730="N/A",X1730="NA"),0,OR(X1730="R64",X1730="R68"),1,X1730="R32",2,X1730="S16",3,X1730="E8",4,X1730="F4",5,X1730="2ND",6,X1730="Champions",7)</f>
        <v>0</v>
      </c>
      <c r="X1730" t="s">
        <v>90</v>
      </c>
      <c r="Y1730" t="s">
        <v>90</v>
      </c>
      <c r="Z1730">
        <v>2014</v>
      </c>
    </row>
    <row r="1731" spans="1:26" x14ac:dyDescent="0.3">
      <c r="A1731" t="s">
        <v>137</v>
      </c>
      <c r="B1731" t="s">
        <v>131</v>
      </c>
      <c r="C1731">
        <v>32</v>
      </c>
      <c r="D1731">
        <v>17</v>
      </c>
      <c r="E1731" s="1">
        <f t="shared" ref="E1731:E1794" si="27">D1731/C1731</f>
        <v>0.53125</v>
      </c>
      <c r="F1731">
        <v>104.2</v>
      </c>
      <c r="G1731">
        <v>104.6</v>
      </c>
      <c r="H1731">
        <v>0.48909999999999998</v>
      </c>
      <c r="I1731">
        <v>50.5</v>
      </c>
      <c r="J1731">
        <v>47.6</v>
      </c>
      <c r="K1731">
        <v>18.3</v>
      </c>
      <c r="L1731">
        <v>18</v>
      </c>
      <c r="M1731">
        <v>34.5</v>
      </c>
      <c r="N1731">
        <v>30.8</v>
      </c>
      <c r="O1731">
        <v>38.9</v>
      </c>
      <c r="P1731">
        <v>38.6</v>
      </c>
      <c r="Q1731">
        <v>52</v>
      </c>
      <c r="R1731">
        <v>45.1</v>
      </c>
      <c r="S1731">
        <v>31.8</v>
      </c>
      <c r="T1731">
        <v>34.200000000000003</v>
      </c>
      <c r="U1731">
        <v>65.8</v>
      </c>
      <c r="V1731">
        <v>-8.3000000000000007</v>
      </c>
      <c r="W1731" cm="1">
        <f t="array" ref="W1731">_xlfn.IFS(OR(X1731="N/A",X1731="NA"),0,OR(X1731="R64",X1731="R68"),1,X1731="R32",2,X1731="S16",3,X1731="E8",4,X1731="F4",5,X1731="2ND",6,X1731="Champions",7)</f>
        <v>0</v>
      </c>
      <c r="X1731" t="s">
        <v>90</v>
      </c>
      <c r="Y1731" t="s">
        <v>90</v>
      </c>
      <c r="Z1731">
        <v>2014</v>
      </c>
    </row>
    <row r="1732" spans="1:26" x14ac:dyDescent="0.3">
      <c r="A1732" t="s">
        <v>345</v>
      </c>
      <c r="B1732" t="s">
        <v>58</v>
      </c>
      <c r="C1732">
        <v>29</v>
      </c>
      <c r="D1732">
        <v>13</v>
      </c>
      <c r="E1732" s="1">
        <f t="shared" si="27"/>
        <v>0.44827586206896552</v>
      </c>
      <c r="F1732">
        <v>104.4</v>
      </c>
      <c r="G1732">
        <v>109.1</v>
      </c>
      <c r="H1732">
        <v>0.37790000000000001</v>
      </c>
      <c r="I1732">
        <v>49.9</v>
      </c>
      <c r="J1732">
        <v>51.6</v>
      </c>
      <c r="K1732">
        <v>18.899999999999999</v>
      </c>
      <c r="L1732">
        <v>17.100000000000001</v>
      </c>
      <c r="M1732">
        <v>31.3</v>
      </c>
      <c r="N1732">
        <v>31.8</v>
      </c>
      <c r="O1732">
        <v>43.3</v>
      </c>
      <c r="P1732">
        <v>42.7</v>
      </c>
      <c r="Q1732">
        <v>48.8</v>
      </c>
      <c r="R1732">
        <v>48.4</v>
      </c>
      <c r="S1732">
        <v>34.4</v>
      </c>
      <c r="T1732">
        <v>37.6</v>
      </c>
      <c r="U1732">
        <v>69.7</v>
      </c>
      <c r="V1732">
        <v>-9.1999999999999993</v>
      </c>
      <c r="W1732" cm="1">
        <f t="array" ref="W1732">_xlfn.IFS(OR(X1732="N/A",X1732="NA"),0,OR(X1732="R64",X1732="R68"),1,X1732="R32",2,X1732="S16",3,X1732="E8",4,X1732="F4",5,X1732="2ND",6,X1732="Champions",7)</f>
        <v>0</v>
      </c>
      <c r="X1732" t="s">
        <v>90</v>
      </c>
      <c r="Y1732" t="s">
        <v>90</v>
      </c>
      <c r="Z1732">
        <v>2014</v>
      </c>
    </row>
    <row r="1733" spans="1:26" x14ac:dyDescent="0.3">
      <c r="A1733" t="s">
        <v>405</v>
      </c>
      <c r="B1733" t="s">
        <v>51</v>
      </c>
      <c r="C1733">
        <v>31</v>
      </c>
      <c r="D1733">
        <v>8</v>
      </c>
      <c r="E1733" s="1">
        <f t="shared" si="27"/>
        <v>0.25806451612903225</v>
      </c>
      <c r="F1733">
        <v>93.9</v>
      </c>
      <c r="G1733">
        <v>105.7</v>
      </c>
      <c r="H1733">
        <v>0.2029</v>
      </c>
      <c r="I1733">
        <v>45.3</v>
      </c>
      <c r="J1733">
        <v>50.8</v>
      </c>
      <c r="K1733">
        <v>17.8</v>
      </c>
      <c r="L1733">
        <v>21.1</v>
      </c>
      <c r="M1733">
        <v>29.2</v>
      </c>
      <c r="N1733">
        <v>34.6</v>
      </c>
      <c r="O1733">
        <v>35.799999999999997</v>
      </c>
      <c r="P1733">
        <v>46.4</v>
      </c>
      <c r="Q1733">
        <v>46.7</v>
      </c>
      <c r="R1733">
        <v>51.3</v>
      </c>
      <c r="S1733">
        <v>27.9</v>
      </c>
      <c r="T1733">
        <v>33.200000000000003</v>
      </c>
      <c r="U1733">
        <v>66.099999999999994</v>
      </c>
      <c r="V1733">
        <v>-18.100000000000001</v>
      </c>
      <c r="W1733" cm="1">
        <f t="array" ref="W1733">_xlfn.IFS(OR(X1733="N/A",X1733="NA"),0,OR(X1733="R64",X1733="R68"),1,X1733="R32",2,X1733="S16",3,X1733="E8",4,X1733="F4",5,X1733="2ND",6,X1733="Champions",7)</f>
        <v>0</v>
      </c>
      <c r="X1733" t="s">
        <v>90</v>
      </c>
      <c r="Y1733" t="s">
        <v>90</v>
      </c>
      <c r="Z1733">
        <v>2014</v>
      </c>
    </row>
    <row r="1734" spans="1:26" x14ac:dyDescent="0.3">
      <c r="A1734" t="s">
        <v>325</v>
      </c>
      <c r="B1734" t="s">
        <v>38</v>
      </c>
      <c r="C1734">
        <v>31</v>
      </c>
      <c r="D1734">
        <v>19</v>
      </c>
      <c r="E1734" s="1">
        <f t="shared" si="27"/>
        <v>0.61290322580645162</v>
      </c>
      <c r="F1734">
        <v>110.4</v>
      </c>
      <c r="G1734">
        <v>96.2</v>
      </c>
      <c r="H1734">
        <v>0.82889999999999997</v>
      </c>
      <c r="I1734">
        <v>53.1</v>
      </c>
      <c r="J1734">
        <v>47.3</v>
      </c>
      <c r="K1734">
        <v>18.3</v>
      </c>
      <c r="L1734">
        <v>18.8</v>
      </c>
      <c r="M1734">
        <v>28.2</v>
      </c>
      <c r="N1734">
        <v>29.2</v>
      </c>
      <c r="O1734">
        <v>39.799999999999997</v>
      </c>
      <c r="P1734">
        <v>36.200000000000003</v>
      </c>
      <c r="Q1734">
        <v>53.7</v>
      </c>
      <c r="R1734">
        <v>46.7</v>
      </c>
      <c r="S1734">
        <v>34.5</v>
      </c>
      <c r="T1734">
        <v>32.6</v>
      </c>
      <c r="U1734">
        <v>65.3</v>
      </c>
      <c r="V1734">
        <v>-0.4</v>
      </c>
      <c r="W1734" cm="1">
        <f t="array" ref="W1734">_xlfn.IFS(OR(X1734="N/A",X1734="NA"),0,OR(X1734="R64",X1734="R68"),1,X1734="R32",2,X1734="S16",3,X1734="E8",4,X1734="F4",5,X1734="2ND",6,X1734="Champions",7)</f>
        <v>0</v>
      </c>
      <c r="X1734" t="s">
        <v>90</v>
      </c>
      <c r="Y1734" t="s">
        <v>90</v>
      </c>
      <c r="Z1734">
        <v>2014</v>
      </c>
    </row>
    <row r="1735" spans="1:26" x14ac:dyDescent="0.3">
      <c r="A1735" t="s">
        <v>290</v>
      </c>
      <c r="B1735" t="s">
        <v>55</v>
      </c>
      <c r="C1735">
        <v>31</v>
      </c>
      <c r="D1735">
        <v>17</v>
      </c>
      <c r="E1735" s="1">
        <f t="shared" si="27"/>
        <v>0.54838709677419351</v>
      </c>
      <c r="F1735">
        <v>108.6</v>
      </c>
      <c r="G1735">
        <v>104.3</v>
      </c>
      <c r="H1735">
        <v>0.61419999999999997</v>
      </c>
      <c r="I1735">
        <v>51.3</v>
      </c>
      <c r="J1735">
        <v>47.6</v>
      </c>
      <c r="K1735">
        <v>17.2</v>
      </c>
      <c r="L1735">
        <v>12.4</v>
      </c>
      <c r="M1735">
        <v>32.299999999999997</v>
      </c>
      <c r="N1735">
        <v>26.7</v>
      </c>
      <c r="O1735">
        <v>33.700000000000003</v>
      </c>
      <c r="P1735">
        <v>33.6</v>
      </c>
      <c r="Q1735">
        <v>46.8</v>
      </c>
      <c r="R1735">
        <v>48.2</v>
      </c>
      <c r="S1735">
        <v>40.9</v>
      </c>
      <c r="T1735">
        <v>31.1</v>
      </c>
      <c r="U1735">
        <v>63.8</v>
      </c>
      <c r="V1735">
        <v>-5.3</v>
      </c>
      <c r="W1735" cm="1">
        <f t="array" ref="W1735">_xlfn.IFS(OR(X1735="N/A",X1735="NA"),0,OR(X1735="R64",X1735="R68"),1,X1735="R32",2,X1735="S16",3,X1735="E8",4,X1735="F4",5,X1735="2ND",6,X1735="Champions",7)</f>
        <v>0</v>
      </c>
      <c r="X1735" t="s">
        <v>90</v>
      </c>
      <c r="Y1735" t="s">
        <v>90</v>
      </c>
      <c r="Z1735">
        <v>2014</v>
      </c>
    </row>
    <row r="1736" spans="1:26" x14ac:dyDescent="0.3">
      <c r="A1736" t="s">
        <v>406</v>
      </c>
      <c r="B1736" t="s">
        <v>51</v>
      </c>
      <c r="C1736">
        <v>30</v>
      </c>
      <c r="D1736">
        <v>18</v>
      </c>
      <c r="E1736" s="1">
        <f t="shared" si="27"/>
        <v>0.6</v>
      </c>
      <c r="F1736">
        <v>101.5</v>
      </c>
      <c r="G1736">
        <v>106.1</v>
      </c>
      <c r="H1736">
        <v>0.3745</v>
      </c>
      <c r="I1736">
        <v>48.8</v>
      </c>
      <c r="J1736">
        <v>49.5</v>
      </c>
      <c r="K1736">
        <v>17.2</v>
      </c>
      <c r="L1736">
        <v>15.8</v>
      </c>
      <c r="M1736">
        <v>27.7</v>
      </c>
      <c r="N1736">
        <v>28.8</v>
      </c>
      <c r="O1736">
        <v>38.700000000000003</v>
      </c>
      <c r="P1736">
        <v>35.4</v>
      </c>
      <c r="Q1736">
        <v>48</v>
      </c>
      <c r="R1736">
        <v>49.6</v>
      </c>
      <c r="S1736">
        <v>33.5</v>
      </c>
      <c r="T1736">
        <v>32.799999999999997</v>
      </c>
      <c r="U1736">
        <v>62.8</v>
      </c>
      <c r="V1736">
        <v>-5.9</v>
      </c>
      <c r="W1736" cm="1">
        <f t="array" ref="W1736">_xlfn.IFS(OR(X1736="N/A",X1736="NA"),0,OR(X1736="R64",X1736="R68"),1,X1736="R32",2,X1736="S16",3,X1736="E8",4,X1736="F4",5,X1736="2ND",6,X1736="Champions",7)</f>
        <v>0</v>
      </c>
      <c r="X1736" t="s">
        <v>90</v>
      </c>
      <c r="Y1736" t="s">
        <v>90</v>
      </c>
      <c r="Z1736">
        <v>2014</v>
      </c>
    </row>
    <row r="1737" spans="1:26" x14ac:dyDescent="0.3">
      <c r="A1737" t="s">
        <v>217</v>
      </c>
      <c r="B1737" t="s">
        <v>40</v>
      </c>
      <c r="C1737">
        <v>32</v>
      </c>
      <c r="D1737">
        <v>21</v>
      </c>
      <c r="E1737" s="1">
        <f t="shared" si="27"/>
        <v>0.65625</v>
      </c>
      <c r="F1737">
        <v>106.2</v>
      </c>
      <c r="G1737">
        <v>98.9</v>
      </c>
      <c r="H1737">
        <v>0.69369999999999998</v>
      </c>
      <c r="I1737">
        <v>50.6</v>
      </c>
      <c r="J1737">
        <v>44.5</v>
      </c>
      <c r="K1737">
        <v>20.2</v>
      </c>
      <c r="L1737">
        <v>17.399999999999999</v>
      </c>
      <c r="M1737">
        <v>32.200000000000003</v>
      </c>
      <c r="N1737">
        <v>32.9</v>
      </c>
      <c r="O1737">
        <v>52.7</v>
      </c>
      <c r="P1737">
        <v>37.799999999999997</v>
      </c>
      <c r="Q1737">
        <v>51.2</v>
      </c>
      <c r="R1737">
        <v>43.9</v>
      </c>
      <c r="S1737">
        <v>32.6</v>
      </c>
      <c r="T1737">
        <v>30.5</v>
      </c>
      <c r="U1737">
        <v>64.7</v>
      </c>
      <c r="V1737">
        <v>-2.7</v>
      </c>
      <c r="W1737" cm="1">
        <f t="array" ref="W1737">_xlfn.IFS(OR(X1737="N/A",X1737="NA"),0,OR(X1737="R64",X1737="R68"),1,X1737="R32",2,X1737="S16",3,X1737="E8",4,X1737="F4",5,X1737="2ND",6,X1737="Champions",7)</f>
        <v>0</v>
      </c>
      <c r="X1737" t="s">
        <v>90</v>
      </c>
      <c r="Y1737" t="s">
        <v>90</v>
      </c>
      <c r="Z1737">
        <v>2014</v>
      </c>
    </row>
    <row r="1738" spans="1:26" x14ac:dyDescent="0.3">
      <c r="A1738" t="s">
        <v>218</v>
      </c>
      <c r="B1738" t="s">
        <v>40</v>
      </c>
      <c r="C1738">
        <v>27</v>
      </c>
      <c r="D1738">
        <v>6</v>
      </c>
      <c r="E1738" s="1">
        <f t="shared" si="27"/>
        <v>0.22222222222222221</v>
      </c>
      <c r="F1738">
        <v>100.8</v>
      </c>
      <c r="G1738">
        <v>113.9</v>
      </c>
      <c r="H1738">
        <v>0.1971</v>
      </c>
      <c r="I1738">
        <v>47.9</v>
      </c>
      <c r="J1738">
        <v>54.9</v>
      </c>
      <c r="K1738">
        <v>23.2</v>
      </c>
      <c r="L1738">
        <v>17.100000000000001</v>
      </c>
      <c r="M1738">
        <v>34.5</v>
      </c>
      <c r="N1738">
        <v>33.1</v>
      </c>
      <c r="O1738">
        <v>51.5</v>
      </c>
      <c r="P1738">
        <v>44</v>
      </c>
      <c r="Q1738">
        <v>46.6</v>
      </c>
      <c r="R1738">
        <v>54.3</v>
      </c>
      <c r="S1738">
        <v>33.4</v>
      </c>
      <c r="T1738">
        <v>37.299999999999997</v>
      </c>
      <c r="U1738">
        <v>68.599999999999994</v>
      </c>
      <c r="V1738">
        <v>-14.9</v>
      </c>
      <c r="W1738" cm="1">
        <f t="array" ref="W1738">_xlfn.IFS(OR(X1738="N/A",X1738="NA"),0,OR(X1738="R64",X1738="R68"),1,X1738="R32",2,X1738="S16",3,X1738="E8",4,X1738="F4",5,X1738="2ND",6,X1738="Champions",7)</f>
        <v>0</v>
      </c>
      <c r="X1738" t="s">
        <v>90</v>
      </c>
      <c r="Y1738" t="s">
        <v>90</v>
      </c>
      <c r="Z1738">
        <v>2014</v>
      </c>
    </row>
    <row r="1739" spans="1:26" x14ac:dyDescent="0.3">
      <c r="A1739" t="s">
        <v>229</v>
      </c>
      <c r="B1739" t="s">
        <v>43</v>
      </c>
      <c r="C1739">
        <v>31</v>
      </c>
      <c r="D1739">
        <v>15</v>
      </c>
      <c r="E1739" s="1">
        <f t="shared" si="27"/>
        <v>0.4838709677419355</v>
      </c>
      <c r="F1739">
        <v>102.5</v>
      </c>
      <c r="G1739">
        <v>103.2</v>
      </c>
      <c r="H1739">
        <v>0.47970000000000002</v>
      </c>
      <c r="I1739">
        <v>51.4</v>
      </c>
      <c r="J1739">
        <v>46.1</v>
      </c>
      <c r="K1739">
        <v>22.6</v>
      </c>
      <c r="L1739">
        <v>16.100000000000001</v>
      </c>
      <c r="M1739">
        <v>32.700000000000003</v>
      </c>
      <c r="N1739">
        <v>31.1</v>
      </c>
      <c r="O1739">
        <v>45.8</v>
      </c>
      <c r="P1739">
        <v>43.9</v>
      </c>
      <c r="Q1739">
        <v>50.7</v>
      </c>
      <c r="R1739">
        <v>43.8</v>
      </c>
      <c r="S1739">
        <v>35</v>
      </c>
      <c r="T1739">
        <v>34.1</v>
      </c>
      <c r="U1739">
        <v>65.400000000000006</v>
      </c>
      <c r="V1739">
        <v>-8.6</v>
      </c>
      <c r="W1739" cm="1">
        <f t="array" ref="W1739">_xlfn.IFS(OR(X1739="N/A",X1739="NA"),0,OR(X1739="R64",X1739="R68"),1,X1739="R32",2,X1739="S16",3,X1739="E8",4,X1739="F4",5,X1739="2ND",6,X1739="Champions",7)</f>
        <v>0</v>
      </c>
      <c r="X1739" t="s">
        <v>90</v>
      </c>
      <c r="Y1739" t="s">
        <v>90</v>
      </c>
      <c r="Z1739">
        <v>2014</v>
      </c>
    </row>
    <row r="1740" spans="1:26" x14ac:dyDescent="0.3">
      <c r="A1740" t="s">
        <v>363</v>
      </c>
      <c r="B1740" t="s">
        <v>29</v>
      </c>
      <c r="C1740">
        <v>31</v>
      </c>
      <c r="D1740">
        <v>15</v>
      </c>
      <c r="E1740" s="1">
        <f t="shared" si="27"/>
        <v>0.4838709677419355</v>
      </c>
      <c r="F1740">
        <v>103.6</v>
      </c>
      <c r="G1740">
        <v>97.9</v>
      </c>
      <c r="H1740">
        <v>0.65720000000000001</v>
      </c>
      <c r="I1740">
        <v>49.1</v>
      </c>
      <c r="J1740">
        <v>45.7</v>
      </c>
      <c r="K1740">
        <v>20.6</v>
      </c>
      <c r="L1740">
        <v>16.5</v>
      </c>
      <c r="M1740">
        <v>29.9</v>
      </c>
      <c r="N1740">
        <v>34.6</v>
      </c>
      <c r="O1740">
        <v>41.2</v>
      </c>
      <c r="P1740">
        <v>35.299999999999997</v>
      </c>
      <c r="Q1740">
        <v>49.8</v>
      </c>
      <c r="R1740">
        <v>45.8</v>
      </c>
      <c r="S1740">
        <v>31.9</v>
      </c>
      <c r="T1740">
        <v>30.4</v>
      </c>
      <c r="U1740">
        <v>63.9</v>
      </c>
      <c r="V1740">
        <v>-4.5999999999999996</v>
      </c>
      <c r="W1740" cm="1">
        <f t="array" ref="W1740">_xlfn.IFS(OR(X1740="N/A",X1740="NA"),0,OR(X1740="R64",X1740="R68"),1,X1740="R32",2,X1740="S16",3,X1740="E8",4,X1740="F4",5,X1740="2ND",6,X1740="Champions",7)</f>
        <v>0</v>
      </c>
      <c r="X1740" t="s">
        <v>90</v>
      </c>
      <c r="Y1740" t="s">
        <v>90</v>
      </c>
      <c r="Z1740">
        <v>2014</v>
      </c>
    </row>
    <row r="1741" spans="1:26" x14ac:dyDescent="0.3">
      <c r="A1741" t="s">
        <v>119</v>
      </c>
      <c r="B1741" t="s">
        <v>112</v>
      </c>
      <c r="C1741">
        <v>31</v>
      </c>
      <c r="D1741">
        <v>20</v>
      </c>
      <c r="E1741" s="1">
        <f t="shared" si="27"/>
        <v>0.64516129032258063</v>
      </c>
      <c r="F1741">
        <v>107.1</v>
      </c>
      <c r="G1741">
        <v>100.3</v>
      </c>
      <c r="H1741">
        <v>0.68200000000000005</v>
      </c>
      <c r="I1741">
        <v>52.2</v>
      </c>
      <c r="J1741">
        <v>45.5</v>
      </c>
      <c r="K1741">
        <v>18.2</v>
      </c>
      <c r="L1741">
        <v>20.100000000000001</v>
      </c>
      <c r="M1741">
        <v>33.1</v>
      </c>
      <c r="N1741">
        <v>27.8</v>
      </c>
      <c r="O1741">
        <v>46</v>
      </c>
      <c r="P1741">
        <v>40.200000000000003</v>
      </c>
      <c r="Q1741">
        <v>49.7</v>
      </c>
      <c r="R1741">
        <v>44</v>
      </c>
      <c r="S1741">
        <v>39</v>
      </c>
      <c r="T1741">
        <v>32.5</v>
      </c>
      <c r="U1741">
        <v>64</v>
      </c>
      <c r="V1741">
        <v>-4.0999999999999996</v>
      </c>
      <c r="W1741" cm="1">
        <f t="array" ref="W1741">_xlfn.IFS(OR(X1741="N/A",X1741="NA"),0,OR(X1741="R64",X1741="R68"),1,X1741="R32",2,X1741="S16",3,X1741="E8",4,X1741="F4",5,X1741="2ND",6,X1741="Champions",7)</f>
        <v>0</v>
      </c>
      <c r="X1741" t="s">
        <v>90</v>
      </c>
      <c r="Y1741" t="s">
        <v>90</v>
      </c>
      <c r="Z1741">
        <v>2014</v>
      </c>
    </row>
    <row r="1742" spans="1:26" x14ac:dyDescent="0.3">
      <c r="A1742" t="s">
        <v>108</v>
      </c>
      <c r="B1742" t="s">
        <v>26</v>
      </c>
      <c r="C1742">
        <v>31</v>
      </c>
      <c r="D1742">
        <v>9</v>
      </c>
      <c r="E1742" s="1">
        <f t="shared" si="27"/>
        <v>0.29032258064516131</v>
      </c>
      <c r="F1742">
        <v>100</v>
      </c>
      <c r="G1742">
        <v>99</v>
      </c>
      <c r="H1742">
        <v>0.52959999999999996</v>
      </c>
      <c r="I1742">
        <v>47.1</v>
      </c>
      <c r="J1742">
        <v>47</v>
      </c>
      <c r="K1742">
        <v>19.7</v>
      </c>
      <c r="L1742">
        <v>13</v>
      </c>
      <c r="M1742">
        <v>31.7</v>
      </c>
      <c r="N1742">
        <v>29.5</v>
      </c>
      <c r="O1742">
        <v>38.1</v>
      </c>
      <c r="P1742">
        <v>33.5</v>
      </c>
      <c r="Q1742">
        <v>43.1</v>
      </c>
      <c r="R1742">
        <v>45.6</v>
      </c>
      <c r="S1742">
        <v>36.1</v>
      </c>
      <c r="T1742">
        <v>32.6</v>
      </c>
      <c r="U1742">
        <v>64.5</v>
      </c>
      <c r="V1742">
        <v>-10.1</v>
      </c>
      <c r="W1742" cm="1">
        <f t="array" ref="W1742">_xlfn.IFS(OR(X1742="N/A",X1742="NA"),0,OR(X1742="R64",X1742="R68"),1,X1742="R32",2,X1742="S16",3,X1742="E8",4,X1742="F4",5,X1742="2ND",6,X1742="Champions",7)</f>
        <v>0</v>
      </c>
      <c r="X1742" t="s">
        <v>90</v>
      </c>
      <c r="Y1742" t="s">
        <v>90</v>
      </c>
      <c r="Z1742">
        <v>2014</v>
      </c>
    </row>
    <row r="1743" spans="1:26" x14ac:dyDescent="0.3">
      <c r="A1743" t="s">
        <v>355</v>
      </c>
      <c r="B1743" t="s">
        <v>74</v>
      </c>
      <c r="C1743">
        <v>31</v>
      </c>
      <c r="D1743">
        <v>18</v>
      </c>
      <c r="E1743" s="1">
        <f t="shared" si="27"/>
        <v>0.58064516129032262</v>
      </c>
      <c r="F1743">
        <v>107.3</v>
      </c>
      <c r="G1743">
        <v>110.1</v>
      </c>
      <c r="H1743">
        <v>0.42709999999999998</v>
      </c>
      <c r="I1743">
        <v>49.9</v>
      </c>
      <c r="J1743">
        <v>49.9</v>
      </c>
      <c r="K1743">
        <v>13.6</v>
      </c>
      <c r="L1743">
        <v>15.6</v>
      </c>
      <c r="M1743">
        <v>31.3</v>
      </c>
      <c r="N1743">
        <v>32.9</v>
      </c>
      <c r="O1743">
        <v>34.5</v>
      </c>
      <c r="P1743">
        <v>36.799999999999997</v>
      </c>
      <c r="Q1743">
        <v>51.2</v>
      </c>
      <c r="R1743">
        <v>49.4</v>
      </c>
      <c r="S1743">
        <v>31.8</v>
      </c>
      <c r="T1743">
        <v>34</v>
      </c>
      <c r="U1743">
        <v>75.099999999999994</v>
      </c>
      <c r="V1743">
        <v>-8</v>
      </c>
      <c r="W1743" cm="1">
        <f t="array" ref="W1743">_xlfn.IFS(OR(X1743="N/A",X1743="NA"),0,OR(X1743="R64",X1743="R68"),1,X1743="R32",2,X1743="S16",3,X1743="E8",4,X1743="F4",5,X1743="2ND",6,X1743="Champions",7)</f>
        <v>0</v>
      </c>
      <c r="X1743" t="s">
        <v>90</v>
      </c>
      <c r="Y1743" t="s">
        <v>90</v>
      </c>
      <c r="Z1743">
        <v>2014</v>
      </c>
    </row>
    <row r="1744" spans="1:26" x14ac:dyDescent="0.3">
      <c r="A1744" t="s">
        <v>302</v>
      </c>
      <c r="B1744" t="s">
        <v>77</v>
      </c>
      <c r="C1744">
        <v>29</v>
      </c>
      <c r="D1744">
        <v>17</v>
      </c>
      <c r="E1744" s="1">
        <f t="shared" si="27"/>
        <v>0.58620689655172409</v>
      </c>
      <c r="F1744">
        <v>97.3</v>
      </c>
      <c r="G1744">
        <v>100.1</v>
      </c>
      <c r="H1744">
        <v>0.42</v>
      </c>
      <c r="I1744">
        <v>46.2</v>
      </c>
      <c r="J1744">
        <v>44.3</v>
      </c>
      <c r="K1744">
        <v>18.100000000000001</v>
      </c>
      <c r="L1744">
        <v>18.899999999999999</v>
      </c>
      <c r="M1744">
        <v>34.4</v>
      </c>
      <c r="N1744">
        <v>31.7</v>
      </c>
      <c r="O1744">
        <v>37</v>
      </c>
      <c r="P1744">
        <v>44.2</v>
      </c>
      <c r="Q1744">
        <v>44.9</v>
      </c>
      <c r="R1744">
        <v>43.9</v>
      </c>
      <c r="S1744">
        <v>33.1</v>
      </c>
      <c r="T1744">
        <v>30.1</v>
      </c>
      <c r="U1744">
        <v>68.3</v>
      </c>
      <c r="V1744">
        <v>-7.6</v>
      </c>
      <c r="W1744" cm="1">
        <f t="array" ref="W1744">_xlfn.IFS(OR(X1744="N/A",X1744="NA"),0,OR(X1744="R64",X1744="R68"),1,X1744="R32",2,X1744="S16",3,X1744="E8",4,X1744="F4",5,X1744="2ND",6,X1744="Champions",7)</f>
        <v>0</v>
      </c>
      <c r="X1744" t="s">
        <v>90</v>
      </c>
      <c r="Y1744" t="s">
        <v>90</v>
      </c>
      <c r="Z1744">
        <v>2014</v>
      </c>
    </row>
    <row r="1745" spans="1:26" x14ac:dyDescent="0.3">
      <c r="A1745" t="s">
        <v>109</v>
      </c>
      <c r="B1745" t="s">
        <v>26</v>
      </c>
      <c r="C1745">
        <v>33</v>
      </c>
      <c r="D1745">
        <v>17</v>
      </c>
      <c r="E1745" s="1">
        <f t="shared" si="27"/>
        <v>0.51515151515151514</v>
      </c>
      <c r="F1745">
        <v>106.7</v>
      </c>
      <c r="G1745">
        <v>101.2</v>
      </c>
      <c r="H1745">
        <v>0.64839999999999998</v>
      </c>
      <c r="I1745">
        <v>49.8</v>
      </c>
      <c r="J1745">
        <v>47.5</v>
      </c>
      <c r="K1745">
        <v>18.399999999999999</v>
      </c>
      <c r="L1745">
        <v>16.8</v>
      </c>
      <c r="M1745">
        <v>30.2</v>
      </c>
      <c r="N1745">
        <v>33.799999999999997</v>
      </c>
      <c r="O1745">
        <v>50.1</v>
      </c>
      <c r="P1745">
        <v>39</v>
      </c>
      <c r="Q1745">
        <v>50</v>
      </c>
      <c r="R1745">
        <v>47.7</v>
      </c>
      <c r="S1745">
        <v>32.9</v>
      </c>
      <c r="T1745">
        <v>31.4</v>
      </c>
      <c r="U1745">
        <v>68.2</v>
      </c>
      <c r="V1745">
        <v>-2.6</v>
      </c>
      <c r="W1745" cm="1">
        <f t="array" ref="W1745">_xlfn.IFS(OR(X1745="N/A",X1745="NA"),0,OR(X1745="R64",X1745="R68"),1,X1745="R32",2,X1745="S16",3,X1745="E8",4,X1745="F4",5,X1745="2ND",6,X1745="Champions",7)</f>
        <v>0</v>
      </c>
      <c r="X1745" t="s">
        <v>90</v>
      </c>
      <c r="Y1745" t="s">
        <v>90</v>
      </c>
      <c r="Z1745">
        <v>2014</v>
      </c>
    </row>
    <row r="1746" spans="1:26" x14ac:dyDescent="0.3">
      <c r="A1746" t="s">
        <v>322</v>
      </c>
      <c r="B1746" t="s">
        <v>38</v>
      </c>
      <c r="C1746">
        <v>32</v>
      </c>
      <c r="D1746">
        <v>17</v>
      </c>
      <c r="E1746" s="1">
        <f t="shared" si="27"/>
        <v>0.53125</v>
      </c>
      <c r="F1746">
        <v>111.2</v>
      </c>
      <c r="G1746">
        <v>104.2</v>
      </c>
      <c r="H1746">
        <v>0.67879999999999996</v>
      </c>
      <c r="I1746">
        <v>49.6</v>
      </c>
      <c r="J1746">
        <v>51.8</v>
      </c>
      <c r="K1746">
        <v>16.5</v>
      </c>
      <c r="L1746">
        <v>16.3</v>
      </c>
      <c r="M1746">
        <v>32.200000000000003</v>
      </c>
      <c r="N1746">
        <v>29.2</v>
      </c>
      <c r="O1746">
        <v>37.1</v>
      </c>
      <c r="P1746">
        <v>41.4</v>
      </c>
      <c r="Q1746">
        <v>49.1</v>
      </c>
      <c r="R1746">
        <v>53.3</v>
      </c>
      <c r="S1746">
        <v>33.9</v>
      </c>
      <c r="T1746">
        <v>31.8</v>
      </c>
      <c r="U1746">
        <v>68.8</v>
      </c>
      <c r="V1746">
        <v>-3.6</v>
      </c>
      <c r="W1746" cm="1">
        <f t="array" ref="W1746">_xlfn.IFS(OR(X1746="N/A",X1746="NA"),0,OR(X1746="R64",X1746="R68"),1,X1746="R32",2,X1746="S16",3,X1746="E8",4,X1746="F4",5,X1746="2ND",6,X1746="Champions",7)</f>
        <v>0</v>
      </c>
      <c r="X1746" t="s">
        <v>90</v>
      </c>
      <c r="Y1746" t="s">
        <v>90</v>
      </c>
      <c r="Z1746">
        <v>2014</v>
      </c>
    </row>
    <row r="1747" spans="1:26" x14ac:dyDescent="0.3">
      <c r="A1747" t="s">
        <v>323</v>
      </c>
      <c r="B1747" t="s">
        <v>38</v>
      </c>
      <c r="C1747">
        <v>30</v>
      </c>
      <c r="D1747">
        <v>9</v>
      </c>
      <c r="E1747" s="1">
        <f t="shared" si="27"/>
        <v>0.3</v>
      </c>
      <c r="F1747">
        <v>101.1</v>
      </c>
      <c r="G1747">
        <v>102.6</v>
      </c>
      <c r="H1747">
        <v>0.45639999999999997</v>
      </c>
      <c r="I1747">
        <v>46.9</v>
      </c>
      <c r="J1747">
        <v>51.5</v>
      </c>
      <c r="K1747">
        <v>18</v>
      </c>
      <c r="L1747">
        <v>17.5</v>
      </c>
      <c r="M1747">
        <v>27.7</v>
      </c>
      <c r="N1747">
        <v>27.9</v>
      </c>
      <c r="O1747">
        <v>37.200000000000003</v>
      </c>
      <c r="P1747">
        <v>44.7</v>
      </c>
      <c r="Q1747">
        <v>45.2</v>
      </c>
      <c r="R1747">
        <v>49.6</v>
      </c>
      <c r="S1747">
        <v>32.700000000000003</v>
      </c>
      <c r="T1747">
        <v>36.9</v>
      </c>
      <c r="U1747">
        <v>62.3</v>
      </c>
      <c r="V1747">
        <v>-9.3000000000000007</v>
      </c>
      <c r="W1747" cm="1">
        <f t="array" ref="W1747">_xlfn.IFS(OR(X1747="N/A",X1747="NA"),0,OR(X1747="R64",X1747="R68"),1,X1747="R32",2,X1747="S16",3,X1747="E8",4,X1747="F4",5,X1747="2ND",6,X1747="Champions",7)</f>
        <v>0</v>
      </c>
      <c r="X1747" t="s">
        <v>90</v>
      </c>
      <c r="Y1747" t="s">
        <v>90</v>
      </c>
      <c r="Z1747">
        <v>2014</v>
      </c>
    </row>
    <row r="1748" spans="1:26" x14ac:dyDescent="0.3">
      <c r="A1748" t="s">
        <v>155</v>
      </c>
      <c r="B1748" t="s">
        <v>35</v>
      </c>
      <c r="C1748">
        <v>33</v>
      </c>
      <c r="D1748">
        <v>17</v>
      </c>
      <c r="E1748" s="1">
        <f t="shared" si="27"/>
        <v>0.51515151515151514</v>
      </c>
      <c r="F1748">
        <v>115.2</v>
      </c>
      <c r="G1748">
        <v>101.8</v>
      </c>
      <c r="H1748">
        <v>0.80579999999999996</v>
      </c>
      <c r="I1748">
        <v>50.4</v>
      </c>
      <c r="J1748">
        <v>50.6</v>
      </c>
      <c r="K1748">
        <v>14.2</v>
      </c>
      <c r="L1748">
        <v>18.5</v>
      </c>
      <c r="M1748">
        <v>32.4</v>
      </c>
      <c r="N1748">
        <v>32.5</v>
      </c>
      <c r="O1748">
        <v>39.1</v>
      </c>
      <c r="P1748">
        <v>41.6</v>
      </c>
      <c r="Q1748">
        <v>46.9</v>
      </c>
      <c r="R1748">
        <v>50</v>
      </c>
      <c r="S1748">
        <v>38.1</v>
      </c>
      <c r="T1748">
        <v>34.5</v>
      </c>
      <c r="U1748">
        <v>68.2</v>
      </c>
      <c r="V1748">
        <v>-1.8</v>
      </c>
      <c r="W1748" cm="1">
        <f t="array" ref="W1748">_xlfn.IFS(OR(X1748="N/A",X1748="NA"),0,OR(X1748="R64",X1748="R68"),1,X1748="R32",2,X1748="S16",3,X1748="E8",4,X1748="F4",5,X1748="2ND",6,X1748="Champions",7)</f>
        <v>0</v>
      </c>
      <c r="X1748" t="s">
        <v>90</v>
      </c>
      <c r="Y1748" t="s">
        <v>90</v>
      </c>
      <c r="Z1748">
        <v>2014</v>
      </c>
    </row>
    <row r="1749" spans="1:26" x14ac:dyDescent="0.3">
      <c r="A1749" t="s">
        <v>356</v>
      </c>
      <c r="B1749" t="s">
        <v>62</v>
      </c>
      <c r="C1749">
        <v>31</v>
      </c>
      <c r="D1749">
        <v>16</v>
      </c>
      <c r="E1749" s="1">
        <f t="shared" si="27"/>
        <v>0.5161290322580645</v>
      </c>
      <c r="F1749">
        <v>102.5</v>
      </c>
      <c r="G1749">
        <v>110</v>
      </c>
      <c r="H1749">
        <v>0.30620000000000003</v>
      </c>
      <c r="I1749">
        <v>48.2</v>
      </c>
      <c r="J1749">
        <v>50.5</v>
      </c>
      <c r="K1749">
        <v>17.8</v>
      </c>
      <c r="L1749">
        <v>19.8</v>
      </c>
      <c r="M1749">
        <v>35.4</v>
      </c>
      <c r="N1749">
        <v>32.700000000000003</v>
      </c>
      <c r="O1749">
        <v>36.799999999999997</v>
      </c>
      <c r="P1749">
        <v>58</v>
      </c>
      <c r="Q1749">
        <v>46.1</v>
      </c>
      <c r="R1749">
        <v>50.8</v>
      </c>
      <c r="S1749">
        <v>34.9</v>
      </c>
      <c r="T1749">
        <v>33.200000000000003</v>
      </c>
      <c r="U1749">
        <v>67.7</v>
      </c>
      <c r="V1749">
        <v>-9.9</v>
      </c>
      <c r="W1749" cm="1">
        <f t="array" ref="W1749">_xlfn.IFS(OR(X1749="N/A",X1749="NA"),0,OR(X1749="R64",X1749="R68"),1,X1749="R32",2,X1749="S16",3,X1749="E8",4,X1749="F4",5,X1749="2ND",6,X1749="Champions",7)</f>
        <v>0</v>
      </c>
      <c r="X1749" t="s">
        <v>90</v>
      </c>
      <c r="Y1749" t="s">
        <v>90</v>
      </c>
      <c r="Z1749">
        <v>2014</v>
      </c>
    </row>
    <row r="1750" spans="1:26" x14ac:dyDescent="0.3">
      <c r="A1750" t="s">
        <v>387</v>
      </c>
      <c r="B1750" t="s">
        <v>72</v>
      </c>
      <c r="C1750">
        <v>27</v>
      </c>
      <c r="D1750">
        <v>7</v>
      </c>
      <c r="E1750" s="1">
        <f t="shared" si="27"/>
        <v>0.25925925925925924</v>
      </c>
      <c r="F1750">
        <v>93.9</v>
      </c>
      <c r="G1750">
        <v>103.1</v>
      </c>
      <c r="H1750">
        <v>0.2545</v>
      </c>
      <c r="I1750">
        <v>49.1</v>
      </c>
      <c r="J1750">
        <v>48.6</v>
      </c>
      <c r="K1750">
        <v>21.6</v>
      </c>
      <c r="L1750">
        <v>18.7</v>
      </c>
      <c r="M1750">
        <v>24.9</v>
      </c>
      <c r="N1750">
        <v>28.6</v>
      </c>
      <c r="O1750">
        <v>38.9</v>
      </c>
      <c r="P1750">
        <v>47.1</v>
      </c>
      <c r="Q1750">
        <v>48.3</v>
      </c>
      <c r="R1750">
        <v>46.9</v>
      </c>
      <c r="S1750">
        <v>34</v>
      </c>
      <c r="T1750">
        <v>34.799999999999997</v>
      </c>
      <c r="U1750">
        <v>62.6</v>
      </c>
      <c r="V1750">
        <v>-14.4</v>
      </c>
      <c r="W1750" cm="1">
        <f t="array" ref="W1750">_xlfn.IFS(OR(X1750="N/A",X1750="NA"),0,OR(X1750="R64",X1750="R68"),1,X1750="R32",2,X1750="S16",3,X1750="E8",4,X1750="F4",5,X1750="2ND",6,X1750="Champions",7)</f>
        <v>0</v>
      </c>
      <c r="X1750" t="s">
        <v>90</v>
      </c>
      <c r="Y1750" t="s">
        <v>90</v>
      </c>
      <c r="Z1750">
        <v>2014</v>
      </c>
    </row>
    <row r="1751" spans="1:26" x14ac:dyDescent="0.3">
      <c r="A1751" t="s">
        <v>219</v>
      </c>
      <c r="B1751" t="s">
        <v>58</v>
      </c>
      <c r="C1751">
        <v>31</v>
      </c>
      <c r="D1751">
        <v>19</v>
      </c>
      <c r="E1751" s="1">
        <f t="shared" si="27"/>
        <v>0.61290322580645162</v>
      </c>
      <c r="F1751">
        <v>101</v>
      </c>
      <c r="G1751">
        <v>101.6</v>
      </c>
      <c r="H1751">
        <v>0.4829</v>
      </c>
      <c r="I1751">
        <v>47.6</v>
      </c>
      <c r="J1751">
        <v>48.5</v>
      </c>
      <c r="K1751">
        <v>20.2</v>
      </c>
      <c r="L1751">
        <v>18.899999999999999</v>
      </c>
      <c r="M1751">
        <v>34.299999999999997</v>
      </c>
      <c r="N1751">
        <v>28.1</v>
      </c>
      <c r="O1751">
        <v>41.9</v>
      </c>
      <c r="P1751">
        <v>43.1</v>
      </c>
      <c r="Q1751">
        <v>45.8</v>
      </c>
      <c r="R1751">
        <v>46.8</v>
      </c>
      <c r="S1751">
        <v>33.5</v>
      </c>
      <c r="T1751">
        <v>35</v>
      </c>
      <c r="U1751">
        <v>66</v>
      </c>
      <c r="V1751">
        <v>-5.4</v>
      </c>
      <c r="W1751" cm="1">
        <f t="array" ref="W1751">_xlfn.IFS(OR(X1751="N/A",X1751="NA"),0,OR(X1751="R64",X1751="R68"),1,X1751="R32",2,X1751="S16",3,X1751="E8",4,X1751="F4",5,X1751="2ND",6,X1751="Champions",7)</f>
        <v>0</v>
      </c>
      <c r="X1751" t="s">
        <v>90</v>
      </c>
      <c r="Y1751" t="s">
        <v>90</v>
      </c>
      <c r="Z1751">
        <v>2014</v>
      </c>
    </row>
    <row r="1752" spans="1:26" x14ac:dyDescent="0.3">
      <c r="A1752" t="s">
        <v>205</v>
      </c>
      <c r="B1752" t="s">
        <v>53</v>
      </c>
      <c r="C1752">
        <v>30</v>
      </c>
      <c r="D1752">
        <v>19</v>
      </c>
      <c r="E1752" s="1">
        <f t="shared" si="27"/>
        <v>0.6333333333333333</v>
      </c>
      <c r="F1752">
        <v>112.8</v>
      </c>
      <c r="G1752">
        <v>112.1</v>
      </c>
      <c r="H1752">
        <v>0.51980000000000004</v>
      </c>
      <c r="I1752">
        <v>56.2</v>
      </c>
      <c r="J1752">
        <v>52.2</v>
      </c>
      <c r="K1752">
        <v>16.100000000000001</v>
      </c>
      <c r="L1752">
        <v>15.8</v>
      </c>
      <c r="M1752">
        <v>24.3</v>
      </c>
      <c r="N1752">
        <v>30.8</v>
      </c>
      <c r="O1752">
        <v>39.6</v>
      </c>
      <c r="P1752">
        <v>29.3</v>
      </c>
      <c r="Q1752">
        <v>53</v>
      </c>
      <c r="R1752">
        <v>50.5</v>
      </c>
      <c r="S1752">
        <v>40.4</v>
      </c>
      <c r="T1752">
        <v>37.1</v>
      </c>
      <c r="U1752">
        <v>65.099999999999994</v>
      </c>
      <c r="V1752">
        <v>-5.3</v>
      </c>
      <c r="W1752" cm="1">
        <f t="array" ref="W1752">_xlfn.IFS(OR(X1752="N/A",X1752="NA"),0,OR(X1752="R64",X1752="R68"),1,X1752="R32",2,X1752="S16",3,X1752="E8",4,X1752="F4",5,X1752="2ND",6,X1752="Champions",7)</f>
        <v>0</v>
      </c>
      <c r="X1752" t="s">
        <v>90</v>
      </c>
      <c r="Y1752" t="s">
        <v>90</v>
      </c>
      <c r="Z1752">
        <v>2014</v>
      </c>
    </row>
    <row r="1753" spans="1:26" x14ac:dyDescent="0.3">
      <c r="A1753" t="s">
        <v>185</v>
      </c>
      <c r="B1753" t="s">
        <v>74</v>
      </c>
      <c r="C1753">
        <v>30</v>
      </c>
      <c r="D1753">
        <v>17</v>
      </c>
      <c r="E1753" s="1">
        <f t="shared" si="27"/>
        <v>0.56666666666666665</v>
      </c>
      <c r="F1753">
        <v>103.2</v>
      </c>
      <c r="G1753">
        <v>108.9</v>
      </c>
      <c r="H1753">
        <v>0.34870000000000001</v>
      </c>
      <c r="I1753">
        <v>50.9</v>
      </c>
      <c r="J1753">
        <v>52.5</v>
      </c>
      <c r="K1753">
        <v>18.600000000000001</v>
      </c>
      <c r="L1753">
        <v>19.899999999999999</v>
      </c>
      <c r="M1753">
        <v>28.9</v>
      </c>
      <c r="N1753">
        <v>30</v>
      </c>
      <c r="O1753">
        <v>41</v>
      </c>
      <c r="P1753">
        <v>45.1</v>
      </c>
      <c r="Q1753">
        <v>46.2</v>
      </c>
      <c r="R1753">
        <v>51.5</v>
      </c>
      <c r="S1753">
        <v>39.299999999999997</v>
      </c>
      <c r="T1753">
        <v>36.4</v>
      </c>
      <c r="U1753">
        <v>66.2</v>
      </c>
      <c r="V1753">
        <v>-8.1999999999999993</v>
      </c>
      <c r="W1753" cm="1">
        <f t="array" ref="W1753">_xlfn.IFS(OR(X1753="N/A",X1753="NA"),0,OR(X1753="R64",X1753="R68"),1,X1753="R32",2,X1753="S16",3,X1753="E8",4,X1753="F4",5,X1753="2ND",6,X1753="Champions",7)</f>
        <v>0</v>
      </c>
      <c r="X1753" t="s">
        <v>90</v>
      </c>
      <c r="Y1753" t="s">
        <v>90</v>
      </c>
      <c r="Z1753">
        <v>2014</v>
      </c>
    </row>
    <row r="1754" spans="1:26" x14ac:dyDescent="0.3">
      <c r="A1754" t="s">
        <v>227</v>
      </c>
      <c r="B1754" t="s">
        <v>43</v>
      </c>
      <c r="C1754">
        <v>34</v>
      </c>
      <c r="D1754">
        <v>19</v>
      </c>
      <c r="E1754" s="1">
        <f t="shared" si="27"/>
        <v>0.55882352941176472</v>
      </c>
      <c r="F1754">
        <v>99.5</v>
      </c>
      <c r="G1754">
        <v>97.3</v>
      </c>
      <c r="H1754">
        <v>0.56469999999999998</v>
      </c>
      <c r="I1754">
        <v>51.2</v>
      </c>
      <c r="J1754">
        <v>48.6</v>
      </c>
      <c r="K1754">
        <v>20.3</v>
      </c>
      <c r="L1754">
        <v>23.6</v>
      </c>
      <c r="M1754">
        <v>23.5</v>
      </c>
      <c r="N1754">
        <v>29</v>
      </c>
      <c r="O1754">
        <v>43</v>
      </c>
      <c r="P1754">
        <v>45</v>
      </c>
      <c r="Q1754">
        <v>49.3</v>
      </c>
      <c r="R1754">
        <v>48.2</v>
      </c>
      <c r="S1754">
        <v>36.5</v>
      </c>
      <c r="T1754">
        <v>33</v>
      </c>
      <c r="U1754">
        <v>65.2</v>
      </c>
      <c r="V1754">
        <v>-8.1</v>
      </c>
      <c r="W1754" cm="1">
        <f t="array" ref="W1754">_xlfn.IFS(OR(X1754="N/A",X1754="NA"),0,OR(X1754="R64",X1754="R68"),1,X1754="R32",2,X1754="S16",3,X1754="E8",4,X1754="F4",5,X1754="2ND",6,X1754="Champions",7)</f>
        <v>0</v>
      </c>
      <c r="X1754" t="s">
        <v>90</v>
      </c>
      <c r="Y1754" t="s">
        <v>90</v>
      </c>
      <c r="Z1754">
        <v>2014</v>
      </c>
    </row>
    <row r="1755" spans="1:26" x14ac:dyDescent="0.3">
      <c r="A1755" t="s">
        <v>293</v>
      </c>
      <c r="B1755" t="s">
        <v>55</v>
      </c>
      <c r="C1755">
        <v>31</v>
      </c>
      <c r="D1755">
        <v>16</v>
      </c>
      <c r="E1755" s="1">
        <f t="shared" si="27"/>
        <v>0.5161290322580645</v>
      </c>
      <c r="F1755">
        <v>104.9</v>
      </c>
      <c r="G1755">
        <v>99.9</v>
      </c>
      <c r="H1755">
        <v>0.63680000000000003</v>
      </c>
      <c r="I1755">
        <v>52.7</v>
      </c>
      <c r="J1755">
        <v>46.2</v>
      </c>
      <c r="K1755">
        <v>16.899999999999999</v>
      </c>
      <c r="L1755">
        <v>16.600000000000001</v>
      </c>
      <c r="M1755">
        <v>18.100000000000001</v>
      </c>
      <c r="N1755">
        <v>31.6</v>
      </c>
      <c r="O1755">
        <v>45.6</v>
      </c>
      <c r="P1755">
        <v>32.799999999999997</v>
      </c>
      <c r="Q1755">
        <v>53</v>
      </c>
      <c r="R1755">
        <v>45.6</v>
      </c>
      <c r="S1755">
        <v>34.9</v>
      </c>
      <c r="T1755">
        <v>31.6</v>
      </c>
      <c r="U1755">
        <v>61.1</v>
      </c>
      <c r="V1755">
        <v>-5.7</v>
      </c>
      <c r="W1755" cm="1">
        <f t="array" ref="W1755">_xlfn.IFS(OR(X1755="N/A",X1755="NA"),0,OR(X1755="R64",X1755="R68"),1,X1755="R32",2,X1755="S16",3,X1755="E8",4,X1755="F4",5,X1755="2ND",6,X1755="Champions",7)</f>
        <v>0</v>
      </c>
      <c r="X1755" t="s">
        <v>90</v>
      </c>
      <c r="Y1755" t="s">
        <v>90</v>
      </c>
      <c r="Z1755">
        <v>2014</v>
      </c>
    </row>
    <row r="1756" spans="1:26" x14ac:dyDescent="0.3">
      <c r="A1756" t="s">
        <v>238</v>
      </c>
      <c r="B1756" t="s">
        <v>59</v>
      </c>
      <c r="C1756">
        <v>32</v>
      </c>
      <c r="D1756">
        <v>18</v>
      </c>
      <c r="E1756" s="1">
        <f t="shared" si="27"/>
        <v>0.5625</v>
      </c>
      <c r="F1756">
        <v>101.5</v>
      </c>
      <c r="G1756">
        <v>101.4</v>
      </c>
      <c r="H1756">
        <v>0.503</v>
      </c>
      <c r="I1756">
        <v>46.2</v>
      </c>
      <c r="J1756">
        <v>50.2</v>
      </c>
      <c r="K1756">
        <v>19.7</v>
      </c>
      <c r="L1756">
        <v>18.600000000000001</v>
      </c>
      <c r="M1756">
        <v>34</v>
      </c>
      <c r="N1756">
        <v>25.3</v>
      </c>
      <c r="O1756">
        <v>50.5</v>
      </c>
      <c r="P1756">
        <v>41</v>
      </c>
      <c r="Q1756">
        <v>45.6</v>
      </c>
      <c r="R1756">
        <v>47.9</v>
      </c>
      <c r="S1756">
        <v>31.7</v>
      </c>
      <c r="T1756">
        <v>36.299999999999997</v>
      </c>
      <c r="U1756">
        <v>65.2</v>
      </c>
      <c r="V1756">
        <v>-6</v>
      </c>
      <c r="W1756" cm="1">
        <f t="array" ref="W1756">_xlfn.IFS(OR(X1756="N/A",X1756="NA"),0,OR(X1756="R64",X1756="R68"),1,X1756="R32",2,X1756="S16",3,X1756="E8",4,X1756="F4",5,X1756="2ND",6,X1756="Champions",7)</f>
        <v>0</v>
      </c>
      <c r="X1756" t="s">
        <v>90</v>
      </c>
      <c r="Y1756" t="s">
        <v>90</v>
      </c>
      <c r="Z1756">
        <v>2014</v>
      </c>
    </row>
    <row r="1757" spans="1:26" x14ac:dyDescent="0.3">
      <c r="A1757" t="s">
        <v>228</v>
      </c>
      <c r="B1757" t="s">
        <v>43</v>
      </c>
      <c r="C1757">
        <v>29</v>
      </c>
      <c r="D1757">
        <v>12</v>
      </c>
      <c r="E1757" s="1">
        <f t="shared" si="27"/>
        <v>0.41379310344827586</v>
      </c>
      <c r="F1757">
        <v>107</v>
      </c>
      <c r="G1757">
        <v>108.4</v>
      </c>
      <c r="H1757">
        <v>0.46260000000000001</v>
      </c>
      <c r="I1757">
        <v>52.2</v>
      </c>
      <c r="J1757">
        <v>52.2</v>
      </c>
      <c r="K1757">
        <v>16.100000000000001</v>
      </c>
      <c r="L1757">
        <v>18.600000000000001</v>
      </c>
      <c r="M1757">
        <v>25</v>
      </c>
      <c r="N1757">
        <v>30.5</v>
      </c>
      <c r="O1757">
        <v>40</v>
      </c>
      <c r="P1757">
        <v>41.2</v>
      </c>
      <c r="Q1757">
        <v>52.3</v>
      </c>
      <c r="R1757">
        <v>51.7</v>
      </c>
      <c r="S1757">
        <v>34.700000000000003</v>
      </c>
      <c r="T1757">
        <v>35.5</v>
      </c>
      <c r="U1757">
        <v>68</v>
      </c>
      <c r="V1757">
        <v>-10.3</v>
      </c>
      <c r="W1757" cm="1">
        <f t="array" ref="W1757">_xlfn.IFS(OR(X1757="N/A",X1757="NA"),0,OR(X1757="R64",X1757="R68"),1,X1757="R32",2,X1757="S16",3,X1757="E8",4,X1757="F4",5,X1757="2ND",6,X1757="Champions",7)</f>
        <v>0</v>
      </c>
      <c r="X1757" t="s">
        <v>90</v>
      </c>
      <c r="Y1757" t="s">
        <v>90</v>
      </c>
      <c r="Z1757">
        <v>2014</v>
      </c>
    </row>
    <row r="1758" spans="1:26" x14ac:dyDescent="0.3">
      <c r="A1758" t="s">
        <v>394</v>
      </c>
      <c r="B1758" t="s">
        <v>76</v>
      </c>
      <c r="C1758">
        <v>28</v>
      </c>
      <c r="D1758">
        <v>0</v>
      </c>
      <c r="E1758" s="1">
        <f t="shared" si="27"/>
        <v>0</v>
      </c>
      <c r="F1758">
        <v>76.599999999999994</v>
      </c>
      <c r="G1758">
        <v>121.4</v>
      </c>
      <c r="H1758">
        <v>5.0000000000000001E-3</v>
      </c>
      <c r="I1758">
        <v>41.1</v>
      </c>
      <c r="J1758">
        <v>52.2</v>
      </c>
      <c r="K1758">
        <v>26.8</v>
      </c>
      <c r="L1758">
        <v>14.8</v>
      </c>
      <c r="M1758">
        <v>28.5</v>
      </c>
      <c r="N1758">
        <v>39.1</v>
      </c>
      <c r="O1758">
        <v>24.9</v>
      </c>
      <c r="P1758">
        <v>34.9</v>
      </c>
      <c r="Q1758">
        <v>38.4</v>
      </c>
      <c r="R1758">
        <v>49.9</v>
      </c>
      <c r="S1758">
        <v>31.2</v>
      </c>
      <c r="T1758">
        <v>37.799999999999997</v>
      </c>
      <c r="U1758">
        <v>64.7</v>
      </c>
      <c r="V1758">
        <v>-24.3</v>
      </c>
      <c r="W1758" cm="1">
        <f t="array" ref="W1758">_xlfn.IFS(OR(X1758="N/A",X1758="NA"),0,OR(X1758="R64",X1758="R68"),1,X1758="R32",2,X1758="S16",3,X1758="E8",4,X1758="F4",5,X1758="2ND",6,X1758="Champions",7)</f>
        <v>0</v>
      </c>
      <c r="X1758" t="s">
        <v>90</v>
      </c>
      <c r="Y1758" t="s">
        <v>90</v>
      </c>
      <c r="Z1758">
        <v>2013</v>
      </c>
    </row>
    <row r="1759" spans="1:26" x14ac:dyDescent="0.3">
      <c r="A1759" t="s">
        <v>415</v>
      </c>
      <c r="B1759" t="s">
        <v>37</v>
      </c>
      <c r="C1759">
        <v>29</v>
      </c>
      <c r="D1759">
        <v>13</v>
      </c>
      <c r="E1759" s="1">
        <f t="shared" si="27"/>
        <v>0.44827586206896552</v>
      </c>
      <c r="F1759">
        <v>105.2</v>
      </c>
      <c r="G1759">
        <v>102.3</v>
      </c>
      <c r="H1759">
        <v>0.57979999999999998</v>
      </c>
      <c r="I1759">
        <v>52.7</v>
      </c>
      <c r="J1759">
        <v>49.8</v>
      </c>
      <c r="K1759">
        <v>18.100000000000001</v>
      </c>
      <c r="L1759">
        <v>17.399999999999999</v>
      </c>
      <c r="M1759">
        <v>23.9</v>
      </c>
      <c r="N1759">
        <v>29.8</v>
      </c>
      <c r="O1759">
        <v>34.6</v>
      </c>
      <c r="P1759">
        <v>32.4</v>
      </c>
      <c r="Q1759">
        <v>48</v>
      </c>
      <c r="R1759">
        <v>49.2</v>
      </c>
      <c r="S1759">
        <v>40.1</v>
      </c>
      <c r="T1759">
        <v>34.1</v>
      </c>
      <c r="U1759">
        <v>66.8</v>
      </c>
      <c r="V1759">
        <v>-7.9</v>
      </c>
      <c r="W1759" cm="1">
        <f t="array" ref="W1759">_xlfn.IFS(OR(X1759="N/A",X1759="NA"),0,OR(X1759="R64",X1759="R68"),1,X1759="R32",2,X1759="S16",3,X1759="E8",4,X1759="F4",5,X1759="2ND",6,X1759="Champions",7)</f>
        <v>0</v>
      </c>
      <c r="X1759" t="s">
        <v>90</v>
      </c>
      <c r="Y1759" t="s">
        <v>90</v>
      </c>
      <c r="Z1759">
        <v>2013</v>
      </c>
    </row>
    <row r="1760" spans="1:26" x14ac:dyDescent="0.3">
      <c r="A1760" t="s">
        <v>184</v>
      </c>
      <c r="B1760" t="s">
        <v>74</v>
      </c>
      <c r="C1760">
        <v>29</v>
      </c>
      <c r="D1760">
        <v>13</v>
      </c>
      <c r="E1760" s="1">
        <f t="shared" si="27"/>
        <v>0.44827586206896552</v>
      </c>
      <c r="F1760">
        <v>98.8</v>
      </c>
      <c r="G1760">
        <v>103.9</v>
      </c>
      <c r="H1760">
        <v>0.36159999999999998</v>
      </c>
      <c r="I1760">
        <v>48.6</v>
      </c>
      <c r="J1760">
        <v>49.5</v>
      </c>
      <c r="K1760">
        <v>20.6</v>
      </c>
      <c r="L1760">
        <v>20.7</v>
      </c>
      <c r="M1760">
        <v>33</v>
      </c>
      <c r="N1760">
        <v>33.200000000000003</v>
      </c>
      <c r="O1760">
        <v>38.1</v>
      </c>
      <c r="P1760">
        <v>33.200000000000003</v>
      </c>
      <c r="Q1760">
        <v>48.5</v>
      </c>
      <c r="R1760">
        <v>49.4</v>
      </c>
      <c r="S1760">
        <v>32.6</v>
      </c>
      <c r="T1760">
        <v>33.1</v>
      </c>
      <c r="U1760">
        <v>69.5</v>
      </c>
      <c r="V1760">
        <v>-10.8</v>
      </c>
      <c r="W1760" cm="1">
        <f t="array" ref="W1760">_xlfn.IFS(OR(X1760="N/A",X1760="NA"),0,OR(X1760="R64",X1760="R68"),1,X1760="R32",2,X1760="S16",3,X1760="E8",4,X1760="F4",5,X1760="2ND",6,X1760="Champions",7)</f>
        <v>0</v>
      </c>
      <c r="X1760" t="s">
        <v>90</v>
      </c>
      <c r="Y1760" t="s">
        <v>90</v>
      </c>
      <c r="Z1760">
        <v>2013</v>
      </c>
    </row>
    <row r="1761" spans="1:26" x14ac:dyDescent="0.3">
      <c r="A1761" t="s">
        <v>336</v>
      </c>
      <c r="B1761" t="s">
        <v>62</v>
      </c>
      <c r="C1761">
        <v>29</v>
      </c>
      <c r="D1761">
        <v>13</v>
      </c>
      <c r="E1761" s="1">
        <f t="shared" si="27"/>
        <v>0.44827586206896552</v>
      </c>
      <c r="F1761">
        <v>97.6</v>
      </c>
      <c r="G1761">
        <v>105.8</v>
      </c>
      <c r="H1761">
        <v>0.28220000000000001</v>
      </c>
      <c r="I1761">
        <v>49.6</v>
      </c>
      <c r="J1761">
        <v>51.4</v>
      </c>
      <c r="K1761">
        <v>19.399999999999999</v>
      </c>
      <c r="L1761">
        <v>18.8</v>
      </c>
      <c r="M1761">
        <v>30.3</v>
      </c>
      <c r="N1761">
        <v>30.3</v>
      </c>
      <c r="O1761">
        <v>37.9</v>
      </c>
      <c r="P1761">
        <v>35.200000000000003</v>
      </c>
      <c r="Q1761">
        <v>47.2</v>
      </c>
      <c r="R1761">
        <v>52.5</v>
      </c>
      <c r="S1761">
        <v>36.5</v>
      </c>
      <c r="T1761">
        <v>32.700000000000003</v>
      </c>
      <c r="U1761">
        <v>68</v>
      </c>
      <c r="V1761">
        <v>-11.7</v>
      </c>
      <c r="W1761" cm="1">
        <f t="array" ref="W1761">_xlfn.IFS(OR(X1761="N/A",X1761="NA"),0,OR(X1761="R64",X1761="R68"),1,X1761="R32",2,X1761="S16",3,X1761="E8",4,X1761="F4",5,X1761="2ND",6,X1761="Champions",7)</f>
        <v>0</v>
      </c>
      <c r="X1761" t="s">
        <v>90</v>
      </c>
      <c r="Y1761" t="s">
        <v>90</v>
      </c>
      <c r="Z1761">
        <v>2013</v>
      </c>
    </row>
    <row r="1762" spans="1:26" x14ac:dyDescent="0.3">
      <c r="A1762" t="s">
        <v>93</v>
      </c>
      <c r="B1762" t="s">
        <v>45</v>
      </c>
      <c r="C1762">
        <v>30</v>
      </c>
      <c r="D1762">
        <v>13</v>
      </c>
      <c r="E1762" s="1">
        <f t="shared" si="27"/>
        <v>0.43333333333333335</v>
      </c>
      <c r="F1762">
        <v>98.8</v>
      </c>
      <c r="G1762">
        <v>93</v>
      </c>
      <c r="H1762">
        <v>0.66500000000000004</v>
      </c>
      <c r="I1762">
        <v>46.6</v>
      </c>
      <c r="J1762">
        <v>47.4</v>
      </c>
      <c r="K1762">
        <v>23.4</v>
      </c>
      <c r="L1762">
        <v>21.3</v>
      </c>
      <c r="M1762">
        <v>38.200000000000003</v>
      </c>
      <c r="N1762">
        <v>30.8</v>
      </c>
      <c r="O1762">
        <v>40.4</v>
      </c>
      <c r="P1762">
        <v>32.700000000000003</v>
      </c>
      <c r="Q1762">
        <v>47.7</v>
      </c>
      <c r="R1762">
        <v>44.6</v>
      </c>
      <c r="S1762">
        <v>27.9</v>
      </c>
      <c r="T1762">
        <v>36</v>
      </c>
      <c r="U1762">
        <v>68</v>
      </c>
      <c r="V1762">
        <v>-7.3</v>
      </c>
      <c r="W1762" cm="1">
        <f t="array" ref="W1762">_xlfn.IFS(OR(X1762="N/A",X1762="NA"),0,OR(X1762="R64",X1762="R68"),1,X1762="R32",2,X1762="S16",3,X1762="E8",4,X1762="F4",5,X1762="2ND",6,X1762="Champions",7)</f>
        <v>0</v>
      </c>
      <c r="X1762" t="s">
        <v>90</v>
      </c>
      <c r="Y1762" t="s">
        <v>90</v>
      </c>
      <c r="Z1762">
        <v>2013</v>
      </c>
    </row>
    <row r="1763" spans="1:26" x14ac:dyDescent="0.3">
      <c r="A1763" t="s">
        <v>281</v>
      </c>
      <c r="B1763" t="s">
        <v>47</v>
      </c>
      <c r="C1763">
        <v>30</v>
      </c>
      <c r="D1763">
        <v>13</v>
      </c>
      <c r="E1763" s="1">
        <f t="shared" si="27"/>
        <v>0.43333333333333335</v>
      </c>
      <c r="F1763">
        <v>100.2</v>
      </c>
      <c r="G1763">
        <v>100.8</v>
      </c>
      <c r="H1763">
        <v>0.48399999999999999</v>
      </c>
      <c r="I1763">
        <v>48</v>
      </c>
      <c r="J1763">
        <v>53.1</v>
      </c>
      <c r="K1763">
        <v>19.399999999999999</v>
      </c>
      <c r="L1763">
        <v>24.2</v>
      </c>
      <c r="M1763">
        <v>31.7</v>
      </c>
      <c r="N1763">
        <v>31.9</v>
      </c>
      <c r="O1763">
        <v>34.1</v>
      </c>
      <c r="P1763">
        <v>42.5</v>
      </c>
      <c r="Q1763">
        <v>48.1</v>
      </c>
      <c r="R1763">
        <v>51.8</v>
      </c>
      <c r="S1763">
        <v>31.8</v>
      </c>
      <c r="T1763">
        <v>36.9</v>
      </c>
      <c r="U1763">
        <v>63.1</v>
      </c>
      <c r="V1763">
        <v>-8.3000000000000007</v>
      </c>
      <c r="W1763" cm="1">
        <f t="array" ref="W1763">_xlfn.IFS(OR(X1763="N/A",X1763="NA"),0,OR(X1763="R64",X1763="R68"),1,X1763="R32",2,X1763="S16",3,X1763="E8",4,X1763="F4",5,X1763="2ND",6,X1763="Champions",7)</f>
        <v>0</v>
      </c>
      <c r="X1763" t="s">
        <v>90</v>
      </c>
      <c r="Y1763" t="s">
        <v>90</v>
      </c>
      <c r="Z1763">
        <v>2013</v>
      </c>
    </row>
    <row r="1764" spans="1:26" x14ac:dyDescent="0.3">
      <c r="A1764" t="s">
        <v>295</v>
      </c>
      <c r="B1764" t="s">
        <v>77</v>
      </c>
      <c r="C1764">
        <v>30</v>
      </c>
      <c r="D1764">
        <v>13</v>
      </c>
      <c r="E1764" s="1">
        <f t="shared" si="27"/>
        <v>0.43333333333333335</v>
      </c>
      <c r="F1764">
        <v>100.3</v>
      </c>
      <c r="G1764">
        <v>108.6</v>
      </c>
      <c r="H1764">
        <v>0.2868</v>
      </c>
      <c r="I1764">
        <v>48.6</v>
      </c>
      <c r="J1764">
        <v>51.7</v>
      </c>
      <c r="K1764">
        <v>17.5</v>
      </c>
      <c r="L1764">
        <v>18.899999999999999</v>
      </c>
      <c r="M1764">
        <v>27.4</v>
      </c>
      <c r="N1764">
        <v>35.4</v>
      </c>
      <c r="O1764">
        <v>30.1</v>
      </c>
      <c r="P1764">
        <v>29.3</v>
      </c>
      <c r="Q1764">
        <v>46.6</v>
      </c>
      <c r="R1764">
        <v>49.9</v>
      </c>
      <c r="S1764">
        <v>35.200000000000003</v>
      </c>
      <c r="T1764">
        <v>36.6</v>
      </c>
      <c r="U1764">
        <v>70.7</v>
      </c>
      <c r="V1764">
        <v>-11.7</v>
      </c>
      <c r="W1764" cm="1">
        <f t="array" ref="W1764">_xlfn.IFS(OR(X1764="N/A",X1764="NA"),0,OR(X1764="R64",X1764="R68"),1,X1764="R32",2,X1764="S16",3,X1764="E8",4,X1764="F4",5,X1764="2ND",6,X1764="Champions",7)</f>
        <v>0</v>
      </c>
      <c r="X1764" t="s">
        <v>90</v>
      </c>
      <c r="Y1764" t="s">
        <v>90</v>
      </c>
      <c r="Z1764">
        <v>2013</v>
      </c>
    </row>
    <row r="1765" spans="1:26" x14ac:dyDescent="0.3">
      <c r="A1765" t="s">
        <v>325</v>
      </c>
      <c r="B1765" t="s">
        <v>38</v>
      </c>
      <c r="C1765">
        <v>31</v>
      </c>
      <c r="D1765">
        <v>13</v>
      </c>
      <c r="E1765" s="1">
        <f t="shared" si="27"/>
        <v>0.41935483870967744</v>
      </c>
      <c r="F1765">
        <v>104.1</v>
      </c>
      <c r="G1765">
        <v>97.1</v>
      </c>
      <c r="H1765">
        <v>0.68940000000000001</v>
      </c>
      <c r="I1765">
        <v>48.7</v>
      </c>
      <c r="J1765">
        <v>46.9</v>
      </c>
      <c r="K1765">
        <v>20</v>
      </c>
      <c r="L1765">
        <v>16.899999999999999</v>
      </c>
      <c r="M1765">
        <v>27.5</v>
      </c>
      <c r="N1765">
        <v>31.8</v>
      </c>
      <c r="O1765">
        <v>31.1</v>
      </c>
      <c r="P1765">
        <v>30.6</v>
      </c>
      <c r="Q1765">
        <v>46.6</v>
      </c>
      <c r="R1765">
        <v>44.8</v>
      </c>
      <c r="S1765">
        <v>35.5</v>
      </c>
      <c r="T1765">
        <v>33.9</v>
      </c>
      <c r="U1765">
        <v>62.2</v>
      </c>
      <c r="V1765">
        <v>-6.7</v>
      </c>
      <c r="W1765" cm="1">
        <f t="array" ref="W1765">_xlfn.IFS(OR(X1765="N/A",X1765="NA"),0,OR(X1765="R64",X1765="R68"),1,X1765="R32",2,X1765="S16",3,X1765="E8",4,X1765="F4",5,X1765="2ND",6,X1765="Champions",7)</f>
        <v>0</v>
      </c>
      <c r="X1765" t="s">
        <v>90</v>
      </c>
      <c r="Y1765" t="s">
        <v>90</v>
      </c>
      <c r="Z1765">
        <v>2013</v>
      </c>
    </row>
    <row r="1766" spans="1:26" x14ac:dyDescent="0.3">
      <c r="A1766" t="s">
        <v>104</v>
      </c>
      <c r="B1766" t="s">
        <v>26</v>
      </c>
      <c r="C1766">
        <v>31</v>
      </c>
      <c r="D1766">
        <v>13</v>
      </c>
      <c r="E1766" s="1">
        <f t="shared" si="27"/>
        <v>0.41935483870967744</v>
      </c>
      <c r="F1766">
        <v>99.2</v>
      </c>
      <c r="G1766">
        <v>93.7</v>
      </c>
      <c r="H1766">
        <v>0.65710000000000002</v>
      </c>
      <c r="I1766">
        <v>47.2</v>
      </c>
      <c r="J1766">
        <v>46.8</v>
      </c>
      <c r="K1766">
        <v>18.399999999999999</v>
      </c>
      <c r="L1766">
        <v>20.399999999999999</v>
      </c>
      <c r="M1766">
        <v>32</v>
      </c>
      <c r="N1766">
        <v>31.8</v>
      </c>
      <c r="O1766">
        <v>33.1</v>
      </c>
      <c r="P1766">
        <v>32.9</v>
      </c>
      <c r="Q1766">
        <v>47.1</v>
      </c>
      <c r="R1766">
        <v>44.4</v>
      </c>
      <c r="S1766">
        <v>31.7</v>
      </c>
      <c r="T1766">
        <v>34.799999999999997</v>
      </c>
      <c r="U1766">
        <v>62.3</v>
      </c>
      <c r="V1766">
        <v>-7.7</v>
      </c>
      <c r="W1766" cm="1">
        <f t="array" ref="W1766">_xlfn.IFS(OR(X1766="N/A",X1766="NA"),0,OR(X1766="R64",X1766="R68"),1,X1766="R32",2,X1766="S16",3,X1766="E8",4,X1766="F4",5,X1766="2ND",6,X1766="Champions",7)</f>
        <v>0</v>
      </c>
      <c r="X1766" t="s">
        <v>90</v>
      </c>
      <c r="Y1766" t="s">
        <v>90</v>
      </c>
      <c r="Z1766">
        <v>2013</v>
      </c>
    </row>
    <row r="1767" spans="1:26" x14ac:dyDescent="0.3">
      <c r="A1767" t="s">
        <v>109</v>
      </c>
      <c r="B1767" t="s">
        <v>26</v>
      </c>
      <c r="C1767">
        <v>31</v>
      </c>
      <c r="D1767">
        <v>13</v>
      </c>
      <c r="E1767" s="1">
        <f t="shared" si="27"/>
        <v>0.41935483870967744</v>
      </c>
      <c r="F1767">
        <v>99.6</v>
      </c>
      <c r="G1767">
        <v>96.5</v>
      </c>
      <c r="H1767">
        <v>0.59160000000000001</v>
      </c>
      <c r="I1767">
        <v>48.5</v>
      </c>
      <c r="J1767">
        <v>50.8</v>
      </c>
      <c r="K1767">
        <v>20.7</v>
      </c>
      <c r="L1767">
        <v>20.5</v>
      </c>
      <c r="M1767">
        <v>27.7</v>
      </c>
      <c r="N1767">
        <v>30.8</v>
      </c>
      <c r="O1767">
        <v>43.7</v>
      </c>
      <c r="P1767">
        <v>35.5</v>
      </c>
      <c r="Q1767">
        <v>47.1</v>
      </c>
      <c r="R1767">
        <v>49.5</v>
      </c>
      <c r="S1767">
        <v>34.5</v>
      </c>
      <c r="T1767">
        <v>35.9</v>
      </c>
      <c r="U1767">
        <v>69.2</v>
      </c>
      <c r="V1767">
        <v>-7.5</v>
      </c>
      <c r="W1767" cm="1">
        <f t="array" ref="W1767">_xlfn.IFS(OR(X1767="N/A",X1767="NA"),0,OR(X1767="R64",X1767="R68"),1,X1767="R32",2,X1767="S16",3,X1767="E8",4,X1767="F4",5,X1767="2ND",6,X1767="Champions",7)</f>
        <v>0</v>
      </c>
      <c r="X1767" t="s">
        <v>90</v>
      </c>
      <c r="Y1767" t="s">
        <v>90</v>
      </c>
      <c r="Z1767">
        <v>2013</v>
      </c>
    </row>
    <row r="1768" spans="1:26" x14ac:dyDescent="0.3">
      <c r="A1768" t="s">
        <v>199</v>
      </c>
      <c r="B1768" t="s">
        <v>53</v>
      </c>
      <c r="C1768">
        <v>31</v>
      </c>
      <c r="D1768">
        <v>13</v>
      </c>
      <c r="E1768" s="1">
        <f t="shared" si="27"/>
        <v>0.41935483870967744</v>
      </c>
      <c r="F1768">
        <v>100.1</v>
      </c>
      <c r="G1768">
        <v>100.1</v>
      </c>
      <c r="H1768">
        <v>0.50029999999999997</v>
      </c>
      <c r="I1768">
        <v>46.7</v>
      </c>
      <c r="J1768">
        <v>48.7</v>
      </c>
      <c r="K1768">
        <v>18.899999999999999</v>
      </c>
      <c r="L1768">
        <v>18.8</v>
      </c>
      <c r="M1768">
        <v>33.299999999999997</v>
      </c>
      <c r="N1768">
        <v>26</v>
      </c>
      <c r="O1768">
        <v>33.5</v>
      </c>
      <c r="P1768">
        <v>43.4</v>
      </c>
      <c r="Q1768">
        <v>44.9</v>
      </c>
      <c r="R1768">
        <v>47.5</v>
      </c>
      <c r="S1768">
        <v>33.5</v>
      </c>
      <c r="T1768">
        <v>34.200000000000003</v>
      </c>
      <c r="U1768">
        <v>61.9</v>
      </c>
      <c r="V1768">
        <v>-11.9</v>
      </c>
      <c r="W1768" cm="1">
        <f t="array" ref="W1768">_xlfn.IFS(OR(X1768="N/A",X1768="NA"),0,OR(X1768="R64",X1768="R68"),1,X1768="R32",2,X1768="S16",3,X1768="E8",4,X1768="F4",5,X1768="2ND",6,X1768="Champions",7)</f>
        <v>0</v>
      </c>
      <c r="X1768" t="s">
        <v>90</v>
      </c>
      <c r="Y1768" t="s">
        <v>90</v>
      </c>
      <c r="Z1768">
        <v>2013</v>
      </c>
    </row>
    <row r="1769" spans="1:26" x14ac:dyDescent="0.3">
      <c r="A1769" t="s">
        <v>255</v>
      </c>
      <c r="B1769" t="s">
        <v>57</v>
      </c>
      <c r="C1769">
        <v>31</v>
      </c>
      <c r="D1769">
        <v>13</v>
      </c>
      <c r="E1769" s="1">
        <f t="shared" si="27"/>
        <v>0.41935483870967744</v>
      </c>
      <c r="F1769">
        <v>92.1</v>
      </c>
      <c r="G1769">
        <v>96.6</v>
      </c>
      <c r="H1769">
        <v>0.36570000000000003</v>
      </c>
      <c r="I1769">
        <v>43.8</v>
      </c>
      <c r="J1769">
        <v>46.5</v>
      </c>
      <c r="K1769">
        <v>23.1</v>
      </c>
      <c r="L1769">
        <v>22.8</v>
      </c>
      <c r="M1769">
        <v>33.9</v>
      </c>
      <c r="N1769">
        <v>37.200000000000003</v>
      </c>
      <c r="O1769">
        <v>30.5</v>
      </c>
      <c r="P1769">
        <v>37.6</v>
      </c>
      <c r="Q1769">
        <v>41.5</v>
      </c>
      <c r="R1769">
        <v>48</v>
      </c>
      <c r="S1769">
        <v>33</v>
      </c>
      <c r="T1769">
        <v>29.7</v>
      </c>
      <c r="U1769">
        <v>61.1</v>
      </c>
      <c r="V1769">
        <v>-11.6</v>
      </c>
      <c r="W1769" cm="1">
        <f t="array" ref="W1769">_xlfn.IFS(OR(X1769="N/A",X1769="NA"),0,OR(X1769="R64",X1769="R68"),1,X1769="R32",2,X1769="S16",3,X1769="E8",4,X1769="F4",5,X1769="2ND",6,X1769="Champions",7)</f>
        <v>0</v>
      </c>
      <c r="X1769" t="s">
        <v>90</v>
      </c>
      <c r="Y1769" t="s">
        <v>90</v>
      </c>
      <c r="Z1769">
        <v>2013</v>
      </c>
    </row>
    <row r="1770" spans="1:26" x14ac:dyDescent="0.3">
      <c r="A1770" t="s">
        <v>209</v>
      </c>
      <c r="B1770" t="s">
        <v>58</v>
      </c>
      <c r="C1770">
        <v>31</v>
      </c>
      <c r="D1770">
        <v>13</v>
      </c>
      <c r="E1770" s="1">
        <f t="shared" si="27"/>
        <v>0.41935483870967744</v>
      </c>
      <c r="F1770">
        <v>97.7</v>
      </c>
      <c r="G1770">
        <v>104.3</v>
      </c>
      <c r="H1770">
        <v>0.32019999999999998</v>
      </c>
      <c r="I1770">
        <v>47.5</v>
      </c>
      <c r="J1770">
        <v>45.8</v>
      </c>
      <c r="K1770">
        <v>22.6</v>
      </c>
      <c r="L1770">
        <v>17.100000000000001</v>
      </c>
      <c r="M1770">
        <v>32.9</v>
      </c>
      <c r="N1770">
        <v>34.299999999999997</v>
      </c>
      <c r="O1770">
        <v>35.5</v>
      </c>
      <c r="P1770">
        <v>36.4</v>
      </c>
      <c r="Q1770">
        <v>45.1</v>
      </c>
      <c r="R1770">
        <v>46</v>
      </c>
      <c r="S1770">
        <v>35.299999999999997</v>
      </c>
      <c r="T1770">
        <v>30.2</v>
      </c>
      <c r="U1770">
        <v>65.5</v>
      </c>
      <c r="V1770">
        <v>-12.3</v>
      </c>
      <c r="W1770" cm="1">
        <f t="array" ref="W1770">_xlfn.IFS(OR(X1770="N/A",X1770="NA"),0,OR(X1770="R64",X1770="R68"),1,X1770="R32",2,X1770="S16",3,X1770="E8",4,X1770="F4",5,X1770="2ND",6,X1770="Champions",7)</f>
        <v>0</v>
      </c>
      <c r="X1770" t="s">
        <v>90</v>
      </c>
      <c r="Y1770" t="s">
        <v>90</v>
      </c>
      <c r="Z1770">
        <v>2013</v>
      </c>
    </row>
    <row r="1771" spans="1:26" x14ac:dyDescent="0.3">
      <c r="A1771" t="s">
        <v>308</v>
      </c>
      <c r="B1771" t="s">
        <v>64</v>
      </c>
      <c r="C1771">
        <v>31</v>
      </c>
      <c r="D1771">
        <v>13</v>
      </c>
      <c r="E1771" s="1">
        <f t="shared" si="27"/>
        <v>0.41935483870967744</v>
      </c>
      <c r="F1771">
        <v>97.4</v>
      </c>
      <c r="G1771">
        <v>104.2</v>
      </c>
      <c r="H1771">
        <v>0.31569999999999998</v>
      </c>
      <c r="I1771">
        <v>47.9</v>
      </c>
      <c r="J1771">
        <v>52.5</v>
      </c>
      <c r="K1771">
        <v>24.7</v>
      </c>
      <c r="L1771">
        <v>23.2</v>
      </c>
      <c r="M1771">
        <v>39.5</v>
      </c>
      <c r="N1771">
        <v>30.2</v>
      </c>
      <c r="O1771">
        <v>39</v>
      </c>
      <c r="P1771">
        <v>59.4</v>
      </c>
      <c r="Q1771">
        <v>48.5</v>
      </c>
      <c r="R1771">
        <v>51.8</v>
      </c>
      <c r="S1771">
        <v>31.2</v>
      </c>
      <c r="T1771">
        <v>36</v>
      </c>
      <c r="U1771">
        <v>69.7</v>
      </c>
      <c r="V1771">
        <v>-11.9</v>
      </c>
      <c r="W1771" cm="1">
        <f t="array" ref="W1771">_xlfn.IFS(OR(X1771="N/A",X1771="NA"),0,OR(X1771="R64",X1771="R68"),1,X1771="R32",2,X1771="S16",3,X1771="E8",4,X1771="F4",5,X1771="2ND",6,X1771="Champions",7)</f>
        <v>0</v>
      </c>
      <c r="X1771" t="s">
        <v>90</v>
      </c>
      <c r="Y1771" t="s">
        <v>90</v>
      </c>
      <c r="Z1771">
        <v>2013</v>
      </c>
    </row>
    <row r="1772" spans="1:26" x14ac:dyDescent="0.3">
      <c r="A1772" t="s">
        <v>265</v>
      </c>
      <c r="B1772" t="s">
        <v>66</v>
      </c>
      <c r="C1772">
        <v>31</v>
      </c>
      <c r="D1772">
        <v>13</v>
      </c>
      <c r="E1772" s="1">
        <f t="shared" si="27"/>
        <v>0.41935483870967744</v>
      </c>
      <c r="F1772">
        <v>94</v>
      </c>
      <c r="G1772">
        <v>108.5</v>
      </c>
      <c r="H1772">
        <v>0.161</v>
      </c>
      <c r="I1772">
        <v>45.7</v>
      </c>
      <c r="J1772">
        <v>48.8</v>
      </c>
      <c r="K1772">
        <v>22.2</v>
      </c>
      <c r="L1772">
        <v>20.9</v>
      </c>
      <c r="M1772">
        <v>32.6</v>
      </c>
      <c r="N1772">
        <v>37.5</v>
      </c>
      <c r="O1772">
        <v>33.299999999999997</v>
      </c>
      <c r="P1772">
        <v>32.200000000000003</v>
      </c>
      <c r="Q1772">
        <v>46.5</v>
      </c>
      <c r="R1772">
        <v>48.4</v>
      </c>
      <c r="S1772">
        <v>29.6</v>
      </c>
      <c r="T1772">
        <v>33.200000000000003</v>
      </c>
      <c r="U1772">
        <v>61</v>
      </c>
      <c r="V1772">
        <v>-12.8</v>
      </c>
      <c r="W1772" cm="1">
        <f t="array" ref="W1772">_xlfn.IFS(OR(X1772="N/A",X1772="NA"),0,OR(X1772="R64",X1772="R68"),1,X1772="R32",2,X1772="S16",3,X1772="E8",4,X1772="F4",5,X1772="2ND",6,X1772="Champions",7)</f>
        <v>0</v>
      </c>
      <c r="X1772" t="s">
        <v>90</v>
      </c>
      <c r="Y1772" t="s">
        <v>90</v>
      </c>
      <c r="Z1772">
        <v>2013</v>
      </c>
    </row>
    <row r="1773" spans="1:26" x14ac:dyDescent="0.3">
      <c r="A1773" t="s">
        <v>323</v>
      </c>
      <c r="B1773" t="s">
        <v>38</v>
      </c>
      <c r="C1773">
        <v>32</v>
      </c>
      <c r="D1773">
        <v>13</v>
      </c>
      <c r="E1773" s="1">
        <f t="shared" si="27"/>
        <v>0.40625</v>
      </c>
      <c r="F1773">
        <v>106.3</v>
      </c>
      <c r="G1773">
        <v>98.3</v>
      </c>
      <c r="H1773">
        <v>0.71140000000000003</v>
      </c>
      <c r="I1773">
        <v>49.6</v>
      </c>
      <c r="J1773">
        <v>49.6</v>
      </c>
      <c r="K1773">
        <v>19.100000000000001</v>
      </c>
      <c r="L1773">
        <v>19.399999999999999</v>
      </c>
      <c r="M1773">
        <v>31.6</v>
      </c>
      <c r="N1773">
        <v>28.2</v>
      </c>
      <c r="O1773">
        <v>34.1</v>
      </c>
      <c r="P1773">
        <v>31.7</v>
      </c>
      <c r="Q1773">
        <v>47.9</v>
      </c>
      <c r="R1773">
        <v>47.9</v>
      </c>
      <c r="S1773">
        <v>34.700000000000003</v>
      </c>
      <c r="T1773">
        <v>34.799999999999997</v>
      </c>
      <c r="U1773">
        <v>62.2</v>
      </c>
      <c r="V1773">
        <v>-8.1999999999999993</v>
      </c>
      <c r="W1773" cm="1">
        <f t="array" ref="W1773">_xlfn.IFS(OR(X1773="N/A",X1773="NA"),0,OR(X1773="R64",X1773="R68"),1,X1773="R32",2,X1773="S16",3,X1773="E8",4,X1773="F4",5,X1773="2ND",6,X1773="Champions",7)</f>
        <v>0</v>
      </c>
      <c r="X1773" t="s">
        <v>90</v>
      </c>
      <c r="Y1773" t="s">
        <v>90</v>
      </c>
      <c r="Z1773">
        <v>2013</v>
      </c>
    </row>
    <row r="1774" spans="1:26" x14ac:dyDescent="0.3">
      <c r="A1774" t="s">
        <v>144</v>
      </c>
      <c r="B1774" t="s">
        <v>31</v>
      </c>
      <c r="C1774">
        <v>32</v>
      </c>
      <c r="D1774">
        <v>13</v>
      </c>
      <c r="E1774" s="1">
        <f t="shared" si="27"/>
        <v>0.40625</v>
      </c>
      <c r="F1774">
        <v>103.4</v>
      </c>
      <c r="G1774">
        <v>98.3</v>
      </c>
      <c r="H1774">
        <v>0.63919999999999999</v>
      </c>
      <c r="I1774">
        <v>47.5</v>
      </c>
      <c r="J1774">
        <v>48.2</v>
      </c>
      <c r="K1774">
        <v>17.3</v>
      </c>
      <c r="L1774">
        <v>19</v>
      </c>
      <c r="M1774">
        <v>25.9</v>
      </c>
      <c r="N1774">
        <v>36</v>
      </c>
      <c r="O1774">
        <v>33.9</v>
      </c>
      <c r="P1774">
        <v>37.799999999999997</v>
      </c>
      <c r="Q1774">
        <v>44.7</v>
      </c>
      <c r="R1774">
        <v>46.5</v>
      </c>
      <c r="S1774">
        <v>34.1</v>
      </c>
      <c r="T1774">
        <v>34.6</v>
      </c>
      <c r="U1774">
        <v>61.5</v>
      </c>
      <c r="V1774">
        <v>-5.5</v>
      </c>
      <c r="W1774" cm="1">
        <f t="array" ref="W1774">_xlfn.IFS(OR(X1774="N/A",X1774="NA"),0,OR(X1774="R64",X1774="R68"),1,X1774="R32",2,X1774="S16",3,X1774="E8",4,X1774="F4",5,X1774="2ND",6,X1774="Champions",7)</f>
        <v>0</v>
      </c>
      <c r="X1774" t="s">
        <v>90</v>
      </c>
      <c r="Y1774" t="s">
        <v>90</v>
      </c>
      <c r="Z1774">
        <v>2013</v>
      </c>
    </row>
    <row r="1775" spans="1:26" x14ac:dyDescent="0.3">
      <c r="A1775" t="s">
        <v>155</v>
      </c>
      <c r="B1775" t="s">
        <v>35</v>
      </c>
      <c r="C1775">
        <v>32</v>
      </c>
      <c r="D1775">
        <v>13</v>
      </c>
      <c r="E1775" s="1">
        <f t="shared" si="27"/>
        <v>0.40625</v>
      </c>
      <c r="F1775">
        <v>103.5</v>
      </c>
      <c r="G1775">
        <v>99.3</v>
      </c>
      <c r="H1775">
        <v>0.61780000000000002</v>
      </c>
      <c r="I1775">
        <v>45.6</v>
      </c>
      <c r="J1775">
        <v>51.1</v>
      </c>
      <c r="K1775">
        <v>19.8</v>
      </c>
      <c r="L1775">
        <v>21.8</v>
      </c>
      <c r="M1775">
        <v>37.1</v>
      </c>
      <c r="N1775">
        <v>34</v>
      </c>
      <c r="O1775">
        <v>40.799999999999997</v>
      </c>
      <c r="P1775">
        <v>40</v>
      </c>
      <c r="Q1775">
        <v>44.9</v>
      </c>
      <c r="R1775">
        <v>48</v>
      </c>
      <c r="S1775">
        <v>31.6</v>
      </c>
      <c r="T1775">
        <v>38.1</v>
      </c>
      <c r="U1775">
        <v>64.7</v>
      </c>
      <c r="V1775">
        <v>-7</v>
      </c>
      <c r="W1775" cm="1">
        <f t="array" ref="W1775">_xlfn.IFS(OR(X1775="N/A",X1775="NA"),0,OR(X1775="R64",X1775="R68"),1,X1775="R32",2,X1775="S16",3,X1775="E8",4,X1775="F4",5,X1775="2ND",6,X1775="Champions",7)</f>
        <v>0</v>
      </c>
      <c r="X1775" t="s">
        <v>90</v>
      </c>
      <c r="Y1775" t="s">
        <v>90</v>
      </c>
      <c r="Z1775">
        <v>2013</v>
      </c>
    </row>
    <row r="1776" spans="1:26" x14ac:dyDescent="0.3">
      <c r="A1776" t="s">
        <v>108</v>
      </c>
      <c r="B1776" t="s">
        <v>26</v>
      </c>
      <c r="C1776">
        <v>32</v>
      </c>
      <c r="D1776">
        <v>13</v>
      </c>
      <c r="E1776" s="1">
        <f t="shared" si="27"/>
        <v>0.40625</v>
      </c>
      <c r="F1776">
        <v>106.1</v>
      </c>
      <c r="G1776">
        <v>104.6</v>
      </c>
      <c r="H1776">
        <v>0.54039999999999999</v>
      </c>
      <c r="I1776">
        <v>47.5</v>
      </c>
      <c r="J1776">
        <v>50.1</v>
      </c>
      <c r="K1776">
        <v>17.5</v>
      </c>
      <c r="L1776">
        <v>15.5</v>
      </c>
      <c r="M1776">
        <v>30.7</v>
      </c>
      <c r="N1776">
        <v>33.200000000000003</v>
      </c>
      <c r="O1776">
        <v>36.799999999999997</v>
      </c>
      <c r="P1776">
        <v>38.1</v>
      </c>
      <c r="Q1776">
        <v>47.7</v>
      </c>
      <c r="R1776">
        <v>48.8</v>
      </c>
      <c r="S1776">
        <v>31.4</v>
      </c>
      <c r="T1776">
        <v>34.799999999999997</v>
      </c>
      <c r="U1776">
        <v>67.400000000000006</v>
      </c>
      <c r="V1776">
        <v>-7.3</v>
      </c>
      <c r="W1776" cm="1">
        <f t="array" ref="W1776">_xlfn.IFS(OR(X1776="N/A",X1776="NA"),0,OR(X1776="R64",X1776="R68"),1,X1776="R32",2,X1776="S16",3,X1776="E8",4,X1776="F4",5,X1776="2ND",6,X1776="Champions",7)</f>
        <v>0</v>
      </c>
      <c r="X1776" t="s">
        <v>90</v>
      </c>
      <c r="Y1776" t="s">
        <v>90</v>
      </c>
      <c r="Z1776">
        <v>2013</v>
      </c>
    </row>
    <row r="1777" spans="1:26" x14ac:dyDescent="0.3">
      <c r="A1777" t="s">
        <v>100</v>
      </c>
      <c r="B1777" t="s">
        <v>45</v>
      </c>
      <c r="C1777">
        <v>29</v>
      </c>
      <c r="D1777">
        <v>14</v>
      </c>
      <c r="E1777" s="1">
        <f t="shared" si="27"/>
        <v>0.48275862068965519</v>
      </c>
      <c r="F1777">
        <v>107.9</v>
      </c>
      <c r="G1777">
        <v>102.5</v>
      </c>
      <c r="H1777">
        <v>0.64419999999999999</v>
      </c>
      <c r="I1777">
        <v>51.6</v>
      </c>
      <c r="J1777">
        <v>51.6</v>
      </c>
      <c r="K1777">
        <v>20</v>
      </c>
      <c r="L1777">
        <v>21.5</v>
      </c>
      <c r="M1777">
        <v>32.299999999999997</v>
      </c>
      <c r="N1777">
        <v>34.200000000000003</v>
      </c>
      <c r="O1777">
        <v>39.9</v>
      </c>
      <c r="P1777">
        <v>41.3</v>
      </c>
      <c r="Q1777">
        <v>49</v>
      </c>
      <c r="R1777">
        <v>49.4</v>
      </c>
      <c r="S1777">
        <v>37.5</v>
      </c>
      <c r="T1777">
        <v>37</v>
      </c>
      <c r="U1777">
        <v>66.5</v>
      </c>
      <c r="V1777">
        <v>-6</v>
      </c>
      <c r="W1777" cm="1">
        <f t="array" ref="W1777">_xlfn.IFS(OR(X1777="N/A",X1777="NA"),0,OR(X1777="R64",X1777="R68"),1,X1777="R32",2,X1777="S16",3,X1777="E8",4,X1777="F4",5,X1777="2ND",6,X1777="Champions",7)</f>
        <v>0</v>
      </c>
      <c r="X1777" t="s">
        <v>90</v>
      </c>
      <c r="Y1777" t="s">
        <v>90</v>
      </c>
      <c r="Z1777">
        <v>2013</v>
      </c>
    </row>
    <row r="1778" spans="1:26" x14ac:dyDescent="0.3">
      <c r="A1778" t="s">
        <v>85</v>
      </c>
      <c r="B1778" t="s">
        <v>43</v>
      </c>
      <c r="C1778">
        <v>30</v>
      </c>
      <c r="D1778">
        <v>14</v>
      </c>
      <c r="E1778" s="1">
        <f t="shared" si="27"/>
        <v>0.46666666666666667</v>
      </c>
      <c r="F1778">
        <v>101.2</v>
      </c>
      <c r="G1778">
        <v>101.9</v>
      </c>
      <c r="H1778">
        <v>0.47949999999999998</v>
      </c>
      <c r="I1778">
        <v>50.4</v>
      </c>
      <c r="J1778">
        <v>49</v>
      </c>
      <c r="K1778">
        <v>20.9</v>
      </c>
      <c r="L1778">
        <v>18.399999999999999</v>
      </c>
      <c r="M1778">
        <v>30.5</v>
      </c>
      <c r="N1778">
        <v>26.9</v>
      </c>
      <c r="O1778">
        <v>35.299999999999997</v>
      </c>
      <c r="P1778">
        <v>30.5</v>
      </c>
      <c r="Q1778">
        <v>48.3</v>
      </c>
      <c r="R1778">
        <v>48.1</v>
      </c>
      <c r="S1778">
        <v>36.5</v>
      </c>
      <c r="T1778">
        <v>33.9</v>
      </c>
      <c r="U1778">
        <v>63.2</v>
      </c>
      <c r="V1778">
        <v>-10.5</v>
      </c>
      <c r="W1778" cm="1">
        <f t="array" ref="W1778">_xlfn.IFS(OR(X1778="N/A",X1778="NA"),0,OR(X1778="R64",X1778="R68"),1,X1778="R32",2,X1778="S16",3,X1778="E8",4,X1778="F4",5,X1778="2ND",6,X1778="Champions",7)</f>
        <v>0</v>
      </c>
      <c r="X1778" t="s">
        <v>90</v>
      </c>
      <c r="Y1778" t="s">
        <v>90</v>
      </c>
      <c r="Z1778">
        <v>2013</v>
      </c>
    </row>
    <row r="1779" spans="1:26" x14ac:dyDescent="0.3">
      <c r="A1779" t="s">
        <v>346</v>
      </c>
      <c r="B1779" t="s">
        <v>53</v>
      </c>
      <c r="C1779">
        <v>30</v>
      </c>
      <c r="D1779">
        <v>14</v>
      </c>
      <c r="E1779" s="1">
        <f t="shared" si="27"/>
        <v>0.46666666666666667</v>
      </c>
      <c r="F1779">
        <v>103.6</v>
      </c>
      <c r="G1779">
        <v>104.6</v>
      </c>
      <c r="H1779">
        <v>0.47160000000000002</v>
      </c>
      <c r="I1779">
        <v>50</v>
      </c>
      <c r="J1779">
        <v>51.1</v>
      </c>
      <c r="K1779">
        <v>18</v>
      </c>
      <c r="L1779">
        <v>20.9</v>
      </c>
      <c r="M1779">
        <v>29.4</v>
      </c>
      <c r="N1779">
        <v>32.700000000000003</v>
      </c>
      <c r="O1779">
        <v>34.9</v>
      </c>
      <c r="P1779">
        <v>37</v>
      </c>
      <c r="Q1779">
        <v>48</v>
      </c>
      <c r="R1779">
        <v>48.7</v>
      </c>
      <c r="S1779">
        <v>35.700000000000003</v>
      </c>
      <c r="T1779">
        <v>36.6</v>
      </c>
      <c r="U1779">
        <v>64.099999999999994</v>
      </c>
      <c r="V1779">
        <v>-10.9</v>
      </c>
      <c r="W1779" cm="1">
        <f t="array" ref="W1779">_xlfn.IFS(OR(X1779="N/A",X1779="NA"),0,OR(X1779="R64",X1779="R68"),1,X1779="R32",2,X1779="S16",3,X1779="E8",4,X1779="F4",5,X1779="2ND",6,X1779="Champions",7)</f>
        <v>0</v>
      </c>
      <c r="X1779" t="s">
        <v>90</v>
      </c>
      <c r="Y1779" t="s">
        <v>90</v>
      </c>
      <c r="Z1779">
        <v>2013</v>
      </c>
    </row>
    <row r="1780" spans="1:26" x14ac:dyDescent="0.3">
      <c r="A1780" t="s">
        <v>136</v>
      </c>
      <c r="B1780" t="s">
        <v>131</v>
      </c>
      <c r="C1780">
        <v>30</v>
      </c>
      <c r="D1780">
        <v>14</v>
      </c>
      <c r="E1780" s="1">
        <f t="shared" si="27"/>
        <v>0.46666666666666667</v>
      </c>
      <c r="F1780">
        <v>99.3</v>
      </c>
      <c r="G1780">
        <v>104.6</v>
      </c>
      <c r="H1780">
        <v>0.35339999999999999</v>
      </c>
      <c r="I1780">
        <v>52.6</v>
      </c>
      <c r="J1780">
        <v>50.8</v>
      </c>
      <c r="K1780">
        <v>23.1</v>
      </c>
      <c r="L1780">
        <v>17.399999999999999</v>
      </c>
      <c r="M1780">
        <v>31.3</v>
      </c>
      <c r="N1780">
        <v>31</v>
      </c>
      <c r="O1780">
        <v>34.799999999999997</v>
      </c>
      <c r="P1780">
        <v>28.9</v>
      </c>
      <c r="Q1780">
        <v>52.8</v>
      </c>
      <c r="R1780">
        <v>51.3</v>
      </c>
      <c r="S1780">
        <v>34.799999999999997</v>
      </c>
      <c r="T1780">
        <v>33.200000000000003</v>
      </c>
      <c r="U1780">
        <v>68.8</v>
      </c>
      <c r="V1780">
        <v>-10.8</v>
      </c>
      <c r="W1780" cm="1">
        <f t="array" ref="W1780">_xlfn.IFS(OR(X1780="N/A",X1780="NA"),0,OR(X1780="R64",X1780="R68"),1,X1780="R32",2,X1780="S16",3,X1780="E8",4,X1780="F4",5,X1780="2ND",6,X1780="Champions",7)</f>
        <v>0</v>
      </c>
      <c r="X1780" t="s">
        <v>90</v>
      </c>
      <c r="Y1780" t="s">
        <v>90</v>
      </c>
      <c r="Z1780">
        <v>2013</v>
      </c>
    </row>
    <row r="1781" spans="1:26" x14ac:dyDescent="0.3">
      <c r="A1781" t="s">
        <v>276</v>
      </c>
      <c r="B1781" t="s">
        <v>47</v>
      </c>
      <c r="C1781">
        <v>31</v>
      </c>
      <c r="D1781">
        <v>14</v>
      </c>
      <c r="E1781" s="1">
        <f t="shared" si="27"/>
        <v>0.45161290322580644</v>
      </c>
      <c r="F1781">
        <v>105.5</v>
      </c>
      <c r="G1781">
        <v>100.9</v>
      </c>
      <c r="H1781">
        <v>0.62439999999999996</v>
      </c>
      <c r="I1781">
        <v>52.2</v>
      </c>
      <c r="J1781">
        <v>51.4</v>
      </c>
      <c r="K1781">
        <v>19.8</v>
      </c>
      <c r="L1781">
        <v>18.8</v>
      </c>
      <c r="M1781">
        <v>24.5</v>
      </c>
      <c r="N1781">
        <v>28.7</v>
      </c>
      <c r="O1781">
        <v>37.5</v>
      </c>
      <c r="P1781">
        <v>38.5</v>
      </c>
      <c r="Q1781">
        <v>48.9</v>
      </c>
      <c r="R1781">
        <v>50.2</v>
      </c>
      <c r="S1781">
        <v>37.9</v>
      </c>
      <c r="T1781">
        <v>35.6</v>
      </c>
      <c r="U1781">
        <v>68.900000000000006</v>
      </c>
      <c r="V1781">
        <v>-7.1</v>
      </c>
      <c r="W1781" cm="1">
        <f t="array" ref="W1781">_xlfn.IFS(OR(X1781="N/A",X1781="NA"),0,OR(X1781="R64",X1781="R68"),1,X1781="R32",2,X1781="S16",3,X1781="E8",4,X1781="F4",5,X1781="2ND",6,X1781="Champions",7)</f>
        <v>0</v>
      </c>
      <c r="X1781" t="s">
        <v>90</v>
      </c>
      <c r="Y1781" t="s">
        <v>90</v>
      </c>
      <c r="Z1781">
        <v>2013</v>
      </c>
    </row>
    <row r="1782" spans="1:26" x14ac:dyDescent="0.3">
      <c r="A1782" t="s">
        <v>129</v>
      </c>
      <c r="B1782" t="s">
        <v>40</v>
      </c>
      <c r="C1782">
        <v>31</v>
      </c>
      <c r="D1782">
        <v>14</v>
      </c>
      <c r="E1782" s="1">
        <f t="shared" si="27"/>
        <v>0.45161290322580644</v>
      </c>
      <c r="F1782">
        <v>100.1</v>
      </c>
      <c r="G1782">
        <v>98.7</v>
      </c>
      <c r="H1782">
        <v>0.53959999999999997</v>
      </c>
      <c r="I1782">
        <v>47.9</v>
      </c>
      <c r="J1782">
        <v>47.4</v>
      </c>
      <c r="K1782">
        <v>22.9</v>
      </c>
      <c r="L1782">
        <v>21.4</v>
      </c>
      <c r="M1782">
        <v>34.799999999999997</v>
      </c>
      <c r="N1782">
        <v>32.6</v>
      </c>
      <c r="O1782">
        <v>40.700000000000003</v>
      </c>
      <c r="P1782">
        <v>39.5</v>
      </c>
      <c r="Q1782">
        <v>46.9</v>
      </c>
      <c r="R1782">
        <v>44.3</v>
      </c>
      <c r="S1782">
        <v>34.6</v>
      </c>
      <c r="T1782">
        <v>34.4</v>
      </c>
      <c r="U1782">
        <v>64.099999999999994</v>
      </c>
      <c r="V1782">
        <v>-11.8</v>
      </c>
      <c r="W1782" cm="1">
        <f t="array" ref="W1782">_xlfn.IFS(OR(X1782="N/A",X1782="NA"),0,OR(X1782="R64",X1782="R68"),1,X1782="R32",2,X1782="S16",3,X1782="E8",4,X1782="F4",5,X1782="2ND",6,X1782="Champions",7)</f>
        <v>0</v>
      </c>
      <c r="X1782" t="s">
        <v>90</v>
      </c>
      <c r="Y1782" t="s">
        <v>90</v>
      </c>
      <c r="Z1782">
        <v>2013</v>
      </c>
    </row>
    <row r="1783" spans="1:26" x14ac:dyDescent="0.3">
      <c r="A1783" t="s">
        <v>226</v>
      </c>
      <c r="B1783" t="s">
        <v>72</v>
      </c>
      <c r="C1783">
        <v>31</v>
      </c>
      <c r="D1783">
        <v>14</v>
      </c>
      <c r="E1783" s="1">
        <f t="shared" si="27"/>
        <v>0.45161290322580644</v>
      </c>
      <c r="F1783">
        <v>105.4</v>
      </c>
      <c r="G1783">
        <v>108.7</v>
      </c>
      <c r="H1783">
        <v>0.41349999999999998</v>
      </c>
      <c r="I1783">
        <v>49.2</v>
      </c>
      <c r="J1783">
        <v>57</v>
      </c>
      <c r="K1783">
        <v>17.2</v>
      </c>
      <c r="L1783">
        <v>20.5</v>
      </c>
      <c r="M1783">
        <v>31</v>
      </c>
      <c r="N1783">
        <v>29.2</v>
      </c>
      <c r="O1783">
        <v>40.700000000000003</v>
      </c>
      <c r="P1783">
        <v>34</v>
      </c>
      <c r="Q1783">
        <v>47.7</v>
      </c>
      <c r="R1783">
        <v>58.5</v>
      </c>
      <c r="S1783">
        <v>34.700000000000003</v>
      </c>
      <c r="T1783">
        <v>36.5</v>
      </c>
      <c r="U1783">
        <v>69.3</v>
      </c>
      <c r="V1783">
        <v>-8.5</v>
      </c>
      <c r="W1783" cm="1">
        <f t="array" ref="W1783">_xlfn.IFS(OR(X1783="N/A",X1783="NA"),0,OR(X1783="R64",X1783="R68"),1,X1783="R32",2,X1783="S16",3,X1783="E8",4,X1783="F4",5,X1783="2ND",6,X1783="Champions",7)</f>
        <v>0</v>
      </c>
      <c r="X1783" t="s">
        <v>90</v>
      </c>
      <c r="Y1783" t="s">
        <v>90</v>
      </c>
      <c r="Z1783">
        <v>2013</v>
      </c>
    </row>
    <row r="1784" spans="1:26" x14ac:dyDescent="0.3">
      <c r="A1784" t="s">
        <v>137</v>
      </c>
      <c r="B1784" t="s">
        <v>131</v>
      </c>
      <c r="C1784">
        <v>31</v>
      </c>
      <c r="D1784">
        <v>14</v>
      </c>
      <c r="E1784" s="1">
        <f t="shared" si="27"/>
        <v>0.45161290322580644</v>
      </c>
      <c r="F1784">
        <v>100.6</v>
      </c>
      <c r="G1784">
        <v>103.8</v>
      </c>
      <c r="H1784">
        <v>0.41210000000000002</v>
      </c>
      <c r="I1784">
        <v>49.5</v>
      </c>
      <c r="J1784">
        <v>49.8</v>
      </c>
      <c r="K1784">
        <v>20</v>
      </c>
      <c r="L1784">
        <v>20.100000000000001</v>
      </c>
      <c r="M1784">
        <v>35.4</v>
      </c>
      <c r="N1784">
        <v>30.2</v>
      </c>
      <c r="O1784">
        <v>34.299999999999997</v>
      </c>
      <c r="P1784">
        <v>35.4</v>
      </c>
      <c r="Q1784">
        <v>48.6</v>
      </c>
      <c r="R1784">
        <v>48.7</v>
      </c>
      <c r="S1784">
        <v>34.299999999999997</v>
      </c>
      <c r="T1784">
        <v>34.5</v>
      </c>
      <c r="U1784">
        <v>66.2</v>
      </c>
      <c r="V1784">
        <v>-11.3</v>
      </c>
      <c r="W1784" cm="1">
        <f t="array" ref="W1784">_xlfn.IFS(OR(X1784="N/A",X1784="NA"),0,OR(X1784="R64",X1784="R68"),1,X1784="R32",2,X1784="S16",3,X1784="E8",4,X1784="F4",5,X1784="2ND",6,X1784="Champions",7)</f>
        <v>0</v>
      </c>
      <c r="X1784" t="s">
        <v>90</v>
      </c>
      <c r="Y1784" t="s">
        <v>90</v>
      </c>
      <c r="Z1784">
        <v>2013</v>
      </c>
    </row>
    <row r="1785" spans="1:26" x14ac:dyDescent="0.3">
      <c r="A1785" t="s">
        <v>193</v>
      </c>
      <c r="B1785" t="s">
        <v>48</v>
      </c>
      <c r="C1785">
        <v>31</v>
      </c>
      <c r="D1785">
        <v>14</v>
      </c>
      <c r="E1785" s="1">
        <f t="shared" si="27"/>
        <v>0.45161290322580644</v>
      </c>
      <c r="F1785">
        <v>103.1</v>
      </c>
      <c r="G1785">
        <v>106.4</v>
      </c>
      <c r="H1785">
        <v>0.40899999999999997</v>
      </c>
      <c r="I1785">
        <v>55.1</v>
      </c>
      <c r="J1785">
        <v>49.6</v>
      </c>
      <c r="K1785">
        <v>20.7</v>
      </c>
      <c r="L1785">
        <v>15.7</v>
      </c>
      <c r="M1785">
        <v>26.4</v>
      </c>
      <c r="N1785">
        <v>30.7</v>
      </c>
      <c r="O1785">
        <v>32.9</v>
      </c>
      <c r="P1785">
        <v>31</v>
      </c>
      <c r="Q1785">
        <v>51.5</v>
      </c>
      <c r="R1785">
        <v>46.5</v>
      </c>
      <c r="S1785">
        <v>40.5</v>
      </c>
      <c r="T1785">
        <v>36.799999999999997</v>
      </c>
      <c r="U1785">
        <v>67.5</v>
      </c>
      <c r="V1785">
        <v>-12</v>
      </c>
      <c r="W1785" cm="1">
        <f t="array" ref="W1785">_xlfn.IFS(OR(X1785="N/A",X1785="NA"),0,OR(X1785="R64",X1785="R68"),1,X1785="R32",2,X1785="S16",3,X1785="E8",4,X1785="F4",5,X1785="2ND",6,X1785="Champions",7)</f>
        <v>0</v>
      </c>
      <c r="X1785" t="s">
        <v>90</v>
      </c>
      <c r="Y1785" t="s">
        <v>90</v>
      </c>
      <c r="Z1785">
        <v>2013</v>
      </c>
    </row>
    <row r="1786" spans="1:26" x14ac:dyDescent="0.3">
      <c r="A1786" t="s">
        <v>382</v>
      </c>
      <c r="B1786" t="s">
        <v>72</v>
      </c>
      <c r="C1786">
        <v>31</v>
      </c>
      <c r="D1786">
        <v>14</v>
      </c>
      <c r="E1786" s="1">
        <f t="shared" si="27"/>
        <v>0.45161290322580644</v>
      </c>
      <c r="F1786">
        <v>97.5</v>
      </c>
      <c r="G1786">
        <v>103.1</v>
      </c>
      <c r="H1786">
        <v>0.34510000000000002</v>
      </c>
      <c r="I1786">
        <v>49.5</v>
      </c>
      <c r="J1786">
        <v>52</v>
      </c>
      <c r="K1786">
        <v>20.3</v>
      </c>
      <c r="L1786">
        <v>19.7</v>
      </c>
      <c r="M1786">
        <v>31.4</v>
      </c>
      <c r="N1786">
        <v>26.6</v>
      </c>
      <c r="O1786">
        <v>38.4</v>
      </c>
      <c r="P1786">
        <v>37.799999999999997</v>
      </c>
      <c r="Q1786">
        <v>47.5</v>
      </c>
      <c r="R1786">
        <v>52.3</v>
      </c>
      <c r="S1786">
        <v>35.4</v>
      </c>
      <c r="T1786">
        <v>34.1</v>
      </c>
      <c r="U1786">
        <v>66.2</v>
      </c>
      <c r="V1786">
        <v>-12.3</v>
      </c>
      <c r="W1786" cm="1">
        <f t="array" ref="W1786">_xlfn.IFS(OR(X1786="N/A",X1786="NA"),0,OR(X1786="R64",X1786="R68"),1,X1786="R32",2,X1786="S16",3,X1786="E8",4,X1786="F4",5,X1786="2ND",6,X1786="Champions",7)</f>
        <v>0</v>
      </c>
      <c r="X1786" t="s">
        <v>90</v>
      </c>
      <c r="Y1786" t="s">
        <v>90</v>
      </c>
      <c r="Z1786">
        <v>2013</v>
      </c>
    </row>
    <row r="1787" spans="1:26" x14ac:dyDescent="0.3">
      <c r="A1787" t="s">
        <v>377</v>
      </c>
      <c r="B1787" t="s">
        <v>61</v>
      </c>
      <c r="C1787">
        <v>31</v>
      </c>
      <c r="D1787">
        <v>14</v>
      </c>
      <c r="E1787" s="1">
        <f t="shared" si="27"/>
        <v>0.45161290322580644</v>
      </c>
      <c r="F1787">
        <v>91.9</v>
      </c>
      <c r="G1787">
        <v>98</v>
      </c>
      <c r="H1787">
        <v>0.32519999999999999</v>
      </c>
      <c r="I1787">
        <v>43.3</v>
      </c>
      <c r="J1787">
        <v>47</v>
      </c>
      <c r="K1787">
        <v>20.3</v>
      </c>
      <c r="L1787">
        <v>21.4</v>
      </c>
      <c r="M1787">
        <v>33.9</v>
      </c>
      <c r="N1787">
        <v>28</v>
      </c>
      <c r="O1787">
        <v>37.700000000000003</v>
      </c>
      <c r="P1787">
        <v>49.5</v>
      </c>
      <c r="Q1787">
        <v>40.5</v>
      </c>
      <c r="R1787">
        <v>47.1</v>
      </c>
      <c r="S1787">
        <v>32.200000000000003</v>
      </c>
      <c r="T1787">
        <v>31.2</v>
      </c>
      <c r="U1787">
        <v>63.1</v>
      </c>
      <c r="V1787">
        <v>-11.9</v>
      </c>
      <c r="W1787" cm="1">
        <f t="array" ref="W1787">_xlfn.IFS(OR(X1787="N/A",X1787="NA"),0,OR(X1787="R64",X1787="R68"),1,X1787="R32",2,X1787="S16",3,X1787="E8",4,X1787="F4",5,X1787="2ND",6,X1787="Champions",7)</f>
        <v>0</v>
      </c>
      <c r="X1787" t="s">
        <v>90</v>
      </c>
      <c r="Y1787" t="s">
        <v>90</v>
      </c>
      <c r="Z1787">
        <v>2013</v>
      </c>
    </row>
    <row r="1788" spans="1:26" x14ac:dyDescent="0.3">
      <c r="A1788" t="s">
        <v>168</v>
      </c>
      <c r="B1788" t="s">
        <v>164</v>
      </c>
      <c r="C1788">
        <v>31</v>
      </c>
      <c r="D1788">
        <v>14</v>
      </c>
      <c r="E1788" s="1">
        <f t="shared" si="27"/>
        <v>0.45161290322580644</v>
      </c>
      <c r="F1788">
        <v>94.9</v>
      </c>
      <c r="G1788">
        <v>103.2</v>
      </c>
      <c r="H1788">
        <v>0.27400000000000002</v>
      </c>
      <c r="I1788">
        <v>47.1</v>
      </c>
      <c r="J1788">
        <v>49.1</v>
      </c>
      <c r="K1788">
        <v>18.8</v>
      </c>
      <c r="L1788">
        <v>19.8</v>
      </c>
      <c r="M1788">
        <v>29.4</v>
      </c>
      <c r="N1788">
        <v>32.9</v>
      </c>
      <c r="O1788">
        <v>36.5</v>
      </c>
      <c r="P1788">
        <v>33.700000000000003</v>
      </c>
      <c r="Q1788">
        <v>45.7</v>
      </c>
      <c r="R1788">
        <v>48.4</v>
      </c>
      <c r="S1788">
        <v>33.200000000000003</v>
      </c>
      <c r="T1788">
        <v>33.799999999999997</v>
      </c>
      <c r="U1788">
        <v>67.8</v>
      </c>
      <c r="V1788">
        <v>-11.4</v>
      </c>
      <c r="W1788" cm="1">
        <f t="array" ref="W1788">_xlfn.IFS(OR(X1788="N/A",X1788="NA"),0,OR(X1788="R64",X1788="R68"),1,X1788="R32",2,X1788="S16",3,X1788="E8",4,X1788="F4",5,X1788="2ND",6,X1788="Champions",7)</f>
        <v>0</v>
      </c>
      <c r="X1788" t="s">
        <v>90</v>
      </c>
      <c r="Y1788" t="s">
        <v>90</v>
      </c>
      <c r="Z1788">
        <v>2013</v>
      </c>
    </row>
    <row r="1789" spans="1:26" x14ac:dyDescent="0.3">
      <c r="A1789" t="s">
        <v>187</v>
      </c>
      <c r="B1789" t="s">
        <v>66</v>
      </c>
      <c r="C1789">
        <v>31</v>
      </c>
      <c r="D1789">
        <v>14</v>
      </c>
      <c r="E1789" s="1">
        <f t="shared" si="27"/>
        <v>0.45161290322580644</v>
      </c>
      <c r="F1789">
        <v>87.7</v>
      </c>
      <c r="G1789">
        <v>98.1</v>
      </c>
      <c r="H1789">
        <v>0.21579999999999999</v>
      </c>
      <c r="I1789">
        <v>43.1</v>
      </c>
      <c r="J1789">
        <v>43.8</v>
      </c>
      <c r="K1789">
        <v>24.3</v>
      </c>
      <c r="L1789">
        <v>22.3</v>
      </c>
      <c r="M1789">
        <v>34.1</v>
      </c>
      <c r="N1789">
        <v>32.6</v>
      </c>
      <c r="O1789">
        <v>38.6</v>
      </c>
      <c r="P1789">
        <v>42.5</v>
      </c>
      <c r="Q1789">
        <v>44.6</v>
      </c>
      <c r="R1789">
        <v>42.9</v>
      </c>
      <c r="S1789">
        <v>26.3</v>
      </c>
      <c r="T1789">
        <v>30.6</v>
      </c>
      <c r="U1789">
        <v>70.2</v>
      </c>
      <c r="V1789">
        <v>-13.8</v>
      </c>
      <c r="W1789" cm="1">
        <f t="array" ref="W1789">_xlfn.IFS(OR(X1789="N/A",X1789="NA"),0,OR(X1789="R64",X1789="R68"),1,X1789="R32",2,X1789="S16",3,X1789="E8",4,X1789="F4",5,X1789="2ND",6,X1789="Champions",7)</f>
        <v>0</v>
      </c>
      <c r="X1789" t="s">
        <v>90</v>
      </c>
      <c r="Y1789" t="s">
        <v>90</v>
      </c>
      <c r="Z1789">
        <v>2013</v>
      </c>
    </row>
    <row r="1790" spans="1:26" x14ac:dyDescent="0.3">
      <c r="A1790" t="s">
        <v>319</v>
      </c>
      <c r="B1790" t="s">
        <v>38</v>
      </c>
      <c r="C1790">
        <v>32</v>
      </c>
      <c r="D1790">
        <v>14</v>
      </c>
      <c r="E1790" s="1">
        <f t="shared" si="27"/>
        <v>0.4375</v>
      </c>
      <c r="F1790">
        <v>109</v>
      </c>
      <c r="G1790">
        <v>100</v>
      </c>
      <c r="H1790">
        <v>0.72989999999999999</v>
      </c>
      <c r="I1790">
        <v>49.7</v>
      </c>
      <c r="J1790">
        <v>48.5</v>
      </c>
      <c r="K1790">
        <v>19.600000000000001</v>
      </c>
      <c r="L1790">
        <v>17.600000000000001</v>
      </c>
      <c r="M1790">
        <v>34.4</v>
      </c>
      <c r="N1790">
        <v>32.4</v>
      </c>
      <c r="O1790">
        <v>37</v>
      </c>
      <c r="P1790">
        <v>30.1</v>
      </c>
      <c r="Q1790">
        <v>47.8</v>
      </c>
      <c r="R1790">
        <v>47.1</v>
      </c>
      <c r="S1790">
        <v>36.4</v>
      </c>
      <c r="T1790">
        <v>34.4</v>
      </c>
      <c r="U1790">
        <v>68.8</v>
      </c>
      <c r="V1790">
        <v>-7.3</v>
      </c>
      <c r="W1790" cm="1">
        <f t="array" ref="W1790">_xlfn.IFS(OR(X1790="N/A",X1790="NA"),0,OR(X1790="R64",X1790="R68"),1,X1790="R32",2,X1790="S16",3,X1790="E8",4,X1790="F4",5,X1790="2ND",6,X1790="Champions",7)</f>
        <v>0</v>
      </c>
      <c r="X1790" t="s">
        <v>90</v>
      </c>
      <c r="Y1790" t="s">
        <v>90</v>
      </c>
      <c r="Z1790">
        <v>2013</v>
      </c>
    </row>
    <row r="1791" spans="1:26" x14ac:dyDescent="0.3">
      <c r="A1791" t="s">
        <v>321</v>
      </c>
      <c r="B1791" t="s">
        <v>38</v>
      </c>
      <c r="C1791">
        <v>32</v>
      </c>
      <c r="D1791">
        <v>14</v>
      </c>
      <c r="E1791" s="1">
        <f t="shared" si="27"/>
        <v>0.4375</v>
      </c>
      <c r="F1791">
        <v>101.5</v>
      </c>
      <c r="G1791">
        <v>94.5</v>
      </c>
      <c r="H1791">
        <v>0.69389999999999996</v>
      </c>
      <c r="I1791">
        <v>47.2</v>
      </c>
      <c r="J1791">
        <v>46.9</v>
      </c>
      <c r="K1791">
        <v>19.5</v>
      </c>
      <c r="L1791">
        <v>17.600000000000001</v>
      </c>
      <c r="M1791">
        <v>29.2</v>
      </c>
      <c r="N1791">
        <v>29.5</v>
      </c>
      <c r="O1791">
        <v>30</v>
      </c>
      <c r="P1791">
        <v>37.6</v>
      </c>
      <c r="Q1791">
        <v>45.7</v>
      </c>
      <c r="R1791">
        <v>44.7</v>
      </c>
      <c r="S1791">
        <v>34.200000000000003</v>
      </c>
      <c r="T1791">
        <v>34.5</v>
      </c>
      <c r="U1791">
        <v>67.099999999999994</v>
      </c>
      <c r="V1791">
        <v>-5.3</v>
      </c>
      <c r="W1791" cm="1">
        <f t="array" ref="W1791">_xlfn.IFS(OR(X1791="N/A",X1791="NA"),0,OR(X1791="R64",X1791="R68"),1,X1791="R32",2,X1791="S16",3,X1791="E8",4,X1791="F4",5,X1791="2ND",6,X1791="Champions",7)</f>
        <v>0</v>
      </c>
      <c r="X1791" t="s">
        <v>90</v>
      </c>
      <c r="Y1791" t="s">
        <v>90</v>
      </c>
      <c r="Z1791">
        <v>2013</v>
      </c>
    </row>
    <row r="1792" spans="1:26" x14ac:dyDescent="0.3">
      <c r="A1792" t="s">
        <v>250</v>
      </c>
      <c r="B1792" t="s">
        <v>69</v>
      </c>
      <c r="C1792">
        <v>32</v>
      </c>
      <c r="D1792">
        <v>14</v>
      </c>
      <c r="E1792" s="1">
        <f t="shared" si="27"/>
        <v>0.4375</v>
      </c>
      <c r="F1792">
        <v>93.7</v>
      </c>
      <c r="G1792">
        <v>92.4</v>
      </c>
      <c r="H1792">
        <v>0.53920000000000001</v>
      </c>
      <c r="I1792">
        <v>46.8</v>
      </c>
      <c r="J1792">
        <v>46.2</v>
      </c>
      <c r="K1792">
        <v>25.7</v>
      </c>
      <c r="L1792">
        <v>23.1</v>
      </c>
      <c r="M1792">
        <v>31.8</v>
      </c>
      <c r="N1792">
        <v>32.4</v>
      </c>
      <c r="O1792">
        <v>45.8</v>
      </c>
      <c r="P1792">
        <v>46.6</v>
      </c>
      <c r="Q1792">
        <v>44.7</v>
      </c>
      <c r="R1792">
        <v>43.2</v>
      </c>
      <c r="S1792">
        <v>33.700000000000003</v>
      </c>
      <c r="T1792">
        <v>34.9</v>
      </c>
      <c r="U1792">
        <v>62.5</v>
      </c>
      <c r="V1792">
        <v>-10.9</v>
      </c>
      <c r="W1792" cm="1">
        <f t="array" ref="W1792">_xlfn.IFS(OR(X1792="N/A",X1792="NA"),0,OR(X1792="R64",X1792="R68"),1,X1792="R32",2,X1792="S16",3,X1792="E8",4,X1792="F4",5,X1792="2ND",6,X1792="Champions",7)</f>
        <v>0</v>
      </c>
      <c r="X1792" t="s">
        <v>90</v>
      </c>
      <c r="Y1792" t="s">
        <v>90</v>
      </c>
      <c r="Z1792">
        <v>2013</v>
      </c>
    </row>
    <row r="1793" spans="1:26" x14ac:dyDescent="0.3">
      <c r="A1793" t="s">
        <v>414</v>
      </c>
      <c r="B1793" t="s">
        <v>37</v>
      </c>
      <c r="C1793">
        <v>32</v>
      </c>
      <c r="D1793">
        <v>14</v>
      </c>
      <c r="E1793" s="1">
        <f t="shared" si="27"/>
        <v>0.4375</v>
      </c>
      <c r="F1793">
        <v>100.9</v>
      </c>
      <c r="G1793">
        <v>101.5</v>
      </c>
      <c r="H1793">
        <v>0.48280000000000001</v>
      </c>
      <c r="I1793">
        <v>48.3</v>
      </c>
      <c r="J1793">
        <v>49.7</v>
      </c>
      <c r="K1793">
        <v>20.6</v>
      </c>
      <c r="L1793">
        <v>20.399999999999999</v>
      </c>
      <c r="M1793">
        <v>30.3</v>
      </c>
      <c r="N1793">
        <v>34.299999999999997</v>
      </c>
      <c r="O1793">
        <v>37.799999999999997</v>
      </c>
      <c r="P1793">
        <v>37.700000000000003</v>
      </c>
      <c r="Q1793">
        <v>46.5</v>
      </c>
      <c r="R1793">
        <v>50.8</v>
      </c>
      <c r="S1793">
        <v>34.799999999999997</v>
      </c>
      <c r="T1793">
        <v>31.3</v>
      </c>
      <c r="U1793">
        <v>63.9</v>
      </c>
      <c r="V1793">
        <v>-8.8000000000000007</v>
      </c>
      <c r="W1793" cm="1">
        <f t="array" ref="W1793">_xlfn.IFS(OR(X1793="N/A",X1793="NA"),0,OR(X1793="R64",X1793="R68"),1,X1793="R32",2,X1793="S16",3,X1793="E8",4,X1793="F4",5,X1793="2ND",6,X1793="Champions",7)</f>
        <v>0</v>
      </c>
      <c r="X1793" t="s">
        <v>90</v>
      </c>
      <c r="Y1793" t="s">
        <v>90</v>
      </c>
      <c r="Z1793">
        <v>2013</v>
      </c>
    </row>
    <row r="1794" spans="1:26" x14ac:dyDescent="0.3">
      <c r="A1794" t="s">
        <v>86</v>
      </c>
      <c r="B1794" t="s">
        <v>29</v>
      </c>
      <c r="C1794">
        <v>32</v>
      </c>
      <c r="D1794">
        <v>14</v>
      </c>
      <c r="E1794" s="1">
        <f t="shared" si="27"/>
        <v>0.4375</v>
      </c>
      <c r="F1794">
        <v>100.1</v>
      </c>
      <c r="G1794">
        <v>103.1</v>
      </c>
      <c r="H1794">
        <v>0.41710000000000003</v>
      </c>
      <c r="I1794">
        <v>46.6</v>
      </c>
      <c r="J1794">
        <v>50.5</v>
      </c>
      <c r="K1794">
        <v>22.8</v>
      </c>
      <c r="L1794">
        <v>21</v>
      </c>
      <c r="M1794">
        <v>38.299999999999997</v>
      </c>
      <c r="N1794">
        <v>32.9</v>
      </c>
      <c r="O1794">
        <v>35.200000000000003</v>
      </c>
      <c r="P1794">
        <v>45.8</v>
      </c>
      <c r="Q1794">
        <v>45.8</v>
      </c>
      <c r="R1794">
        <v>50.4</v>
      </c>
      <c r="S1794">
        <v>32.1</v>
      </c>
      <c r="T1794">
        <v>33.799999999999997</v>
      </c>
      <c r="U1794">
        <v>66.7</v>
      </c>
      <c r="V1794">
        <v>-10.1</v>
      </c>
      <c r="W1794" cm="1">
        <f t="array" ref="W1794">_xlfn.IFS(OR(X1794="N/A",X1794="NA"),0,OR(X1794="R64",X1794="R68"),1,X1794="R32",2,X1794="S16",3,X1794="E8",4,X1794="F4",5,X1794="2ND",6,X1794="Champions",7)</f>
        <v>0</v>
      </c>
      <c r="X1794" t="s">
        <v>90</v>
      </c>
      <c r="Y1794" t="s">
        <v>90</v>
      </c>
      <c r="Z1794">
        <v>2013</v>
      </c>
    </row>
    <row r="1795" spans="1:26" x14ac:dyDescent="0.3">
      <c r="A1795" t="s">
        <v>307</v>
      </c>
      <c r="B1795" t="s">
        <v>64</v>
      </c>
      <c r="C1795">
        <v>26</v>
      </c>
      <c r="D1795">
        <v>15</v>
      </c>
      <c r="E1795" s="1">
        <f t="shared" ref="E1795:E1858" si="28">D1795/C1795</f>
        <v>0.57692307692307687</v>
      </c>
      <c r="F1795">
        <v>100.8</v>
      </c>
      <c r="G1795">
        <v>104.9</v>
      </c>
      <c r="H1795">
        <v>0.38829999999999998</v>
      </c>
      <c r="I1795">
        <v>49.4</v>
      </c>
      <c r="J1795">
        <v>50</v>
      </c>
      <c r="K1795">
        <v>20.399999999999999</v>
      </c>
      <c r="L1795">
        <v>24.7</v>
      </c>
      <c r="M1795">
        <v>31.7</v>
      </c>
      <c r="N1795">
        <v>39.6</v>
      </c>
      <c r="O1795">
        <v>43.9</v>
      </c>
      <c r="P1795">
        <v>38.9</v>
      </c>
      <c r="Q1795">
        <v>47.8</v>
      </c>
      <c r="R1795">
        <v>50.9</v>
      </c>
      <c r="S1795">
        <v>35.200000000000003</v>
      </c>
      <c r="T1795">
        <v>31.6</v>
      </c>
      <c r="U1795">
        <v>62.7</v>
      </c>
      <c r="V1795">
        <v>-6.5</v>
      </c>
      <c r="W1795" cm="1">
        <f t="array" ref="W1795">_xlfn.IFS(OR(X1795="N/A",X1795="NA"),0,OR(X1795="R64",X1795="R68"),1,X1795="R32",2,X1795="S16",3,X1795="E8",4,X1795="F4",5,X1795="2ND",6,X1795="Champions",7)</f>
        <v>0</v>
      </c>
      <c r="X1795" t="s">
        <v>90</v>
      </c>
      <c r="Y1795" t="s">
        <v>90</v>
      </c>
      <c r="Z1795">
        <v>2013</v>
      </c>
    </row>
    <row r="1796" spans="1:26" x14ac:dyDescent="0.3">
      <c r="A1796" t="s">
        <v>260</v>
      </c>
      <c r="B1796" t="s">
        <v>57</v>
      </c>
      <c r="C1796">
        <v>28</v>
      </c>
      <c r="D1796">
        <v>15</v>
      </c>
      <c r="E1796" s="1">
        <f t="shared" si="28"/>
        <v>0.5357142857142857</v>
      </c>
      <c r="F1796">
        <v>101.7</v>
      </c>
      <c r="G1796">
        <v>103.2</v>
      </c>
      <c r="H1796">
        <v>0.45860000000000001</v>
      </c>
      <c r="I1796">
        <v>48.3</v>
      </c>
      <c r="J1796">
        <v>48.6</v>
      </c>
      <c r="K1796">
        <v>17.899999999999999</v>
      </c>
      <c r="L1796">
        <v>21.3</v>
      </c>
      <c r="M1796">
        <v>28.8</v>
      </c>
      <c r="N1796">
        <v>34.4</v>
      </c>
      <c r="O1796">
        <v>37.5</v>
      </c>
      <c r="P1796">
        <v>35.9</v>
      </c>
      <c r="Q1796">
        <v>47.4</v>
      </c>
      <c r="R1796">
        <v>46.7</v>
      </c>
      <c r="S1796">
        <v>33.5</v>
      </c>
      <c r="T1796">
        <v>34.4</v>
      </c>
      <c r="U1796">
        <v>67.900000000000006</v>
      </c>
      <c r="V1796">
        <v>-7.9</v>
      </c>
      <c r="W1796" cm="1">
        <f t="array" ref="W1796">_xlfn.IFS(OR(X1796="N/A",X1796="NA"),0,OR(X1796="R64",X1796="R68"),1,X1796="R32",2,X1796="S16",3,X1796="E8",4,X1796="F4",5,X1796="2ND",6,X1796="Champions",7)</f>
        <v>0</v>
      </c>
      <c r="X1796" t="s">
        <v>90</v>
      </c>
      <c r="Y1796" t="s">
        <v>90</v>
      </c>
      <c r="Z1796">
        <v>2013</v>
      </c>
    </row>
    <row r="1797" spans="1:26" x14ac:dyDescent="0.3">
      <c r="A1797" t="s">
        <v>191</v>
      </c>
      <c r="B1797" t="s">
        <v>48</v>
      </c>
      <c r="C1797">
        <v>28</v>
      </c>
      <c r="D1797">
        <v>15</v>
      </c>
      <c r="E1797" s="1">
        <f t="shared" si="28"/>
        <v>0.5357142857142857</v>
      </c>
      <c r="F1797">
        <v>101.5</v>
      </c>
      <c r="G1797">
        <v>105.2</v>
      </c>
      <c r="H1797">
        <v>0.39829999999999999</v>
      </c>
      <c r="I1797">
        <v>50.2</v>
      </c>
      <c r="J1797">
        <v>49</v>
      </c>
      <c r="K1797">
        <v>20.7</v>
      </c>
      <c r="L1797">
        <v>17.399999999999999</v>
      </c>
      <c r="M1797">
        <v>35.299999999999997</v>
      </c>
      <c r="N1797">
        <v>29.5</v>
      </c>
      <c r="O1797">
        <v>36</v>
      </c>
      <c r="P1797">
        <v>32.700000000000003</v>
      </c>
      <c r="Q1797">
        <v>50.1</v>
      </c>
      <c r="R1797">
        <v>45.6</v>
      </c>
      <c r="S1797">
        <v>33.700000000000003</v>
      </c>
      <c r="T1797">
        <v>36.6</v>
      </c>
      <c r="U1797">
        <v>69.599999999999994</v>
      </c>
      <c r="V1797">
        <v>-7.8</v>
      </c>
      <c r="W1797" cm="1">
        <f t="array" ref="W1797">_xlfn.IFS(OR(X1797="N/A",X1797="NA"),0,OR(X1797="R64",X1797="R68"),1,X1797="R32",2,X1797="S16",3,X1797="E8",4,X1797="F4",5,X1797="2ND",6,X1797="Champions",7)</f>
        <v>0</v>
      </c>
      <c r="X1797" t="s">
        <v>90</v>
      </c>
      <c r="Y1797" t="s">
        <v>90</v>
      </c>
      <c r="Z1797">
        <v>2013</v>
      </c>
    </row>
    <row r="1798" spans="1:26" x14ac:dyDescent="0.3">
      <c r="A1798" t="s">
        <v>179</v>
      </c>
      <c r="B1798" t="s">
        <v>74</v>
      </c>
      <c r="C1798">
        <v>29</v>
      </c>
      <c r="D1798">
        <v>15</v>
      </c>
      <c r="E1798" s="1">
        <f t="shared" si="28"/>
        <v>0.51724137931034486</v>
      </c>
      <c r="F1798">
        <v>97.9</v>
      </c>
      <c r="G1798">
        <v>103.5</v>
      </c>
      <c r="H1798">
        <v>0.34510000000000002</v>
      </c>
      <c r="I1798">
        <v>48</v>
      </c>
      <c r="J1798">
        <v>48</v>
      </c>
      <c r="K1798">
        <v>17.899999999999999</v>
      </c>
      <c r="L1798">
        <v>19.7</v>
      </c>
      <c r="M1798">
        <v>34.1</v>
      </c>
      <c r="N1798">
        <v>31.5</v>
      </c>
      <c r="O1798">
        <v>32.700000000000003</v>
      </c>
      <c r="P1798">
        <v>41.5</v>
      </c>
      <c r="Q1798">
        <v>48.2</v>
      </c>
      <c r="R1798">
        <v>47.6</v>
      </c>
      <c r="S1798">
        <v>31.6</v>
      </c>
      <c r="T1798">
        <v>32.5</v>
      </c>
      <c r="U1798">
        <v>66.099999999999994</v>
      </c>
      <c r="V1798">
        <v>-10.199999999999999</v>
      </c>
      <c r="W1798" cm="1">
        <f t="array" ref="W1798">_xlfn.IFS(OR(X1798="N/A",X1798="NA"),0,OR(X1798="R64",X1798="R68"),1,X1798="R32",2,X1798="S16",3,X1798="E8",4,X1798="F4",5,X1798="2ND",6,X1798="Champions",7)</f>
        <v>0</v>
      </c>
      <c r="X1798" t="s">
        <v>90</v>
      </c>
      <c r="Y1798" t="s">
        <v>90</v>
      </c>
      <c r="Z1798">
        <v>2013</v>
      </c>
    </row>
    <row r="1799" spans="1:26" x14ac:dyDescent="0.3">
      <c r="A1799" t="s">
        <v>327</v>
      </c>
      <c r="B1799" t="s">
        <v>67</v>
      </c>
      <c r="C1799">
        <v>30</v>
      </c>
      <c r="D1799">
        <v>15</v>
      </c>
      <c r="E1799" s="1">
        <f t="shared" si="28"/>
        <v>0.5</v>
      </c>
      <c r="F1799">
        <v>104.2</v>
      </c>
      <c r="G1799">
        <v>103.3</v>
      </c>
      <c r="H1799">
        <v>0.52390000000000003</v>
      </c>
      <c r="I1799">
        <v>51.7</v>
      </c>
      <c r="J1799">
        <v>48.7</v>
      </c>
      <c r="K1799">
        <v>20.7</v>
      </c>
      <c r="L1799">
        <v>18.600000000000001</v>
      </c>
      <c r="M1799">
        <v>31.7</v>
      </c>
      <c r="N1799">
        <v>29.7</v>
      </c>
      <c r="O1799">
        <v>36.9</v>
      </c>
      <c r="P1799">
        <v>36.799999999999997</v>
      </c>
      <c r="Q1799">
        <v>49.2</v>
      </c>
      <c r="R1799">
        <v>46</v>
      </c>
      <c r="S1799">
        <v>37.1</v>
      </c>
      <c r="T1799">
        <v>35.799999999999997</v>
      </c>
      <c r="U1799">
        <v>68.3</v>
      </c>
      <c r="V1799">
        <v>-10.1</v>
      </c>
      <c r="W1799" cm="1">
        <f t="array" ref="W1799">_xlfn.IFS(OR(X1799="N/A",X1799="NA"),0,OR(X1799="R64",X1799="R68"),1,X1799="R32",2,X1799="S16",3,X1799="E8",4,X1799="F4",5,X1799="2ND",6,X1799="Champions",7)</f>
        <v>0</v>
      </c>
      <c r="X1799" t="s">
        <v>90</v>
      </c>
      <c r="Y1799" t="s">
        <v>90</v>
      </c>
      <c r="Z1799">
        <v>2013</v>
      </c>
    </row>
    <row r="1800" spans="1:26" x14ac:dyDescent="0.3">
      <c r="A1800" t="s">
        <v>252</v>
      </c>
      <c r="B1800" t="s">
        <v>57</v>
      </c>
      <c r="C1800">
        <v>30</v>
      </c>
      <c r="D1800">
        <v>15</v>
      </c>
      <c r="E1800" s="1">
        <f t="shared" si="28"/>
        <v>0.5</v>
      </c>
      <c r="F1800">
        <v>98.5</v>
      </c>
      <c r="G1800">
        <v>105.5</v>
      </c>
      <c r="H1800">
        <v>0.31330000000000002</v>
      </c>
      <c r="I1800">
        <v>48.3</v>
      </c>
      <c r="J1800">
        <v>50.8</v>
      </c>
      <c r="K1800">
        <v>23.1</v>
      </c>
      <c r="L1800">
        <v>19.7</v>
      </c>
      <c r="M1800">
        <v>35.9</v>
      </c>
      <c r="N1800">
        <v>29.5</v>
      </c>
      <c r="O1800">
        <v>46.6</v>
      </c>
      <c r="P1800">
        <v>36.200000000000003</v>
      </c>
      <c r="Q1800">
        <v>47.9</v>
      </c>
      <c r="R1800">
        <v>50</v>
      </c>
      <c r="S1800">
        <v>32.700000000000003</v>
      </c>
      <c r="T1800">
        <v>34.9</v>
      </c>
      <c r="U1800">
        <v>66.099999999999994</v>
      </c>
      <c r="V1800">
        <v>-9.6999999999999993</v>
      </c>
      <c r="W1800" cm="1">
        <f t="array" ref="W1800">_xlfn.IFS(OR(X1800="N/A",X1800="NA"),0,OR(X1800="R64",X1800="R68"),1,X1800="R32",2,X1800="S16",3,X1800="E8",4,X1800="F4",5,X1800="2ND",6,X1800="Champions",7)</f>
        <v>0</v>
      </c>
      <c r="X1800" t="s">
        <v>90</v>
      </c>
      <c r="Y1800" t="s">
        <v>90</v>
      </c>
      <c r="Z1800">
        <v>2013</v>
      </c>
    </row>
    <row r="1801" spans="1:26" x14ac:dyDescent="0.3">
      <c r="A1801" t="s">
        <v>146</v>
      </c>
      <c r="B1801" t="s">
        <v>33</v>
      </c>
      <c r="C1801">
        <v>31</v>
      </c>
      <c r="D1801">
        <v>15</v>
      </c>
      <c r="E1801" s="1">
        <f t="shared" si="28"/>
        <v>0.4838709677419355</v>
      </c>
      <c r="F1801">
        <v>107.3</v>
      </c>
      <c r="G1801">
        <v>97.9</v>
      </c>
      <c r="H1801">
        <v>0.7409</v>
      </c>
      <c r="I1801">
        <v>48.7</v>
      </c>
      <c r="J1801">
        <v>47.9</v>
      </c>
      <c r="K1801">
        <v>21.3</v>
      </c>
      <c r="L1801">
        <v>19.600000000000001</v>
      </c>
      <c r="M1801">
        <v>35.799999999999997</v>
      </c>
      <c r="N1801">
        <v>34.4</v>
      </c>
      <c r="O1801">
        <v>32.4</v>
      </c>
      <c r="P1801">
        <v>39.799999999999997</v>
      </c>
      <c r="Q1801">
        <v>47</v>
      </c>
      <c r="R1801">
        <v>47.7</v>
      </c>
      <c r="S1801">
        <v>35.700000000000003</v>
      </c>
      <c r="T1801">
        <v>32.200000000000003</v>
      </c>
      <c r="U1801">
        <v>64.5</v>
      </c>
      <c r="V1801">
        <v>-4.0999999999999996</v>
      </c>
      <c r="W1801" cm="1">
        <f t="array" ref="W1801">_xlfn.IFS(OR(X1801="N/A",X1801="NA"),0,OR(X1801="R64",X1801="R68"),1,X1801="R32",2,X1801="S16",3,X1801="E8",4,X1801="F4",5,X1801="2ND",6,X1801="Champions",7)</f>
        <v>0</v>
      </c>
      <c r="X1801" t="s">
        <v>90</v>
      </c>
      <c r="Y1801" t="s">
        <v>90</v>
      </c>
      <c r="Z1801">
        <v>2013</v>
      </c>
    </row>
    <row r="1802" spans="1:26" x14ac:dyDescent="0.3">
      <c r="A1802" t="s">
        <v>228</v>
      </c>
      <c r="B1802" t="s">
        <v>43</v>
      </c>
      <c r="C1802">
        <v>31</v>
      </c>
      <c r="D1802">
        <v>15</v>
      </c>
      <c r="E1802" s="1">
        <f t="shared" si="28"/>
        <v>0.4838709677419355</v>
      </c>
      <c r="F1802">
        <v>102.1</v>
      </c>
      <c r="G1802">
        <v>102.5</v>
      </c>
      <c r="H1802">
        <v>0.49049999999999999</v>
      </c>
      <c r="I1802">
        <v>49.1</v>
      </c>
      <c r="J1802">
        <v>48.6</v>
      </c>
      <c r="K1802">
        <v>17</v>
      </c>
      <c r="L1802">
        <v>18.100000000000001</v>
      </c>
      <c r="M1802">
        <v>26.6</v>
      </c>
      <c r="N1802">
        <v>31.5</v>
      </c>
      <c r="O1802">
        <v>36</v>
      </c>
      <c r="P1802">
        <v>35.6</v>
      </c>
      <c r="Q1802">
        <v>46.5</v>
      </c>
      <c r="R1802">
        <v>46.5</v>
      </c>
      <c r="S1802">
        <v>35.9</v>
      </c>
      <c r="T1802">
        <v>35.6</v>
      </c>
      <c r="U1802">
        <v>68.5</v>
      </c>
      <c r="V1802">
        <v>-9.3000000000000007</v>
      </c>
      <c r="W1802" cm="1">
        <f t="array" ref="W1802">_xlfn.IFS(OR(X1802="N/A",X1802="NA"),0,OR(X1802="R64",X1802="R68"),1,X1802="R32",2,X1802="S16",3,X1802="E8",4,X1802="F4",5,X1802="2ND",6,X1802="Champions",7)</f>
        <v>0</v>
      </c>
      <c r="X1802" t="s">
        <v>90</v>
      </c>
      <c r="Y1802" t="s">
        <v>90</v>
      </c>
      <c r="Z1802">
        <v>2013</v>
      </c>
    </row>
    <row r="1803" spans="1:26" x14ac:dyDescent="0.3">
      <c r="A1803" t="s">
        <v>246</v>
      </c>
      <c r="B1803" t="s">
        <v>77</v>
      </c>
      <c r="C1803">
        <v>31</v>
      </c>
      <c r="D1803">
        <v>15</v>
      </c>
      <c r="E1803" s="1">
        <f t="shared" si="28"/>
        <v>0.4838709677419355</v>
      </c>
      <c r="F1803">
        <v>101.4</v>
      </c>
      <c r="G1803">
        <v>103.6</v>
      </c>
      <c r="H1803">
        <v>0.44</v>
      </c>
      <c r="I1803">
        <v>46.5</v>
      </c>
      <c r="J1803">
        <v>49.3</v>
      </c>
      <c r="K1803">
        <v>20.2</v>
      </c>
      <c r="L1803">
        <v>15.7</v>
      </c>
      <c r="M1803">
        <v>41.3</v>
      </c>
      <c r="N1803">
        <v>25.8</v>
      </c>
      <c r="O1803">
        <v>41.1</v>
      </c>
      <c r="P1803">
        <v>42.2</v>
      </c>
      <c r="Q1803">
        <v>45.4</v>
      </c>
      <c r="R1803">
        <v>45.9</v>
      </c>
      <c r="S1803">
        <v>33.5</v>
      </c>
      <c r="T1803">
        <v>37.799999999999997</v>
      </c>
      <c r="U1803">
        <v>66.599999999999994</v>
      </c>
      <c r="V1803">
        <v>-11.6</v>
      </c>
      <c r="W1803" cm="1">
        <f t="array" ref="W1803">_xlfn.IFS(OR(X1803="N/A",X1803="NA"),0,OR(X1803="R64",X1803="R68"),1,X1803="R32",2,X1803="S16",3,X1803="E8",4,X1803="F4",5,X1803="2ND",6,X1803="Champions",7)</f>
        <v>0</v>
      </c>
      <c r="X1803" t="s">
        <v>90</v>
      </c>
      <c r="Y1803" t="s">
        <v>90</v>
      </c>
      <c r="Z1803">
        <v>2013</v>
      </c>
    </row>
    <row r="1804" spans="1:26" x14ac:dyDescent="0.3">
      <c r="A1804" t="s">
        <v>311</v>
      </c>
      <c r="B1804" t="s">
        <v>64</v>
      </c>
      <c r="C1804">
        <v>31</v>
      </c>
      <c r="D1804">
        <v>15</v>
      </c>
      <c r="E1804" s="1">
        <f t="shared" si="28"/>
        <v>0.4838709677419355</v>
      </c>
      <c r="F1804">
        <v>103.2</v>
      </c>
      <c r="G1804">
        <v>106.7</v>
      </c>
      <c r="H1804">
        <v>0.40579999999999999</v>
      </c>
      <c r="I1804">
        <v>53.1</v>
      </c>
      <c r="J1804">
        <v>45.9</v>
      </c>
      <c r="K1804">
        <v>18.5</v>
      </c>
      <c r="L1804">
        <v>15.1</v>
      </c>
      <c r="M1804">
        <v>28.2</v>
      </c>
      <c r="N1804">
        <v>33.200000000000003</v>
      </c>
      <c r="O1804">
        <v>33.4</v>
      </c>
      <c r="P1804">
        <v>35.1</v>
      </c>
      <c r="Q1804">
        <v>50</v>
      </c>
      <c r="R1804">
        <v>44.5</v>
      </c>
      <c r="S1804">
        <v>39.299999999999997</v>
      </c>
      <c r="T1804">
        <v>32.6</v>
      </c>
      <c r="U1804">
        <v>68.3</v>
      </c>
      <c r="V1804">
        <v>-11.4</v>
      </c>
      <c r="W1804" cm="1">
        <f t="array" ref="W1804">_xlfn.IFS(OR(X1804="N/A",X1804="NA"),0,OR(X1804="R64",X1804="R68"),1,X1804="R32",2,X1804="S16",3,X1804="E8",4,X1804="F4",5,X1804="2ND",6,X1804="Champions",7)</f>
        <v>0</v>
      </c>
      <c r="X1804" t="s">
        <v>90</v>
      </c>
      <c r="Y1804" t="s">
        <v>90</v>
      </c>
      <c r="Z1804">
        <v>2013</v>
      </c>
    </row>
    <row r="1805" spans="1:26" x14ac:dyDescent="0.3">
      <c r="A1805" t="s">
        <v>365</v>
      </c>
      <c r="B1805" t="s">
        <v>29</v>
      </c>
      <c r="C1805">
        <v>32</v>
      </c>
      <c r="D1805">
        <v>15</v>
      </c>
      <c r="E1805" s="1">
        <f t="shared" si="28"/>
        <v>0.46875</v>
      </c>
      <c r="F1805">
        <v>100.9</v>
      </c>
      <c r="G1805">
        <v>94.4</v>
      </c>
      <c r="H1805">
        <v>0.68169999999999997</v>
      </c>
      <c r="I1805">
        <v>46.9</v>
      </c>
      <c r="J1805">
        <v>45</v>
      </c>
      <c r="K1805">
        <v>23</v>
      </c>
      <c r="L1805">
        <v>18.5</v>
      </c>
      <c r="M1805">
        <v>32.1</v>
      </c>
      <c r="N1805">
        <v>30.5</v>
      </c>
      <c r="O1805">
        <v>45</v>
      </c>
      <c r="P1805">
        <v>37.9</v>
      </c>
      <c r="Q1805">
        <v>43.5</v>
      </c>
      <c r="R1805">
        <v>42.3</v>
      </c>
      <c r="S1805">
        <v>35.700000000000003</v>
      </c>
      <c r="T1805">
        <v>32.9</v>
      </c>
      <c r="U1805">
        <v>62.3</v>
      </c>
      <c r="V1805">
        <v>-6.3</v>
      </c>
      <c r="W1805" cm="1">
        <f t="array" ref="W1805">_xlfn.IFS(OR(X1805="N/A",X1805="NA"),0,OR(X1805="R64",X1805="R68"),1,X1805="R32",2,X1805="S16",3,X1805="E8",4,X1805="F4",5,X1805="2ND",6,X1805="Champions",7)</f>
        <v>0</v>
      </c>
      <c r="X1805" t="s">
        <v>90</v>
      </c>
      <c r="Y1805" t="s">
        <v>90</v>
      </c>
      <c r="Z1805">
        <v>2013</v>
      </c>
    </row>
    <row r="1806" spans="1:26" x14ac:dyDescent="0.3">
      <c r="A1806" t="s">
        <v>220</v>
      </c>
      <c r="B1806" t="s">
        <v>40</v>
      </c>
      <c r="C1806">
        <v>32</v>
      </c>
      <c r="D1806">
        <v>15</v>
      </c>
      <c r="E1806" s="1">
        <f t="shared" si="28"/>
        <v>0.46875</v>
      </c>
      <c r="F1806">
        <v>100</v>
      </c>
      <c r="G1806">
        <v>98</v>
      </c>
      <c r="H1806">
        <v>0.55800000000000005</v>
      </c>
      <c r="I1806">
        <v>48.4</v>
      </c>
      <c r="J1806">
        <v>50.7</v>
      </c>
      <c r="K1806">
        <v>21.8</v>
      </c>
      <c r="L1806">
        <v>22.4</v>
      </c>
      <c r="M1806">
        <v>33.5</v>
      </c>
      <c r="N1806">
        <v>30.8</v>
      </c>
      <c r="O1806">
        <v>29.4</v>
      </c>
      <c r="P1806">
        <v>38.6</v>
      </c>
      <c r="Q1806">
        <v>47.9</v>
      </c>
      <c r="R1806">
        <v>49</v>
      </c>
      <c r="S1806">
        <v>32.799999999999997</v>
      </c>
      <c r="T1806">
        <v>36.1</v>
      </c>
      <c r="U1806">
        <v>71.2</v>
      </c>
      <c r="V1806">
        <v>-8.1999999999999993</v>
      </c>
      <c r="W1806" cm="1">
        <f t="array" ref="W1806">_xlfn.IFS(OR(X1806="N/A",X1806="NA"),0,OR(X1806="R64",X1806="R68"),1,X1806="R32",2,X1806="S16",3,X1806="E8",4,X1806="F4",5,X1806="2ND",6,X1806="Champions",7)</f>
        <v>0</v>
      </c>
      <c r="X1806" t="s">
        <v>90</v>
      </c>
      <c r="Y1806" t="s">
        <v>90</v>
      </c>
      <c r="Z1806">
        <v>2013</v>
      </c>
    </row>
    <row r="1807" spans="1:26" x14ac:dyDescent="0.3">
      <c r="A1807" t="s">
        <v>158</v>
      </c>
      <c r="B1807" t="s">
        <v>33</v>
      </c>
      <c r="C1807">
        <v>33</v>
      </c>
      <c r="D1807">
        <v>15</v>
      </c>
      <c r="E1807" s="1">
        <f t="shared" si="28"/>
        <v>0.45454545454545453</v>
      </c>
      <c r="F1807">
        <v>103.5</v>
      </c>
      <c r="G1807">
        <v>96.7</v>
      </c>
      <c r="H1807">
        <v>0.6845</v>
      </c>
      <c r="I1807">
        <v>51.3</v>
      </c>
      <c r="J1807">
        <v>46.7</v>
      </c>
      <c r="K1807">
        <v>23.8</v>
      </c>
      <c r="L1807">
        <v>19.399999999999999</v>
      </c>
      <c r="M1807">
        <v>31</v>
      </c>
      <c r="N1807">
        <v>32.799999999999997</v>
      </c>
      <c r="O1807">
        <v>34.5</v>
      </c>
      <c r="P1807">
        <v>39.1</v>
      </c>
      <c r="Q1807">
        <v>48.6</v>
      </c>
      <c r="R1807">
        <v>44.6</v>
      </c>
      <c r="S1807">
        <v>36.700000000000003</v>
      </c>
      <c r="T1807">
        <v>34</v>
      </c>
      <c r="U1807">
        <v>65.099999999999994</v>
      </c>
      <c r="V1807">
        <v>-5.6</v>
      </c>
      <c r="W1807" cm="1">
        <f t="array" ref="W1807">_xlfn.IFS(OR(X1807="N/A",X1807="NA"),0,OR(X1807="R64",X1807="R68"),1,X1807="R32",2,X1807="S16",3,X1807="E8",4,X1807="F4",5,X1807="2ND",6,X1807="Champions",7)</f>
        <v>0</v>
      </c>
      <c r="X1807" t="s">
        <v>90</v>
      </c>
      <c r="Y1807" t="s">
        <v>90</v>
      </c>
      <c r="Z1807">
        <v>2013</v>
      </c>
    </row>
    <row r="1808" spans="1:26" x14ac:dyDescent="0.3">
      <c r="A1808" t="s">
        <v>143</v>
      </c>
      <c r="B1808" t="s">
        <v>31</v>
      </c>
      <c r="C1808">
        <v>33</v>
      </c>
      <c r="D1808">
        <v>15</v>
      </c>
      <c r="E1808" s="1">
        <f t="shared" si="28"/>
        <v>0.45454545454545453</v>
      </c>
      <c r="F1808">
        <v>101.4</v>
      </c>
      <c r="G1808">
        <v>96.1</v>
      </c>
      <c r="H1808">
        <v>0.64759999999999995</v>
      </c>
      <c r="I1808">
        <v>45.4</v>
      </c>
      <c r="J1808">
        <v>48.6</v>
      </c>
      <c r="K1808">
        <v>17.3</v>
      </c>
      <c r="L1808">
        <v>18</v>
      </c>
      <c r="M1808">
        <v>26.1</v>
      </c>
      <c r="N1808">
        <v>30.7</v>
      </c>
      <c r="O1808">
        <v>28.4</v>
      </c>
      <c r="P1808">
        <v>38.9</v>
      </c>
      <c r="Q1808">
        <v>45.1</v>
      </c>
      <c r="R1808">
        <v>48</v>
      </c>
      <c r="S1808">
        <v>30.7</v>
      </c>
      <c r="T1808">
        <v>33.4</v>
      </c>
      <c r="U1808">
        <v>62.2</v>
      </c>
      <c r="V1808">
        <v>-3.4</v>
      </c>
      <c r="W1808" cm="1">
        <f t="array" ref="W1808">_xlfn.IFS(OR(X1808="N/A",X1808="NA"),0,OR(X1808="R64",X1808="R68"),1,X1808="R32",2,X1808="S16",3,X1808="E8",4,X1808="F4",5,X1808="2ND",6,X1808="Champions",7)</f>
        <v>0</v>
      </c>
      <c r="X1808" t="s">
        <v>90</v>
      </c>
      <c r="Y1808" t="s">
        <v>90</v>
      </c>
      <c r="Z1808">
        <v>2013</v>
      </c>
    </row>
    <row r="1809" spans="1:26" x14ac:dyDescent="0.3">
      <c r="A1809" t="s">
        <v>237</v>
      </c>
      <c r="B1809" t="s">
        <v>59</v>
      </c>
      <c r="C1809">
        <v>26</v>
      </c>
      <c r="D1809">
        <v>16</v>
      </c>
      <c r="E1809" s="1">
        <f t="shared" si="28"/>
        <v>0.61538461538461542</v>
      </c>
      <c r="F1809">
        <v>107.9</v>
      </c>
      <c r="G1809">
        <v>100.1</v>
      </c>
      <c r="H1809">
        <v>0.7046</v>
      </c>
      <c r="I1809">
        <v>53.9</v>
      </c>
      <c r="J1809">
        <v>48.2</v>
      </c>
      <c r="K1809">
        <v>20.3</v>
      </c>
      <c r="L1809">
        <v>20.8</v>
      </c>
      <c r="M1809">
        <v>30.6</v>
      </c>
      <c r="N1809">
        <v>28.6</v>
      </c>
      <c r="O1809">
        <v>34.6</v>
      </c>
      <c r="P1809">
        <v>37.6</v>
      </c>
      <c r="Q1809">
        <v>49.9</v>
      </c>
      <c r="R1809">
        <v>47</v>
      </c>
      <c r="S1809">
        <v>41</v>
      </c>
      <c r="T1809">
        <v>34.200000000000003</v>
      </c>
      <c r="U1809">
        <v>60.6</v>
      </c>
      <c r="V1809">
        <v>-5</v>
      </c>
      <c r="W1809" cm="1">
        <f t="array" ref="W1809">_xlfn.IFS(OR(X1809="N/A",X1809="NA"),0,OR(X1809="R64",X1809="R68"),1,X1809="R32",2,X1809="S16",3,X1809="E8",4,X1809="F4",5,X1809="2ND",6,X1809="Champions",7)</f>
        <v>0</v>
      </c>
      <c r="X1809" t="s">
        <v>90</v>
      </c>
      <c r="Y1809" t="s">
        <v>90</v>
      </c>
      <c r="Z1809">
        <v>2013</v>
      </c>
    </row>
    <row r="1810" spans="1:26" x14ac:dyDescent="0.3">
      <c r="A1810" t="s">
        <v>177</v>
      </c>
      <c r="B1810" t="s">
        <v>74</v>
      </c>
      <c r="C1810">
        <v>29</v>
      </c>
      <c r="D1810">
        <v>16</v>
      </c>
      <c r="E1810" s="1">
        <f t="shared" si="28"/>
        <v>0.55172413793103448</v>
      </c>
      <c r="F1810">
        <v>100.6</v>
      </c>
      <c r="G1810">
        <v>101</v>
      </c>
      <c r="H1810">
        <v>0.48859999999999998</v>
      </c>
      <c r="I1810">
        <v>48.6</v>
      </c>
      <c r="J1810">
        <v>48.3</v>
      </c>
      <c r="K1810">
        <v>17.899999999999999</v>
      </c>
      <c r="L1810">
        <v>19.5</v>
      </c>
      <c r="M1810">
        <v>33.6</v>
      </c>
      <c r="N1810">
        <v>28.9</v>
      </c>
      <c r="O1810">
        <v>29.7</v>
      </c>
      <c r="P1810">
        <v>29</v>
      </c>
      <c r="Q1810">
        <v>45.6</v>
      </c>
      <c r="R1810">
        <v>46.3</v>
      </c>
      <c r="S1810">
        <v>35.200000000000003</v>
      </c>
      <c r="T1810">
        <v>34.4</v>
      </c>
      <c r="U1810">
        <v>67.7</v>
      </c>
      <c r="V1810">
        <v>-7.7</v>
      </c>
      <c r="W1810" cm="1">
        <f t="array" ref="W1810">_xlfn.IFS(OR(X1810="N/A",X1810="NA"),0,OR(X1810="R64",X1810="R68"),1,X1810="R32",2,X1810="S16",3,X1810="E8",4,X1810="F4",5,X1810="2ND",6,X1810="Champions",7)</f>
        <v>0</v>
      </c>
      <c r="X1810" t="s">
        <v>90</v>
      </c>
      <c r="Y1810" t="s">
        <v>90</v>
      </c>
      <c r="Z1810">
        <v>2013</v>
      </c>
    </row>
    <row r="1811" spans="1:26" x14ac:dyDescent="0.3">
      <c r="A1811" t="s">
        <v>342</v>
      </c>
      <c r="B1811" t="s">
        <v>58</v>
      </c>
      <c r="C1811">
        <v>29</v>
      </c>
      <c r="D1811">
        <v>16</v>
      </c>
      <c r="E1811" s="1">
        <f t="shared" si="28"/>
        <v>0.55172413793103448</v>
      </c>
      <c r="F1811">
        <v>96.2</v>
      </c>
      <c r="G1811">
        <v>100.2</v>
      </c>
      <c r="H1811">
        <v>0.38519999999999999</v>
      </c>
      <c r="I1811">
        <v>45.9</v>
      </c>
      <c r="J1811">
        <v>46.8</v>
      </c>
      <c r="K1811">
        <v>22.8</v>
      </c>
      <c r="L1811">
        <v>21</v>
      </c>
      <c r="M1811">
        <v>36</v>
      </c>
      <c r="N1811">
        <v>32.9</v>
      </c>
      <c r="O1811">
        <v>45.4</v>
      </c>
      <c r="P1811">
        <v>37.700000000000003</v>
      </c>
      <c r="Q1811">
        <v>44.6</v>
      </c>
      <c r="R1811">
        <v>45.7</v>
      </c>
      <c r="S1811">
        <v>32.4</v>
      </c>
      <c r="T1811">
        <v>33</v>
      </c>
      <c r="U1811">
        <v>68.5</v>
      </c>
      <c r="V1811">
        <v>-7.8</v>
      </c>
      <c r="W1811" cm="1">
        <f t="array" ref="W1811">_xlfn.IFS(OR(X1811="N/A",X1811="NA"),0,OR(X1811="R64",X1811="R68"),1,X1811="R32",2,X1811="S16",3,X1811="E8",4,X1811="F4",5,X1811="2ND",6,X1811="Champions",7)</f>
        <v>0</v>
      </c>
      <c r="X1811" t="s">
        <v>90</v>
      </c>
      <c r="Y1811" t="s">
        <v>90</v>
      </c>
      <c r="Z1811">
        <v>2013</v>
      </c>
    </row>
    <row r="1812" spans="1:26" x14ac:dyDescent="0.3">
      <c r="A1812" t="s">
        <v>283</v>
      </c>
      <c r="B1812" t="s">
        <v>55</v>
      </c>
      <c r="C1812">
        <v>30</v>
      </c>
      <c r="D1812">
        <v>16</v>
      </c>
      <c r="E1812" s="1">
        <f t="shared" si="28"/>
        <v>0.53333333333333333</v>
      </c>
      <c r="F1812">
        <v>109.2</v>
      </c>
      <c r="G1812">
        <v>103.5</v>
      </c>
      <c r="H1812">
        <v>0.64810000000000001</v>
      </c>
      <c r="I1812">
        <v>54.7</v>
      </c>
      <c r="J1812">
        <v>51.9</v>
      </c>
      <c r="K1812">
        <v>18.5</v>
      </c>
      <c r="L1812">
        <v>19.100000000000001</v>
      </c>
      <c r="M1812">
        <v>23.7</v>
      </c>
      <c r="N1812">
        <v>31.8</v>
      </c>
      <c r="O1812">
        <v>30.8</v>
      </c>
      <c r="P1812">
        <v>36.6</v>
      </c>
      <c r="Q1812">
        <v>52.9</v>
      </c>
      <c r="R1812">
        <v>54.2</v>
      </c>
      <c r="S1812">
        <v>38.1</v>
      </c>
      <c r="T1812">
        <v>32.4</v>
      </c>
      <c r="U1812">
        <v>64.400000000000006</v>
      </c>
      <c r="V1812">
        <v>-2.9</v>
      </c>
      <c r="W1812" cm="1">
        <f t="array" ref="W1812">_xlfn.IFS(OR(X1812="N/A",X1812="NA"),0,OR(X1812="R64",X1812="R68"),1,X1812="R32",2,X1812="S16",3,X1812="E8",4,X1812="F4",5,X1812="2ND",6,X1812="Champions",7)</f>
        <v>0</v>
      </c>
      <c r="X1812" t="s">
        <v>90</v>
      </c>
      <c r="Y1812" t="s">
        <v>90</v>
      </c>
      <c r="Z1812">
        <v>2013</v>
      </c>
    </row>
    <row r="1813" spans="1:26" x14ac:dyDescent="0.3">
      <c r="A1813" t="s">
        <v>188</v>
      </c>
      <c r="B1813" t="s">
        <v>48</v>
      </c>
      <c r="C1813">
        <v>30</v>
      </c>
      <c r="D1813">
        <v>16</v>
      </c>
      <c r="E1813" s="1">
        <f t="shared" si="28"/>
        <v>0.53333333333333333</v>
      </c>
      <c r="F1813">
        <v>103.5</v>
      </c>
      <c r="G1813">
        <v>104.7</v>
      </c>
      <c r="H1813">
        <v>0.46650000000000003</v>
      </c>
      <c r="I1813">
        <v>48.7</v>
      </c>
      <c r="J1813">
        <v>52.9</v>
      </c>
      <c r="K1813">
        <v>15.7</v>
      </c>
      <c r="L1813">
        <v>19.600000000000001</v>
      </c>
      <c r="M1813">
        <v>31.2</v>
      </c>
      <c r="N1813">
        <v>28.2</v>
      </c>
      <c r="O1813">
        <v>33.299999999999997</v>
      </c>
      <c r="P1813">
        <v>38.6</v>
      </c>
      <c r="Q1813">
        <v>44.8</v>
      </c>
      <c r="R1813">
        <v>52.2</v>
      </c>
      <c r="S1813">
        <v>37.1</v>
      </c>
      <c r="T1813">
        <v>36.299999999999997</v>
      </c>
      <c r="U1813">
        <v>59.8</v>
      </c>
      <c r="V1813">
        <v>-7.3</v>
      </c>
      <c r="W1813" cm="1">
        <f t="array" ref="W1813">_xlfn.IFS(OR(X1813="N/A",X1813="NA"),0,OR(X1813="R64",X1813="R68"),1,X1813="R32",2,X1813="S16",3,X1813="E8",4,X1813="F4",5,X1813="2ND",6,X1813="Champions",7)</f>
        <v>0</v>
      </c>
      <c r="X1813" t="s">
        <v>90</v>
      </c>
      <c r="Y1813" t="s">
        <v>90</v>
      </c>
      <c r="Z1813">
        <v>2013</v>
      </c>
    </row>
    <row r="1814" spans="1:26" x14ac:dyDescent="0.3">
      <c r="A1814" t="s">
        <v>393</v>
      </c>
      <c r="B1814" t="s">
        <v>76</v>
      </c>
      <c r="C1814">
        <v>30</v>
      </c>
      <c r="D1814">
        <v>16</v>
      </c>
      <c r="E1814" s="1">
        <f t="shared" si="28"/>
        <v>0.53333333333333333</v>
      </c>
      <c r="F1814">
        <v>91.3</v>
      </c>
      <c r="G1814">
        <v>100.8</v>
      </c>
      <c r="H1814">
        <v>0.24360000000000001</v>
      </c>
      <c r="I1814">
        <v>44.7</v>
      </c>
      <c r="J1814">
        <v>46.9</v>
      </c>
      <c r="K1814">
        <v>20.9</v>
      </c>
      <c r="L1814">
        <v>23.5</v>
      </c>
      <c r="M1814">
        <v>31.5</v>
      </c>
      <c r="N1814">
        <v>35.6</v>
      </c>
      <c r="O1814">
        <v>33</v>
      </c>
      <c r="P1814">
        <v>37.700000000000003</v>
      </c>
      <c r="Q1814">
        <v>44.4</v>
      </c>
      <c r="R1814">
        <v>46.4</v>
      </c>
      <c r="S1814">
        <v>30.2</v>
      </c>
      <c r="T1814">
        <v>31.7</v>
      </c>
      <c r="U1814">
        <v>68.2</v>
      </c>
      <c r="V1814">
        <v>-8.1999999999999993</v>
      </c>
      <c r="W1814" cm="1">
        <f t="array" ref="W1814">_xlfn.IFS(OR(X1814="N/A",X1814="NA"),0,OR(X1814="R64",X1814="R68"),1,X1814="R32",2,X1814="S16",3,X1814="E8",4,X1814="F4",5,X1814="2ND",6,X1814="Champions",7)</f>
        <v>0</v>
      </c>
      <c r="X1814" t="s">
        <v>90</v>
      </c>
      <c r="Y1814" t="s">
        <v>90</v>
      </c>
      <c r="Z1814">
        <v>2013</v>
      </c>
    </row>
    <row r="1815" spans="1:26" x14ac:dyDescent="0.3">
      <c r="A1815" t="s">
        <v>105</v>
      </c>
      <c r="B1815" t="s">
        <v>26</v>
      </c>
      <c r="C1815">
        <v>31</v>
      </c>
      <c r="D1815">
        <v>16</v>
      </c>
      <c r="E1815" s="1">
        <f t="shared" si="28"/>
        <v>0.5161290322580645</v>
      </c>
      <c r="F1815">
        <v>99.6</v>
      </c>
      <c r="G1815">
        <v>91.1</v>
      </c>
      <c r="H1815">
        <v>0.7369</v>
      </c>
      <c r="I1815">
        <v>46.8</v>
      </c>
      <c r="J1815">
        <v>45.4</v>
      </c>
      <c r="K1815">
        <v>19.3</v>
      </c>
      <c r="L1815">
        <v>19</v>
      </c>
      <c r="M1815">
        <v>32.6</v>
      </c>
      <c r="N1815">
        <v>28.3</v>
      </c>
      <c r="O1815">
        <v>28</v>
      </c>
      <c r="P1815">
        <v>33</v>
      </c>
      <c r="Q1815">
        <v>46.4</v>
      </c>
      <c r="R1815">
        <v>43.8</v>
      </c>
      <c r="S1815">
        <v>31.8</v>
      </c>
      <c r="T1815">
        <v>32.299999999999997</v>
      </c>
      <c r="U1815">
        <v>66.400000000000006</v>
      </c>
      <c r="V1815">
        <v>-4.8</v>
      </c>
      <c r="W1815" cm="1">
        <f t="array" ref="W1815">_xlfn.IFS(OR(X1815="N/A",X1815="NA"),0,OR(X1815="R64",X1815="R68"),1,X1815="R32",2,X1815="S16",3,X1815="E8",4,X1815="F4",5,X1815="2ND",6,X1815="Champions",7)</f>
        <v>0</v>
      </c>
      <c r="X1815" t="s">
        <v>90</v>
      </c>
      <c r="Y1815" t="s">
        <v>90</v>
      </c>
      <c r="Z1815">
        <v>2013</v>
      </c>
    </row>
    <row r="1816" spans="1:26" x14ac:dyDescent="0.3">
      <c r="A1816" t="s">
        <v>313</v>
      </c>
      <c r="B1816" t="s">
        <v>64</v>
      </c>
      <c r="C1816">
        <v>31</v>
      </c>
      <c r="D1816">
        <v>16</v>
      </c>
      <c r="E1816" s="1">
        <f t="shared" si="28"/>
        <v>0.5161290322580645</v>
      </c>
      <c r="F1816">
        <v>101.6</v>
      </c>
      <c r="G1816">
        <v>103.5</v>
      </c>
      <c r="H1816">
        <v>0.44540000000000002</v>
      </c>
      <c r="I1816">
        <v>48.9</v>
      </c>
      <c r="J1816">
        <v>49.8</v>
      </c>
      <c r="K1816">
        <v>21.9</v>
      </c>
      <c r="L1816">
        <v>19.899999999999999</v>
      </c>
      <c r="M1816">
        <v>34.700000000000003</v>
      </c>
      <c r="N1816">
        <v>32.6</v>
      </c>
      <c r="O1816">
        <v>40</v>
      </c>
      <c r="P1816">
        <v>39.5</v>
      </c>
      <c r="Q1816">
        <v>48.3</v>
      </c>
      <c r="R1816">
        <v>49.8</v>
      </c>
      <c r="S1816">
        <v>33.4</v>
      </c>
      <c r="T1816">
        <v>33.200000000000003</v>
      </c>
      <c r="U1816">
        <v>68.3</v>
      </c>
      <c r="V1816">
        <v>-7.3</v>
      </c>
      <c r="W1816" cm="1">
        <f t="array" ref="W1816">_xlfn.IFS(OR(X1816="N/A",X1816="NA"),0,OR(X1816="R64",X1816="R68"),1,X1816="R32",2,X1816="S16",3,X1816="E8",4,X1816="F4",5,X1816="2ND",6,X1816="Champions",7)</f>
        <v>0</v>
      </c>
      <c r="X1816" t="s">
        <v>90</v>
      </c>
      <c r="Y1816" t="s">
        <v>90</v>
      </c>
      <c r="Z1816">
        <v>2013</v>
      </c>
    </row>
    <row r="1817" spans="1:26" x14ac:dyDescent="0.3">
      <c r="A1817" t="s">
        <v>337</v>
      </c>
      <c r="B1817" t="s">
        <v>58</v>
      </c>
      <c r="C1817">
        <v>31</v>
      </c>
      <c r="D1817">
        <v>16</v>
      </c>
      <c r="E1817" s="1">
        <f t="shared" si="28"/>
        <v>0.5161290322580645</v>
      </c>
      <c r="F1817">
        <v>93.8</v>
      </c>
      <c r="G1817">
        <v>101.2</v>
      </c>
      <c r="H1817">
        <v>0.29430000000000001</v>
      </c>
      <c r="I1817">
        <v>46.4</v>
      </c>
      <c r="J1817">
        <v>48.8</v>
      </c>
      <c r="K1817">
        <v>22.3</v>
      </c>
      <c r="L1817">
        <v>23.2</v>
      </c>
      <c r="M1817">
        <v>31.8</v>
      </c>
      <c r="N1817">
        <v>32.6</v>
      </c>
      <c r="O1817">
        <v>42.7</v>
      </c>
      <c r="P1817">
        <v>42.9</v>
      </c>
      <c r="Q1817">
        <v>44.7</v>
      </c>
      <c r="R1817">
        <v>47.6</v>
      </c>
      <c r="S1817">
        <v>33.799999999999997</v>
      </c>
      <c r="T1817">
        <v>34</v>
      </c>
      <c r="U1817">
        <v>68.099999999999994</v>
      </c>
      <c r="V1817">
        <v>-9.6999999999999993</v>
      </c>
      <c r="W1817" cm="1">
        <f t="array" ref="W1817">_xlfn.IFS(OR(X1817="N/A",X1817="NA"),0,OR(X1817="R64",X1817="R68"),1,X1817="R32",2,X1817="S16",3,X1817="E8",4,X1817="F4",5,X1817="2ND",6,X1817="Champions",7)</f>
        <v>0</v>
      </c>
      <c r="X1817" t="s">
        <v>90</v>
      </c>
      <c r="Y1817" t="s">
        <v>90</v>
      </c>
      <c r="Z1817">
        <v>2013</v>
      </c>
    </row>
    <row r="1818" spans="1:26" x14ac:dyDescent="0.3">
      <c r="A1818" t="s">
        <v>127</v>
      </c>
      <c r="B1818" t="s">
        <v>40</v>
      </c>
      <c r="C1818">
        <v>32</v>
      </c>
      <c r="D1818">
        <v>16</v>
      </c>
      <c r="E1818" s="1">
        <f t="shared" si="28"/>
        <v>0.5</v>
      </c>
      <c r="F1818">
        <v>97.9</v>
      </c>
      <c r="G1818">
        <v>99.7</v>
      </c>
      <c r="H1818">
        <v>0.44840000000000002</v>
      </c>
      <c r="I1818">
        <v>48.6</v>
      </c>
      <c r="J1818">
        <v>47.8</v>
      </c>
      <c r="K1818">
        <v>21.7</v>
      </c>
      <c r="L1818">
        <v>18.899999999999999</v>
      </c>
      <c r="M1818">
        <v>30.1</v>
      </c>
      <c r="N1818">
        <v>29.6</v>
      </c>
      <c r="O1818">
        <v>43.6</v>
      </c>
      <c r="P1818">
        <v>41.3</v>
      </c>
      <c r="Q1818">
        <v>48.2</v>
      </c>
      <c r="R1818">
        <v>45.8</v>
      </c>
      <c r="S1818">
        <v>32.9</v>
      </c>
      <c r="T1818">
        <v>34.200000000000003</v>
      </c>
      <c r="U1818">
        <v>67.900000000000006</v>
      </c>
      <c r="V1818">
        <v>-7.9</v>
      </c>
      <c r="W1818" cm="1">
        <f t="array" ref="W1818">_xlfn.IFS(OR(X1818="N/A",X1818="NA"),0,OR(X1818="R64",X1818="R68"),1,X1818="R32",2,X1818="S16",3,X1818="E8",4,X1818="F4",5,X1818="2ND",6,X1818="Champions",7)</f>
        <v>0</v>
      </c>
      <c r="X1818" t="s">
        <v>90</v>
      </c>
      <c r="Y1818" t="s">
        <v>90</v>
      </c>
      <c r="Z1818">
        <v>2013</v>
      </c>
    </row>
    <row r="1819" spans="1:26" x14ac:dyDescent="0.3">
      <c r="A1819" t="s">
        <v>363</v>
      </c>
      <c r="B1819" t="s">
        <v>29</v>
      </c>
      <c r="C1819">
        <v>33</v>
      </c>
      <c r="D1819">
        <v>16</v>
      </c>
      <c r="E1819" s="1">
        <f t="shared" si="28"/>
        <v>0.48484848484848486</v>
      </c>
      <c r="F1819">
        <v>101.6</v>
      </c>
      <c r="G1819">
        <v>93.9</v>
      </c>
      <c r="H1819">
        <v>0.71360000000000001</v>
      </c>
      <c r="I1819">
        <v>48.4</v>
      </c>
      <c r="J1819">
        <v>46</v>
      </c>
      <c r="K1819">
        <v>19.5</v>
      </c>
      <c r="L1819">
        <v>18.5</v>
      </c>
      <c r="M1819">
        <v>27.9</v>
      </c>
      <c r="N1819">
        <v>29.5</v>
      </c>
      <c r="O1819">
        <v>35.1</v>
      </c>
      <c r="P1819">
        <v>33.5</v>
      </c>
      <c r="Q1819">
        <v>45.3</v>
      </c>
      <c r="R1819">
        <v>45.7</v>
      </c>
      <c r="S1819">
        <v>35</v>
      </c>
      <c r="T1819">
        <v>31.1</v>
      </c>
      <c r="U1819">
        <v>61</v>
      </c>
      <c r="V1819">
        <v>-6.2</v>
      </c>
      <c r="W1819" cm="1">
        <f t="array" ref="W1819">_xlfn.IFS(OR(X1819="N/A",X1819="NA"),0,OR(X1819="R64",X1819="R68"),1,X1819="R32",2,X1819="S16",3,X1819="E8",4,X1819="F4",5,X1819="2ND",6,X1819="Champions",7)</f>
        <v>0</v>
      </c>
      <c r="X1819" t="s">
        <v>90</v>
      </c>
      <c r="Y1819" t="s">
        <v>90</v>
      </c>
      <c r="Z1819">
        <v>2013</v>
      </c>
    </row>
    <row r="1820" spans="1:26" x14ac:dyDescent="0.3">
      <c r="A1820" t="s">
        <v>152</v>
      </c>
      <c r="B1820" t="s">
        <v>35</v>
      </c>
      <c r="C1820">
        <v>33</v>
      </c>
      <c r="D1820">
        <v>16</v>
      </c>
      <c r="E1820" s="1">
        <f t="shared" si="28"/>
        <v>0.48484848484848486</v>
      </c>
      <c r="F1820">
        <v>101.3</v>
      </c>
      <c r="G1820">
        <v>94</v>
      </c>
      <c r="H1820">
        <v>0.70279999999999998</v>
      </c>
      <c r="I1820">
        <v>45.7</v>
      </c>
      <c r="J1820">
        <v>42.9</v>
      </c>
      <c r="K1820">
        <v>21.4</v>
      </c>
      <c r="L1820">
        <v>19.100000000000001</v>
      </c>
      <c r="M1820">
        <v>34.6</v>
      </c>
      <c r="N1820">
        <v>33.799999999999997</v>
      </c>
      <c r="O1820">
        <v>40.4</v>
      </c>
      <c r="P1820">
        <v>41.9</v>
      </c>
      <c r="Q1820">
        <v>46</v>
      </c>
      <c r="R1820">
        <v>42.8</v>
      </c>
      <c r="S1820">
        <v>30.1</v>
      </c>
      <c r="T1820">
        <v>28.9</v>
      </c>
      <c r="U1820">
        <v>66.099999999999994</v>
      </c>
      <c r="V1820">
        <v>-4.2</v>
      </c>
      <c r="W1820" cm="1">
        <f t="array" ref="W1820">_xlfn.IFS(OR(X1820="N/A",X1820="NA"),0,OR(X1820="R64",X1820="R68"),1,X1820="R32",2,X1820="S16",3,X1820="E8",4,X1820="F4",5,X1820="2ND",6,X1820="Champions",7)</f>
        <v>0</v>
      </c>
      <c r="X1820" t="s">
        <v>90</v>
      </c>
      <c r="Y1820" t="s">
        <v>90</v>
      </c>
      <c r="Z1820">
        <v>2013</v>
      </c>
    </row>
    <row r="1821" spans="1:26" x14ac:dyDescent="0.3">
      <c r="A1821" t="s">
        <v>103</v>
      </c>
      <c r="B1821" t="s">
        <v>26</v>
      </c>
      <c r="C1821">
        <v>33</v>
      </c>
      <c r="D1821">
        <v>16</v>
      </c>
      <c r="E1821" s="1">
        <f t="shared" si="28"/>
        <v>0.48484848484848486</v>
      </c>
      <c r="F1821">
        <v>108.6</v>
      </c>
      <c r="G1821">
        <v>102</v>
      </c>
      <c r="H1821">
        <v>0.67369999999999997</v>
      </c>
      <c r="I1821">
        <v>51</v>
      </c>
      <c r="J1821">
        <v>51.1</v>
      </c>
      <c r="K1821">
        <v>17.7</v>
      </c>
      <c r="L1821">
        <v>17.899999999999999</v>
      </c>
      <c r="M1821">
        <v>28.1</v>
      </c>
      <c r="N1821">
        <v>30.7</v>
      </c>
      <c r="O1821">
        <v>39.700000000000003</v>
      </c>
      <c r="P1821">
        <v>29.1</v>
      </c>
      <c r="Q1821">
        <v>49.7</v>
      </c>
      <c r="R1821">
        <v>48.7</v>
      </c>
      <c r="S1821">
        <v>35.299999999999997</v>
      </c>
      <c r="T1821">
        <v>37.5</v>
      </c>
      <c r="U1821">
        <v>64.2</v>
      </c>
      <c r="V1821">
        <v>-5.4</v>
      </c>
      <c r="W1821" cm="1">
        <f t="array" ref="W1821">_xlfn.IFS(OR(X1821="N/A",X1821="NA"),0,OR(X1821="R64",X1821="R68"),1,X1821="R32",2,X1821="S16",3,X1821="E8",4,X1821="F4",5,X1821="2ND",6,X1821="Champions",7)</f>
        <v>0</v>
      </c>
      <c r="X1821" t="s">
        <v>90</v>
      </c>
      <c r="Y1821" t="s">
        <v>90</v>
      </c>
      <c r="Z1821">
        <v>2013</v>
      </c>
    </row>
    <row r="1822" spans="1:26" x14ac:dyDescent="0.3">
      <c r="A1822" t="s">
        <v>63</v>
      </c>
      <c r="B1822" t="s">
        <v>31</v>
      </c>
      <c r="C1822">
        <v>34</v>
      </c>
      <c r="D1822">
        <v>16</v>
      </c>
      <c r="E1822" s="1">
        <f t="shared" si="28"/>
        <v>0.47058823529411764</v>
      </c>
      <c r="F1822">
        <v>106.2</v>
      </c>
      <c r="G1822">
        <v>94.2</v>
      </c>
      <c r="H1822">
        <v>0.79749999999999999</v>
      </c>
      <c r="I1822">
        <v>46.3</v>
      </c>
      <c r="J1822">
        <v>45.5</v>
      </c>
      <c r="K1822">
        <v>19</v>
      </c>
      <c r="L1822">
        <v>17</v>
      </c>
      <c r="M1822">
        <v>37</v>
      </c>
      <c r="N1822">
        <v>29.7</v>
      </c>
      <c r="O1822">
        <v>33.5</v>
      </c>
      <c r="P1822">
        <v>33.299999999999997</v>
      </c>
      <c r="Q1822">
        <v>45.7</v>
      </c>
      <c r="R1822">
        <v>43.9</v>
      </c>
      <c r="S1822">
        <v>32</v>
      </c>
      <c r="T1822">
        <v>32.799999999999997</v>
      </c>
      <c r="U1822">
        <v>67</v>
      </c>
      <c r="V1822">
        <v>-3.8</v>
      </c>
      <c r="W1822" cm="1">
        <f t="array" ref="W1822">_xlfn.IFS(OR(X1822="N/A",X1822="NA"),0,OR(X1822="R64",X1822="R68"),1,X1822="R32",2,X1822="S16",3,X1822="E8",4,X1822="F4",5,X1822="2ND",6,X1822="Champions",7)</f>
        <v>0</v>
      </c>
      <c r="X1822" t="s">
        <v>90</v>
      </c>
      <c r="Y1822" t="s">
        <v>90</v>
      </c>
      <c r="Z1822">
        <v>2013</v>
      </c>
    </row>
    <row r="1823" spans="1:26" x14ac:dyDescent="0.3">
      <c r="A1823" t="s">
        <v>128</v>
      </c>
      <c r="B1823" t="s">
        <v>40</v>
      </c>
      <c r="C1823">
        <v>28</v>
      </c>
      <c r="D1823">
        <v>17</v>
      </c>
      <c r="E1823" s="1">
        <f t="shared" si="28"/>
        <v>0.6071428571428571</v>
      </c>
      <c r="F1823">
        <v>105.5</v>
      </c>
      <c r="G1823">
        <v>101.5</v>
      </c>
      <c r="H1823">
        <v>0.60940000000000005</v>
      </c>
      <c r="I1823">
        <v>51.5</v>
      </c>
      <c r="J1823">
        <v>48.7</v>
      </c>
      <c r="K1823">
        <v>20.7</v>
      </c>
      <c r="L1823">
        <v>18.7</v>
      </c>
      <c r="M1823">
        <v>34.299999999999997</v>
      </c>
      <c r="N1823">
        <v>32.799999999999997</v>
      </c>
      <c r="O1823">
        <v>41</v>
      </c>
      <c r="P1823">
        <v>25.9</v>
      </c>
      <c r="Q1823">
        <v>51.4</v>
      </c>
      <c r="R1823">
        <v>49.5</v>
      </c>
      <c r="S1823">
        <v>34.5</v>
      </c>
      <c r="T1823">
        <v>31.3</v>
      </c>
      <c r="U1823">
        <v>66</v>
      </c>
      <c r="V1823">
        <v>-4.2</v>
      </c>
      <c r="W1823" cm="1">
        <f t="array" ref="W1823">_xlfn.IFS(OR(X1823="N/A",X1823="NA"),0,OR(X1823="R64",X1823="R68"),1,X1823="R32",2,X1823="S16",3,X1823="E8",4,X1823="F4",5,X1823="2ND",6,X1823="Champions",7)</f>
        <v>0</v>
      </c>
      <c r="X1823" t="s">
        <v>90</v>
      </c>
      <c r="Y1823" t="s">
        <v>90</v>
      </c>
      <c r="Z1823">
        <v>2013</v>
      </c>
    </row>
    <row r="1824" spans="1:26" x14ac:dyDescent="0.3">
      <c r="A1824" t="s">
        <v>328</v>
      </c>
      <c r="B1824" t="s">
        <v>112</v>
      </c>
      <c r="C1824">
        <v>30</v>
      </c>
      <c r="D1824">
        <v>17</v>
      </c>
      <c r="E1824" s="1">
        <f t="shared" si="28"/>
        <v>0.56666666666666665</v>
      </c>
      <c r="F1824">
        <v>103.2</v>
      </c>
      <c r="G1824">
        <v>101.1</v>
      </c>
      <c r="H1824">
        <v>0.55700000000000005</v>
      </c>
      <c r="I1824">
        <v>52.2</v>
      </c>
      <c r="J1824">
        <v>47.4</v>
      </c>
      <c r="K1824">
        <v>18.8</v>
      </c>
      <c r="L1824">
        <v>21.5</v>
      </c>
      <c r="M1824">
        <v>25.9</v>
      </c>
      <c r="N1824">
        <v>31.2</v>
      </c>
      <c r="O1824">
        <v>26.5</v>
      </c>
      <c r="P1824">
        <v>33.200000000000003</v>
      </c>
      <c r="Q1824">
        <v>49.9</v>
      </c>
      <c r="R1824">
        <v>47.8</v>
      </c>
      <c r="S1824">
        <v>37</v>
      </c>
      <c r="T1824">
        <v>31.1</v>
      </c>
      <c r="U1824">
        <v>66.2</v>
      </c>
      <c r="V1824">
        <v>-6.9</v>
      </c>
      <c r="W1824" cm="1">
        <f t="array" ref="W1824">_xlfn.IFS(OR(X1824="N/A",X1824="NA"),0,OR(X1824="R64",X1824="R68"),1,X1824="R32",2,X1824="S16",3,X1824="E8",4,X1824="F4",5,X1824="2ND",6,X1824="Champions",7)</f>
        <v>0</v>
      </c>
      <c r="X1824" t="s">
        <v>90</v>
      </c>
      <c r="Y1824" t="s">
        <v>90</v>
      </c>
      <c r="Z1824">
        <v>2013</v>
      </c>
    </row>
    <row r="1825" spans="1:26" x14ac:dyDescent="0.3">
      <c r="A1825" t="s">
        <v>203</v>
      </c>
      <c r="B1825" t="s">
        <v>53</v>
      </c>
      <c r="C1825">
        <v>30</v>
      </c>
      <c r="D1825">
        <v>17</v>
      </c>
      <c r="E1825" s="1">
        <f t="shared" si="28"/>
        <v>0.56666666666666665</v>
      </c>
      <c r="F1825">
        <v>101.8</v>
      </c>
      <c r="G1825">
        <v>101.6</v>
      </c>
      <c r="H1825">
        <v>0.50619999999999998</v>
      </c>
      <c r="I1825">
        <v>48.3</v>
      </c>
      <c r="J1825">
        <v>45.2</v>
      </c>
      <c r="K1825">
        <v>22.2</v>
      </c>
      <c r="L1825">
        <v>16.2</v>
      </c>
      <c r="M1825">
        <v>39.200000000000003</v>
      </c>
      <c r="N1825">
        <v>31.9</v>
      </c>
      <c r="O1825">
        <v>40.299999999999997</v>
      </c>
      <c r="P1825">
        <v>37.6</v>
      </c>
      <c r="Q1825">
        <v>48.7</v>
      </c>
      <c r="R1825">
        <v>42.8</v>
      </c>
      <c r="S1825">
        <v>31.4</v>
      </c>
      <c r="T1825">
        <v>33.9</v>
      </c>
      <c r="U1825">
        <v>66.3</v>
      </c>
      <c r="V1825">
        <v>-6.9</v>
      </c>
      <c r="W1825" cm="1">
        <f t="array" ref="W1825">_xlfn.IFS(OR(X1825="N/A",X1825="NA"),0,OR(X1825="R64",X1825="R68"),1,X1825="R32",2,X1825="S16",3,X1825="E8",4,X1825="F4",5,X1825="2ND",6,X1825="Champions",7)</f>
        <v>0</v>
      </c>
      <c r="X1825" t="s">
        <v>90</v>
      </c>
      <c r="Y1825" t="s">
        <v>90</v>
      </c>
      <c r="Z1825">
        <v>2013</v>
      </c>
    </row>
    <row r="1826" spans="1:26" x14ac:dyDescent="0.3">
      <c r="A1826" t="s">
        <v>79</v>
      </c>
      <c r="B1826" t="s">
        <v>45</v>
      </c>
      <c r="C1826">
        <v>31</v>
      </c>
      <c r="D1826">
        <v>17</v>
      </c>
      <c r="E1826" s="1">
        <f t="shared" si="28"/>
        <v>0.54838709677419351</v>
      </c>
      <c r="F1826">
        <v>111.8</v>
      </c>
      <c r="G1826">
        <v>99.4</v>
      </c>
      <c r="H1826">
        <v>0.79510000000000003</v>
      </c>
      <c r="I1826">
        <v>53</v>
      </c>
      <c r="J1826">
        <v>49.2</v>
      </c>
      <c r="K1826">
        <v>21.7</v>
      </c>
      <c r="L1826">
        <v>21</v>
      </c>
      <c r="M1826">
        <v>35.200000000000003</v>
      </c>
      <c r="N1826">
        <v>30.4</v>
      </c>
      <c r="O1826">
        <v>39.700000000000003</v>
      </c>
      <c r="P1826">
        <v>37.5</v>
      </c>
      <c r="Q1826">
        <v>51.1</v>
      </c>
      <c r="R1826">
        <v>47.4</v>
      </c>
      <c r="S1826">
        <v>38.4</v>
      </c>
      <c r="T1826">
        <v>35.299999999999997</v>
      </c>
      <c r="U1826">
        <v>66.400000000000006</v>
      </c>
      <c r="V1826">
        <v>-4.5999999999999996</v>
      </c>
      <c r="W1826" cm="1">
        <f t="array" ref="W1826">_xlfn.IFS(OR(X1826="N/A",X1826="NA"),0,OR(X1826="R64",X1826="R68"),1,X1826="R32",2,X1826="S16",3,X1826="E8",4,X1826="F4",5,X1826="2ND",6,X1826="Champions",7)</f>
        <v>0</v>
      </c>
      <c r="X1826" t="s">
        <v>90</v>
      </c>
      <c r="Y1826" t="s">
        <v>90</v>
      </c>
      <c r="Z1826">
        <v>2013</v>
      </c>
    </row>
    <row r="1827" spans="1:26" x14ac:dyDescent="0.3">
      <c r="A1827" t="s">
        <v>70</v>
      </c>
      <c r="B1827" t="s">
        <v>45</v>
      </c>
      <c r="C1827">
        <v>31</v>
      </c>
      <c r="D1827">
        <v>17</v>
      </c>
      <c r="E1827" s="1">
        <f t="shared" si="28"/>
        <v>0.54838709677419351</v>
      </c>
      <c r="F1827">
        <v>105.1</v>
      </c>
      <c r="G1827">
        <v>94.3</v>
      </c>
      <c r="H1827">
        <v>0.77649999999999997</v>
      </c>
      <c r="I1827">
        <v>50.1</v>
      </c>
      <c r="J1827">
        <v>46.7</v>
      </c>
      <c r="K1827">
        <v>20.399999999999999</v>
      </c>
      <c r="L1827">
        <v>18.600000000000001</v>
      </c>
      <c r="M1827">
        <v>34.299999999999997</v>
      </c>
      <c r="N1827">
        <v>29</v>
      </c>
      <c r="O1827">
        <v>41.4</v>
      </c>
      <c r="P1827">
        <v>33.299999999999997</v>
      </c>
      <c r="Q1827">
        <v>49.2</v>
      </c>
      <c r="R1827">
        <v>45.8</v>
      </c>
      <c r="S1827">
        <v>35</v>
      </c>
      <c r="T1827">
        <v>32.1</v>
      </c>
      <c r="U1827">
        <v>63.1</v>
      </c>
      <c r="V1827">
        <v>-4</v>
      </c>
      <c r="W1827" cm="1">
        <f t="array" ref="W1827">_xlfn.IFS(OR(X1827="N/A",X1827="NA"),0,OR(X1827="R64",X1827="R68"),1,X1827="R32",2,X1827="S16",3,X1827="E8",4,X1827="F4",5,X1827="2ND",6,X1827="Champions",7)</f>
        <v>0</v>
      </c>
      <c r="X1827" t="s">
        <v>90</v>
      </c>
      <c r="Y1827" t="s">
        <v>90</v>
      </c>
      <c r="Z1827">
        <v>2013</v>
      </c>
    </row>
    <row r="1828" spans="1:26" x14ac:dyDescent="0.3">
      <c r="A1828" t="s">
        <v>399</v>
      </c>
      <c r="B1828" t="s">
        <v>76</v>
      </c>
      <c r="C1828">
        <v>31</v>
      </c>
      <c r="D1828">
        <v>17</v>
      </c>
      <c r="E1828" s="1">
        <f t="shared" si="28"/>
        <v>0.54838709677419351</v>
      </c>
      <c r="F1828">
        <v>103.2</v>
      </c>
      <c r="G1828">
        <v>104.1</v>
      </c>
      <c r="H1828">
        <v>0.47449999999999998</v>
      </c>
      <c r="I1828">
        <v>51.9</v>
      </c>
      <c r="J1828">
        <v>45.3</v>
      </c>
      <c r="K1828">
        <v>17.899999999999999</v>
      </c>
      <c r="L1828">
        <v>17.5</v>
      </c>
      <c r="M1828">
        <v>31.4</v>
      </c>
      <c r="N1828">
        <v>33</v>
      </c>
      <c r="O1828">
        <v>31.2</v>
      </c>
      <c r="P1828">
        <v>29.8</v>
      </c>
      <c r="Q1828">
        <v>50.7</v>
      </c>
      <c r="R1828">
        <v>44.5</v>
      </c>
      <c r="S1828">
        <v>35.6</v>
      </c>
      <c r="T1828">
        <v>31.7</v>
      </c>
      <c r="U1828">
        <v>64.3</v>
      </c>
      <c r="V1828">
        <v>-7.7</v>
      </c>
      <c r="W1828" cm="1">
        <f t="array" ref="W1828">_xlfn.IFS(OR(X1828="N/A",X1828="NA"),0,OR(X1828="R64",X1828="R68"),1,X1828="R32",2,X1828="S16",3,X1828="E8",4,X1828="F4",5,X1828="2ND",6,X1828="Champions",7)</f>
        <v>0</v>
      </c>
      <c r="X1828" t="s">
        <v>90</v>
      </c>
      <c r="Y1828" t="s">
        <v>90</v>
      </c>
      <c r="Z1828">
        <v>2013</v>
      </c>
    </row>
    <row r="1829" spans="1:26" x14ac:dyDescent="0.3">
      <c r="A1829" t="s">
        <v>192</v>
      </c>
      <c r="B1829" t="s">
        <v>48</v>
      </c>
      <c r="C1829">
        <v>31</v>
      </c>
      <c r="D1829">
        <v>17</v>
      </c>
      <c r="E1829" s="1">
        <f t="shared" si="28"/>
        <v>0.54838709677419351</v>
      </c>
      <c r="F1829">
        <v>102.7</v>
      </c>
      <c r="G1829">
        <v>104.2</v>
      </c>
      <c r="H1829">
        <v>0.45810000000000001</v>
      </c>
      <c r="I1829">
        <v>50.1</v>
      </c>
      <c r="J1829">
        <v>50.9</v>
      </c>
      <c r="K1829">
        <v>20.8</v>
      </c>
      <c r="L1829">
        <v>19.5</v>
      </c>
      <c r="M1829">
        <v>32.1</v>
      </c>
      <c r="N1829">
        <v>36.1</v>
      </c>
      <c r="O1829">
        <v>36.299999999999997</v>
      </c>
      <c r="P1829">
        <v>32.1</v>
      </c>
      <c r="Q1829">
        <v>49.7</v>
      </c>
      <c r="R1829">
        <v>47.5</v>
      </c>
      <c r="S1829">
        <v>34</v>
      </c>
      <c r="T1829">
        <v>38.200000000000003</v>
      </c>
      <c r="U1829">
        <v>67.3</v>
      </c>
      <c r="V1829">
        <v>-5.4</v>
      </c>
      <c r="W1829" cm="1">
        <f t="array" ref="W1829">_xlfn.IFS(OR(X1829="N/A",X1829="NA"),0,OR(X1829="R64",X1829="R68"),1,X1829="R32",2,X1829="S16",3,X1829="E8",4,X1829="F4",5,X1829="2ND",6,X1829="Champions",7)</f>
        <v>0</v>
      </c>
      <c r="X1829" t="s">
        <v>90</v>
      </c>
      <c r="Y1829" t="s">
        <v>90</v>
      </c>
      <c r="Z1829">
        <v>2013</v>
      </c>
    </row>
    <row r="1830" spans="1:26" x14ac:dyDescent="0.3">
      <c r="A1830" t="s">
        <v>113</v>
      </c>
      <c r="B1830" t="s">
        <v>112</v>
      </c>
      <c r="C1830">
        <v>31</v>
      </c>
      <c r="D1830">
        <v>17</v>
      </c>
      <c r="E1830" s="1">
        <f t="shared" si="28"/>
        <v>0.54838709677419351</v>
      </c>
      <c r="F1830">
        <v>91.8</v>
      </c>
      <c r="G1830">
        <v>97.3</v>
      </c>
      <c r="H1830">
        <v>0.33989999999999998</v>
      </c>
      <c r="I1830">
        <v>48.3</v>
      </c>
      <c r="J1830">
        <v>49.4</v>
      </c>
      <c r="K1830">
        <v>22.2</v>
      </c>
      <c r="L1830">
        <v>24.9</v>
      </c>
      <c r="M1830">
        <v>25.8</v>
      </c>
      <c r="N1830">
        <v>30.8</v>
      </c>
      <c r="O1830">
        <v>30.7</v>
      </c>
      <c r="P1830">
        <v>41.5</v>
      </c>
      <c r="Q1830">
        <v>46.9</v>
      </c>
      <c r="R1830">
        <v>48.5</v>
      </c>
      <c r="S1830">
        <v>33.4</v>
      </c>
      <c r="T1830">
        <v>34.200000000000003</v>
      </c>
      <c r="U1830">
        <v>64.2</v>
      </c>
      <c r="V1830">
        <v>-7.9</v>
      </c>
      <c r="W1830" cm="1">
        <f t="array" ref="W1830">_xlfn.IFS(OR(X1830="N/A",X1830="NA"),0,OR(X1830="R64",X1830="R68"),1,X1830="R32",2,X1830="S16",3,X1830="E8",4,X1830="F4",5,X1830="2ND",6,X1830="Champions",7)</f>
        <v>0</v>
      </c>
      <c r="X1830" t="s">
        <v>90</v>
      </c>
      <c r="Y1830" t="s">
        <v>90</v>
      </c>
      <c r="Z1830">
        <v>2013</v>
      </c>
    </row>
    <row r="1831" spans="1:26" x14ac:dyDescent="0.3">
      <c r="A1831" t="s">
        <v>279</v>
      </c>
      <c r="B1831" t="s">
        <v>47</v>
      </c>
      <c r="C1831">
        <v>32</v>
      </c>
      <c r="D1831">
        <v>17</v>
      </c>
      <c r="E1831" s="1">
        <f t="shared" si="28"/>
        <v>0.53125</v>
      </c>
      <c r="F1831">
        <v>100.5</v>
      </c>
      <c r="G1831">
        <v>94.7</v>
      </c>
      <c r="H1831">
        <v>0.6633</v>
      </c>
      <c r="I1831">
        <v>48.2</v>
      </c>
      <c r="J1831">
        <v>46.5</v>
      </c>
      <c r="K1831">
        <v>19.600000000000001</v>
      </c>
      <c r="L1831">
        <v>18.2</v>
      </c>
      <c r="M1831">
        <v>26.6</v>
      </c>
      <c r="N1831">
        <v>29.8</v>
      </c>
      <c r="O1831">
        <v>42.1</v>
      </c>
      <c r="P1831">
        <v>38.700000000000003</v>
      </c>
      <c r="Q1831">
        <v>48.4</v>
      </c>
      <c r="R1831">
        <v>45.6</v>
      </c>
      <c r="S1831">
        <v>32</v>
      </c>
      <c r="T1831">
        <v>32.4</v>
      </c>
      <c r="U1831">
        <v>65.3</v>
      </c>
      <c r="V1831">
        <v>-3.5</v>
      </c>
      <c r="W1831" cm="1">
        <f t="array" ref="W1831">_xlfn.IFS(OR(X1831="N/A",X1831="NA"),0,OR(X1831="R64",X1831="R68"),1,X1831="R32",2,X1831="S16",3,X1831="E8",4,X1831="F4",5,X1831="2ND",6,X1831="Champions",7)</f>
        <v>0</v>
      </c>
      <c r="X1831" t="s">
        <v>90</v>
      </c>
      <c r="Y1831" t="s">
        <v>90</v>
      </c>
      <c r="Z1831">
        <v>2013</v>
      </c>
    </row>
    <row r="1832" spans="1:26" x14ac:dyDescent="0.3">
      <c r="A1832" t="s">
        <v>269</v>
      </c>
      <c r="B1832" t="s">
        <v>66</v>
      </c>
      <c r="C1832">
        <v>32</v>
      </c>
      <c r="D1832">
        <v>17</v>
      </c>
      <c r="E1832" s="1">
        <f t="shared" si="28"/>
        <v>0.53125</v>
      </c>
      <c r="F1832">
        <v>97.5</v>
      </c>
      <c r="G1832">
        <v>101.3</v>
      </c>
      <c r="H1832">
        <v>0.39029999999999998</v>
      </c>
      <c r="I1832">
        <v>48.3</v>
      </c>
      <c r="J1832">
        <v>45.3</v>
      </c>
      <c r="K1832">
        <v>22.3</v>
      </c>
      <c r="L1832">
        <v>21.8</v>
      </c>
      <c r="M1832">
        <v>38</v>
      </c>
      <c r="N1832">
        <v>35.6</v>
      </c>
      <c r="O1832">
        <v>39.200000000000003</v>
      </c>
      <c r="P1832">
        <v>38.200000000000003</v>
      </c>
      <c r="Q1832">
        <v>49.8</v>
      </c>
      <c r="R1832">
        <v>45.1</v>
      </c>
      <c r="S1832">
        <v>29.2</v>
      </c>
      <c r="T1832">
        <v>30.6</v>
      </c>
      <c r="U1832">
        <v>67.5</v>
      </c>
      <c r="V1832">
        <v>-11</v>
      </c>
      <c r="W1832" cm="1">
        <f t="array" ref="W1832">_xlfn.IFS(OR(X1832="N/A",X1832="NA"),0,OR(X1832="R64",X1832="R68"),1,X1832="R32",2,X1832="S16",3,X1832="E8",4,X1832="F4",5,X1832="2ND",6,X1832="Champions",7)</f>
        <v>0</v>
      </c>
      <c r="X1832" t="s">
        <v>90</v>
      </c>
      <c r="Y1832" t="s">
        <v>90</v>
      </c>
      <c r="Z1832">
        <v>2013</v>
      </c>
    </row>
    <row r="1833" spans="1:26" x14ac:dyDescent="0.3">
      <c r="A1833" t="s">
        <v>273</v>
      </c>
      <c r="B1833" t="s">
        <v>66</v>
      </c>
      <c r="C1833">
        <v>32</v>
      </c>
      <c r="D1833">
        <v>17</v>
      </c>
      <c r="E1833" s="1">
        <f t="shared" si="28"/>
        <v>0.53125</v>
      </c>
      <c r="F1833">
        <v>86.1</v>
      </c>
      <c r="G1833">
        <v>90.7</v>
      </c>
      <c r="H1833">
        <v>0.35470000000000002</v>
      </c>
      <c r="I1833">
        <v>44.9</v>
      </c>
      <c r="J1833">
        <v>43.5</v>
      </c>
      <c r="K1833">
        <v>27.1</v>
      </c>
      <c r="L1833">
        <v>26</v>
      </c>
      <c r="M1833">
        <v>34.4</v>
      </c>
      <c r="N1833">
        <v>32.5</v>
      </c>
      <c r="O1833">
        <v>35.299999999999997</v>
      </c>
      <c r="P1833">
        <v>45.3</v>
      </c>
      <c r="Q1833">
        <v>45.3</v>
      </c>
      <c r="R1833">
        <v>43.6</v>
      </c>
      <c r="S1833">
        <v>29</v>
      </c>
      <c r="T1833">
        <v>28.8</v>
      </c>
      <c r="U1833">
        <v>63.2</v>
      </c>
      <c r="V1833">
        <v>-8.1</v>
      </c>
      <c r="W1833" cm="1">
        <f t="array" ref="W1833">_xlfn.IFS(OR(X1833="N/A",X1833="NA"),0,OR(X1833="R64",X1833="R68"),1,X1833="R32",2,X1833="S16",3,X1833="E8",4,X1833="F4",5,X1833="2ND",6,X1833="Champions",7)</f>
        <v>0</v>
      </c>
      <c r="X1833" t="s">
        <v>90</v>
      </c>
      <c r="Y1833" t="s">
        <v>90</v>
      </c>
      <c r="Z1833">
        <v>2013</v>
      </c>
    </row>
    <row r="1834" spans="1:26" x14ac:dyDescent="0.3">
      <c r="A1834" t="s">
        <v>160</v>
      </c>
      <c r="B1834" t="s">
        <v>33</v>
      </c>
      <c r="C1834">
        <v>33</v>
      </c>
      <c r="D1834">
        <v>17</v>
      </c>
      <c r="E1834" s="1">
        <f t="shared" si="28"/>
        <v>0.51515151515151514</v>
      </c>
      <c r="F1834">
        <v>99.4</v>
      </c>
      <c r="G1834">
        <v>91.5</v>
      </c>
      <c r="H1834">
        <v>0.72050000000000003</v>
      </c>
      <c r="I1834">
        <v>44.5</v>
      </c>
      <c r="J1834">
        <v>45.6</v>
      </c>
      <c r="K1834">
        <v>16.7</v>
      </c>
      <c r="L1834">
        <v>20.2</v>
      </c>
      <c r="M1834">
        <v>30.5</v>
      </c>
      <c r="N1834">
        <v>35.1</v>
      </c>
      <c r="O1834">
        <v>28.9</v>
      </c>
      <c r="P1834">
        <v>28.9</v>
      </c>
      <c r="Q1834">
        <v>45.6</v>
      </c>
      <c r="R1834">
        <v>43.6</v>
      </c>
      <c r="S1834">
        <v>27.1</v>
      </c>
      <c r="T1834">
        <v>33.1</v>
      </c>
      <c r="U1834">
        <v>67.599999999999994</v>
      </c>
      <c r="V1834">
        <v>-3.5</v>
      </c>
      <c r="W1834" cm="1">
        <f t="array" ref="W1834">_xlfn.IFS(OR(X1834="N/A",X1834="NA"),0,OR(X1834="R64",X1834="R68"),1,X1834="R32",2,X1834="S16",3,X1834="E8",4,X1834="F4",5,X1834="2ND",6,X1834="Champions",7)</f>
        <v>0</v>
      </c>
      <c r="X1834" t="s">
        <v>90</v>
      </c>
      <c r="Y1834" t="s">
        <v>90</v>
      </c>
      <c r="Z1834">
        <v>2013</v>
      </c>
    </row>
    <row r="1835" spans="1:26" x14ac:dyDescent="0.3">
      <c r="A1835" t="s">
        <v>223</v>
      </c>
      <c r="B1835" t="s">
        <v>43</v>
      </c>
      <c r="C1835">
        <v>33</v>
      </c>
      <c r="D1835">
        <v>17</v>
      </c>
      <c r="E1835" s="1">
        <f t="shared" si="28"/>
        <v>0.51515151515151514</v>
      </c>
      <c r="F1835">
        <v>101.5</v>
      </c>
      <c r="G1835">
        <v>98.8</v>
      </c>
      <c r="H1835">
        <v>0.57709999999999995</v>
      </c>
      <c r="I1835">
        <v>47.9</v>
      </c>
      <c r="J1835">
        <v>47.7</v>
      </c>
      <c r="K1835">
        <v>20.8</v>
      </c>
      <c r="L1835">
        <v>18</v>
      </c>
      <c r="M1835">
        <v>32.799999999999997</v>
      </c>
      <c r="N1835">
        <v>26.7</v>
      </c>
      <c r="O1835">
        <v>40.200000000000003</v>
      </c>
      <c r="P1835">
        <v>33.9</v>
      </c>
      <c r="Q1835">
        <v>47.3</v>
      </c>
      <c r="R1835">
        <v>45.8</v>
      </c>
      <c r="S1835">
        <v>33</v>
      </c>
      <c r="T1835">
        <v>34</v>
      </c>
      <c r="U1835">
        <v>64.3</v>
      </c>
      <c r="V1835">
        <v>-7.9</v>
      </c>
      <c r="W1835" cm="1">
        <f t="array" ref="W1835">_xlfn.IFS(OR(X1835="N/A",X1835="NA"),0,OR(X1835="R64",X1835="R68"),1,X1835="R32",2,X1835="S16",3,X1835="E8",4,X1835="F4",5,X1835="2ND",6,X1835="Champions",7)</f>
        <v>0</v>
      </c>
      <c r="X1835" t="s">
        <v>90</v>
      </c>
      <c r="Y1835" t="s">
        <v>90</v>
      </c>
      <c r="Z1835">
        <v>2013</v>
      </c>
    </row>
    <row r="1836" spans="1:26" x14ac:dyDescent="0.3">
      <c r="A1836" t="s">
        <v>224</v>
      </c>
      <c r="B1836" t="s">
        <v>43</v>
      </c>
      <c r="C1836">
        <v>33</v>
      </c>
      <c r="D1836">
        <v>17</v>
      </c>
      <c r="E1836" s="1">
        <f t="shared" si="28"/>
        <v>0.51515151515151514</v>
      </c>
      <c r="F1836">
        <v>96.2</v>
      </c>
      <c r="G1836">
        <v>98.7</v>
      </c>
      <c r="H1836">
        <v>0.42830000000000001</v>
      </c>
      <c r="I1836">
        <v>46</v>
      </c>
      <c r="J1836">
        <v>46.7</v>
      </c>
      <c r="K1836">
        <v>19.5</v>
      </c>
      <c r="L1836">
        <v>19.5</v>
      </c>
      <c r="M1836">
        <v>28.2</v>
      </c>
      <c r="N1836">
        <v>30.3</v>
      </c>
      <c r="O1836">
        <v>35.4</v>
      </c>
      <c r="P1836">
        <v>34.9</v>
      </c>
      <c r="Q1836">
        <v>43.5</v>
      </c>
      <c r="R1836">
        <v>44.7</v>
      </c>
      <c r="S1836">
        <v>33.5</v>
      </c>
      <c r="T1836">
        <v>33.700000000000003</v>
      </c>
      <c r="U1836">
        <v>64.599999999999994</v>
      </c>
      <c r="V1836">
        <v>-8.9</v>
      </c>
      <c r="W1836" cm="1">
        <f t="array" ref="W1836">_xlfn.IFS(OR(X1836="N/A",X1836="NA"),0,OR(X1836="R64",X1836="R68"),1,X1836="R32",2,X1836="S16",3,X1836="E8",4,X1836="F4",5,X1836="2ND",6,X1836="Champions",7)</f>
        <v>0</v>
      </c>
      <c r="X1836" t="s">
        <v>90</v>
      </c>
      <c r="Y1836" t="s">
        <v>90</v>
      </c>
      <c r="Z1836">
        <v>2013</v>
      </c>
    </row>
    <row r="1837" spans="1:26" x14ac:dyDescent="0.3">
      <c r="A1837" t="s">
        <v>338</v>
      </c>
      <c r="B1837" t="s">
        <v>58</v>
      </c>
      <c r="C1837">
        <v>30</v>
      </c>
      <c r="D1837">
        <v>18</v>
      </c>
      <c r="E1837" s="1">
        <f t="shared" si="28"/>
        <v>0.6</v>
      </c>
      <c r="F1837">
        <v>96.8</v>
      </c>
      <c r="G1837">
        <v>95.8</v>
      </c>
      <c r="H1837">
        <v>0.53120000000000001</v>
      </c>
      <c r="I1837">
        <v>45.7</v>
      </c>
      <c r="J1837">
        <v>46.7</v>
      </c>
      <c r="K1837">
        <v>18.899999999999999</v>
      </c>
      <c r="L1837">
        <v>23.1</v>
      </c>
      <c r="M1837">
        <v>33.5</v>
      </c>
      <c r="N1837">
        <v>30.3</v>
      </c>
      <c r="O1837">
        <v>44.2</v>
      </c>
      <c r="P1837">
        <v>35.700000000000003</v>
      </c>
      <c r="Q1837">
        <v>45.6</v>
      </c>
      <c r="R1837">
        <v>45</v>
      </c>
      <c r="S1837">
        <v>30.7</v>
      </c>
      <c r="T1837">
        <v>33.5</v>
      </c>
      <c r="U1837">
        <v>65.5</v>
      </c>
      <c r="V1837">
        <v>-7.8</v>
      </c>
      <c r="W1837" cm="1">
        <f t="array" ref="W1837">_xlfn.IFS(OR(X1837="N/A",X1837="NA"),0,OR(X1837="R64",X1837="R68"),1,X1837="R32",2,X1837="S16",3,X1837="E8",4,X1837="F4",5,X1837="2ND",6,X1837="Champions",7)</f>
        <v>0</v>
      </c>
      <c r="X1837" t="s">
        <v>90</v>
      </c>
      <c r="Y1837" t="s">
        <v>90</v>
      </c>
      <c r="Z1837">
        <v>2013</v>
      </c>
    </row>
    <row r="1838" spans="1:26" x14ac:dyDescent="0.3">
      <c r="A1838" t="s">
        <v>222</v>
      </c>
      <c r="B1838" t="s">
        <v>43</v>
      </c>
      <c r="C1838">
        <v>31</v>
      </c>
      <c r="D1838">
        <v>18</v>
      </c>
      <c r="E1838" s="1">
        <f t="shared" si="28"/>
        <v>0.58064516129032262</v>
      </c>
      <c r="F1838">
        <v>111</v>
      </c>
      <c r="G1838">
        <v>102.5</v>
      </c>
      <c r="H1838">
        <v>0.71430000000000005</v>
      </c>
      <c r="I1838">
        <v>50.8</v>
      </c>
      <c r="J1838">
        <v>53.2</v>
      </c>
      <c r="K1838">
        <v>15.5</v>
      </c>
      <c r="L1838">
        <v>22.9</v>
      </c>
      <c r="M1838">
        <v>31.8</v>
      </c>
      <c r="N1838">
        <v>31.2</v>
      </c>
      <c r="O1838">
        <v>35.799999999999997</v>
      </c>
      <c r="P1838">
        <v>35.6</v>
      </c>
      <c r="Q1838">
        <v>51.1</v>
      </c>
      <c r="R1838">
        <v>52.2</v>
      </c>
      <c r="S1838">
        <v>33.5</v>
      </c>
      <c r="T1838">
        <v>36.700000000000003</v>
      </c>
      <c r="U1838">
        <v>70.400000000000006</v>
      </c>
      <c r="V1838">
        <v>-3.8</v>
      </c>
      <c r="W1838" cm="1">
        <f t="array" ref="W1838">_xlfn.IFS(OR(X1838="N/A",X1838="NA"),0,OR(X1838="R64",X1838="R68"),1,X1838="R32",2,X1838="S16",3,X1838="E8",4,X1838="F4",5,X1838="2ND",6,X1838="Champions",7)</f>
        <v>0</v>
      </c>
      <c r="X1838" t="s">
        <v>90</v>
      </c>
      <c r="Y1838" t="s">
        <v>90</v>
      </c>
      <c r="Z1838">
        <v>2013</v>
      </c>
    </row>
    <row r="1839" spans="1:26" x14ac:dyDescent="0.3">
      <c r="A1839" t="s">
        <v>178</v>
      </c>
      <c r="B1839" t="s">
        <v>74</v>
      </c>
      <c r="C1839">
        <v>31</v>
      </c>
      <c r="D1839">
        <v>18</v>
      </c>
      <c r="E1839" s="1">
        <f t="shared" si="28"/>
        <v>0.58064516129032262</v>
      </c>
      <c r="F1839">
        <v>95.8</v>
      </c>
      <c r="G1839">
        <v>99</v>
      </c>
      <c r="H1839">
        <v>0.40689999999999998</v>
      </c>
      <c r="I1839">
        <v>46.8</v>
      </c>
      <c r="J1839">
        <v>48.3</v>
      </c>
      <c r="K1839">
        <v>20.9</v>
      </c>
      <c r="L1839">
        <v>23.3</v>
      </c>
      <c r="M1839">
        <v>35.700000000000003</v>
      </c>
      <c r="N1839">
        <v>31.1</v>
      </c>
      <c r="O1839">
        <v>34.5</v>
      </c>
      <c r="P1839">
        <v>34.799999999999997</v>
      </c>
      <c r="Q1839">
        <v>45.9</v>
      </c>
      <c r="R1839">
        <v>47.8</v>
      </c>
      <c r="S1839">
        <v>32.5</v>
      </c>
      <c r="T1839">
        <v>33</v>
      </c>
      <c r="U1839">
        <v>63.2</v>
      </c>
      <c r="V1839">
        <v>-7.2</v>
      </c>
      <c r="W1839" cm="1">
        <f t="array" ref="W1839">_xlfn.IFS(OR(X1839="N/A",X1839="NA"),0,OR(X1839="R64",X1839="R68"),1,X1839="R32",2,X1839="S16",3,X1839="E8",4,X1839="F4",5,X1839="2ND",6,X1839="Champions",7)</f>
        <v>0</v>
      </c>
      <c r="X1839" t="s">
        <v>90</v>
      </c>
      <c r="Y1839" t="s">
        <v>90</v>
      </c>
      <c r="Z1839">
        <v>2013</v>
      </c>
    </row>
    <row r="1840" spans="1:26" x14ac:dyDescent="0.3">
      <c r="A1840" t="s">
        <v>98</v>
      </c>
      <c r="B1840" t="s">
        <v>45</v>
      </c>
      <c r="C1840">
        <v>32</v>
      </c>
      <c r="D1840">
        <v>18</v>
      </c>
      <c r="E1840" s="1">
        <f t="shared" si="28"/>
        <v>0.5625</v>
      </c>
      <c r="F1840">
        <v>107.4</v>
      </c>
      <c r="G1840">
        <v>96.8</v>
      </c>
      <c r="H1840">
        <v>0.7681</v>
      </c>
      <c r="I1840">
        <v>50.6</v>
      </c>
      <c r="J1840">
        <v>46.1</v>
      </c>
      <c r="K1840">
        <v>18.7</v>
      </c>
      <c r="L1840">
        <v>16.2</v>
      </c>
      <c r="M1840">
        <v>31.7</v>
      </c>
      <c r="N1840">
        <v>33.200000000000003</v>
      </c>
      <c r="O1840">
        <v>36.200000000000003</v>
      </c>
      <c r="P1840">
        <v>23.8</v>
      </c>
      <c r="Q1840">
        <v>50</v>
      </c>
      <c r="R1840">
        <v>45.6</v>
      </c>
      <c r="S1840">
        <v>34.200000000000003</v>
      </c>
      <c r="T1840">
        <v>31.4</v>
      </c>
      <c r="U1840">
        <v>63</v>
      </c>
      <c r="V1840">
        <v>-3.3</v>
      </c>
      <c r="W1840" cm="1">
        <f t="array" ref="W1840">_xlfn.IFS(OR(X1840="N/A",X1840="NA"),0,OR(X1840="R64",X1840="R68"),1,X1840="R32",2,X1840="S16",3,X1840="E8",4,X1840="F4",5,X1840="2ND",6,X1840="Champions",7)</f>
        <v>0</v>
      </c>
      <c r="X1840" t="s">
        <v>90</v>
      </c>
      <c r="Y1840" t="s">
        <v>90</v>
      </c>
      <c r="Z1840">
        <v>2013</v>
      </c>
    </row>
    <row r="1841" spans="1:26" x14ac:dyDescent="0.3">
      <c r="A1841" t="s">
        <v>217</v>
      </c>
      <c r="B1841" t="s">
        <v>40</v>
      </c>
      <c r="C1841">
        <v>32</v>
      </c>
      <c r="D1841">
        <v>18</v>
      </c>
      <c r="E1841" s="1">
        <f t="shared" si="28"/>
        <v>0.5625</v>
      </c>
      <c r="F1841">
        <v>102.1</v>
      </c>
      <c r="G1841">
        <v>96.6</v>
      </c>
      <c r="H1841">
        <v>0.65449999999999997</v>
      </c>
      <c r="I1841">
        <v>50.6</v>
      </c>
      <c r="J1841">
        <v>46.6</v>
      </c>
      <c r="K1841">
        <v>19.7</v>
      </c>
      <c r="L1841">
        <v>19.7</v>
      </c>
      <c r="M1841">
        <v>28</v>
      </c>
      <c r="N1841">
        <v>33</v>
      </c>
      <c r="O1841">
        <v>42.6</v>
      </c>
      <c r="P1841">
        <v>34.799999999999997</v>
      </c>
      <c r="Q1841">
        <v>49.6</v>
      </c>
      <c r="R1841">
        <v>44.9</v>
      </c>
      <c r="S1841">
        <v>35.1</v>
      </c>
      <c r="T1841">
        <v>34</v>
      </c>
      <c r="U1841">
        <v>61.4</v>
      </c>
      <c r="V1841">
        <v>-5.8</v>
      </c>
      <c r="W1841" cm="1">
        <f t="array" ref="W1841">_xlfn.IFS(OR(X1841="N/A",X1841="NA"),0,OR(X1841="R64",X1841="R68"),1,X1841="R32",2,X1841="S16",3,X1841="E8",4,X1841="F4",5,X1841="2ND",6,X1841="Champions",7)</f>
        <v>0</v>
      </c>
      <c r="X1841" t="s">
        <v>90</v>
      </c>
      <c r="Y1841" t="s">
        <v>90</v>
      </c>
      <c r="Z1841">
        <v>2013</v>
      </c>
    </row>
    <row r="1842" spans="1:26" x14ac:dyDescent="0.3">
      <c r="A1842" t="s">
        <v>293</v>
      </c>
      <c r="B1842" t="s">
        <v>55</v>
      </c>
      <c r="C1842">
        <v>32</v>
      </c>
      <c r="D1842">
        <v>18</v>
      </c>
      <c r="E1842" s="1">
        <f t="shared" si="28"/>
        <v>0.5625</v>
      </c>
      <c r="F1842">
        <v>99.7</v>
      </c>
      <c r="G1842">
        <v>95.8</v>
      </c>
      <c r="H1842">
        <v>0.61209999999999998</v>
      </c>
      <c r="I1842">
        <v>49.5</v>
      </c>
      <c r="J1842">
        <v>48.2</v>
      </c>
      <c r="K1842">
        <v>18.7</v>
      </c>
      <c r="L1842">
        <v>21.4</v>
      </c>
      <c r="M1842">
        <v>23.7</v>
      </c>
      <c r="N1842">
        <v>31.4</v>
      </c>
      <c r="O1842">
        <v>39.799999999999997</v>
      </c>
      <c r="P1842">
        <v>33</v>
      </c>
      <c r="Q1842">
        <v>50.8</v>
      </c>
      <c r="R1842">
        <v>48.2</v>
      </c>
      <c r="S1842">
        <v>31.8</v>
      </c>
      <c r="T1842">
        <v>32.299999999999997</v>
      </c>
      <c r="U1842">
        <v>61.1</v>
      </c>
      <c r="V1842">
        <v>-3.4</v>
      </c>
      <c r="W1842" cm="1">
        <f t="array" ref="W1842">_xlfn.IFS(OR(X1842="N/A",X1842="NA"),0,OR(X1842="R64",X1842="R68"),1,X1842="R32",2,X1842="S16",3,X1842="E8",4,X1842="F4",5,X1842="2ND",6,X1842="Champions",7)</f>
        <v>0</v>
      </c>
      <c r="X1842" t="s">
        <v>90</v>
      </c>
      <c r="Y1842" t="s">
        <v>90</v>
      </c>
      <c r="Z1842">
        <v>2013</v>
      </c>
    </row>
    <row r="1843" spans="1:26" x14ac:dyDescent="0.3">
      <c r="A1843" t="s">
        <v>208</v>
      </c>
      <c r="B1843" t="s">
        <v>58</v>
      </c>
      <c r="C1843">
        <v>32</v>
      </c>
      <c r="D1843">
        <v>18</v>
      </c>
      <c r="E1843" s="1">
        <f t="shared" si="28"/>
        <v>0.5625</v>
      </c>
      <c r="F1843">
        <v>98.9</v>
      </c>
      <c r="G1843">
        <v>101.8</v>
      </c>
      <c r="H1843">
        <v>0.4153</v>
      </c>
      <c r="I1843">
        <v>48.9</v>
      </c>
      <c r="J1843">
        <v>51.1</v>
      </c>
      <c r="K1843">
        <v>21.7</v>
      </c>
      <c r="L1843">
        <v>25.6</v>
      </c>
      <c r="M1843">
        <v>31.3</v>
      </c>
      <c r="N1843">
        <v>36</v>
      </c>
      <c r="O1843">
        <v>35.799999999999997</v>
      </c>
      <c r="P1843">
        <v>37.1</v>
      </c>
      <c r="Q1843">
        <v>48.3</v>
      </c>
      <c r="R1843">
        <v>52.5</v>
      </c>
      <c r="S1843">
        <v>33.299999999999997</v>
      </c>
      <c r="T1843">
        <v>32.299999999999997</v>
      </c>
      <c r="U1843">
        <v>69.3</v>
      </c>
      <c r="V1843">
        <v>-7.9</v>
      </c>
      <c r="W1843" cm="1">
        <f t="array" ref="W1843">_xlfn.IFS(OR(X1843="N/A",X1843="NA"),0,OR(X1843="R64",X1843="R68"),1,X1843="R32",2,X1843="S16",3,X1843="E8",4,X1843="F4",5,X1843="2ND",6,X1843="Champions",7)</f>
        <v>0</v>
      </c>
      <c r="X1843" t="s">
        <v>90</v>
      </c>
      <c r="Y1843" t="s">
        <v>90</v>
      </c>
      <c r="Z1843">
        <v>2013</v>
      </c>
    </row>
    <row r="1844" spans="1:26" x14ac:dyDescent="0.3">
      <c r="A1844" t="s">
        <v>298</v>
      </c>
      <c r="B1844" t="s">
        <v>77</v>
      </c>
      <c r="C1844">
        <v>32</v>
      </c>
      <c r="D1844">
        <v>18</v>
      </c>
      <c r="E1844" s="1">
        <f t="shared" si="28"/>
        <v>0.5625</v>
      </c>
      <c r="F1844">
        <v>100.9</v>
      </c>
      <c r="G1844">
        <v>104.6</v>
      </c>
      <c r="H1844">
        <v>0.39829999999999999</v>
      </c>
      <c r="I1844">
        <v>50.5</v>
      </c>
      <c r="J1844">
        <v>55.7</v>
      </c>
      <c r="K1844">
        <v>18.3</v>
      </c>
      <c r="L1844">
        <v>23.9</v>
      </c>
      <c r="M1844">
        <v>28.6</v>
      </c>
      <c r="N1844">
        <v>33.9</v>
      </c>
      <c r="O1844">
        <v>31.9</v>
      </c>
      <c r="P1844">
        <v>38.200000000000003</v>
      </c>
      <c r="Q1844">
        <v>50.3</v>
      </c>
      <c r="R1844">
        <v>54.8</v>
      </c>
      <c r="S1844">
        <v>33.799999999999997</v>
      </c>
      <c r="T1844">
        <v>39.1</v>
      </c>
      <c r="U1844">
        <v>67</v>
      </c>
      <c r="V1844">
        <v>-7.7</v>
      </c>
      <c r="W1844" cm="1">
        <f t="array" ref="W1844">_xlfn.IFS(OR(X1844="N/A",X1844="NA"),0,OR(X1844="R64",X1844="R68"),1,X1844="R32",2,X1844="S16",3,X1844="E8",4,X1844="F4",5,X1844="2ND",6,X1844="Champions",7)</f>
        <v>0</v>
      </c>
      <c r="X1844" t="s">
        <v>90</v>
      </c>
      <c r="Y1844" t="s">
        <v>90</v>
      </c>
      <c r="Z1844">
        <v>2013</v>
      </c>
    </row>
    <row r="1845" spans="1:26" x14ac:dyDescent="0.3">
      <c r="A1845" t="s">
        <v>278</v>
      </c>
      <c r="B1845" t="s">
        <v>47</v>
      </c>
      <c r="C1845">
        <v>33</v>
      </c>
      <c r="D1845">
        <v>18</v>
      </c>
      <c r="E1845" s="1">
        <f t="shared" si="28"/>
        <v>0.54545454545454541</v>
      </c>
      <c r="F1845">
        <v>108.3</v>
      </c>
      <c r="G1845">
        <v>96.3</v>
      </c>
      <c r="H1845">
        <v>0.79549999999999998</v>
      </c>
      <c r="I1845">
        <v>51.8</v>
      </c>
      <c r="J1845">
        <v>48.4</v>
      </c>
      <c r="K1845">
        <v>18.7</v>
      </c>
      <c r="L1845">
        <v>21</v>
      </c>
      <c r="M1845">
        <v>29.5</v>
      </c>
      <c r="N1845">
        <v>31.4</v>
      </c>
      <c r="O1845">
        <v>34.4</v>
      </c>
      <c r="P1845">
        <v>34</v>
      </c>
      <c r="Q1845">
        <v>51.7</v>
      </c>
      <c r="R1845">
        <v>47.3</v>
      </c>
      <c r="S1845">
        <v>34.700000000000003</v>
      </c>
      <c r="T1845">
        <v>33.4</v>
      </c>
      <c r="U1845">
        <v>70.400000000000006</v>
      </c>
      <c r="V1845">
        <v>-5.2</v>
      </c>
      <c r="W1845" cm="1">
        <f t="array" ref="W1845">_xlfn.IFS(OR(X1845="N/A",X1845="NA"),0,OR(X1845="R64",X1845="R68"),1,X1845="R32",2,X1845="S16",3,X1845="E8",4,X1845="F4",5,X1845="2ND",6,X1845="Champions",7)</f>
        <v>0</v>
      </c>
      <c r="X1845" t="s">
        <v>90</v>
      </c>
      <c r="Y1845" t="s">
        <v>90</v>
      </c>
      <c r="Z1845">
        <v>2013</v>
      </c>
    </row>
    <row r="1846" spans="1:26" x14ac:dyDescent="0.3">
      <c r="A1846" t="s">
        <v>362</v>
      </c>
      <c r="B1846" t="s">
        <v>29</v>
      </c>
      <c r="C1846">
        <v>33</v>
      </c>
      <c r="D1846">
        <v>18</v>
      </c>
      <c r="E1846" s="1">
        <f t="shared" si="28"/>
        <v>0.54545454545454541</v>
      </c>
      <c r="F1846">
        <v>103.1</v>
      </c>
      <c r="G1846">
        <v>97</v>
      </c>
      <c r="H1846">
        <v>0.66820000000000002</v>
      </c>
      <c r="I1846">
        <v>48.8</v>
      </c>
      <c r="J1846">
        <v>47.5</v>
      </c>
      <c r="K1846">
        <v>21</v>
      </c>
      <c r="L1846">
        <v>21.9</v>
      </c>
      <c r="M1846">
        <v>34.9</v>
      </c>
      <c r="N1846">
        <v>33.5</v>
      </c>
      <c r="O1846">
        <v>32.9</v>
      </c>
      <c r="P1846">
        <v>35.700000000000003</v>
      </c>
      <c r="Q1846">
        <v>47.1</v>
      </c>
      <c r="R1846">
        <v>46</v>
      </c>
      <c r="S1846">
        <v>35.6</v>
      </c>
      <c r="T1846">
        <v>33.5</v>
      </c>
      <c r="U1846">
        <v>61.2</v>
      </c>
      <c r="V1846">
        <v>-5.0999999999999996</v>
      </c>
      <c r="W1846" cm="1">
        <f t="array" ref="W1846">_xlfn.IFS(OR(X1846="N/A",X1846="NA"),0,OR(X1846="R64",X1846="R68"),1,X1846="R32",2,X1846="S16",3,X1846="E8",4,X1846="F4",5,X1846="2ND",6,X1846="Champions",7)</f>
        <v>0</v>
      </c>
      <c r="X1846" t="s">
        <v>90</v>
      </c>
      <c r="Y1846" t="s">
        <v>90</v>
      </c>
      <c r="Z1846">
        <v>2013</v>
      </c>
    </row>
    <row r="1847" spans="1:26" x14ac:dyDescent="0.3">
      <c r="A1847" t="s">
        <v>335</v>
      </c>
      <c r="B1847" t="s">
        <v>67</v>
      </c>
      <c r="C1847">
        <v>33</v>
      </c>
      <c r="D1847">
        <v>18</v>
      </c>
      <c r="E1847" s="1">
        <f t="shared" si="28"/>
        <v>0.54545454545454541</v>
      </c>
      <c r="F1847">
        <v>103.9</v>
      </c>
      <c r="G1847">
        <v>104.8</v>
      </c>
      <c r="H1847">
        <v>0.47670000000000001</v>
      </c>
      <c r="I1847">
        <v>52.7</v>
      </c>
      <c r="J1847">
        <v>52.3</v>
      </c>
      <c r="K1847">
        <v>18.7</v>
      </c>
      <c r="L1847">
        <v>20.6</v>
      </c>
      <c r="M1847">
        <v>25.1</v>
      </c>
      <c r="N1847">
        <v>32.6</v>
      </c>
      <c r="O1847">
        <v>28.2</v>
      </c>
      <c r="P1847">
        <v>31.5</v>
      </c>
      <c r="Q1847">
        <v>49.6</v>
      </c>
      <c r="R1847">
        <v>51.2</v>
      </c>
      <c r="S1847">
        <v>38.4</v>
      </c>
      <c r="T1847">
        <v>36.4</v>
      </c>
      <c r="U1847">
        <v>65.900000000000006</v>
      </c>
      <c r="V1847">
        <v>-8.3000000000000007</v>
      </c>
      <c r="W1847" cm="1">
        <f t="array" ref="W1847">_xlfn.IFS(OR(X1847="N/A",X1847="NA"),0,OR(X1847="R64",X1847="R68"),1,X1847="R32",2,X1847="S16",3,X1847="E8",4,X1847="F4",5,X1847="2ND",6,X1847="Champions",7)</f>
        <v>0</v>
      </c>
      <c r="X1847" t="s">
        <v>90</v>
      </c>
      <c r="Y1847" t="s">
        <v>90</v>
      </c>
      <c r="Z1847">
        <v>2013</v>
      </c>
    </row>
    <row r="1848" spans="1:26" x14ac:dyDescent="0.3">
      <c r="A1848" t="s">
        <v>322</v>
      </c>
      <c r="B1848" t="s">
        <v>38</v>
      </c>
      <c r="C1848">
        <v>34</v>
      </c>
      <c r="D1848">
        <v>18</v>
      </c>
      <c r="E1848" s="1">
        <f t="shared" si="28"/>
        <v>0.52941176470588236</v>
      </c>
      <c r="F1848">
        <v>106.5</v>
      </c>
      <c r="G1848">
        <v>96.2</v>
      </c>
      <c r="H1848">
        <v>0.76239999999999997</v>
      </c>
      <c r="I1848">
        <v>48.2</v>
      </c>
      <c r="J1848">
        <v>48.2</v>
      </c>
      <c r="K1848">
        <v>19.8</v>
      </c>
      <c r="L1848">
        <v>18.399999999999999</v>
      </c>
      <c r="M1848">
        <v>37.299999999999997</v>
      </c>
      <c r="N1848">
        <v>31.3</v>
      </c>
      <c r="O1848">
        <v>33.799999999999997</v>
      </c>
      <c r="P1848">
        <v>32.299999999999997</v>
      </c>
      <c r="Q1848">
        <v>47</v>
      </c>
      <c r="R1848">
        <v>47</v>
      </c>
      <c r="S1848">
        <v>34.299999999999997</v>
      </c>
      <c r="T1848">
        <v>34.200000000000003</v>
      </c>
      <c r="U1848">
        <v>65.7</v>
      </c>
      <c r="V1848">
        <v>-3</v>
      </c>
      <c r="W1848" cm="1">
        <f t="array" ref="W1848">_xlfn.IFS(OR(X1848="N/A",X1848="NA"),0,OR(X1848="R64",X1848="R68"),1,X1848="R32",2,X1848="S16",3,X1848="E8",4,X1848="F4",5,X1848="2ND",6,X1848="Champions",7)</f>
        <v>0</v>
      </c>
      <c r="X1848" t="s">
        <v>90</v>
      </c>
      <c r="Y1848" t="s">
        <v>90</v>
      </c>
      <c r="Z1848">
        <v>2013</v>
      </c>
    </row>
    <row r="1849" spans="1:26" x14ac:dyDescent="0.3">
      <c r="A1849" t="s">
        <v>60</v>
      </c>
      <c r="B1849" t="s">
        <v>26</v>
      </c>
      <c r="C1849">
        <v>34</v>
      </c>
      <c r="D1849">
        <v>18</v>
      </c>
      <c r="E1849" s="1">
        <f t="shared" si="28"/>
        <v>0.52941176470588236</v>
      </c>
      <c r="F1849">
        <v>105.4</v>
      </c>
      <c r="G1849">
        <v>100.4</v>
      </c>
      <c r="H1849">
        <v>0.6341</v>
      </c>
      <c r="I1849">
        <v>49.9</v>
      </c>
      <c r="J1849">
        <v>49.7</v>
      </c>
      <c r="K1849">
        <v>22</v>
      </c>
      <c r="L1849">
        <v>20.6</v>
      </c>
      <c r="M1849">
        <v>30.9</v>
      </c>
      <c r="N1849">
        <v>36.6</v>
      </c>
      <c r="O1849">
        <v>40.4</v>
      </c>
      <c r="P1849">
        <v>34.799999999999997</v>
      </c>
      <c r="Q1849">
        <v>48.9</v>
      </c>
      <c r="R1849">
        <v>47.1</v>
      </c>
      <c r="S1849">
        <v>34.799999999999997</v>
      </c>
      <c r="T1849">
        <v>36.799999999999997</v>
      </c>
      <c r="U1849">
        <v>66</v>
      </c>
      <c r="V1849">
        <v>-3</v>
      </c>
      <c r="W1849" cm="1">
        <f t="array" ref="W1849">_xlfn.IFS(OR(X1849="N/A",X1849="NA"),0,OR(X1849="R64",X1849="R68"),1,X1849="R32",2,X1849="S16",3,X1849="E8",4,X1849="F4",5,X1849="2ND",6,X1849="Champions",7)</f>
        <v>0</v>
      </c>
      <c r="X1849" t="s">
        <v>90</v>
      </c>
      <c r="Y1849" t="s">
        <v>90</v>
      </c>
      <c r="Z1849">
        <v>2013</v>
      </c>
    </row>
    <row r="1850" spans="1:26" x14ac:dyDescent="0.3">
      <c r="A1850" t="s">
        <v>275</v>
      </c>
      <c r="B1850" t="s">
        <v>47</v>
      </c>
      <c r="C1850">
        <v>35</v>
      </c>
      <c r="D1850">
        <v>18</v>
      </c>
      <c r="E1850" s="1">
        <f t="shared" si="28"/>
        <v>0.51428571428571423</v>
      </c>
      <c r="F1850">
        <v>102.8</v>
      </c>
      <c r="G1850">
        <v>101.9</v>
      </c>
      <c r="H1850">
        <v>0.52439999999999998</v>
      </c>
      <c r="I1850">
        <v>48.3</v>
      </c>
      <c r="J1850">
        <v>51</v>
      </c>
      <c r="K1850">
        <v>17.8</v>
      </c>
      <c r="L1850">
        <v>21.7</v>
      </c>
      <c r="M1850">
        <v>30.3</v>
      </c>
      <c r="N1850">
        <v>31.7</v>
      </c>
      <c r="O1850">
        <v>29.9</v>
      </c>
      <c r="P1850">
        <v>35.299999999999997</v>
      </c>
      <c r="Q1850">
        <v>48.5</v>
      </c>
      <c r="R1850">
        <v>49.7</v>
      </c>
      <c r="S1850">
        <v>31.9</v>
      </c>
      <c r="T1850">
        <v>35.4</v>
      </c>
      <c r="U1850">
        <v>66.900000000000006</v>
      </c>
      <c r="V1850">
        <v>-7.5</v>
      </c>
      <c r="W1850" cm="1">
        <f t="array" ref="W1850">_xlfn.IFS(OR(X1850="N/A",X1850="NA"),0,OR(X1850="R64",X1850="R68"),1,X1850="R32",2,X1850="S16",3,X1850="E8",4,X1850="F4",5,X1850="2ND",6,X1850="Champions",7)</f>
        <v>0</v>
      </c>
      <c r="X1850" t="s">
        <v>90</v>
      </c>
      <c r="Y1850" t="s">
        <v>90</v>
      </c>
      <c r="Z1850">
        <v>2013</v>
      </c>
    </row>
    <row r="1851" spans="1:26" x14ac:dyDescent="0.3">
      <c r="A1851" t="s">
        <v>320</v>
      </c>
      <c r="B1851" t="s">
        <v>38</v>
      </c>
      <c r="C1851">
        <v>34</v>
      </c>
      <c r="D1851">
        <v>19</v>
      </c>
      <c r="E1851" s="1">
        <f t="shared" si="28"/>
        <v>0.55882352941176472</v>
      </c>
      <c r="F1851">
        <v>109.1</v>
      </c>
      <c r="G1851">
        <v>94.1</v>
      </c>
      <c r="H1851">
        <v>0.8448</v>
      </c>
      <c r="I1851">
        <v>47.5</v>
      </c>
      <c r="J1851">
        <v>46.8</v>
      </c>
      <c r="K1851">
        <v>17.3</v>
      </c>
      <c r="L1851">
        <v>19.2</v>
      </c>
      <c r="M1851">
        <v>32.1</v>
      </c>
      <c r="N1851">
        <v>28.5</v>
      </c>
      <c r="O1851">
        <v>33.4</v>
      </c>
      <c r="P1851">
        <v>33.700000000000003</v>
      </c>
      <c r="Q1851">
        <v>44.3</v>
      </c>
      <c r="R1851">
        <v>45.7</v>
      </c>
      <c r="S1851">
        <v>35.9</v>
      </c>
      <c r="T1851">
        <v>33.299999999999997</v>
      </c>
      <c r="U1851">
        <v>68.2</v>
      </c>
      <c r="V1851">
        <v>-2.2000000000000002</v>
      </c>
      <c r="W1851" cm="1">
        <f t="array" ref="W1851">_xlfn.IFS(OR(X1851="N/A",X1851="NA"),0,OR(X1851="R64",X1851="R68"),1,X1851="R32",2,X1851="S16",3,X1851="E8",4,X1851="F4",5,X1851="2ND",6,X1851="Champions",7)</f>
        <v>0</v>
      </c>
      <c r="X1851" t="s">
        <v>90</v>
      </c>
      <c r="Y1851" t="s">
        <v>90</v>
      </c>
      <c r="Z1851">
        <v>2013</v>
      </c>
    </row>
    <row r="1852" spans="1:26" x14ac:dyDescent="0.3">
      <c r="A1852" t="s">
        <v>272</v>
      </c>
      <c r="B1852" t="s">
        <v>66</v>
      </c>
      <c r="C1852">
        <v>28</v>
      </c>
      <c r="D1852">
        <v>19</v>
      </c>
      <c r="E1852" s="1">
        <f t="shared" si="28"/>
        <v>0.6785714285714286</v>
      </c>
      <c r="F1852">
        <v>96.3</v>
      </c>
      <c r="G1852">
        <v>96.4</v>
      </c>
      <c r="H1852">
        <v>0.49730000000000002</v>
      </c>
      <c r="I1852">
        <v>49.3</v>
      </c>
      <c r="J1852">
        <v>45.6</v>
      </c>
      <c r="K1852">
        <v>23</v>
      </c>
      <c r="L1852">
        <v>22.9</v>
      </c>
      <c r="M1852">
        <v>30.6</v>
      </c>
      <c r="N1852">
        <v>31.1</v>
      </c>
      <c r="O1852">
        <v>45.5</v>
      </c>
      <c r="P1852">
        <v>38.799999999999997</v>
      </c>
      <c r="Q1852">
        <v>48.8</v>
      </c>
      <c r="R1852">
        <v>45.7</v>
      </c>
      <c r="S1852">
        <v>33.6</v>
      </c>
      <c r="T1852">
        <v>30.4</v>
      </c>
      <c r="U1852">
        <v>64.3</v>
      </c>
      <c r="V1852">
        <v>-5.2</v>
      </c>
      <c r="W1852" cm="1">
        <f t="array" ref="W1852">_xlfn.IFS(OR(X1852="N/A",X1852="NA"),0,OR(X1852="R64",X1852="R68"),1,X1852="R32",2,X1852="S16",3,X1852="E8",4,X1852="F4",5,X1852="2ND",6,X1852="Champions",7)</f>
        <v>0</v>
      </c>
      <c r="X1852" t="s">
        <v>90</v>
      </c>
      <c r="Y1852" t="s">
        <v>90</v>
      </c>
      <c r="Z1852">
        <v>2013</v>
      </c>
    </row>
    <row r="1853" spans="1:26" x14ac:dyDescent="0.3">
      <c r="A1853" t="s">
        <v>309</v>
      </c>
      <c r="B1853" t="s">
        <v>64</v>
      </c>
      <c r="C1853">
        <v>29</v>
      </c>
      <c r="D1853">
        <v>19</v>
      </c>
      <c r="E1853" s="1">
        <f t="shared" si="28"/>
        <v>0.65517241379310343</v>
      </c>
      <c r="F1853">
        <v>103</v>
      </c>
      <c r="G1853">
        <v>102</v>
      </c>
      <c r="H1853">
        <v>0.52849999999999997</v>
      </c>
      <c r="I1853">
        <v>52.4</v>
      </c>
      <c r="J1853">
        <v>48.1</v>
      </c>
      <c r="K1853">
        <v>20.5</v>
      </c>
      <c r="L1853">
        <v>20.2</v>
      </c>
      <c r="M1853">
        <v>32.5</v>
      </c>
      <c r="N1853">
        <v>31.8</v>
      </c>
      <c r="O1853">
        <v>39</v>
      </c>
      <c r="P1853">
        <v>33.5</v>
      </c>
      <c r="Q1853">
        <v>52.2</v>
      </c>
      <c r="R1853">
        <v>47</v>
      </c>
      <c r="S1853">
        <v>35.1</v>
      </c>
      <c r="T1853">
        <v>33.5</v>
      </c>
      <c r="U1853">
        <v>66.3</v>
      </c>
      <c r="V1853">
        <v>-5</v>
      </c>
      <c r="W1853" cm="1">
        <f t="array" ref="W1853">_xlfn.IFS(OR(X1853="N/A",X1853="NA"),0,OR(X1853="R64",X1853="R68"),1,X1853="R32",2,X1853="S16",3,X1853="E8",4,X1853="F4",5,X1853="2ND",6,X1853="Champions",7)</f>
        <v>0</v>
      </c>
      <c r="X1853" t="s">
        <v>90</v>
      </c>
      <c r="Y1853" t="s">
        <v>90</v>
      </c>
      <c r="Z1853">
        <v>2013</v>
      </c>
    </row>
    <row r="1854" spans="1:26" x14ac:dyDescent="0.3">
      <c r="A1854" t="s">
        <v>121</v>
      </c>
      <c r="B1854" t="s">
        <v>40</v>
      </c>
      <c r="C1854">
        <v>30</v>
      </c>
      <c r="D1854">
        <v>19</v>
      </c>
      <c r="E1854" s="1">
        <f t="shared" si="28"/>
        <v>0.6333333333333333</v>
      </c>
      <c r="F1854">
        <v>107.3</v>
      </c>
      <c r="G1854">
        <v>102.8</v>
      </c>
      <c r="H1854">
        <v>0.61919999999999997</v>
      </c>
      <c r="I1854">
        <v>51.4</v>
      </c>
      <c r="J1854">
        <v>48.9</v>
      </c>
      <c r="K1854">
        <v>18.2</v>
      </c>
      <c r="L1854">
        <v>18.8</v>
      </c>
      <c r="M1854">
        <v>28.3</v>
      </c>
      <c r="N1854">
        <v>35.200000000000003</v>
      </c>
      <c r="O1854">
        <v>39.9</v>
      </c>
      <c r="P1854">
        <v>33.5</v>
      </c>
      <c r="Q1854">
        <v>50.9</v>
      </c>
      <c r="R1854">
        <v>48.3</v>
      </c>
      <c r="S1854">
        <v>34.9</v>
      </c>
      <c r="T1854">
        <v>33.700000000000003</v>
      </c>
      <c r="U1854">
        <v>68.7</v>
      </c>
      <c r="V1854">
        <v>-5.2</v>
      </c>
      <c r="W1854" cm="1">
        <f t="array" ref="W1854">_xlfn.IFS(OR(X1854="N/A",X1854="NA"),0,OR(X1854="R64",X1854="R68"),1,X1854="R32",2,X1854="S16",3,X1854="E8",4,X1854="F4",5,X1854="2ND",6,X1854="Champions",7)</f>
        <v>0</v>
      </c>
      <c r="X1854" t="s">
        <v>90</v>
      </c>
      <c r="Y1854" t="s">
        <v>90</v>
      </c>
      <c r="Z1854">
        <v>2013</v>
      </c>
    </row>
    <row r="1855" spans="1:26" x14ac:dyDescent="0.3">
      <c r="A1855" t="s">
        <v>366</v>
      </c>
      <c r="B1855" t="s">
        <v>29</v>
      </c>
      <c r="C1855">
        <v>31</v>
      </c>
      <c r="D1855">
        <v>19</v>
      </c>
      <c r="E1855" s="1">
        <f t="shared" si="28"/>
        <v>0.61290322580645162</v>
      </c>
      <c r="F1855">
        <v>105.4</v>
      </c>
      <c r="G1855">
        <v>97.4</v>
      </c>
      <c r="H1855">
        <v>0.71419999999999995</v>
      </c>
      <c r="I1855">
        <v>49.2</v>
      </c>
      <c r="J1855">
        <v>47</v>
      </c>
      <c r="K1855">
        <v>20.5</v>
      </c>
      <c r="L1855">
        <v>21.6</v>
      </c>
      <c r="M1855">
        <v>34.4</v>
      </c>
      <c r="N1855">
        <v>34.799999999999997</v>
      </c>
      <c r="O1855">
        <v>33.4</v>
      </c>
      <c r="P1855">
        <v>38</v>
      </c>
      <c r="Q1855">
        <v>46.9</v>
      </c>
      <c r="R1855">
        <v>46.9</v>
      </c>
      <c r="S1855">
        <v>35.6</v>
      </c>
      <c r="T1855">
        <v>31.5</v>
      </c>
      <c r="U1855">
        <v>69.3</v>
      </c>
      <c r="V1855">
        <v>-2.5</v>
      </c>
      <c r="W1855" cm="1">
        <f t="array" ref="W1855">_xlfn.IFS(OR(X1855="N/A",X1855="NA"),0,OR(X1855="R64",X1855="R68"),1,X1855="R32",2,X1855="S16",3,X1855="E8",4,X1855="F4",5,X1855="2ND",6,X1855="Champions",7)</f>
        <v>0</v>
      </c>
      <c r="X1855" t="s">
        <v>90</v>
      </c>
      <c r="Y1855" t="s">
        <v>90</v>
      </c>
      <c r="Z1855">
        <v>2013</v>
      </c>
    </row>
    <row r="1856" spans="1:26" x14ac:dyDescent="0.3">
      <c r="A1856" t="s">
        <v>294</v>
      </c>
      <c r="B1856" t="s">
        <v>77</v>
      </c>
      <c r="C1856">
        <v>31</v>
      </c>
      <c r="D1856">
        <v>19</v>
      </c>
      <c r="E1856" s="1">
        <f t="shared" si="28"/>
        <v>0.61290322580645162</v>
      </c>
      <c r="F1856">
        <v>107.6</v>
      </c>
      <c r="G1856">
        <v>108</v>
      </c>
      <c r="H1856">
        <v>0.48859999999999998</v>
      </c>
      <c r="I1856">
        <v>54.4</v>
      </c>
      <c r="J1856">
        <v>51.8</v>
      </c>
      <c r="K1856">
        <v>19.2</v>
      </c>
      <c r="L1856">
        <v>17.600000000000001</v>
      </c>
      <c r="M1856">
        <v>30.5</v>
      </c>
      <c r="N1856">
        <v>29.7</v>
      </c>
      <c r="O1856">
        <v>37</v>
      </c>
      <c r="P1856">
        <v>30.2</v>
      </c>
      <c r="Q1856">
        <v>54.9</v>
      </c>
      <c r="R1856">
        <v>51.1</v>
      </c>
      <c r="S1856">
        <v>35.6</v>
      </c>
      <c r="T1856">
        <v>35.200000000000003</v>
      </c>
      <c r="U1856">
        <v>66.5</v>
      </c>
      <c r="V1856">
        <v>-6.4</v>
      </c>
      <c r="W1856" cm="1">
        <f t="array" ref="W1856">_xlfn.IFS(OR(X1856="N/A",X1856="NA"),0,OR(X1856="R64",X1856="R68"),1,X1856="R32",2,X1856="S16",3,X1856="E8",4,X1856="F4",5,X1856="2ND",6,X1856="Champions",7)</f>
        <v>0</v>
      </c>
      <c r="X1856" t="s">
        <v>90</v>
      </c>
      <c r="Y1856" t="s">
        <v>90</v>
      </c>
      <c r="Z1856">
        <v>2013</v>
      </c>
    </row>
    <row r="1857" spans="1:26" x14ac:dyDescent="0.3">
      <c r="A1857" t="s">
        <v>302</v>
      </c>
      <c r="B1857" t="s">
        <v>77</v>
      </c>
      <c r="C1857">
        <v>31</v>
      </c>
      <c r="D1857">
        <v>19</v>
      </c>
      <c r="E1857" s="1">
        <f t="shared" si="28"/>
        <v>0.61290322580645162</v>
      </c>
      <c r="F1857">
        <v>95.3</v>
      </c>
      <c r="G1857">
        <v>98</v>
      </c>
      <c r="H1857">
        <v>0.41959999999999997</v>
      </c>
      <c r="I1857">
        <v>47.5</v>
      </c>
      <c r="J1857">
        <v>46.9</v>
      </c>
      <c r="K1857">
        <v>21.9</v>
      </c>
      <c r="L1857">
        <v>22</v>
      </c>
      <c r="M1857">
        <v>35</v>
      </c>
      <c r="N1857">
        <v>30.5</v>
      </c>
      <c r="O1857">
        <v>40.299999999999997</v>
      </c>
      <c r="P1857">
        <v>41.8</v>
      </c>
      <c r="Q1857">
        <v>47.5</v>
      </c>
      <c r="R1857">
        <v>44</v>
      </c>
      <c r="S1857">
        <v>31.7</v>
      </c>
      <c r="T1857">
        <v>35</v>
      </c>
      <c r="U1857">
        <v>67</v>
      </c>
      <c r="V1857">
        <v>-7.1</v>
      </c>
      <c r="W1857" cm="1">
        <f t="array" ref="W1857">_xlfn.IFS(OR(X1857="N/A",X1857="NA"),0,OR(X1857="R64",X1857="R68"),1,X1857="R32",2,X1857="S16",3,X1857="E8",4,X1857="F4",5,X1857="2ND",6,X1857="Champions",7)</f>
        <v>0</v>
      </c>
      <c r="X1857" t="s">
        <v>90</v>
      </c>
      <c r="Y1857" t="s">
        <v>90</v>
      </c>
      <c r="Z1857">
        <v>2013</v>
      </c>
    </row>
    <row r="1858" spans="1:26" x14ac:dyDescent="0.3">
      <c r="A1858" t="s">
        <v>200</v>
      </c>
      <c r="B1858" t="s">
        <v>62</v>
      </c>
      <c r="C1858">
        <v>31</v>
      </c>
      <c r="D1858">
        <v>19</v>
      </c>
      <c r="E1858" s="1">
        <f t="shared" si="28"/>
        <v>0.61290322580645162</v>
      </c>
      <c r="F1858">
        <v>97.2</v>
      </c>
      <c r="G1858">
        <v>100.8</v>
      </c>
      <c r="H1858">
        <v>0.39660000000000001</v>
      </c>
      <c r="I1858">
        <v>49.2</v>
      </c>
      <c r="J1858">
        <v>46.8</v>
      </c>
      <c r="K1858">
        <v>17.399999999999999</v>
      </c>
      <c r="L1858">
        <v>19.100000000000001</v>
      </c>
      <c r="M1858">
        <v>26.4</v>
      </c>
      <c r="N1858">
        <v>30.1</v>
      </c>
      <c r="O1858">
        <v>29.2</v>
      </c>
      <c r="P1858">
        <v>36.5</v>
      </c>
      <c r="Q1858">
        <v>48</v>
      </c>
      <c r="R1858">
        <v>43.2</v>
      </c>
      <c r="S1858">
        <v>34</v>
      </c>
      <c r="T1858">
        <v>36.799999999999997</v>
      </c>
      <c r="U1858">
        <v>66.2</v>
      </c>
      <c r="V1858">
        <v>-6.6</v>
      </c>
      <c r="W1858" cm="1">
        <f t="array" ref="W1858">_xlfn.IFS(OR(X1858="N/A",X1858="NA"),0,OR(X1858="R64",X1858="R68"),1,X1858="R32",2,X1858="S16",3,X1858="E8",4,X1858="F4",5,X1858="2ND",6,X1858="Champions",7)</f>
        <v>0</v>
      </c>
      <c r="X1858" t="s">
        <v>90</v>
      </c>
      <c r="Y1858" t="s">
        <v>90</v>
      </c>
      <c r="Z1858">
        <v>2013</v>
      </c>
    </row>
    <row r="1859" spans="1:26" x14ac:dyDescent="0.3">
      <c r="A1859" t="s">
        <v>364</v>
      </c>
      <c r="B1859" t="s">
        <v>29</v>
      </c>
      <c r="C1859">
        <v>32</v>
      </c>
      <c r="D1859">
        <v>19</v>
      </c>
      <c r="E1859" s="1">
        <f t="shared" ref="E1859:E1922" si="29">D1859/C1859</f>
        <v>0.59375</v>
      </c>
      <c r="F1859">
        <v>105.3</v>
      </c>
      <c r="G1859">
        <v>95.1</v>
      </c>
      <c r="H1859">
        <v>0.76429999999999998</v>
      </c>
      <c r="I1859">
        <v>48.4</v>
      </c>
      <c r="J1859">
        <v>49.2</v>
      </c>
      <c r="K1859">
        <v>16.3</v>
      </c>
      <c r="L1859">
        <v>24.6</v>
      </c>
      <c r="M1859">
        <v>31.7</v>
      </c>
      <c r="N1859">
        <v>33.5</v>
      </c>
      <c r="O1859">
        <v>35.1</v>
      </c>
      <c r="P1859">
        <v>44.4</v>
      </c>
      <c r="Q1859">
        <v>50</v>
      </c>
      <c r="R1859">
        <v>46.9</v>
      </c>
      <c r="S1859">
        <v>30</v>
      </c>
      <c r="T1859">
        <v>35.9</v>
      </c>
      <c r="U1859">
        <v>71.2</v>
      </c>
      <c r="V1859">
        <v>-2.4</v>
      </c>
      <c r="W1859" cm="1">
        <f t="array" ref="W1859">_xlfn.IFS(OR(X1859="N/A",X1859="NA"),0,OR(X1859="R64",X1859="R68"),1,X1859="R32",2,X1859="S16",3,X1859="E8",4,X1859="F4",5,X1859="2ND",6,X1859="Champions",7)</f>
        <v>0</v>
      </c>
      <c r="X1859" t="s">
        <v>90</v>
      </c>
      <c r="Y1859" t="s">
        <v>90</v>
      </c>
      <c r="Z1859">
        <v>2013</v>
      </c>
    </row>
    <row r="1860" spans="1:26" x14ac:dyDescent="0.3">
      <c r="A1860" t="s">
        <v>122</v>
      </c>
      <c r="B1860" t="s">
        <v>40</v>
      </c>
      <c r="C1860">
        <v>32</v>
      </c>
      <c r="D1860">
        <v>19</v>
      </c>
      <c r="E1860" s="1">
        <f t="shared" si="29"/>
        <v>0.59375</v>
      </c>
      <c r="F1860">
        <v>106</v>
      </c>
      <c r="G1860">
        <v>106</v>
      </c>
      <c r="H1860">
        <v>0.50129999999999997</v>
      </c>
      <c r="I1860">
        <v>51.3</v>
      </c>
      <c r="J1860">
        <v>48.7</v>
      </c>
      <c r="K1860">
        <v>18.3</v>
      </c>
      <c r="L1860">
        <v>17.899999999999999</v>
      </c>
      <c r="M1860">
        <v>33.4</v>
      </c>
      <c r="N1860">
        <v>31.4</v>
      </c>
      <c r="O1860">
        <v>39.4</v>
      </c>
      <c r="P1860">
        <v>33.700000000000003</v>
      </c>
      <c r="Q1860">
        <v>50.3</v>
      </c>
      <c r="R1860">
        <v>49.2</v>
      </c>
      <c r="S1860">
        <v>35.9</v>
      </c>
      <c r="T1860">
        <v>31.8</v>
      </c>
      <c r="U1860">
        <v>70.400000000000006</v>
      </c>
      <c r="V1860">
        <v>-7.5</v>
      </c>
      <c r="W1860" cm="1">
        <f t="array" ref="W1860">_xlfn.IFS(OR(X1860="N/A",X1860="NA"),0,OR(X1860="R64",X1860="R68"),1,X1860="R32",2,X1860="S16",3,X1860="E8",4,X1860="F4",5,X1860="2ND",6,X1860="Champions",7)</f>
        <v>0</v>
      </c>
      <c r="X1860" t="s">
        <v>90</v>
      </c>
      <c r="Y1860" t="s">
        <v>90</v>
      </c>
      <c r="Z1860">
        <v>2013</v>
      </c>
    </row>
    <row r="1861" spans="1:26" x14ac:dyDescent="0.3">
      <c r="A1861" t="s">
        <v>245</v>
      </c>
      <c r="B1861" t="s">
        <v>69</v>
      </c>
      <c r="C1861">
        <v>33</v>
      </c>
      <c r="D1861">
        <v>19</v>
      </c>
      <c r="E1861" s="1">
        <f t="shared" si="29"/>
        <v>0.5757575757575758</v>
      </c>
      <c r="F1861">
        <v>105.2</v>
      </c>
      <c r="G1861">
        <v>102.6</v>
      </c>
      <c r="H1861">
        <v>0.57340000000000002</v>
      </c>
      <c r="I1861">
        <v>48.3</v>
      </c>
      <c r="J1861">
        <v>51.7</v>
      </c>
      <c r="K1861">
        <v>16.399999999999999</v>
      </c>
      <c r="L1861">
        <v>22.5</v>
      </c>
      <c r="M1861">
        <v>32.5</v>
      </c>
      <c r="N1861">
        <v>33</v>
      </c>
      <c r="O1861">
        <v>38</v>
      </c>
      <c r="P1861">
        <v>40.6</v>
      </c>
      <c r="Q1861">
        <v>47.9</v>
      </c>
      <c r="R1861">
        <v>50</v>
      </c>
      <c r="S1861">
        <v>32.700000000000003</v>
      </c>
      <c r="T1861">
        <v>36.5</v>
      </c>
      <c r="U1861">
        <v>69.400000000000006</v>
      </c>
      <c r="V1861">
        <v>-6.9</v>
      </c>
      <c r="W1861" cm="1">
        <f t="array" ref="W1861">_xlfn.IFS(OR(X1861="N/A",X1861="NA"),0,OR(X1861="R64",X1861="R68"),1,X1861="R32",2,X1861="S16",3,X1861="E8",4,X1861="F4",5,X1861="2ND",6,X1861="Champions",7)</f>
        <v>0</v>
      </c>
      <c r="X1861" t="s">
        <v>90</v>
      </c>
      <c r="Y1861" t="s">
        <v>90</v>
      </c>
      <c r="Z1861">
        <v>2013</v>
      </c>
    </row>
    <row r="1862" spans="1:26" x14ac:dyDescent="0.3">
      <c r="A1862" t="s">
        <v>345</v>
      </c>
      <c r="B1862" t="s">
        <v>51</v>
      </c>
      <c r="C1862">
        <v>33</v>
      </c>
      <c r="D1862">
        <v>19</v>
      </c>
      <c r="E1862" s="1">
        <f t="shared" si="29"/>
        <v>0.5757575757575758</v>
      </c>
      <c r="F1862">
        <v>96.8</v>
      </c>
      <c r="G1862">
        <v>96.7</v>
      </c>
      <c r="H1862">
        <v>0.50070000000000003</v>
      </c>
      <c r="I1862">
        <v>46.4</v>
      </c>
      <c r="J1862">
        <v>45.8</v>
      </c>
      <c r="K1862">
        <v>22.1</v>
      </c>
      <c r="L1862">
        <v>22.8</v>
      </c>
      <c r="M1862">
        <v>36.200000000000003</v>
      </c>
      <c r="N1862">
        <v>31.1</v>
      </c>
      <c r="O1862">
        <v>36.4</v>
      </c>
      <c r="P1862">
        <v>43.9</v>
      </c>
      <c r="Q1862">
        <v>44.3</v>
      </c>
      <c r="R1862">
        <v>44.3</v>
      </c>
      <c r="S1862">
        <v>34.200000000000003</v>
      </c>
      <c r="T1862">
        <v>31.9</v>
      </c>
      <c r="U1862">
        <v>66.900000000000006</v>
      </c>
      <c r="V1862">
        <v>-6.6</v>
      </c>
      <c r="W1862" cm="1">
        <f t="array" ref="W1862">_xlfn.IFS(OR(X1862="N/A",X1862="NA"),0,OR(X1862="R64",X1862="R68"),1,X1862="R32",2,X1862="S16",3,X1862="E8",4,X1862="F4",5,X1862="2ND",6,X1862="Champions",7)</f>
        <v>0</v>
      </c>
      <c r="X1862" t="s">
        <v>90</v>
      </c>
      <c r="Y1862" t="s">
        <v>90</v>
      </c>
      <c r="Z1862">
        <v>2013</v>
      </c>
    </row>
    <row r="1863" spans="1:26" x14ac:dyDescent="0.3">
      <c r="A1863" t="s">
        <v>198</v>
      </c>
      <c r="B1863" t="s">
        <v>53</v>
      </c>
      <c r="C1863">
        <v>33</v>
      </c>
      <c r="D1863">
        <v>19</v>
      </c>
      <c r="E1863" s="1">
        <f t="shared" si="29"/>
        <v>0.5757575757575758</v>
      </c>
      <c r="F1863">
        <v>102.4</v>
      </c>
      <c r="G1863">
        <v>102.5</v>
      </c>
      <c r="H1863">
        <v>0.49759999999999999</v>
      </c>
      <c r="I1863">
        <v>46.3</v>
      </c>
      <c r="J1863">
        <v>46.5</v>
      </c>
      <c r="K1863">
        <v>18.7</v>
      </c>
      <c r="L1863">
        <v>15.9</v>
      </c>
      <c r="M1863">
        <v>33.1</v>
      </c>
      <c r="N1863">
        <v>32</v>
      </c>
      <c r="O1863">
        <v>42</v>
      </c>
      <c r="P1863">
        <v>33</v>
      </c>
      <c r="Q1863">
        <v>46.2</v>
      </c>
      <c r="R1863">
        <v>44.2</v>
      </c>
      <c r="S1863">
        <v>30.9</v>
      </c>
      <c r="T1863">
        <v>34.4</v>
      </c>
      <c r="U1863">
        <v>67.5</v>
      </c>
      <c r="V1863">
        <v>-6.1</v>
      </c>
      <c r="W1863" cm="1">
        <f t="array" ref="W1863">_xlfn.IFS(OR(X1863="N/A",X1863="NA"),0,OR(X1863="R64",X1863="R68"),1,X1863="R32",2,X1863="S16",3,X1863="E8",4,X1863="F4",5,X1863="2ND",6,X1863="Champions",7)</f>
        <v>0</v>
      </c>
      <c r="X1863" t="s">
        <v>90</v>
      </c>
      <c r="Y1863" t="s">
        <v>90</v>
      </c>
      <c r="Z1863">
        <v>2013</v>
      </c>
    </row>
    <row r="1864" spans="1:26" x14ac:dyDescent="0.3">
      <c r="A1864" t="s">
        <v>162</v>
      </c>
      <c r="B1864" t="s">
        <v>33</v>
      </c>
      <c r="C1864">
        <v>34</v>
      </c>
      <c r="D1864">
        <v>19</v>
      </c>
      <c r="E1864" s="1">
        <f t="shared" si="29"/>
        <v>0.55882352941176472</v>
      </c>
      <c r="F1864">
        <v>106.8</v>
      </c>
      <c r="G1864">
        <v>95.2</v>
      </c>
      <c r="H1864">
        <v>0.79049999999999998</v>
      </c>
      <c r="I1864">
        <v>45.9</v>
      </c>
      <c r="J1864">
        <v>46.2</v>
      </c>
      <c r="K1864">
        <v>19.100000000000001</v>
      </c>
      <c r="L1864">
        <v>19.8</v>
      </c>
      <c r="M1864">
        <v>37.4</v>
      </c>
      <c r="N1864">
        <v>32.299999999999997</v>
      </c>
      <c r="O1864">
        <v>37.4</v>
      </c>
      <c r="P1864">
        <v>33</v>
      </c>
      <c r="Q1864">
        <v>45.7</v>
      </c>
      <c r="R1864">
        <v>46.9</v>
      </c>
      <c r="S1864">
        <v>31</v>
      </c>
      <c r="T1864">
        <v>29.7</v>
      </c>
      <c r="U1864">
        <v>66.099999999999994</v>
      </c>
      <c r="V1864">
        <v>-2.7</v>
      </c>
      <c r="W1864" cm="1">
        <f t="array" ref="W1864">_xlfn.IFS(OR(X1864="N/A",X1864="NA"),0,OR(X1864="R64",X1864="R68"),1,X1864="R32",2,X1864="S16",3,X1864="E8",4,X1864="F4",5,X1864="2ND",6,X1864="Champions",7)</f>
        <v>0</v>
      </c>
      <c r="X1864" t="s">
        <v>90</v>
      </c>
      <c r="Y1864" t="s">
        <v>90</v>
      </c>
      <c r="Z1864">
        <v>2013</v>
      </c>
    </row>
    <row r="1865" spans="1:26" x14ac:dyDescent="0.3">
      <c r="A1865" t="s">
        <v>97</v>
      </c>
      <c r="B1865" t="s">
        <v>45</v>
      </c>
      <c r="C1865">
        <v>34</v>
      </c>
      <c r="D1865">
        <v>19</v>
      </c>
      <c r="E1865" s="1">
        <f t="shared" si="29"/>
        <v>0.55882352941176472</v>
      </c>
      <c r="F1865">
        <v>109.2</v>
      </c>
      <c r="G1865">
        <v>98.9</v>
      </c>
      <c r="H1865">
        <v>0.75619999999999998</v>
      </c>
      <c r="I1865">
        <v>52.5</v>
      </c>
      <c r="J1865">
        <v>49.1</v>
      </c>
      <c r="K1865">
        <v>18.600000000000001</v>
      </c>
      <c r="L1865">
        <v>22.8</v>
      </c>
      <c r="M1865">
        <v>27</v>
      </c>
      <c r="N1865">
        <v>35.799999999999997</v>
      </c>
      <c r="O1865">
        <v>43.2</v>
      </c>
      <c r="P1865">
        <v>43</v>
      </c>
      <c r="Q1865">
        <v>49.4</v>
      </c>
      <c r="R1865">
        <v>48.4</v>
      </c>
      <c r="S1865">
        <v>37.799999999999997</v>
      </c>
      <c r="T1865">
        <v>33.9</v>
      </c>
      <c r="U1865">
        <v>64</v>
      </c>
      <c r="V1865">
        <v>-4</v>
      </c>
      <c r="W1865" cm="1">
        <f t="array" ref="W1865">_xlfn.IFS(OR(X1865="N/A",X1865="NA"),0,OR(X1865="R64",X1865="R68"),1,X1865="R32",2,X1865="S16",3,X1865="E8",4,X1865="F4",5,X1865="2ND",6,X1865="Champions",7)</f>
        <v>0</v>
      </c>
      <c r="X1865" t="s">
        <v>90</v>
      </c>
      <c r="Y1865" t="s">
        <v>90</v>
      </c>
      <c r="Z1865">
        <v>2013</v>
      </c>
    </row>
    <row r="1866" spans="1:26" x14ac:dyDescent="0.3">
      <c r="A1866" t="s">
        <v>384</v>
      </c>
      <c r="B1866" t="s">
        <v>61</v>
      </c>
      <c r="C1866">
        <v>34</v>
      </c>
      <c r="D1866">
        <v>19</v>
      </c>
      <c r="E1866" s="1">
        <f t="shared" si="29"/>
        <v>0.55882352941176472</v>
      </c>
      <c r="F1866">
        <v>104.5</v>
      </c>
      <c r="G1866">
        <v>102.1</v>
      </c>
      <c r="H1866">
        <v>0.56469999999999998</v>
      </c>
      <c r="I1866">
        <v>49.9</v>
      </c>
      <c r="J1866">
        <v>49.3</v>
      </c>
      <c r="K1866">
        <v>20.5</v>
      </c>
      <c r="L1866">
        <v>18.7</v>
      </c>
      <c r="M1866">
        <v>35.9</v>
      </c>
      <c r="N1866">
        <v>31.4</v>
      </c>
      <c r="O1866">
        <v>38</v>
      </c>
      <c r="P1866">
        <v>27.5</v>
      </c>
      <c r="Q1866">
        <v>49.3</v>
      </c>
      <c r="R1866">
        <v>47.8</v>
      </c>
      <c r="S1866">
        <v>34.5</v>
      </c>
      <c r="T1866">
        <v>35.4</v>
      </c>
      <c r="U1866">
        <v>66.3</v>
      </c>
      <c r="V1866">
        <v>-8</v>
      </c>
      <c r="W1866" cm="1">
        <f t="array" ref="W1866">_xlfn.IFS(OR(X1866="N/A",X1866="NA"),0,OR(X1866="R64",X1866="R68"),1,X1866="R32",2,X1866="S16",3,X1866="E8",4,X1866="F4",5,X1866="2ND",6,X1866="Champions",7)</f>
        <v>0</v>
      </c>
      <c r="X1866" t="s">
        <v>90</v>
      </c>
      <c r="Y1866" t="s">
        <v>90</v>
      </c>
      <c r="Z1866">
        <v>2013</v>
      </c>
    </row>
    <row r="1867" spans="1:26" x14ac:dyDescent="0.3">
      <c r="A1867" t="s">
        <v>126</v>
      </c>
      <c r="B1867" t="s">
        <v>40</v>
      </c>
      <c r="C1867">
        <v>34</v>
      </c>
      <c r="D1867">
        <v>19</v>
      </c>
      <c r="E1867" s="1">
        <f t="shared" si="29"/>
        <v>0.55882352941176472</v>
      </c>
      <c r="F1867">
        <v>105.8</v>
      </c>
      <c r="G1867">
        <v>103.9</v>
      </c>
      <c r="H1867">
        <v>0.55259999999999998</v>
      </c>
      <c r="I1867">
        <v>47.7</v>
      </c>
      <c r="J1867">
        <v>51.6</v>
      </c>
      <c r="K1867">
        <v>19</v>
      </c>
      <c r="L1867">
        <v>20.6</v>
      </c>
      <c r="M1867">
        <v>35.5</v>
      </c>
      <c r="N1867">
        <v>27.7</v>
      </c>
      <c r="O1867">
        <v>46.7</v>
      </c>
      <c r="P1867">
        <v>33.5</v>
      </c>
      <c r="Q1867">
        <v>45.2</v>
      </c>
      <c r="R1867">
        <v>52.3</v>
      </c>
      <c r="S1867">
        <v>35</v>
      </c>
      <c r="T1867">
        <v>33.700000000000003</v>
      </c>
      <c r="U1867">
        <v>65.2</v>
      </c>
      <c r="V1867">
        <v>-7.7</v>
      </c>
      <c r="W1867" cm="1">
        <f t="array" ref="W1867">_xlfn.IFS(OR(X1867="N/A",X1867="NA"),0,OR(X1867="R64",X1867="R68"),1,X1867="R32",2,X1867="S16",3,X1867="E8",4,X1867="F4",5,X1867="2ND",6,X1867="Champions",7)</f>
        <v>0</v>
      </c>
      <c r="X1867" t="s">
        <v>90</v>
      </c>
      <c r="Y1867" t="s">
        <v>90</v>
      </c>
      <c r="Z1867">
        <v>2013</v>
      </c>
    </row>
    <row r="1868" spans="1:26" x14ac:dyDescent="0.3">
      <c r="A1868" t="s">
        <v>247</v>
      </c>
      <c r="B1868" t="s">
        <v>69</v>
      </c>
      <c r="C1868">
        <v>34</v>
      </c>
      <c r="D1868">
        <v>19</v>
      </c>
      <c r="E1868" s="1">
        <f t="shared" si="29"/>
        <v>0.55882352941176472</v>
      </c>
      <c r="F1868">
        <v>96.2</v>
      </c>
      <c r="G1868">
        <v>96.8</v>
      </c>
      <c r="H1868">
        <v>0.48070000000000002</v>
      </c>
      <c r="I1868">
        <v>49.1</v>
      </c>
      <c r="J1868">
        <v>45.5</v>
      </c>
      <c r="K1868">
        <v>23.3</v>
      </c>
      <c r="L1868">
        <v>20.9</v>
      </c>
      <c r="M1868">
        <v>30.6</v>
      </c>
      <c r="N1868">
        <v>31.8</v>
      </c>
      <c r="O1868">
        <v>39.4</v>
      </c>
      <c r="P1868">
        <v>38.299999999999997</v>
      </c>
      <c r="Q1868">
        <v>47.7</v>
      </c>
      <c r="R1868">
        <v>46.6</v>
      </c>
      <c r="S1868">
        <v>34.5</v>
      </c>
      <c r="T1868">
        <v>28.8</v>
      </c>
      <c r="U1868">
        <v>66.400000000000006</v>
      </c>
      <c r="V1868">
        <v>-7.8</v>
      </c>
      <c r="W1868" cm="1">
        <f t="array" ref="W1868">_xlfn.IFS(OR(X1868="N/A",X1868="NA"),0,OR(X1868="R64",X1868="R68"),1,X1868="R32",2,X1868="S16",3,X1868="E8",4,X1868="F4",5,X1868="2ND",6,X1868="Champions",7)</f>
        <v>0</v>
      </c>
      <c r="X1868" t="s">
        <v>90</v>
      </c>
      <c r="Y1868" t="s">
        <v>90</v>
      </c>
      <c r="Z1868">
        <v>2013</v>
      </c>
    </row>
    <row r="1869" spans="1:26" x14ac:dyDescent="0.3">
      <c r="A1869" t="s">
        <v>196</v>
      </c>
      <c r="B1869" t="s">
        <v>48</v>
      </c>
      <c r="C1869">
        <v>35</v>
      </c>
      <c r="D1869">
        <v>19</v>
      </c>
      <c r="E1869" s="1">
        <f t="shared" si="29"/>
        <v>0.54285714285714282</v>
      </c>
      <c r="F1869">
        <v>98.8</v>
      </c>
      <c r="G1869">
        <v>97.9</v>
      </c>
      <c r="H1869">
        <v>0.52429999999999999</v>
      </c>
      <c r="I1869">
        <v>48</v>
      </c>
      <c r="J1869">
        <v>44.2</v>
      </c>
      <c r="K1869">
        <v>18.600000000000001</v>
      </c>
      <c r="L1869">
        <v>16.3</v>
      </c>
      <c r="M1869">
        <v>30.4</v>
      </c>
      <c r="N1869">
        <v>31.2</v>
      </c>
      <c r="O1869">
        <v>30.2</v>
      </c>
      <c r="P1869">
        <v>37.9</v>
      </c>
      <c r="Q1869">
        <v>47.4</v>
      </c>
      <c r="R1869">
        <v>42.5</v>
      </c>
      <c r="S1869">
        <v>32.799999999999997</v>
      </c>
      <c r="T1869">
        <v>32.299999999999997</v>
      </c>
      <c r="U1869">
        <v>66.3</v>
      </c>
      <c r="V1869">
        <v>-8.1999999999999993</v>
      </c>
      <c r="W1869" cm="1">
        <f t="array" ref="W1869">_xlfn.IFS(OR(X1869="N/A",X1869="NA"),0,OR(X1869="R64",X1869="R68"),1,X1869="R32",2,X1869="S16",3,X1869="E8",4,X1869="F4",5,X1869="2ND",6,X1869="Champions",7)</f>
        <v>0</v>
      </c>
      <c r="X1869" t="s">
        <v>90</v>
      </c>
      <c r="Y1869" t="s">
        <v>90</v>
      </c>
      <c r="Z1869">
        <v>2013</v>
      </c>
    </row>
    <row r="1870" spans="1:26" x14ac:dyDescent="0.3">
      <c r="A1870" t="s">
        <v>241</v>
      </c>
      <c r="B1870" t="s">
        <v>69</v>
      </c>
      <c r="C1870">
        <v>35</v>
      </c>
      <c r="D1870">
        <v>19</v>
      </c>
      <c r="E1870" s="1">
        <f t="shared" si="29"/>
        <v>0.54285714285714282</v>
      </c>
      <c r="F1870">
        <v>95.3</v>
      </c>
      <c r="G1870">
        <v>94.6</v>
      </c>
      <c r="H1870">
        <v>0.52100000000000002</v>
      </c>
      <c r="I1870">
        <v>47.7</v>
      </c>
      <c r="J1870">
        <v>44.4</v>
      </c>
      <c r="K1870">
        <v>21.5</v>
      </c>
      <c r="L1870">
        <v>21.6</v>
      </c>
      <c r="M1870">
        <v>33.5</v>
      </c>
      <c r="N1870">
        <v>32.200000000000003</v>
      </c>
      <c r="O1870">
        <v>28.9</v>
      </c>
      <c r="P1870">
        <v>45.6</v>
      </c>
      <c r="Q1870">
        <v>47.8</v>
      </c>
      <c r="R1870">
        <v>43.2</v>
      </c>
      <c r="S1870">
        <v>31.6</v>
      </c>
      <c r="T1870">
        <v>32</v>
      </c>
      <c r="U1870">
        <v>61.9</v>
      </c>
      <c r="V1870">
        <v>-8.4</v>
      </c>
      <c r="W1870" cm="1">
        <f t="array" ref="W1870">_xlfn.IFS(OR(X1870="N/A",X1870="NA"),0,OR(X1870="R64",X1870="R68"),1,X1870="R32",2,X1870="S16",3,X1870="E8",4,X1870="F4",5,X1870="2ND",6,X1870="Champions",7)</f>
        <v>0</v>
      </c>
      <c r="X1870" t="s">
        <v>90</v>
      </c>
      <c r="Y1870" t="s">
        <v>90</v>
      </c>
      <c r="Z1870">
        <v>2013</v>
      </c>
    </row>
    <row r="1871" spans="1:26" x14ac:dyDescent="0.3">
      <c r="A1871" t="s">
        <v>49</v>
      </c>
      <c r="B1871" t="s">
        <v>33</v>
      </c>
      <c r="C1871">
        <v>30</v>
      </c>
      <c r="D1871">
        <v>20</v>
      </c>
      <c r="E1871" s="1">
        <f t="shared" si="29"/>
        <v>0.66666666666666663</v>
      </c>
      <c r="F1871">
        <v>108.7</v>
      </c>
      <c r="G1871">
        <v>93.9</v>
      </c>
      <c r="H1871">
        <v>0.84250000000000003</v>
      </c>
      <c r="I1871">
        <v>50</v>
      </c>
      <c r="J1871">
        <v>45.3</v>
      </c>
      <c r="K1871">
        <v>18.2</v>
      </c>
      <c r="L1871">
        <v>20.100000000000001</v>
      </c>
      <c r="M1871">
        <v>28.5</v>
      </c>
      <c r="N1871">
        <v>36</v>
      </c>
      <c r="O1871">
        <v>36.9</v>
      </c>
      <c r="P1871">
        <v>31</v>
      </c>
      <c r="Q1871">
        <v>49.5</v>
      </c>
      <c r="R1871">
        <v>44.4</v>
      </c>
      <c r="S1871">
        <v>34</v>
      </c>
      <c r="T1871">
        <v>31.5</v>
      </c>
      <c r="U1871">
        <v>65.3</v>
      </c>
      <c r="V1871">
        <v>1.5</v>
      </c>
      <c r="W1871" cm="1">
        <f t="array" ref="W1871">_xlfn.IFS(OR(X1871="N/A",X1871="NA"),0,OR(X1871="R64",X1871="R68"),1,X1871="R32",2,X1871="S16",3,X1871="E8",4,X1871="F4",5,X1871="2ND",6,X1871="Champions",7)</f>
        <v>0</v>
      </c>
      <c r="X1871" t="s">
        <v>90</v>
      </c>
      <c r="Y1871" t="s">
        <v>90</v>
      </c>
      <c r="Z1871">
        <v>2013</v>
      </c>
    </row>
    <row r="1872" spans="1:26" x14ac:dyDescent="0.3">
      <c r="A1872" t="s">
        <v>387</v>
      </c>
      <c r="B1872" t="s">
        <v>72</v>
      </c>
      <c r="C1872">
        <v>29</v>
      </c>
      <c r="D1872">
        <v>20</v>
      </c>
      <c r="E1872" s="1">
        <f t="shared" si="29"/>
        <v>0.68965517241379315</v>
      </c>
      <c r="F1872">
        <v>94.3</v>
      </c>
      <c r="G1872">
        <v>96</v>
      </c>
      <c r="H1872">
        <v>0.45100000000000001</v>
      </c>
      <c r="I1872">
        <v>51.6</v>
      </c>
      <c r="J1872">
        <v>45.8</v>
      </c>
      <c r="K1872">
        <v>19.399999999999999</v>
      </c>
      <c r="L1872">
        <v>19.399999999999999</v>
      </c>
      <c r="M1872">
        <v>24.7</v>
      </c>
      <c r="N1872">
        <v>27.4</v>
      </c>
      <c r="O1872">
        <v>39.799999999999997</v>
      </c>
      <c r="P1872">
        <v>28.3</v>
      </c>
      <c r="Q1872">
        <v>48.9</v>
      </c>
      <c r="R1872">
        <v>43.2</v>
      </c>
      <c r="S1872">
        <v>38.700000000000003</v>
      </c>
      <c r="T1872">
        <v>34.200000000000003</v>
      </c>
      <c r="U1872">
        <v>58</v>
      </c>
      <c r="V1872">
        <v>-4.5</v>
      </c>
      <c r="W1872" cm="1">
        <f t="array" ref="W1872">_xlfn.IFS(OR(X1872="N/A",X1872="NA"),0,OR(X1872="R64",X1872="R68"),1,X1872="R32",2,X1872="S16",3,X1872="E8",4,X1872="F4",5,X1872="2ND",6,X1872="Champions",7)</f>
        <v>0</v>
      </c>
      <c r="X1872" t="s">
        <v>90</v>
      </c>
      <c r="Y1872" t="s">
        <v>90</v>
      </c>
      <c r="Z1872">
        <v>2013</v>
      </c>
    </row>
    <row r="1873" spans="1:26" x14ac:dyDescent="0.3">
      <c r="A1873" t="s">
        <v>332</v>
      </c>
      <c r="B1873" t="s">
        <v>67</v>
      </c>
      <c r="C1873">
        <v>30</v>
      </c>
      <c r="D1873">
        <v>20</v>
      </c>
      <c r="E1873" s="1">
        <f t="shared" si="29"/>
        <v>0.66666666666666663</v>
      </c>
      <c r="F1873">
        <v>106.5</v>
      </c>
      <c r="G1873">
        <v>100.4</v>
      </c>
      <c r="H1873">
        <v>0.66369999999999996</v>
      </c>
      <c r="I1873">
        <v>53</v>
      </c>
      <c r="J1873">
        <v>47.6</v>
      </c>
      <c r="K1873">
        <v>16.399999999999999</v>
      </c>
      <c r="L1873">
        <v>20.399999999999999</v>
      </c>
      <c r="M1873">
        <v>26.9</v>
      </c>
      <c r="N1873">
        <v>34</v>
      </c>
      <c r="O1873">
        <v>36.4</v>
      </c>
      <c r="P1873">
        <v>28.6</v>
      </c>
      <c r="Q1873">
        <v>49.8</v>
      </c>
      <c r="R1873">
        <v>49.2</v>
      </c>
      <c r="S1873">
        <v>39.4</v>
      </c>
      <c r="T1873">
        <v>29.8</v>
      </c>
      <c r="U1873">
        <v>67.400000000000006</v>
      </c>
      <c r="V1873">
        <v>-3.4</v>
      </c>
      <c r="W1873" cm="1">
        <f t="array" ref="W1873">_xlfn.IFS(OR(X1873="N/A",X1873="NA"),0,OR(X1873="R64",X1873="R68"),1,X1873="R32",2,X1873="S16",3,X1873="E8",4,X1873="F4",5,X1873="2ND",6,X1873="Champions",7)</f>
        <v>0</v>
      </c>
      <c r="X1873" t="s">
        <v>90</v>
      </c>
      <c r="Y1873" t="s">
        <v>90</v>
      </c>
      <c r="Z1873">
        <v>2013</v>
      </c>
    </row>
    <row r="1874" spans="1:26" x14ac:dyDescent="0.3">
      <c r="A1874" t="s">
        <v>290</v>
      </c>
      <c r="B1874" t="s">
        <v>51</v>
      </c>
      <c r="C1874">
        <v>30</v>
      </c>
      <c r="D1874">
        <v>20</v>
      </c>
      <c r="E1874" s="1">
        <f t="shared" si="29"/>
        <v>0.66666666666666663</v>
      </c>
      <c r="F1874">
        <v>106.5</v>
      </c>
      <c r="G1874">
        <v>102.8</v>
      </c>
      <c r="H1874">
        <v>0.60070000000000001</v>
      </c>
      <c r="I1874">
        <v>52</v>
      </c>
      <c r="J1874">
        <v>47.8</v>
      </c>
      <c r="K1874">
        <v>20.9</v>
      </c>
      <c r="L1874">
        <v>15</v>
      </c>
      <c r="M1874">
        <v>37.4</v>
      </c>
      <c r="N1874">
        <v>27</v>
      </c>
      <c r="O1874">
        <v>40.5</v>
      </c>
      <c r="P1874">
        <v>30.7</v>
      </c>
      <c r="Q1874">
        <v>51.6</v>
      </c>
      <c r="R1874">
        <v>46</v>
      </c>
      <c r="S1874">
        <v>35.299999999999997</v>
      </c>
      <c r="T1874">
        <v>33.799999999999997</v>
      </c>
      <c r="U1874">
        <v>61.8</v>
      </c>
      <c r="V1874">
        <v>-4.2</v>
      </c>
      <c r="W1874" cm="1">
        <f t="array" ref="W1874">_xlfn.IFS(OR(X1874="N/A",X1874="NA"),0,OR(X1874="R64",X1874="R68"),1,X1874="R32",2,X1874="S16",3,X1874="E8",4,X1874="F4",5,X1874="2ND",6,X1874="Champions",7)</f>
        <v>0</v>
      </c>
      <c r="X1874" t="s">
        <v>90</v>
      </c>
      <c r="Y1874" t="s">
        <v>90</v>
      </c>
      <c r="Z1874">
        <v>2013</v>
      </c>
    </row>
    <row r="1875" spans="1:26" x14ac:dyDescent="0.3">
      <c r="A1875" t="s">
        <v>361</v>
      </c>
      <c r="B1875" t="s">
        <v>29</v>
      </c>
      <c r="C1875">
        <v>33</v>
      </c>
      <c r="D1875">
        <v>20</v>
      </c>
      <c r="E1875" s="1">
        <f t="shared" si="29"/>
        <v>0.60606060606060608</v>
      </c>
      <c r="F1875">
        <v>108.3</v>
      </c>
      <c r="G1875">
        <v>96.7</v>
      </c>
      <c r="H1875">
        <v>0.78559999999999997</v>
      </c>
      <c r="I1875">
        <v>47.9</v>
      </c>
      <c r="J1875">
        <v>46.2</v>
      </c>
      <c r="K1875">
        <v>20.100000000000001</v>
      </c>
      <c r="L1875">
        <v>17.399999999999999</v>
      </c>
      <c r="M1875">
        <v>36.5</v>
      </c>
      <c r="N1875">
        <v>28.8</v>
      </c>
      <c r="O1875">
        <v>42.2</v>
      </c>
      <c r="P1875">
        <v>34.4</v>
      </c>
      <c r="Q1875">
        <v>48.2</v>
      </c>
      <c r="R1875">
        <v>45.6</v>
      </c>
      <c r="S1875">
        <v>31.6</v>
      </c>
      <c r="T1875">
        <v>31.9</v>
      </c>
      <c r="U1875">
        <v>63.5</v>
      </c>
      <c r="V1875">
        <v>-0.9</v>
      </c>
      <c r="W1875" cm="1">
        <f t="array" ref="W1875">_xlfn.IFS(OR(X1875="N/A",X1875="NA"),0,OR(X1875="R64",X1875="R68"),1,X1875="R32",2,X1875="S16",3,X1875="E8",4,X1875="F4",5,X1875="2ND",6,X1875="Champions",7)</f>
        <v>0</v>
      </c>
      <c r="X1875" t="s">
        <v>90</v>
      </c>
      <c r="Y1875" t="s">
        <v>90</v>
      </c>
      <c r="Z1875">
        <v>2013</v>
      </c>
    </row>
    <row r="1876" spans="1:26" x14ac:dyDescent="0.3">
      <c r="A1876" t="s">
        <v>206</v>
      </c>
      <c r="B1876" t="s">
        <v>53</v>
      </c>
      <c r="C1876">
        <v>33</v>
      </c>
      <c r="D1876">
        <v>20</v>
      </c>
      <c r="E1876" s="1">
        <f t="shared" si="29"/>
        <v>0.60606060606060608</v>
      </c>
      <c r="F1876">
        <v>103.4</v>
      </c>
      <c r="G1876">
        <v>105.9</v>
      </c>
      <c r="H1876">
        <v>0.43130000000000002</v>
      </c>
      <c r="I1876">
        <v>51</v>
      </c>
      <c r="J1876">
        <v>52.2</v>
      </c>
      <c r="K1876">
        <v>19.8</v>
      </c>
      <c r="L1876">
        <v>22.3</v>
      </c>
      <c r="M1876">
        <v>31.4</v>
      </c>
      <c r="N1876">
        <v>35.700000000000003</v>
      </c>
      <c r="O1876">
        <v>38.799999999999997</v>
      </c>
      <c r="P1876">
        <v>29.1</v>
      </c>
      <c r="Q1876">
        <v>48.3</v>
      </c>
      <c r="R1876">
        <v>53.4</v>
      </c>
      <c r="S1876">
        <v>37.1</v>
      </c>
      <c r="T1876">
        <v>33.200000000000003</v>
      </c>
      <c r="U1876">
        <v>63.9</v>
      </c>
      <c r="V1876">
        <v>-6.8</v>
      </c>
      <c r="W1876" cm="1">
        <f t="array" ref="W1876">_xlfn.IFS(OR(X1876="N/A",X1876="NA"),0,OR(X1876="R64",X1876="R68"),1,X1876="R32",2,X1876="S16",3,X1876="E8",4,X1876="F4",5,X1876="2ND",6,X1876="Champions",7)</f>
        <v>0</v>
      </c>
      <c r="X1876" t="s">
        <v>90</v>
      </c>
      <c r="Y1876" t="s">
        <v>90</v>
      </c>
      <c r="Z1876">
        <v>2013</v>
      </c>
    </row>
    <row r="1877" spans="1:26" x14ac:dyDescent="0.3">
      <c r="A1877" t="s">
        <v>282</v>
      </c>
      <c r="B1877" t="s">
        <v>47</v>
      </c>
      <c r="C1877">
        <v>34</v>
      </c>
      <c r="D1877">
        <v>20</v>
      </c>
      <c r="E1877" s="1">
        <f t="shared" si="29"/>
        <v>0.58823529411764708</v>
      </c>
      <c r="F1877">
        <v>104</v>
      </c>
      <c r="G1877">
        <v>94.6</v>
      </c>
      <c r="H1877">
        <v>0.74760000000000004</v>
      </c>
      <c r="I1877">
        <v>51.1</v>
      </c>
      <c r="J1877">
        <v>48.8</v>
      </c>
      <c r="K1877">
        <v>19</v>
      </c>
      <c r="L1877">
        <v>19.7</v>
      </c>
      <c r="M1877">
        <v>24.6</v>
      </c>
      <c r="N1877">
        <v>26.5</v>
      </c>
      <c r="O1877">
        <v>33.200000000000003</v>
      </c>
      <c r="P1877">
        <v>25.1</v>
      </c>
      <c r="Q1877">
        <v>48.6</v>
      </c>
      <c r="R1877">
        <v>47.7</v>
      </c>
      <c r="S1877">
        <v>36.4</v>
      </c>
      <c r="T1877">
        <v>34.1</v>
      </c>
      <c r="U1877">
        <v>62.9</v>
      </c>
      <c r="V1877">
        <v>-2.7</v>
      </c>
      <c r="W1877" cm="1">
        <f t="array" ref="W1877">_xlfn.IFS(OR(X1877="N/A",X1877="NA"),0,OR(X1877="R64",X1877="R68"),1,X1877="R32",2,X1877="S16",3,X1877="E8",4,X1877="F4",5,X1877="2ND",6,X1877="Champions",7)</f>
        <v>0</v>
      </c>
      <c r="X1877" t="s">
        <v>90</v>
      </c>
      <c r="Y1877" t="s">
        <v>90</v>
      </c>
      <c r="Z1877">
        <v>2013</v>
      </c>
    </row>
    <row r="1878" spans="1:26" x14ac:dyDescent="0.3">
      <c r="A1878" t="s">
        <v>240</v>
      </c>
      <c r="B1878" t="s">
        <v>69</v>
      </c>
      <c r="C1878">
        <v>34</v>
      </c>
      <c r="D1878">
        <v>20</v>
      </c>
      <c r="E1878" s="1">
        <f t="shared" si="29"/>
        <v>0.58823529411764708</v>
      </c>
      <c r="F1878">
        <v>109.1</v>
      </c>
      <c r="G1878">
        <v>104.3</v>
      </c>
      <c r="H1878">
        <v>0.62470000000000003</v>
      </c>
      <c r="I1878">
        <v>52.7</v>
      </c>
      <c r="J1878">
        <v>50.4</v>
      </c>
      <c r="K1878">
        <v>19.600000000000001</v>
      </c>
      <c r="L1878">
        <v>19.8</v>
      </c>
      <c r="M1878">
        <v>34.799999999999997</v>
      </c>
      <c r="N1878">
        <v>33.1</v>
      </c>
      <c r="O1878">
        <v>34.299999999999997</v>
      </c>
      <c r="P1878">
        <v>32.4</v>
      </c>
      <c r="Q1878">
        <v>48.9</v>
      </c>
      <c r="R1878">
        <v>50.4</v>
      </c>
      <c r="S1878">
        <v>38.6</v>
      </c>
      <c r="T1878">
        <v>33.6</v>
      </c>
      <c r="U1878">
        <v>66.5</v>
      </c>
      <c r="V1878">
        <v>-5.8</v>
      </c>
      <c r="W1878" cm="1">
        <f t="array" ref="W1878">_xlfn.IFS(OR(X1878="N/A",X1878="NA"),0,OR(X1878="R64",X1878="R68"),1,X1878="R32",2,X1878="S16",3,X1878="E8",4,X1878="F4",5,X1878="2ND",6,X1878="Champions",7)</f>
        <v>0</v>
      </c>
      <c r="X1878" t="s">
        <v>90</v>
      </c>
      <c r="Y1878" t="s">
        <v>90</v>
      </c>
      <c r="Z1878">
        <v>2013</v>
      </c>
    </row>
    <row r="1879" spans="1:26" x14ac:dyDescent="0.3">
      <c r="A1879" t="s">
        <v>256</v>
      </c>
      <c r="B1879" t="s">
        <v>57</v>
      </c>
      <c r="C1879">
        <v>34</v>
      </c>
      <c r="D1879">
        <v>20</v>
      </c>
      <c r="E1879" s="1">
        <f t="shared" si="29"/>
        <v>0.58823529411764708</v>
      </c>
      <c r="F1879">
        <v>106.6</v>
      </c>
      <c r="G1879">
        <v>102.1</v>
      </c>
      <c r="H1879">
        <v>0.62209999999999999</v>
      </c>
      <c r="I1879">
        <v>48.8</v>
      </c>
      <c r="J1879">
        <v>48.5</v>
      </c>
      <c r="K1879">
        <v>18.899999999999999</v>
      </c>
      <c r="L1879">
        <v>20.8</v>
      </c>
      <c r="M1879">
        <v>34.5</v>
      </c>
      <c r="N1879">
        <v>33.200000000000003</v>
      </c>
      <c r="O1879">
        <v>43.8</v>
      </c>
      <c r="P1879">
        <v>41.3</v>
      </c>
      <c r="Q1879">
        <v>46.3</v>
      </c>
      <c r="R1879">
        <v>49.5</v>
      </c>
      <c r="S1879">
        <v>35.799999999999997</v>
      </c>
      <c r="T1879">
        <v>31</v>
      </c>
      <c r="U1879">
        <v>66.900000000000006</v>
      </c>
      <c r="V1879">
        <v>-6.8</v>
      </c>
      <c r="W1879" cm="1">
        <f t="array" ref="W1879">_xlfn.IFS(OR(X1879="N/A",X1879="NA"),0,OR(X1879="R64",X1879="R68"),1,X1879="R32",2,X1879="S16",3,X1879="E8",4,X1879="F4",5,X1879="2ND",6,X1879="Champions",7)</f>
        <v>0</v>
      </c>
      <c r="X1879" t="s">
        <v>90</v>
      </c>
      <c r="Y1879" t="s">
        <v>90</v>
      </c>
      <c r="Z1879">
        <v>2013</v>
      </c>
    </row>
    <row r="1880" spans="1:26" x14ac:dyDescent="0.3">
      <c r="A1880" t="s">
        <v>277</v>
      </c>
      <c r="B1880" t="s">
        <v>47</v>
      </c>
      <c r="C1880">
        <v>35</v>
      </c>
      <c r="D1880">
        <v>20</v>
      </c>
      <c r="E1880" s="1">
        <f t="shared" si="29"/>
        <v>0.5714285714285714</v>
      </c>
      <c r="F1880">
        <v>104.8</v>
      </c>
      <c r="G1880">
        <v>96.2</v>
      </c>
      <c r="H1880">
        <v>0.72929999999999995</v>
      </c>
      <c r="I1880">
        <v>48.5</v>
      </c>
      <c r="J1880">
        <v>50.7</v>
      </c>
      <c r="K1880">
        <v>16.899999999999999</v>
      </c>
      <c r="L1880">
        <v>21.5</v>
      </c>
      <c r="M1880">
        <v>29.3</v>
      </c>
      <c r="N1880">
        <v>29.3</v>
      </c>
      <c r="O1880">
        <v>31.1</v>
      </c>
      <c r="P1880">
        <v>34.4</v>
      </c>
      <c r="Q1880">
        <v>46</v>
      </c>
      <c r="R1880">
        <v>49.7</v>
      </c>
      <c r="S1880">
        <v>36.700000000000003</v>
      </c>
      <c r="T1880">
        <v>35.200000000000003</v>
      </c>
      <c r="U1880">
        <v>66.099999999999994</v>
      </c>
      <c r="V1880">
        <v>-4.5999999999999996</v>
      </c>
      <c r="W1880" cm="1">
        <f t="array" ref="W1880">_xlfn.IFS(OR(X1880="N/A",X1880="NA"),0,OR(X1880="R64",X1880="R68"),1,X1880="R32",2,X1880="S16",3,X1880="E8",4,X1880="F4",5,X1880="2ND",6,X1880="Champions",7)</f>
        <v>0</v>
      </c>
      <c r="X1880" t="s">
        <v>90</v>
      </c>
      <c r="Y1880" t="s">
        <v>90</v>
      </c>
      <c r="Z1880">
        <v>2013</v>
      </c>
    </row>
    <row r="1881" spans="1:26" x14ac:dyDescent="0.3">
      <c r="A1881" t="s">
        <v>39</v>
      </c>
      <c r="B1881" t="s">
        <v>29</v>
      </c>
      <c r="C1881">
        <v>33</v>
      </c>
      <c r="D1881">
        <v>21</v>
      </c>
      <c r="E1881" s="1">
        <f t="shared" si="29"/>
        <v>0.63636363636363635</v>
      </c>
      <c r="F1881">
        <v>109.7</v>
      </c>
      <c r="G1881">
        <v>96.7</v>
      </c>
      <c r="H1881">
        <v>0.81</v>
      </c>
      <c r="I1881">
        <v>52.6</v>
      </c>
      <c r="J1881">
        <v>43.9</v>
      </c>
      <c r="K1881">
        <v>19.399999999999999</v>
      </c>
      <c r="L1881">
        <v>17.600000000000001</v>
      </c>
      <c r="M1881">
        <v>34.700000000000003</v>
      </c>
      <c r="N1881">
        <v>31.2</v>
      </c>
      <c r="O1881">
        <v>41.7</v>
      </c>
      <c r="P1881">
        <v>30.2</v>
      </c>
      <c r="Q1881">
        <v>52.9</v>
      </c>
      <c r="R1881">
        <v>42</v>
      </c>
      <c r="S1881">
        <v>34.6</v>
      </c>
      <c r="T1881">
        <v>32.4</v>
      </c>
      <c r="U1881">
        <v>67.5</v>
      </c>
      <c r="V1881">
        <v>-0.2</v>
      </c>
      <c r="W1881" cm="1">
        <f t="array" ref="W1881">_xlfn.IFS(OR(X1881="N/A",X1881="NA"),0,OR(X1881="R64",X1881="R68"),1,X1881="R32",2,X1881="S16",3,X1881="E8",4,X1881="F4",5,X1881="2ND",6,X1881="Champions",7)</f>
        <v>0</v>
      </c>
      <c r="X1881" t="s">
        <v>90</v>
      </c>
      <c r="Y1881" t="s">
        <v>90</v>
      </c>
      <c r="Z1881">
        <v>2013</v>
      </c>
    </row>
    <row r="1882" spans="1:26" x14ac:dyDescent="0.3">
      <c r="A1882" t="s">
        <v>95</v>
      </c>
      <c r="B1882" t="s">
        <v>45</v>
      </c>
      <c r="C1882">
        <v>33</v>
      </c>
      <c r="D1882">
        <v>21</v>
      </c>
      <c r="E1882" s="1">
        <f t="shared" si="29"/>
        <v>0.63636363636363635</v>
      </c>
      <c r="F1882">
        <v>106.7</v>
      </c>
      <c r="G1882">
        <v>97.4</v>
      </c>
      <c r="H1882">
        <v>0.7409</v>
      </c>
      <c r="I1882">
        <v>49.5</v>
      </c>
      <c r="J1882">
        <v>47.4</v>
      </c>
      <c r="K1882">
        <v>20.3</v>
      </c>
      <c r="L1882">
        <v>18.899999999999999</v>
      </c>
      <c r="M1882">
        <v>32.4</v>
      </c>
      <c r="N1882">
        <v>32.6</v>
      </c>
      <c r="O1882">
        <v>35.799999999999997</v>
      </c>
      <c r="P1882">
        <v>35</v>
      </c>
      <c r="Q1882">
        <v>48.9</v>
      </c>
      <c r="R1882">
        <v>46.9</v>
      </c>
      <c r="S1882">
        <v>33.6</v>
      </c>
      <c r="T1882">
        <v>32.4</v>
      </c>
      <c r="U1882">
        <v>71.2</v>
      </c>
      <c r="V1882">
        <v>-1</v>
      </c>
      <c r="W1882" cm="1">
        <f t="array" ref="W1882">_xlfn.IFS(OR(X1882="N/A",X1882="NA"),0,OR(X1882="R64",X1882="R68"),1,X1882="R32",2,X1882="S16",3,X1882="E8",4,X1882="F4",5,X1882="2ND",6,X1882="Champions",7)</f>
        <v>0</v>
      </c>
      <c r="X1882" t="s">
        <v>90</v>
      </c>
      <c r="Y1882" t="s">
        <v>90</v>
      </c>
      <c r="Z1882">
        <v>2013</v>
      </c>
    </row>
    <row r="1883" spans="1:26" x14ac:dyDescent="0.3">
      <c r="A1883" t="s">
        <v>207</v>
      </c>
      <c r="B1883" t="s">
        <v>45</v>
      </c>
      <c r="C1883">
        <v>33</v>
      </c>
      <c r="D1883">
        <v>21</v>
      </c>
      <c r="E1883" s="1">
        <f t="shared" si="29"/>
        <v>0.63636363636363635</v>
      </c>
      <c r="F1883">
        <v>99.8</v>
      </c>
      <c r="G1883">
        <v>96.1</v>
      </c>
      <c r="H1883">
        <v>0.60919999999999996</v>
      </c>
      <c r="I1883">
        <v>47.1</v>
      </c>
      <c r="J1883">
        <v>46.9</v>
      </c>
      <c r="K1883">
        <v>22.3</v>
      </c>
      <c r="L1883">
        <v>20.2</v>
      </c>
      <c r="M1883">
        <v>36.5</v>
      </c>
      <c r="N1883">
        <v>31.1</v>
      </c>
      <c r="O1883">
        <v>44.8</v>
      </c>
      <c r="P1883">
        <v>39.299999999999997</v>
      </c>
      <c r="Q1883">
        <v>49.2</v>
      </c>
      <c r="R1883">
        <v>45.3</v>
      </c>
      <c r="S1883">
        <v>26.8</v>
      </c>
      <c r="T1883">
        <v>33.299999999999997</v>
      </c>
      <c r="U1883">
        <v>67.8</v>
      </c>
      <c r="V1883">
        <v>-1.6</v>
      </c>
      <c r="W1883" cm="1">
        <f t="array" ref="W1883">_xlfn.IFS(OR(X1883="N/A",X1883="NA"),0,OR(X1883="R64",X1883="R68"),1,X1883="R32",2,X1883="S16",3,X1883="E8",4,X1883="F4",5,X1883="2ND",6,X1883="Champions",7)</f>
        <v>0</v>
      </c>
      <c r="X1883" t="s">
        <v>90</v>
      </c>
      <c r="Y1883" t="s">
        <v>90</v>
      </c>
      <c r="Z1883">
        <v>2013</v>
      </c>
    </row>
    <row r="1884" spans="1:26" x14ac:dyDescent="0.3">
      <c r="A1884" t="s">
        <v>119</v>
      </c>
      <c r="B1884" t="s">
        <v>112</v>
      </c>
      <c r="C1884">
        <v>33</v>
      </c>
      <c r="D1884">
        <v>21</v>
      </c>
      <c r="E1884" s="1">
        <f t="shared" si="29"/>
        <v>0.63636363636363635</v>
      </c>
      <c r="F1884">
        <v>101.8</v>
      </c>
      <c r="G1884">
        <v>99.2</v>
      </c>
      <c r="H1884">
        <v>0.57410000000000005</v>
      </c>
      <c r="I1884">
        <v>48.6</v>
      </c>
      <c r="J1884">
        <v>46.7</v>
      </c>
      <c r="K1884">
        <v>20.6</v>
      </c>
      <c r="L1884">
        <v>20.6</v>
      </c>
      <c r="M1884">
        <v>34.299999999999997</v>
      </c>
      <c r="N1884">
        <v>28.8</v>
      </c>
      <c r="O1884">
        <v>44.8</v>
      </c>
      <c r="P1884">
        <v>33.799999999999997</v>
      </c>
      <c r="Q1884">
        <v>48.7</v>
      </c>
      <c r="R1884">
        <v>45.3</v>
      </c>
      <c r="S1884">
        <v>32.200000000000003</v>
      </c>
      <c r="T1884">
        <v>32.700000000000003</v>
      </c>
      <c r="U1884">
        <v>62.3</v>
      </c>
      <c r="V1884">
        <v>-6</v>
      </c>
      <c r="W1884" cm="1">
        <f t="array" ref="W1884">_xlfn.IFS(OR(X1884="N/A",X1884="NA"),0,OR(X1884="R64",X1884="R68"),1,X1884="R32",2,X1884="S16",3,X1884="E8",4,X1884="F4",5,X1884="2ND",6,X1884="Champions",7)</f>
        <v>0</v>
      </c>
      <c r="X1884" t="s">
        <v>90</v>
      </c>
      <c r="Y1884" t="s">
        <v>90</v>
      </c>
      <c r="Z1884">
        <v>2013</v>
      </c>
    </row>
    <row r="1885" spans="1:26" x14ac:dyDescent="0.3">
      <c r="A1885" t="s">
        <v>270</v>
      </c>
      <c r="B1885" t="s">
        <v>66</v>
      </c>
      <c r="C1885">
        <v>33</v>
      </c>
      <c r="D1885">
        <v>21</v>
      </c>
      <c r="E1885" s="1">
        <f t="shared" si="29"/>
        <v>0.63636363636363635</v>
      </c>
      <c r="F1885">
        <v>94.3</v>
      </c>
      <c r="G1885">
        <v>97.6</v>
      </c>
      <c r="H1885">
        <v>0.4032</v>
      </c>
      <c r="I1885">
        <v>46.2</v>
      </c>
      <c r="J1885">
        <v>44.9</v>
      </c>
      <c r="K1885">
        <v>21.1</v>
      </c>
      <c r="L1885">
        <v>22</v>
      </c>
      <c r="M1885">
        <v>33.700000000000003</v>
      </c>
      <c r="N1885">
        <v>36</v>
      </c>
      <c r="O1885">
        <v>40</v>
      </c>
      <c r="P1885">
        <v>38.5</v>
      </c>
      <c r="Q1885">
        <v>45.2</v>
      </c>
      <c r="R1885">
        <v>45.3</v>
      </c>
      <c r="S1885">
        <v>32.5</v>
      </c>
      <c r="T1885">
        <v>29.3</v>
      </c>
      <c r="U1885">
        <v>68.5</v>
      </c>
      <c r="V1885">
        <v>-6.2</v>
      </c>
      <c r="W1885" cm="1">
        <f t="array" ref="W1885">_xlfn.IFS(OR(X1885="N/A",X1885="NA"),0,OR(X1885="R64",X1885="R68"),1,X1885="R32",2,X1885="S16",3,X1885="E8",4,X1885="F4",5,X1885="2ND",6,X1885="Champions",7)</f>
        <v>0</v>
      </c>
      <c r="X1885" t="s">
        <v>90</v>
      </c>
      <c r="Y1885" t="s">
        <v>90</v>
      </c>
      <c r="Z1885">
        <v>2013</v>
      </c>
    </row>
    <row r="1886" spans="1:26" x14ac:dyDescent="0.3">
      <c r="A1886" t="s">
        <v>261</v>
      </c>
      <c r="B1886" t="s">
        <v>57</v>
      </c>
      <c r="C1886">
        <v>34</v>
      </c>
      <c r="D1886">
        <v>21</v>
      </c>
      <c r="E1886" s="1">
        <f t="shared" si="29"/>
        <v>0.61764705882352944</v>
      </c>
      <c r="F1886">
        <v>99.8</v>
      </c>
      <c r="G1886">
        <v>99.8</v>
      </c>
      <c r="H1886">
        <v>0.49980000000000002</v>
      </c>
      <c r="I1886">
        <v>48.2</v>
      </c>
      <c r="J1886">
        <v>46.9</v>
      </c>
      <c r="K1886">
        <v>22.3</v>
      </c>
      <c r="L1886">
        <v>19.100000000000001</v>
      </c>
      <c r="M1886">
        <v>35.6</v>
      </c>
      <c r="N1886">
        <v>29.1</v>
      </c>
      <c r="O1886">
        <v>45.8</v>
      </c>
      <c r="P1886">
        <v>35.5</v>
      </c>
      <c r="Q1886">
        <v>48.2</v>
      </c>
      <c r="R1886">
        <v>44.4</v>
      </c>
      <c r="S1886">
        <v>32</v>
      </c>
      <c r="T1886">
        <v>34.5</v>
      </c>
      <c r="U1886">
        <v>66</v>
      </c>
      <c r="V1886">
        <v>-6.1</v>
      </c>
      <c r="W1886" cm="1">
        <f t="array" ref="W1886">_xlfn.IFS(OR(X1886="N/A",X1886="NA"),0,OR(X1886="R64",X1886="R68"),1,X1886="R32",2,X1886="S16",3,X1886="E8",4,X1886="F4",5,X1886="2ND",6,X1886="Champions",7)</f>
        <v>0</v>
      </c>
      <c r="X1886" t="s">
        <v>90</v>
      </c>
      <c r="Y1886" t="s">
        <v>90</v>
      </c>
      <c r="Z1886">
        <v>2013</v>
      </c>
    </row>
    <row r="1887" spans="1:26" x14ac:dyDescent="0.3">
      <c r="A1887" t="s">
        <v>381</v>
      </c>
      <c r="B1887" t="s">
        <v>51</v>
      </c>
      <c r="C1887">
        <v>32</v>
      </c>
      <c r="D1887">
        <v>22</v>
      </c>
      <c r="E1887" s="1">
        <f t="shared" si="29"/>
        <v>0.6875</v>
      </c>
      <c r="F1887">
        <v>109</v>
      </c>
      <c r="G1887">
        <v>94.8</v>
      </c>
      <c r="H1887">
        <v>0.83379999999999999</v>
      </c>
      <c r="I1887">
        <v>56.2</v>
      </c>
      <c r="J1887">
        <v>47.3</v>
      </c>
      <c r="K1887">
        <v>18.600000000000001</v>
      </c>
      <c r="L1887">
        <v>26.2</v>
      </c>
      <c r="M1887">
        <v>22.7</v>
      </c>
      <c r="N1887">
        <v>34.1</v>
      </c>
      <c r="O1887">
        <v>31.2</v>
      </c>
      <c r="P1887">
        <v>41</v>
      </c>
      <c r="Q1887">
        <v>56.1</v>
      </c>
      <c r="R1887">
        <v>46.5</v>
      </c>
      <c r="S1887">
        <v>37.5</v>
      </c>
      <c r="T1887">
        <v>33.1</v>
      </c>
      <c r="U1887">
        <v>59.1</v>
      </c>
      <c r="V1887">
        <v>-2.7</v>
      </c>
      <c r="W1887" cm="1">
        <f t="array" ref="W1887">_xlfn.IFS(OR(X1887="N/A",X1887="NA"),0,OR(X1887="R64",X1887="R68"),1,X1887="R32",2,X1887="S16",3,X1887="E8",4,X1887="F4",5,X1887="2ND",6,X1887="Champions",7)</f>
        <v>0</v>
      </c>
      <c r="X1887" t="s">
        <v>90</v>
      </c>
      <c r="Y1887" t="s">
        <v>90</v>
      </c>
      <c r="Z1887">
        <v>2013</v>
      </c>
    </row>
    <row r="1888" spans="1:26" x14ac:dyDescent="0.3">
      <c r="A1888" t="s">
        <v>153</v>
      </c>
      <c r="B1888" t="s">
        <v>35</v>
      </c>
      <c r="C1888">
        <v>36</v>
      </c>
      <c r="D1888">
        <v>22</v>
      </c>
      <c r="E1888" s="1">
        <f t="shared" si="29"/>
        <v>0.61111111111111116</v>
      </c>
      <c r="F1888">
        <v>112.4</v>
      </c>
      <c r="G1888">
        <v>95.3</v>
      </c>
      <c r="H1888">
        <v>0.86980000000000002</v>
      </c>
      <c r="I1888">
        <v>51.6</v>
      </c>
      <c r="J1888">
        <v>45.7</v>
      </c>
      <c r="K1888">
        <v>17.2</v>
      </c>
      <c r="L1888">
        <v>18.7</v>
      </c>
      <c r="M1888">
        <v>33.5</v>
      </c>
      <c r="N1888">
        <v>32.799999999999997</v>
      </c>
      <c r="O1888">
        <v>36.299999999999997</v>
      </c>
      <c r="P1888">
        <v>33.299999999999997</v>
      </c>
      <c r="Q1888">
        <v>51.1</v>
      </c>
      <c r="R1888">
        <v>44.7</v>
      </c>
      <c r="S1888">
        <v>34.9</v>
      </c>
      <c r="T1888">
        <v>32.200000000000003</v>
      </c>
      <c r="U1888">
        <v>67.599999999999994</v>
      </c>
      <c r="V1888">
        <v>-2.5</v>
      </c>
      <c r="W1888" cm="1">
        <f t="array" ref="W1888">_xlfn.IFS(OR(X1888="N/A",X1888="NA"),0,OR(X1888="R64",X1888="R68"),1,X1888="R32",2,X1888="S16",3,X1888="E8",4,X1888="F4",5,X1888="2ND",6,X1888="Champions",7)</f>
        <v>0</v>
      </c>
      <c r="X1888" t="s">
        <v>90</v>
      </c>
      <c r="Y1888" t="s">
        <v>90</v>
      </c>
      <c r="Z1888">
        <v>2013</v>
      </c>
    </row>
    <row r="1889" spans="1:26" x14ac:dyDescent="0.3">
      <c r="A1889" t="s">
        <v>388</v>
      </c>
      <c r="B1889" t="s">
        <v>72</v>
      </c>
      <c r="C1889">
        <v>32</v>
      </c>
      <c r="D1889">
        <v>22</v>
      </c>
      <c r="E1889" s="1">
        <f t="shared" si="29"/>
        <v>0.6875</v>
      </c>
      <c r="F1889">
        <v>102.1</v>
      </c>
      <c r="G1889">
        <v>94.2</v>
      </c>
      <c r="H1889">
        <v>0.7167</v>
      </c>
      <c r="I1889">
        <v>52.8</v>
      </c>
      <c r="J1889">
        <v>44.4</v>
      </c>
      <c r="K1889">
        <v>18.100000000000001</v>
      </c>
      <c r="L1889">
        <v>18.100000000000001</v>
      </c>
      <c r="M1889">
        <v>30</v>
      </c>
      <c r="N1889">
        <v>25.1</v>
      </c>
      <c r="O1889">
        <v>28.4</v>
      </c>
      <c r="P1889">
        <v>35.4</v>
      </c>
      <c r="Q1889">
        <v>52.3</v>
      </c>
      <c r="R1889">
        <v>42.3</v>
      </c>
      <c r="S1889">
        <v>35.799999999999997</v>
      </c>
      <c r="T1889">
        <v>32.4</v>
      </c>
      <c r="U1889">
        <v>60.8</v>
      </c>
      <c r="V1889">
        <v>-3.6</v>
      </c>
      <c r="W1889" cm="1">
        <f t="array" ref="W1889">_xlfn.IFS(OR(X1889="N/A",X1889="NA"),0,OR(X1889="R64",X1889="R68"),1,X1889="R32",2,X1889="S16",3,X1889="E8",4,X1889="F4",5,X1889="2ND",6,X1889="Champions",7)</f>
        <v>0</v>
      </c>
      <c r="X1889" t="s">
        <v>90</v>
      </c>
      <c r="Y1889" t="s">
        <v>90</v>
      </c>
      <c r="Z1889">
        <v>2013</v>
      </c>
    </row>
    <row r="1890" spans="1:26" x14ac:dyDescent="0.3">
      <c r="A1890" t="s">
        <v>351</v>
      </c>
      <c r="B1890" t="s">
        <v>131</v>
      </c>
      <c r="C1890">
        <v>34</v>
      </c>
      <c r="D1890">
        <v>22</v>
      </c>
      <c r="E1890" s="1">
        <f t="shared" si="29"/>
        <v>0.6470588235294118</v>
      </c>
      <c r="F1890">
        <v>102.3</v>
      </c>
      <c r="G1890">
        <v>98.6</v>
      </c>
      <c r="H1890">
        <v>0.60419999999999996</v>
      </c>
      <c r="I1890">
        <v>50.3</v>
      </c>
      <c r="J1890">
        <v>46.7</v>
      </c>
      <c r="K1890">
        <v>19.5</v>
      </c>
      <c r="L1890">
        <v>21.8</v>
      </c>
      <c r="M1890">
        <v>29.6</v>
      </c>
      <c r="N1890">
        <v>32.6</v>
      </c>
      <c r="O1890">
        <v>35.6</v>
      </c>
      <c r="P1890">
        <v>40.299999999999997</v>
      </c>
      <c r="Q1890">
        <v>48.4</v>
      </c>
      <c r="R1890">
        <v>43.7</v>
      </c>
      <c r="S1890">
        <v>35.4</v>
      </c>
      <c r="T1890">
        <v>34.5</v>
      </c>
      <c r="U1890">
        <v>62.8</v>
      </c>
      <c r="V1890">
        <v>-5.6</v>
      </c>
      <c r="W1890" cm="1">
        <f t="array" ref="W1890">_xlfn.IFS(OR(X1890="N/A",X1890="NA"),0,OR(X1890="R64",X1890="R68"),1,X1890="R32",2,X1890="S16",3,X1890="E8",4,X1890="F4",5,X1890="2ND",6,X1890="Champions",7)</f>
        <v>0</v>
      </c>
      <c r="X1890" t="s">
        <v>90</v>
      </c>
      <c r="Y1890" t="s">
        <v>90</v>
      </c>
      <c r="Z1890">
        <v>2013</v>
      </c>
    </row>
    <row r="1891" spans="1:26" x14ac:dyDescent="0.3">
      <c r="A1891" t="s">
        <v>358</v>
      </c>
      <c r="B1891" t="s">
        <v>29</v>
      </c>
      <c r="C1891">
        <v>35</v>
      </c>
      <c r="D1891">
        <v>22</v>
      </c>
      <c r="E1891" s="1">
        <f t="shared" si="29"/>
        <v>0.62857142857142856</v>
      </c>
      <c r="F1891">
        <v>102.6</v>
      </c>
      <c r="G1891">
        <v>89.7</v>
      </c>
      <c r="H1891">
        <v>0.82430000000000003</v>
      </c>
      <c r="I1891">
        <v>47.9</v>
      </c>
      <c r="J1891">
        <v>45.7</v>
      </c>
      <c r="K1891">
        <v>19.899999999999999</v>
      </c>
      <c r="L1891">
        <v>22.6</v>
      </c>
      <c r="M1891">
        <v>32</v>
      </c>
      <c r="N1891">
        <v>32.9</v>
      </c>
      <c r="O1891">
        <v>33.9</v>
      </c>
      <c r="P1891">
        <v>32.700000000000003</v>
      </c>
      <c r="Q1891">
        <v>47.1</v>
      </c>
      <c r="R1891">
        <v>45.2</v>
      </c>
      <c r="S1891">
        <v>33</v>
      </c>
      <c r="T1891">
        <v>31.3</v>
      </c>
      <c r="U1891">
        <v>61.7</v>
      </c>
      <c r="V1891">
        <v>-1.5</v>
      </c>
      <c r="W1891" cm="1">
        <f t="array" ref="W1891">_xlfn.IFS(OR(X1891="N/A",X1891="NA"),0,OR(X1891="R64",X1891="R68"),1,X1891="R32",2,X1891="S16",3,X1891="E8",4,X1891="F4",5,X1891="2ND",6,X1891="Champions",7)</f>
        <v>0</v>
      </c>
      <c r="X1891" t="s">
        <v>90</v>
      </c>
      <c r="Y1891" t="s">
        <v>90</v>
      </c>
      <c r="Z1891">
        <v>2013</v>
      </c>
    </row>
    <row r="1892" spans="1:26" x14ac:dyDescent="0.3">
      <c r="A1892" t="s">
        <v>316</v>
      </c>
      <c r="B1892" t="s">
        <v>38</v>
      </c>
      <c r="C1892">
        <v>35</v>
      </c>
      <c r="D1892">
        <v>22</v>
      </c>
      <c r="E1892" s="1">
        <f t="shared" si="29"/>
        <v>0.62857142857142856</v>
      </c>
      <c r="F1892">
        <v>107.5</v>
      </c>
      <c r="G1892">
        <v>96.3</v>
      </c>
      <c r="H1892">
        <v>0.77980000000000005</v>
      </c>
      <c r="I1892">
        <v>52.3</v>
      </c>
      <c r="J1892">
        <v>46.4</v>
      </c>
      <c r="K1892">
        <v>18.5</v>
      </c>
      <c r="L1892">
        <v>18.100000000000001</v>
      </c>
      <c r="M1892">
        <v>28.3</v>
      </c>
      <c r="N1892">
        <v>30</v>
      </c>
      <c r="O1892">
        <v>35.9</v>
      </c>
      <c r="P1892">
        <v>26.6</v>
      </c>
      <c r="Q1892">
        <v>52.5</v>
      </c>
      <c r="R1892">
        <v>44.5</v>
      </c>
      <c r="S1892">
        <v>34.6</v>
      </c>
      <c r="T1892">
        <v>33.700000000000003</v>
      </c>
      <c r="U1892">
        <v>66.2</v>
      </c>
      <c r="V1892">
        <v>-1.7</v>
      </c>
      <c r="W1892" cm="1">
        <f t="array" ref="W1892">_xlfn.IFS(OR(X1892="N/A",X1892="NA"),0,OR(X1892="R64",X1892="R68"),1,X1892="R32",2,X1892="S16",3,X1892="E8",4,X1892="F4",5,X1892="2ND",6,X1892="Champions",7)</f>
        <v>0</v>
      </c>
      <c r="X1892" t="s">
        <v>90</v>
      </c>
      <c r="Y1892" t="s">
        <v>90</v>
      </c>
      <c r="Z1892">
        <v>2013</v>
      </c>
    </row>
    <row r="1893" spans="1:26" x14ac:dyDescent="0.3">
      <c r="A1893" t="s">
        <v>227</v>
      </c>
      <c r="B1893" t="s">
        <v>43</v>
      </c>
      <c r="C1893">
        <v>35</v>
      </c>
      <c r="D1893">
        <v>22</v>
      </c>
      <c r="E1893" s="1">
        <f t="shared" si="29"/>
        <v>0.62857142857142856</v>
      </c>
      <c r="F1893">
        <v>96.2</v>
      </c>
      <c r="G1893">
        <v>91.6</v>
      </c>
      <c r="H1893">
        <v>0.6391</v>
      </c>
      <c r="I1893">
        <v>49.5</v>
      </c>
      <c r="J1893">
        <v>46.8</v>
      </c>
      <c r="K1893">
        <v>20.3</v>
      </c>
      <c r="L1893">
        <v>24.3</v>
      </c>
      <c r="M1893">
        <v>26.4</v>
      </c>
      <c r="N1893">
        <v>29.1</v>
      </c>
      <c r="O1893">
        <v>33</v>
      </c>
      <c r="P1893">
        <v>43.5</v>
      </c>
      <c r="Q1893">
        <v>48.4</v>
      </c>
      <c r="R1893">
        <v>47.3</v>
      </c>
      <c r="S1893">
        <v>34.6</v>
      </c>
      <c r="T1893">
        <v>30.5</v>
      </c>
      <c r="U1893">
        <v>63.2</v>
      </c>
      <c r="V1893">
        <v>-5.9</v>
      </c>
      <c r="W1893" cm="1">
        <f t="array" ref="W1893">_xlfn.IFS(OR(X1893="N/A",X1893="NA"),0,OR(X1893="R64",X1893="R68"),1,X1893="R32",2,X1893="S16",3,X1893="E8",4,X1893="F4",5,X1893="2ND",6,X1893="Champions",7)</f>
        <v>0</v>
      </c>
      <c r="X1893" t="s">
        <v>90</v>
      </c>
      <c r="Y1893" t="s">
        <v>90</v>
      </c>
      <c r="Z1893">
        <v>2013</v>
      </c>
    </row>
    <row r="1894" spans="1:26" x14ac:dyDescent="0.3">
      <c r="A1894" t="s">
        <v>92</v>
      </c>
      <c r="B1894" t="s">
        <v>53</v>
      </c>
      <c r="C1894">
        <v>38</v>
      </c>
      <c r="D1894">
        <v>22</v>
      </c>
      <c r="E1894" s="1">
        <f t="shared" si="29"/>
        <v>0.57894736842105265</v>
      </c>
      <c r="F1894">
        <v>102.4</v>
      </c>
      <c r="G1894">
        <v>98.3</v>
      </c>
      <c r="H1894">
        <v>0.61570000000000003</v>
      </c>
      <c r="I1894">
        <v>48.5</v>
      </c>
      <c r="J1894">
        <v>47.3</v>
      </c>
      <c r="K1894">
        <v>20.3</v>
      </c>
      <c r="L1894">
        <v>21.8</v>
      </c>
      <c r="M1894">
        <v>34.700000000000003</v>
      </c>
      <c r="N1894">
        <v>33.4</v>
      </c>
      <c r="O1894">
        <v>35.299999999999997</v>
      </c>
      <c r="P1894">
        <v>44.5</v>
      </c>
      <c r="Q1894">
        <v>47.1</v>
      </c>
      <c r="R1894">
        <v>45.8</v>
      </c>
      <c r="S1894">
        <v>34.6</v>
      </c>
      <c r="T1894">
        <v>33.299999999999997</v>
      </c>
      <c r="U1894">
        <v>67</v>
      </c>
      <c r="V1894">
        <v>-7.8</v>
      </c>
      <c r="W1894" cm="1">
        <f t="array" ref="W1894">_xlfn.IFS(OR(X1894="N/A",X1894="NA"),0,OR(X1894="R64",X1894="R68"),1,X1894="R32",2,X1894="S16",3,X1894="E8",4,X1894="F4",5,X1894="2ND",6,X1894="Champions",7)</f>
        <v>0</v>
      </c>
      <c r="X1894" t="s">
        <v>90</v>
      </c>
      <c r="Y1894" t="s">
        <v>90</v>
      </c>
      <c r="Z1894">
        <v>2013</v>
      </c>
    </row>
    <row r="1895" spans="1:26" x14ac:dyDescent="0.3">
      <c r="A1895" t="s">
        <v>44</v>
      </c>
      <c r="B1895" t="s">
        <v>26</v>
      </c>
      <c r="C1895">
        <v>35</v>
      </c>
      <c r="D1895">
        <v>23</v>
      </c>
      <c r="E1895" s="1">
        <f t="shared" si="29"/>
        <v>0.65714285714285714</v>
      </c>
      <c r="F1895">
        <v>107.4</v>
      </c>
      <c r="G1895">
        <v>90.3</v>
      </c>
      <c r="H1895">
        <v>0.87980000000000003</v>
      </c>
      <c r="I1895">
        <v>51.6</v>
      </c>
      <c r="J1895">
        <v>44.1</v>
      </c>
      <c r="K1895">
        <v>18.2</v>
      </c>
      <c r="L1895">
        <v>20.9</v>
      </c>
      <c r="M1895">
        <v>28.3</v>
      </c>
      <c r="N1895">
        <v>27.9</v>
      </c>
      <c r="O1895">
        <v>31.6</v>
      </c>
      <c r="P1895">
        <v>31.8</v>
      </c>
      <c r="Q1895">
        <v>48.9</v>
      </c>
      <c r="R1895">
        <v>42.7</v>
      </c>
      <c r="S1895">
        <v>38.5</v>
      </c>
      <c r="T1895">
        <v>31.2</v>
      </c>
      <c r="U1895">
        <v>60.7</v>
      </c>
      <c r="V1895">
        <v>-1.5</v>
      </c>
      <c r="W1895" cm="1">
        <f t="array" ref="W1895">_xlfn.IFS(OR(X1895="N/A",X1895="NA"),0,OR(X1895="R64",X1895="R68"),1,X1895="R32",2,X1895="S16",3,X1895="E8",4,X1895="F4",5,X1895="2ND",6,X1895="Champions",7)</f>
        <v>0</v>
      </c>
      <c r="X1895" t="s">
        <v>90</v>
      </c>
      <c r="Y1895" t="s">
        <v>90</v>
      </c>
      <c r="Z1895">
        <v>2013</v>
      </c>
    </row>
    <row r="1896" spans="1:26" x14ac:dyDescent="0.3">
      <c r="A1896" t="s">
        <v>380</v>
      </c>
      <c r="B1896" t="s">
        <v>61</v>
      </c>
      <c r="C1896">
        <v>28</v>
      </c>
      <c r="D1896">
        <v>23</v>
      </c>
      <c r="E1896" s="1">
        <f t="shared" si="29"/>
        <v>0.8214285714285714</v>
      </c>
      <c r="F1896">
        <v>98</v>
      </c>
      <c r="G1896">
        <v>88.7</v>
      </c>
      <c r="H1896">
        <v>0.75819999999999999</v>
      </c>
      <c r="I1896">
        <v>50.5</v>
      </c>
      <c r="J1896">
        <v>42.2</v>
      </c>
      <c r="K1896">
        <v>20.5</v>
      </c>
      <c r="L1896">
        <v>22.6</v>
      </c>
      <c r="M1896">
        <v>34.1</v>
      </c>
      <c r="N1896">
        <v>25.9</v>
      </c>
      <c r="O1896">
        <v>40.4</v>
      </c>
      <c r="P1896">
        <v>35.5</v>
      </c>
      <c r="Q1896">
        <v>50.9</v>
      </c>
      <c r="R1896">
        <v>41.4</v>
      </c>
      <c r="S1896">
        <v>32.799999999999997</v>
      </c>
      <c r="T1896">
        <v>29.7</v>
      </c>
      <c r="U1896">
        <v>60.8</v>
      </c>
      <c r="V1896">
        <v>-0.5</v>
      </c>
      <c r="W1896" cm="1">
        <f t="array" ref="W1896">_xlfn.IFS(OR(X1896="N/A",X1896="NA"),0,OR(X1896="R64",X1896="R68"),1,X1896="R32",2,X1896="S16",3,X1896="E8",4,X1896="F4",5,X1896="2ND",6,X1896="Champions",7)</f>
        <v>0</v>
      </c>
      <c r="X1896" t="s">
        <v>90</v>
      </c>
      <c r="Y1896" t="s">
        <v>90</v>
      </c>
      <c r="Z1896">
        <v>2013</v>
      </c>
    </row>
    <row r="1897" spans="1:26" x14ac:dyDescent="0.3">
      <c r="A1897" t="s">
        <v>306</v>
      </c>
      <c r="B1897" t="s">
        <v>64</v>
      </c>
      <c r="C1897">
        <v>33</v>
      </c>
      <c r="D1897">
        <v>23</v>
      </c>
      <c r="E1897" s="1">
        <f t="shared" si="29"/>
        <v>0.69696969696969702</v>
      </c>
      <c r="F1897">
        <v>108.4</v>
      </c>
      <c r="G1897">
        <v>103.7</v>
      </c>
      <c r="H1897">
        <v>0.62419999999999998</v>
      </c>
      <c r="I1897">
        <v>54</v>
      </c>
      <c r="J1897">
        <v>51.2</v>
      </c>
      <c r="K1897">
        <v>17.899999999999999</v>
      </c>
      <c r="L1897">
        <v>25.5</v>
      </c>
      <c r="M1897">
        <v>27.9</v>
      </c>
      <c r="N1897">
        <v>38</v>
      </c>
      <c r="O1897">
        <v>34.799999999999997</v>
      </c>
      <c r="P1897">
        <v>43.7</v>
      </c>
      <c r="Q1897">
        <v>55.4</v>
      </c>
      <c r="R1897">
        <v>53.3</v>
      </c>
      <c r="S1897">
        <v>35</v>
      </c>
      <c r="T1897">
        <v>31.5</v>
      </c>
      <c r="U1897">
        <v>65.099999999999994</v>
      </c>
      <c r="V1897">
        <v>-4</v>
      </c>
      <c r="W1897" cm="1">
        <f t="array" ref="W1897">_xlfn.IFS(OR(X1897="N/A",X1897="NA"),0,OR(X1897="R64",X1897="R68"),1,X1897="R32",2,X1897="S16",3,X1897="E8",4,X1897="F4",5,X1897="2ND",6,X1897="Champions",7)</f>
        <v>0</v>
      </c>
      <c r="X1897" t="s">
        <v>90</v>
      </c>
      <c r="Y1897" t="s">
        <v>90</v>
      </c>
      <c r="Z1897">
        <v>2013</v>
      </c>
    </row>
    <row r="1898" spans="1:26" x14ac:dyDescent="0.3">
      <c r="A1898" t="s">
        <v>417</v>
      </c>
      <c r="B1898" t="s">
        <v>37</v>
      </c>
      <c r="C1898">
        <v>35</v>
      </c>
      <c r="D1898">
        <v>23</v>
      </c>
      <c r="E1898" s="1">
        <f t="shared" si="29"/>
        <v>0.65714285714285714</v>
      </c>
      <c r="F1898">
        <v>109.1</v>
      </c>
      <c r="G1898">
        <v>95.8</v>
      </c>
      <c r="H1898">
        <v>0.8165</v>
      </c>
      <c r="I1898">
        <v>50.2</v>
      </c>
      <c r="J1898">
        <v>48.1</v>
      </c>
      <c r="K1898">
        <v>17</v>
      </c>
      <c r="L1898">
        <v>19.3</v>
      </c>
      <c r="M1898">
        <v>32.799999999999997</v>
      </c>
      <c r="N1898">
        <v>27.7</v>
      </c>
      <c r="O1898">
        <v>36</v>
      </c>
      <c r="P1898">
        <v>37.6</v>
      </c>
      <c r="Q1898">
        <v>50.2</v>
      </c>
      <c r="R1898">
        <v>47.1</v>
      </c>
      <c r="S1898">
        <v>33.5</v>
      </c>
      <c r="T1898">
        <v>33.299999999999997</v>
      </c>
      <c r="U1898">
        <v>71.400000000000006</v>
      </c>
      <c r="V1898">
        <v>-2.5</v>
      </c>
      <c r="W1898" cm="1">
        <f t="array" ref="W1898">_xlfn.IFS(OR(X1898="N/A",X1898="NA"),0,OR(X1898="R64",X1898="R68"),1,X1898="R32",2,X1898="S16",3,X1898="E8",4,X1898="F4",5,X1898="2ND",6,X1898="Champions",7)</f>
        <v>0</v>
      </c>
      <c r="X1898" t="s">
        <v>90</v>
      </c>
      <c r="Y1898" t="s">
        <v>90</v>
      </c>
      <c r="Z1898">
        <v>2013</v>
      </c>
    </row>
    <row r="1899" spans="1:26" x14ac:dyDescent="0.3">
      <c r="A1899" t="s">
        <v>333</v>
      </c>
      <c r="B1899" t="s">
        <v>69</v>
      </c>
      <c r="C1899">
        <v>35</v>
      </c>
      <c r="D1899">
        <v>23</v>
      </c>
      <c r="E1899" s="1">
        <f t="shared" si="29"/>
        <v>0.65714285714285714</v>
      </c>
      <c r="F1899">
        <v>102.3</v>
      </c>
      <c r="G1899">
        <v>98.5</v>
      </c>
      <c r="H1899">
        <v>0.60860000000000003</v>
      </c>
      <c r="I1899">
        <v>46.9</v>
      </c>
      <c r="J1899">
        <v>45.8</v>
      </c>
      <c r="K1899">
        <v>18.399999999999999</v>
      </c>
      <c r="L1899">
        <v>20.9</v>
      </c>
      <c r="M1899">
        <v>37.1</v>
      </c>
      <c r="N1899">
        <v>35.9</v>
      </c>
      <c r="O1899">
        <v>41</v>
      </c>
      <c r="P1899">
        <v>42.4</v>
      </c>
      <c r="Q1899">
        <v>47.6</v>
      </c>
      <c r="R1899">
        <v>46.2</v>
      </c>
      <c r="S1899">
        <v>29.9</v>
      </c>
      <c r="T1899">
        <v>30</v>
      </c>
      <c r="U1899">
        <v>63.7</v>
      </c>
      <c r="V1899">
        <v>-4.9000000000000004</v>
      </c>
      <c r="W1899" cm="1">
        <f t="array" ref="W1899">_xlfn.IFS(OR(X1899="N/A",X1899="NA"),0,OR(X1899="R64",X1899="R68"),1,X1899="R32",2,X1899="S16",3,X1899="E8",4,X1899="F4",5,X1899="2ND",6,X1899="Champions",7)</f>
        <v>0</v>
      </c>
      <c r="X1899" t="s">
        <v>90</v>
      </c>
      <c r="Y1899" t="s">
        <v>90</v>
      </c>
      <c r="Z1899">
        <v>2013</v>
      </c>
    </row>
    <row r="1900" spans="1:26" x14ac:dyDescent="0.3">
      <c r="A1900" t="s">
        <v>148</v>
      </c>
      <c r="B1900" t="s">
        <v>31</v>
      </c>
      <c r="C1900">
        <v>37</v>
      </c>
      <c r="D1900">
        <v>24</v>
      </c>
      <c r="E1900" s="1">
        <f t="shared" si="29"/>
        <v>0.64864864864864868</v>
      </c>
      <c r="F1900">
        <v>109.1</v>
      </c>
      <c r="G1900">
        <v>90.5</v>
      </c>
      <c r="H1900">
        <v>0.89590000000000003</v>
      </c>
      <c r="I1900">
        <v>46.4</v>
      </c>
      <c r="J1900">
        <v>44</v>
      </c>
      <c r="K1900">
        <v>18.600000000000001</v>
      </c>
      <c r="L1900">
        <v>19.7</v>
      </c>
      <c r="M1900">
        <v>36.6</v>
      </c>
      <c r="N1900">
        <v>30.8</v>
      </c>
      <c r="O1900">
        <v>40.799999999999997</v>
      </c>
      <c r="P1900">
        <v>31.2</v>
      </c>
      <c r="Q1900">
        <v>47.1</v>
      </c>
      <c r="R1900">
        <v>43.7</v>
      </c>
      <c r="S1900">
        <v>29.9</v>
      </c>
      <c r="T1900">
        <v>29.7</v>
      </c>
      <c r="U1900">
        <v>67.7</v>
      </c>
      <c r="V1900">
        <v>0.1</v>
      </c>
      <c r="W1900" cm="1">
        <f t="array" ref="W1900">_xlfn.IFS(OR(X1900="N/A",X1900="NA"),0,OR(X1900="R64",X1900="R68"),1,X1900="R32",2,X1900="S16",3,X1900="E8",4,X1900="F4",5,X1900="2ND",6,X1900="Champions",7)</f>
        <v>0</v>
      </c>
      <c r="X1900" t="s">
        <v>90</v>
      </c>
      <c r="Y1900" t="s">
        <v>90</v>
      </c>
      <c r="Z1900">
        <v>2013</v>
      </c>
    </row>
    <row r="1901" spans="1:26" x14ac:dyDescent="0.3">
      <c r="A1901" t="s">
        <v>116</v>
      </c>
      <c r="B1901" t="s">
        <v>112</v>
      </c>
      <c r="C1901">
        <v>32</v>
      </c>
      <c r="D1901">
        <v>24</v>
      </c>
      <c r="E1901" s="1">
        <f t="shared" si="29"/>
        <v>0.75</v>
      </c>
      <c r="F1901">
        <v>104.3</v>
      </c>
      <c r="G1901">
        <v>93.2</v>
      </c>
      <c r="H1901">
        <v>0.78490000000000004</v>
      </c>
      <c r="I1901">
        <v>49.6</v>
      </c>
      <c r="J1901">
        <v>44.1</v>
      </c>
      <c r="K1901">
        <v>18.3</v>
      </c>
      <c r="L1901">
        <v>20.5</v>
      </c>
      <c r="M1901">
        <v>31.9</v>
      </c>
      <c r="N1901">
        <v>27.4</v>
      </c>
      <c r="O1901">
        <v>37.700000000000003</v>
      </c>
      <c r="P1901">
        <v>26.7</v>
      </c>
      <c r="Q1901">
        <v>48.1</v>
      </c>
      <c r="R1901">
        <v>42.4</v>
      </c>
      <c r="S1901">
        <v>35.4</v>
      </c>
      <c r="T1901">
        <v>31.2</v>
      </c>
      <c r="U1901">
        <v>64.3</v>
      </c>
      <c r="V1901">
        <v>-2</v>
      </c>
      <c r="W1901" cm="1">
        <f t="array" ref="W1901">_xlfn.IFS(OR(X1901="N/A",X1901="NA"),0,OR(X1901="R64",X1901="R68"),1,X1901="R32",2,X1901="S16",3,X1901="E8",4,X1901="F4",5,X1901="2ND",6,X1901="Champions",7)</f>
        <v>0</v>
      </c>
      <c r="X1901" t="s">
        <v>90</v>
      </c>
      <c r="Y1901" t="s">
        <v>90</v>
      </c>
      <c r="Z1901">
        <v>2013</v>
      </c>
    </row>
    <row r="1902" spans="1:26" x14ac:dyDescent="0.3">
      <c r="A1902" t="s">
        <v>259</v>
      </c>
      <c r="B1902" t="s">
        <v>57</v>
      </c>
      <c r="C1902">
        <v>34</v>
      </c>
      <c r="D1902">
        <v>24</v>
      </c>
      <c r="E1902" s="1">
        <f t="shared" si="29"/>
        <v>0.70588235294117652</v>
      </c>
      <c r="F1902">
        <v>105</v>
      </c>
      <c r="G1902">
        <v>95.4</v>
      </c>
      <c r="H1902">
        <v>0.75109999999999999</v>
      </c>
      <c r="I1902">
        <v>53.6</v>
      </c>
      <c r="J1902">
        <v>47.5</v>
      </c>
      <c r="K1902">
        <v>18.5</v>
      </c>
      <c r="L1902">
        <v>25.5</v>
      </c>
      <c r="M1902">
        <v>27.4</v>
      </c>
      <c r="N1902">
        <v>34.4</v>
      </c>
      <c r="O1902">
        <v>31.3</v>
      </c>
      <c r="P1902">
        <v>45.9</v>
      </c>
      <c r="Q1902">
        <v>54.3</v>
      </c>
      <c r="R1902">
        <v>46.5</v>
      </c>
      <c r="S1902">
        <v>35.1</v>
      </c>
      <c r="T1902">
        <v>33.1</v>
      </c>
      <c r="U1902">
        <v>67.900000000000006</v>
      </c>
      <c r="V1902">
        <v>-2.5</v>
      </c>
      <c r="W1902" cm="1">
        <f t="array" ref="W1902">_xlfn.IFS(OR(X1902="N/A",X1902="NA"),0,OR(X1902="R64",X1902="R68"),1,X1902="R32",2,X1902="S16",3,X1902="E8",4,X1902="F4",5,X1902="2ND",6,X1902="Champions",7)</f>
        <v>0</v>
      </c>
      <c r="X1902" t="s">
        <v>90</v>
      </c>
      <c r="Y1902" t="s">
        <v>90</v>
      </c>
      <c r="Z1902">
        <v>2013</v>
      </c>
    </row>
    <row r="1903" spans="1:26" x14ac:dyDescent="0.3">
      <c r="A1903" t="s">
        <v>197</v>
      </c>
      <c r="B1903" t="s">
        <v>62</v>
      </c>
      <c r="C1903">
        <v>34</v>
      </c>
      <c r="D1903">
        <v>24</v>
      </c>
      <c r="E1903" s="1">
        <f t="shared" si="29"/>
        <v>0.70588235294117652</v>
      </c>
      <c r="F1903">
        <v>101.4</v>
      </c>
      <c r="G1903">
        <v>98.7</v>
      </c>
      <c r="H1903">
        <v>0.57679999999999998</v>
      </c>
      <c r="I1903">
        <v>50.2</v>
      </c>
      <c r="J1903">
        <v>45</v>
      </c>
      <c r="K1903">
        <v>20.6</v>
      </c>
      <c r="L1903">
        <v>15.5</v>
      </c>
      <c r="M1903">
        <v>33.299999999999997</v>
      </c>
      <c r="N1903">
        <v>27.2</v>
      </c>
      <c r="O1903">
        <v>38.5</v>
      </c>
      <c r="P1903">
        <v>26.9</v>
      </c>
      <c r="Q1903">
        <v>49.4</v>
      </c>
      <c r="R1903">
        <v>45</v>
      </c>
      <c r="S1903">
        <v>34.5</v>
      </c>
      <c r="T1903">
        <v>30</v>
      </c>
      <c r="U1903">
        <v>64.400000000000006</v>
      </c>
      <c r="V1903">
        <v>-3.8</v>
      </c>
      <c r="W1903" cm="1">
        <f t="array" ref="W1903">_xlfn.IFS(OR(X1903="N/A",X1903="NA"),0,OR(X1903="R64",X1903="R68"),1,X1903="R32",2,X1903="S16",3,X1903="E8",4,X1903="F4",5,X1903="2ND",6,X1903="Champions",7)</f>
        <v>0</v>
      </c>
      <c r="X1903" t="s">
        <v>90</v>
      </c>
      <c r="Y1903" t="s">
        <v>90</v>
      </c>
      <c r="Z1903">
        <v>2013</v>
      </c>
    </row>
    <row r="1904" spans="1:26" x14ac:dyDescent="0.3">
      <c r="A1904" t="s">
        <v>303</v>
      </c>
      <c r="B1904" t="s">
        <v>77</v>
      </c>
      <c r="C1904">
        <v>35</v>
      </c>
      <c r="D1904">
        <v>24</v>
      </c>
      <c r="E1904" s="1">
        <f t="shared" si="29"/>
        <v>0.68571428571428572</v>
      </c>
      <c r="F1904">
        <v>103.8</v>
      </c>
      <c r="G1904">
        <v>99.9</v>
      </c>
      <c r="H1904">
        <v>0.60709999999999997</v>
      </c>
      <c r="I1904">
        <v>51</v>
      </c>
      <c r="J1904">
        <v>50.6</v>
      </c>
      <c r="K1904">
        <v>19.2</v>
      </c>
      <c r="L1904">
        <v>24.6</v>
      </c>
      <c r="M1904">
        <v>31</v>
      </c>
      <c r="N1904">
        <v>32.5</v>
      </c>
      <c r="O1904">
        <v>37</v>
      </c>
      <c r="P1904">
        <v>46</v>
      </c>
      <c r="Q1904">
        <v>46.7</v>
      </c>
      <c r="R1904">
        <v>51.1</v>
      </c>
      <c r="S1904">
        <v>38.1</v>
      </c>
      <c r="T1904">
        <v>33.200000000000003</v>
      </c>
      <c r="U1904">
        <v>64.8</v>
      </c>
      <c r="V1904">
        <v>-5.9</v>
      </c>
      <c r="W1904" cm="1">
        <f t="array" ref="W1904">_xlfn.IFS(OR(X1904="N/A",X1904="NA"),0,OR(X1904="R64",X1904="R68"),1,X1904="R32",2,X1904="S16",3,X1904="E8",4,X1904="F4",5,X1904="2ND",6,X1904="Champions",7)</f>
        <v>0</v>
      </c>
      <c r="X1904" t="s">
        <v>90</v>
      </c>
      <c r="Y1904" t="s">
        <v>90</v>
      </c>
      <c r="Z1904">
        <v>2013</v>
      </c>
    </row>
    <row r="1905" spans="1:26" x14ac:dyDescent="0.3">
      <c r="A1905" t="s">
        <v>416</v>
      </c>
      <c r="B1905" t="s">
        <v>37</v>
      </c>
      <c r="C1905">
        <v>36</v>
      </c>
      <c r="D1905">
        <v>24</v>
      </c>
      <c r="E1905" s="1">
        <f t="shared" si="29"/>
        <v>0.66666666666666663</v>
      </c>
      <c r="F1905">
        <v>108.8</v>
      </c>
      <c r="G1905">
        <v>98.2</v>
      </c>
      <c r="H1905">
        <v>0.76519999999999999</v>
      </c>
      <c r="I1905">
        <v>50.7</v>
      </c>
      <c r="J1905">
        <v>47.5</v>
      </c>
      <c r="K1905">
        <v>18.3</v>
      </c>
      <c r="L1905">
        <v>21.1</v>
      </c>
      <c r="M1905">
        <v>32.799999999999997</v>
      </c>
      <c r="N1905">
        <v>33.4</v>
      </c>
      <c r="O1905">
        <v>37</v>
      </c>
      <c r="P1905">
        <v>42</v>
      </c>
      <c r="Q1905">
        <v>48.9</v>
      </c>
      <c r="R1905">
        <v>45.8</v>
      </c>
      <c r="S1905">
        <v>35.799999999999997</v>
      </c>
      <c r="T1905">
        <v>34.299999999999997</v>
      </c>
      <c r="U1905">
        <v>68.5</v>
      </c>
      <c r="V1905">
        <v>-3.3</v>
      </c>
      <c r="W1905" cm="1">
        <f t="array" ref="W1905">_xlfn.IFS(OR(X1905="N/A",X1905="NA"),0,OR(X1905="R64",X1905="R68"),1,X1905="R32",2,X1905="S16",3,X1905="E8",4,X1905="F4",5,X1905="2ND",6,X1905="Champions",7)</f>
        <v>0</v>
      </c>
      <c r="X1905" t="s">
        <v>90</v>
      </c>
      <c r="Y1905" t="s">
        <v>90</v>
      </c>
      <c r="Z1905">
        <v>2013</v>
      </c>
    </row>
    <row r="1906" spans="1:26" x14ac:dyDescent="0.3">
      <c r="A1906" t="s">
        <v>149</v>
      </c>
      <c r="B1906" t="s">
        <v>26</v>
      </c>
      <c r="C1906">
        <v>38</v>
      </c>
      <c r="D1906">
        <v>25</v>
      </c>
      <c r="E1906" s="1">
        <f t="shared" si="29"/>
        <v>0.65789473684210531</v>
      </c>
      <c r="F1906">
        <v>106.1</v>
      </c>
      <c r="G1906">
        <v>92.7</v>
      </c>
      <c r="H1906">
        <v>0.82540000000000002</v>
      </c>
      <c r="I1906">
        <v>51.6</v>
      </c>
      <c r="J1906">
        <v>43.6</v>
      </c>
      <c r="K1906">
        <v>22.2</v>
      </c>
      <c r="L1906">
        <v>15.7</v>
      </c>
      <c r="M1906">
        <v>36.9</v>
      </c>
      <c r="N1906">
        <v>27.9</v>
      </c>
      <c r="O1906">
        <v>34.5</v>
      </c>
      <c r="P1906">
        <v>29.7</v>
      </c>
      <c r="Q1906">
        <v>51.9</v>
      </c>
      <c r="R1906">
        <v>42.7</v>
      </c>
      <c r="S1906">
        <v>33.9</v>
      </c>
      <c r="T1906">
        <v>30.3</v>
      </c>
      <c r="U1906">
        <v>67.2</v>
      </c>
      <c r="V1906">
        <v>-1.3</v>
      </c>
      <c r="W1906" cm="1">
        <f t="array" ref="W1906">_xlfn.IFS(OR(X1906="N/A",X1906="NA"),0,OR(X1906="R64",X1906="R68"),1,X1906="R32",2,X1906="S16",3,X1906="E8",4,X1906="F4",5,X1906="2ND",6,X1906="Champions",7)</f>
        <v>0</v>
      </c>
      <c r="X1906" t="s">
        <v>90</v>
      </c>
      <c r="Y1906" t="s">
        <v>90</v>
      </c>
      <c r="Z1906">
        <v>2013</v>
      </c>
    </row>
    <row r="1907" spans="1:26" x14ac:dyDescent="0.3">
      <c r="A1907" t="s">
        <v>216</v>
      </c>
      <c r="B1907" t="s">
        <v>40</v>
      </c>
      <c r="C1907">
        <v>35</v>
      </c>
      <c r="D1907">
        <v>25</v>
      </c>
      <c r="E1907" s="1">
        <f t="shared" si="29"/>
        <v>0.7142857142857143</v>
      </c>
      <c r="F1907">
        <v>109.4</v>
      </c>
      <c r="G1907">
        <v>96.5</v>
      </c>
      <c r="H1907">
        <v>0.80820000000000003</v>
      </c>
      <c r="I1907">
        <v>53.1</v>
      </c>
      <c r="J1907">
        <v>48.5</v>
      </c>
      <c r="K1907">
        <v>22</v>
      </c>
      <c r="L1907">
        <v>24.3</v>
      </c>
      <c r="M1907">
        <v>38</v>
      </c>
      <c r="N1907">
        <v>31.7</v>
      </c>
      <c r="O1907">
        <v>36.5</v>
      </c>
      <c r="P1907">
        <v>40.6</v>
      </c>
      <c r="Q1907">
        <v>51.8</v>
      </c>
      <c r="R1907">
        <v>47.8</v>
      </c>
      <c r="S1907">
        <v>37.4</v>
      </c>
      <c r="T1907">
        <v>32.9</v>
      </c>
      <c r="U1907">
        <v>64.8</v>
      </c>
      <c r="V1907">
        <v>-0.6</v>
      </c>
      <c r="W1907" cm="1">
        <f t="array" ref="W1907">_xlfn.IFS(OR(X1907="N/A",X1907="NA"),0,OR(X1907="R64",X1907="R68"),1,X1907="R32",2,X1907="S16",3,X1907="E8",4,X1907="F4",5,X1907="2ND",6,X1907="Champions",7)</f>
        <v>0</v>
      </c>
      <c r="X1907" t="s">
        <v>90</v>
      </c>
      <c r="Y1907" t="s">
        <v>90</v>
      </c>
      <c r="Z1907">
        <v>2013</v>
      </c>
    </row>
    <row r="1908" spans="1:26" x14ac:dyDescent="0.3">
      <c r="A1908" t="s">
        <v>210</v>
      </c>
      <c r="B1908" t="s">
        <v>51</v>
      </c>
      <c r="C1908">
        <v>33</v>
      </c>
      <c r="D1908">
        <v>26</v>
      </c>
      <c r="E1908" s="1">
        <f t="shared" si="29"/>
        <v>0.78787878787878785</v>
      </c>
      <c r="F1908">
        <v>98.9</v>
      </c>
      <c r="G1908">
        <v>92.6</v>
      </c>
      <c r="H1908">
        <v>0.68079999999999996</v>
      </c>
      <c r="I1908">
        <v>46.5</v>
      </c>
      <c r="J1908">
        <v>45.1</v>
      </c>
      <c r="K1908">
        <v>17.7</v>
      </c>
      <c r="L1908">
        <v>24.6</v>
      </c>
      <c r="M1908">
        <v>33.799999999999997</v>
      </c>
      <c r="N1908">
        <v>33.6</v>
      </c>
      <c r="O1908">
        <v>35.5</v>
      </c>
      <c r="P1908">
        <v>36.200000000000003</v>
      </c>
      <c r="Q1908">
        <v>45.7</v>
      </c>
      <c r="R1908">
        <v>45.3</v>
      </c>
      <c r="S1908">
        <v>31.9</v>
      </c>
      <c r="T1908">
        <v>29.6</v>
      </c>
      <c r="U1908">
        <v>70.400000000000006</v>
      </c>
      <c r="V1908">
        <v>-1</v>
      </c>
      <c r="W1908" cm="1">
        <f t="array" ref="W1908">_xlfn.IFS(OR(X1908="N/A",X1908="NA"),0,OR(X1908="R64",X1908="R68"),1,X1908="R32",2,X1908="S16",3,X1908="E8",4,X1908="F4",5,X1908="2ND",6,X1908="Champions",7)</f>
        <v>0</v>
      </c>
      <c r="X1908" t="s">
        <v>90</v>
      </c>
      <c r="Y1908" t="s">
        <v>90</v>
      </c>
      <c r="Z1908">
        <v>2013</v>
      </c>
    </row>
    <row r="1909" spans="1:26" x14ac:dyDescent="0.3">
      <c r="A1909" t="s">
        <v>174</v>
      </c>
      <c r="B1909" t="s">
        <v>164</v>
      </c>
      <c r="C1909">
        <v>35</v>
      </c>
      <c r="D1909">
        <v>28</v>
      </c>
      <c r="E1909" s="1">
        <f t="shared" si="29"/>
        <v>0.8</v>
      </c>
      <c r="F1909">
        <v>107.3</v>
      </c>
      <c r="G1909">
        <v>97.5</v>
      </c>
      <c r="H1909">
        <v>0.75009999999999999</v>
      </c>
      <c r="I1909">
        <v>56</v>
      </c>
      <c r="J1909">
        <v>44.4</v>
      </c>
      <c r="K1909">
        <v>18.7</v>
      </c>
      <c r="L1909">
        <v>16.600000000000001</v>
      </c>
      <c r="M1909">
        <v>29.6</v>
      </c>
      <c r="N1909">
        <v>25.3</v>
      </c>
      <c r="O1909">
        <v>39.6</v>
      </c>
      <c r="P1909">
        <v>33.6</v>
      </c>
      <c r="Q1909">
        <v>53.7</v>
      </c>
      <c r="R1909">
        <v>44.7</v>
      </c>
      <c r="S1909">
        <v>40.6</v>
      </c>
      <c r="T1909">
        <v>28.9</v>
      </c>
      <c r="U1909">
        <v>65.2</v>
      </c>
      <c r="V1909">
        <v>-2.7</v>
      </c>
      <c r="W1909" cm="1">
        <f t="array" ref="W1909">_xlfn.IFS(OR(X1909="N/A",X1909="NA"),0,OR(X1909="R64",X1909="R68"),1,X1909="R32",2,X1909="S16",3,X1909="E8",4,X1909="F4",5,X1909="2ND",6,X1909="Champions",7)</f>
        <v>0</v>
      </c>
      <c r="X1909" t="s">
        <v>90</v>
      </c>
      <c r="Y1909" t="s">
        <v>90</v>
      </c>
      <c r="Z1909">
        <v>2013</v>
      </c>
    </row>
    <row r="1910" spans="1:26" x14ac:dyDescent="0.3">
      <c r="A1910" t="s">
        <v>268</v>
      </c>
      <c r="B1910" t="s">
        <v>66</v>
      </c>
      <c r="C1910">
        <v>28</v>
      </c>
      <c r="D1910">
        <v>2</v>
      </c>
      <c r="E1910" s="1">
        <f t="shared" si="29"/>
        <v>7.1428571428571425E-2</v>
      </c>
      <c r="F1910">
        <v>85.2</v>
      </c>
      <c r="G1910">
        <v>111</v>
      </c>
      <c r="H1910">
        <v>4.5600000000000002E-2</v>
      </c>
      <c r="I1910">
        <v>39.799999999999997</v>
      </c>
      <c r="J1910">
        <v>53.7</v>
      </c>
      <c r="K1910">
        <v>23.5</v>
      </c>
      <c r="L1910">
        <v>21.4</v>
      </c>
      <c r="M1910">
        <v>34.9</v>
      </c>
      <c r="N1910">
        <v>34</v>
      </c>
      <c r="O1910">
        <v>35.299999999999997</v>
      </c>
      <c r="P1910">
        <v>33.200000000000003</v>
      </c>
      <c r="Q1910">
        <v>39.299999999999997</v>
      </c>
      <c r="R1910">
        <v>53.4</v>
      </c>
      <c r="S1910">
        <v>27.2</v>
      </c>
      <c r="T1910">
        <v>36.299999999999997</v>
      </c>
      <c r="U1910">
        <v>64.8</v>
      </c>
      <c r="V1910">
        <v>-21.3</v>
      </c>
      <c r="W1910" cm="1">
        <f t="array" ref="W1910">_xlfn.IFS(OR(X1910="N/A",X1910="NA"),0,OR(X1910="R64",X1910="R68"),1,X1910="R32",2,X1910="S16",3,X1910="E8",4,X1910="F4",5,X1910="2ND",6,X1910="Champions",7)</f>
        <v>0</v>
      </c>
      <c r="X1910" t="s">
        <v>90</v>
      </c>
      <c r="Y1910" t="s">
        <v>90</v>
      </c>
      <c r="Z1910">
        <v>2013</v>
      </c>
    </row>
    <row r="1911" spans="1:26" x14ac:dyDescent="0.3">
      <c r="A1911" t="s">
        <v>111</v>
      </c>
      <c r="B1911" t="s">
        <v>112</v>
      </c>
      <c r="C1911">
        <v>29</v>
      </c>
      <c r="D1911">
        <v>2</v>
      </c>
      <c r="E1911" s="1">
        <f t="shared" si="29"/>
        <v>6.8965517241379309E-2</v>
      </c>
      <c r="F1911">
        <v>85.2</v>
      </c>
      <c r="G1911">
        <v>107.7</v>
      </c>
      <c r="H1911">
        <v>6.3200000000000006E-2</v>
      </c>
      <c r="I1911">
        <v>41.8</v>
      </c>
      <c r="J1911">
        <v>51.4</v>
      </c>
      <c r="K1911">
        <v>23.2</v>
      </c>
      <c r="L1911">
        <v>16.8</v>
      </c>
      <c r="M1911">
        <v>26.5</v>
      </c>
      <c r="N1911">
        <v>30.3</v>
      </c>
      <c r="O1911">
        <v>33.6</v>
      </c>
      <c r="P1911">
        <v>31.4</v>
      </c>
      <c r="Q1911">
        <v>41.3</v>
      </c>
      <c r="R1911">
        <v>49.8</v>
      </c>
      <c r="S1911">
        <v>28.6</v>
      </c>
      <c r="T1911">
        <v>35.9</v>
      </c>
      <c r="U1911">
        <v>66.400000000000006</v>
      </c>
      <c r="V1911">
        <v>-21.7</v>
      </c>
      <c r="W1911" cm="1">
        <f t="array" ref="W1911">_xlfn.IFS(OR(X1911="N/A",X1911="NA"),0,OR(X1911="R64",X1911="R68"),1,X1911="R32",2,X1911="S16",3,X1911="E8",4,X1911="F4",5,X1911="2ND",6,X1911="Champions",7)</f>
        <v>0</v>
      </c>
      <c r="X1911" t="s">
        <v>90</v>
      </c>
      <c r="Y1911" t="s">
        <v>90</v>
      </c>
      <c r="Z1911">
        <v>2013</v>
      </c>
    </row>
    <row r="1912" spans="1:26" x14ac:dyDescent="0.3">
      <c r="A1912" t="s">
        <v>133</v>
      </c>
      <c r="B1912" t="s">
        <v>131</v>
      </c>
      <c r="C1912">
        <v>30</v>
      </c>
      <c r="D1912">
        <v>3</v>
      </c>
      <c r="E1912" s="1">
        <f t="shared" si="29"/>
        <v>0.1</v>
      </c>
      <c r="F1912">
        <v>90.4</v>
      </c>
      <c r="G1912">
        <v>110</v>
      </c>
      <c r="H1912">
        <v>9.4399999999999998E-2</v>
      </c>
      <c r="I1912">
        <v>44.7</v>
      </c>
      <c r="J1912">
        <v>55.5</v>
      </c>
      <c r="K1912">
        <v>21</v>
      </c>
      <c r="L1912">
        <v>21.3</v>
      </c>
      <c r="M1912">
        <v>30.7</v>
      </c>
      <c r="N1912">
        <v>33.1</v>
      </c>
      <c r="O1912">
        <v>37.4</v>
      </c>
      <c r="P1912">
        <v>47.6</v>
      </c>
      <c r="Q1912">
        <v>44.4</v>
      </c>
      <c r="R1912">
        <v>54.7</v>
      </c>
      <c r="S1912">
        <v>30.3</v>
      </c>
      <c r="T1912">
        <v>38.200000000000003</v>
      </c>
      <c r="U1912">
        <v>64.400000000000006</v>
      </c>
      <c r="V1912">
        <v>-22</v>
      </c>
      <c r="W1912" cm="1">
        <f t="array" ref="W1912">_xlfn.IFS(OR(X1912="N/A",X1912="NA"),0,OR(X1912="R64",X1912="R68"),1,X1912="R32",2,X1912="S16",3,X1912="E8",4,X1912="F4",5,X1912="2ND",6,X1912="Champions",7)</f>
        <v>0</v>
      </c>
      <c r="X1912" t="s">
        <v>90</v>
      </c>
      <c r="Y1912" t="s">
        <v>90</v>
      </c>
      <c r="Z1912">
        <v>2013</v>
      </c>
    </row>
    <row r="1913" spans="1:26" x14ac:dyDescent="0.3">
      <c r="A1913" t="s">
        <v>372</v>
      </c>
      <c r="B1913" t="s">
        <v>61</v>
      </c>
      <c r="C1913">
        <v>31</v>
      </c>
      <c r="D1913">
        <v>3</v>
      </c>
      <c r="E1913" s="1">
        <f t="shared" si="29"/>
        <v>9.6774193548387094E-2</v>
      </c>
      <c r="F1913">
        <v>83.3</v>
      </c>
      <c r="G1913">
        <v>110.2</v>
      </c>
      <c r="H1913">
        <v>3.85E-2</v>
      </c>
      <c r="I1913">
        <v>42.4</v>
      </c>
      <c r="J1913">
        <v>50.3</v>
      </c>
      <c r="K1913">
        <v>25.5</v>
      </c>
      <c r="L1913">
        <v>16</v>
      </c>
      <c r="M1913">
        <v>32.4</v>
      </c>
      <c r="N1913">
        <v>34.4</v>
      </c>
      <c r="O1913">
        <v>31.5</v>
      </c>
      <c r="P1913">
        <v>29</v>
      </c>
      <c r="Q1913">
        <v>42</v>
      </c>
      <c r="R1913">
        <v>48.9</v>
      </c>
      <c r="S1913">
        <v>30.3</v>
      </c>
      <c r="T1913">
        <v>35.799999999999997</v>
      </c>
      <c r="U1913">
        <v>70.3</v>
      </c>
      <c r="V1913">
        <v>-21.4</v>
      </c>
      <c r="W1913" cm="1">
        <f t="array" ref="W1913">_xlfn.IFS(OR(X1913="N/A",X1913="NA"),0,OR(X1913="R64",X1913="R68"),1,X1913="R32",2,X1913="S16",3,X1913="E8",4,X1913="F4",5,X1913="2ND",6,X1913="Champions",7)</f>
        <v>0</v>
      </c>
      <c r="X1913" t="s">
        <v>90</v>
      </c>
      <c r="Y1913" t="s">
        <v>90</v>
      </c>
      <c r="Z1913">
        <v>2013</v>
      </c>
    </row>
    <row r="1914" spans="1:26" x14ac:dyDescent="0.3">
      <c r="A1914" t="s">
        <v>374</v>
      </c>
      <c r="B1914" t="s">
        <v>418</v>
      </c>
      <c r="C1914">
        <v>22</v>
      </c>
      <c r="D1914">
        <v>4</v>
      </c>
      <c r="E1914" s="1">
        <f t="shared" si="29"/>
        <v>0.18181818181818182</v>
      </c>
      <c r="F1914">
        <v>86.6</v>
      </c>
      <c r="G1914">
        <v>112.1</v>
      </c>
      <c r="H1914">
        <v>4.9000000000000002E-2</v>
      </c>
      <c r="I1914">
        <v>44.9</v>
      </c>
      <c r="J1914">
        <v>54</v>
      </c>
      <c r="K1914">
        <v>24.4</v>
      </c>
      <c r="L1914">
        <v>21.2</v>
      </c>
      <c r="M1914">
        <v>27.4</v>
      </c>
      <c r="N1914">
        <v>36.6</v>
      </c>
      <c r="O1914">
        <v>38.799999999999997</v>
      </c>
      <c r="P1914">
        <v>41.5</v>
      </c>
      <c r="Q1914">
        <v>46.1</v>
      </c>
      <c r="R1914">
        <v>52.7</v>
      </c>
      <c r="S1914">
        <v>27.1</v>
      </c>
      <c r="T1914">
        <v>38.1</v>
      </c>
      <c r="U1914">
        <v>71.099999999999994</v>
      </c>
      <c r="V1914">
        <v>-14.9</v>
      </c>
      <c r="W1914" cm="1">
        <f t="array" ref="W1914">_xlfn.IFS(OR(X1914="N/A",X1914="NA"),0,OR(X1914="R64",X1914="R68"),1,X1914="R32",2,X1914="S16",3,X1914="E8",4,X1914="F4",5,X1914="2ND",6,X1914="Champions",7)</f>
        <v>0</v>
      </c>
      <c r="X1914" t="s">
        <v>90</v>
      </c>
      <c r="Y1914" t="s">
        <v>90</v>
      </c>
      <c r="Z1914">
        <v>2013</v>
      </c>
    </row>
    <row r="1915" spans="1:26" x14ac:dyDescent="0.3">
      <c r="A1915" t="s">
        <v>341</v>
      </c>
      <c r="B1915" t="s">
        <v>58</v>
      </c>
      <c r="C1915">
        <v>27</v>
      </c>
      <c r="D1915">
        <v>4</v>
      </c>
      <c r="E1915" s="1">
        <f t="shared" si="29"/>
        <v>0.14814814814814814</v>
      </c>
      <c r="F1915">
        <v>90.9</v>
      </c>
      <c r="G1915">
        <v>109.4</v>
      </c>
      <c r="H1915">
        <v>0.106</v>
      </c>
      <c r="I1915">
        <v>48.4</v>
      </c>
      <c r="J1915">
        <v>53.5</v>
      </c>
      <c r="K1915">
        <v>24.1</v>
      </c>
      <c r="L1915">
        <v>21.9</v>
      </c>
      <c r="M1915">
        <v>27.3</v>
      </c>
      <c r="N1915">
        <v>34.1</v>
      </c>
      <c r="O1915">
        <v>31.5</v>
      </c>
      <c r="P1915">
        <v>39.6</v>
      </c>
      <c r="Q1915">
        <v>46.6</v>
      </c>
      <c r="R1915">
        <v>53.1</v>
      </c>
      <c r="S1915">
        <v>34.799999999999997</v>
      </c>
      <c r="T1915">
        <v>36.200000000000003</v>
      </c>
      <c r="U1915">
        <v>66.099999999999994</v>
      </c>
      <c r="V1915">
        <v>-18</v>
      </c>
      <c r="W1915" cm="1">
        <f t="array" ref="W1915">_xlfn.IFS(OR(X1915="N/A",X1915="NA"),0,OR(X1915="R64",X1915="R68"),1,X1915="R32",2,X1915="S16",3,X1915="E8",4,X1915="F4",5,X1915="2ND",6,X1915="Champions",7)</f>
        <v>0</v>
      </c>
      <c r="X1915" t="s">
        <v>90</v>
      </c>
      <c r="Y1915" t="s">
        <v>90</v>
      </c>
      <c r="Z1915">
        <v>2013</v>
      </c>
    </row>
    <row r="1916" spans="1:26" x14ac:dyDescent="0.3">
      <c r="A1916" t="s">
        <v>194</v>
      </c>
      <c r="B1916" t="s">
        <v>48</v>
      </c>
      <c r="C1916">
        <v>28</v>
      </c>
      <c r="D1916">
        <v>4</v>
      </c>
      <c r="E1916" s="1">
        <f t="shared" si="29"/>
        <v>0.14285714285714285</v>
      </c>
      <c r="F1916">
        <v>87.4</v>
      </c>
      <c r="G1916">
        <v>101.6</v>
      </c>
      <c r="H1916">
        <v>0.1507</v>
      </c>
      <c r="I1916">
        <v>45.3</v>
      </c>
      <c r="J1916">
        <v>50.5</v>
      </c>
      <c r="K1916">
        <v>22.6</v>
      </c>
      <c r="L1916">
        <v>18.100000000000001</v>
      </c>
      <c r="M1916">
        <v>30.7</v>
      </c>
      <c r="N1916">
        <v>27.4</v>
      </c>
      <c r="O1916">
        <v>32.5</v>
      </c>
      <c r="P1916">
        <v>32.700000000000003</v>
      </c>
      <c r="Q1916">
        <v>46.3</v>
      </c>
      <c r="R1916">
        <v>47.5</v>
      </c>
      <c r="S1916">
        <v>28.7</v>
      </c>
      <c r="T1916">
        <v>36.9</v>
      </c>
      <c r="U1916">
        <v>63.1</v>
      </c>
      <c r="V1916">
        <v>-19.8</v>
      </c>
      <c r="W1916" cm="1">
        <f t="array" ref="W1916">_xlfn.IFS(OR(X1916="N/A",X1916="NA"),0,OR(X1916="R64",X1916="R68"),1,X1916="R32",2,X1916="S16",3,X1916="E8",4,X1916="F4",5,X1916="2ND",6,X1916="Champions",7)</f>
        <v>0</v>
      </c>
      <c r="X1916" t="s">
        <v>90</v>
      </c>
      <c r="Y1916" t="s">
        <v>90</v>
      </c>
      <c r="Z1916">
        <v>2013</v>
      </c>
    </row>
    <row r="1917" spans="1:26" x14ac:dyDescent="0.3">
      <c r="A1917" t="s">
        <v>274</v>
      </c>
      <c r="B1917" t="s">
        <v>66</v>
      </c>
      <c r="C1917">
        <v>28</v>
      </c>
      <c r="D1917">
        <v>4</v>
      </c>
      <c r="E1917" s="1">
        <f t="shared" si="29"/>
        <v>0.14285714285714285</v>
      </c>
      <c r="F1917">
        <v>90.4</v>
      </c>
      <c r="G1917">
        <v>111.5</v>
      </c>
      <c r="H1917">
        <v>8.1500000000000003E-2</v>
      </c>
      <c r="I1917">
        <v>42.2</v>
      </c>
      <c r="J1917">
        <v>49.9</v>
      </c>
      <c r="K1917">
        <v>22.8</v>
      </c>
      <c r="L1917">
        <v>18.600000000000001</v>
      </c>
      <c r="M1917">
        <v>35.6</v>
      </c>
      <c r="N1917">
        <v>37.5</v>
      </c>
      <c r="O1917">
        <v>27.3</v>
      </c>
      <c r="P1917">
        <v>36.4</v>
      </c>
      <c r="Q1917">
        <v>42.5</v>
      </c>
      <c r="R1917">
        <v>49.4</v>
      </c>
      <c r="S1917">
        <v>27.5</v>
      </c>
      <c r="T1917">
        <v>33.9</v>
      </c>
      <c r="U1917">
        <v>65.5</v>
      </c>
      <c r="V1917">
        <v>-19.3</v>
      </c>
      <c r="W1917" cm="1">
        <f t="array" ref="W1917">_xlfn.IFS(OR(X1917="N/A",X1917="NA"),0,OR(X1917="R64",X1917="R68"),1,X1917="R32",2,X1917="S16",3,X1917="E8",4,X1917="F4",5,X1917="2ND",6,X1917="Champions",7)</f>
        <v>0</v>
      </c>
      <c r="X1917" t="s">
        <v>90</v>
      </c>
      <c r="Y1917" t="s">
        <v>90</v>
      </c>
      <c r="Z1917">
        <v>2013</v>
      </c>
    </row>
    <row r="1918" spans="1:26" x14ac:dyDescent="0.3">
      <c r="A1918" t="s">
        <v>215</v>
      </c>
      <c r="B1918" t="s">
        <v>40</v>
      </c>
      <c r="C1918">
        <v>29</v>
      </c>
      <c r="D1918">
        <v>4</v>
      </c>
      <c r="E1918" s="1">
        <f t="shared" si="29"/>
        <v>0.13793103448275862</v>
      </c>
      <c r="F1918">
        <v>95.1</v>
      </c>
      <c r="G1918">
        <v>110.7</v>
      </c>
      <c r="H1918">
        <v>0.14810000000000001</v>
      </c>
      <c r="I1918">
        <v>46.9</v>
      </c>
      <c r="J1918">
        <v>55.3</v>
      </c>
      <c r="K1918">
        <v>16.7</v>
      </c>
      <c r="L1918">
        <v>21</v>
      </c>
      <c r="M1918">
        <v>19.2</v>
      </c>
      <c r="N1918">
        <v>36.6</v>
      </c>
      <c r="O1918">
        <v>28.2</v>
      </c>
      <c r="P1918">
        <v>46.7</v>
      </c>
      <c r="Q1918">
        <v>44.5</v>
      </c>
      <c r="R1918">
        <v>55.5</v>
      </c>
      <c r="S1918">
        <v>33.4</v>
      </c>
      <c r="T1918">
        <v>36.700000000000003</v>
      </c>
      <c r="U1918">
        <v>62.8</v>
      </c>
      <c r="V1918">
        <v>-18.899999999999999</v>
      </c>
      <c r="W1918" cm="1">
        <f t="array" ref="W1918">_xlfn.IFS(OR(X1918="N/A",X1918="NA"),0,OR(X1918="R64",X1918="R68"),1,X1918="R32",2,X1918="S16",3,X1918="E8",4,X1918="F4",5,X1918="2ND",6,X1918="Champions",7)</f>
        <v>0</v>
      </c>
      <c r="X1918" t="s">
        <v>90</v>
      </c>
      <c r="Y1918" t="s">
        <v>90</v>
      </c>
      <c r="Z1918">
        <v>2013</v>
      </c>
    </row>
    <row r="1919" spans="1:26" x14ac:dyDescent="0.3">
      <c r="A1919" t="s">
        <v>258</v>
      </c>
      <c r="B1919" t="s">
        <v>57</v>
      </c>
      <c r="C1919">
        <v>29</v>
      </c>
      <c r="D1919">
        <v>4</v>
      </c>
      <c r="E1919" s="1">
        <f t="shared" si="29"/>
        <v>0.13793103448275862</v>
      </c>
      <c r="F1919">
        <v>83.7</v>
      </c>
      <c r="G1919">
        <v>101.1</v>
      </c>
      <c r="H1919">
        <v>0.10290000000000001</v>
      </c>
      <c r="I1919">
        <v>39.700000000000003</v>
      </c>
      <c r="J1919">
        <v>50.1</v>
      </c>
      <c r="K1919">
        <v>23.3</v>
      </c>
      <c r="L1919">
        <v>22.4</v>
      </c>
      <c r="M1919">
        <v>33.200000000000003</v>
      </c>
      <c r="N1919">
        <v>29.6</v>
      </c>
      <c r="O1919">
        <v>35.799999999999997</v>
      </c>
      <c r="P1919">
        <v>51.9</v>
      </c>
      <c r="Q1919">
        <v>38.799999999999997</v>
      </c>
      <c r="R1919">
        <v>49.5</v>
      </c>
      <c r="S1919">
        <v>27.8</v>
      </c>
      <c r="T1919">
        <v>34.1</v>
      </c>
      <c r="U1919">
        <v>62.5</v>
      </c>
      <c r="V1919">
        <v>-19.7</v>
      </c>
      <c r="W1919" cm="1">
        <f t="array" ref="W1919">_xlfn.IFS(OR(X1919="N/A",X1919="NA"),0,OR(X1919="R64",X1919="R68"),1,X1919="R32",2,X1919="S16",3,X1919="E8",4,X1919="F4",5,X1919="2ND",6,X1919="Champions",7)</f>
        <v>0</v>
      </c>
      <c r="X1919" t="s">
        <v>90</v>
      </c>
      <c r="Y1919" t="s">
        <v>90</v>
      </c>
      <c r="Z1919">
        <v>2013</v>
      </c>
    </row>
    <row r="1920" spans="1:26" x14ac:dyDescent="0.3">
      <c r="A1920" t="s">
        <v>230</v>
      </c>
      <c r="B1920" t="s">
        <v>72</v>
      </c>
      <c r="C1920">
        <v>30</v>
      </c>
      <c r="D1920">
        <v>4</v>
      </c>
      <c r="E1920" s="1">
        <f t="shared" si="29"/>
        <v>0.13333333333333333</v>
      </c>
      <c r="F1920">
        <v>95.4</v>
      </c>
      <c r="G1920">
        <v>115.7</v>
      </c>
      <c r="H1920">
        <v>9.74E-2</v>
      </c>
      <c r="I1920">
        <v>50.5</v>
      </c>
      <c r="J1920">
        <v>55.9</v>
      </c>
      <c r="K1920">
        <v>18.8</v>
      </c>
      <c r="L1920">
        <v>16.899999999999999</v>
      </c>
      <c r="M1920">
        <v>22.1</v>
      </c>
      <c r="N1920">
        <v>33.700000000000003</v>
      </c>
      <c r="O1920">
        <v>24.2</v>
      </c>
      <c r="P1920">
        <v>31.6</v>
      </c>
      <c r="Q1920">
        <v>48.6</v>
      </c>
      <c r="R1920">
        <v>54.5</v>
      </c>
      <c r="S1920">
        <v>36.1</v>
      </c>
      <c r="T1920">
        <v>39.200000000000003</v>
      </c>
      <c r="U1920">
        <v>66.2</v>
      </c>
      <c r="V1920">
        <v>-20</v>
      </c>
      <c r="W1920" cm="1">
        <f t="array" ref="W1920">_xlfn.IFS(OR(X1920="N/A",X1920="NA"),0,OR(X1920="R64",X1920="R68"),1,X1920="R32",2,X1920="S16",3,X1920="E8",4,X1920="F4",5,X1920="2ND",6,X1920="Champions",7)</f>
        <v>0</v>
      </c>
      <c r="X1920" t="s">
        <v>90</v>
      </c>
      <c r="Y1920" t="s">
        <v>90</v>
      </c>
      <c r="Z1920">
        <v>2013</v>
      </c>
    </row>
    <row r="1921" spans="1:26" x14ac:dyDescent="0.3">
      <c r="A1921" t="s">
        <v>379</v>
      </c>
      <c r="B1921" t="s">
        <v>61</v>
      </c>
      <c r="C1921">
        <v>28</v>
      </c>
      <c r="D1921">
        <v>5</v>
      </c>
      <c r="E1921" s="1">
        <f t="shared" si="29"/>
        <v>0.17857142857142858</v>
      </c>
      <c r="F1921">
        <v>94.6</v>
      </c>
      <c r="G1921">
        <v>109.7</v>
      </c>
      <c r="H1921">
        <v>0.1547</v>
      </c>
      <c r="I1921">
        <v>45.4</v>
      </c>
      <c r="J1921">
        <v>51</v>
      </c>
      <c r="K1921">
        <v>18.8</v>
      </c>
      <c r="L1921">
        <v>19.100000000000001</v>
      </c>
      <c r="M1921">
        <v>29.8</v>
      </c>
      <c r="N1921">
        <v>34.6</v>
      </c>
      <c r="O1921">
        <v>32.200000000000003</v>
      </c>
      <c r="P1921">
        <v>47.4</v>
      </c>
      <c r="Q1921">
        <v>45.2</v>
      </c>
      <c r="R1921">
        <v>49.3</v>
      </c>
      <c r="S1921">
        <v>30.5</v>
      </c>
      <c r="T1921">
        <v>36.200000000000003</v>
      </c>
      <c r="U1921">
        <v>62.5</v>
      </c>
      <c r="V1921">
        <v>-17.5</v>
      </c>
      <c r="W1921" cm="1">
        <f t="array" ref="W1921">_xlfn.IFS(OR(X1921="N/A",X1921="NA"),0,OR(X1921="R64",X1921="R68"),1,X1921="R32",2,X1921="S16",3,X1921="E8",4,X1921="F4",5,X1921="2ND",6,X1921="Champions",7)</f>
        <v>0</v>
      </c>
      <c r="X1921" t="s">
        <v>90</v>
      </c>
      <c r="Y1921" t="s">
        <v>90</v>
      </c>
      <c r="Z1921">
        <v>2013</v>
      </c>
    </row>
    <row r="1922" spans="1:26" x14ac:dyDescent="0.3">
      <c r="A1922" t="s">
        <v>396</v>
      </c>
      <c r="B1922" t="s">
        <v>76</v>
      </c>
      <c r="C1922">
        <v>28</v>
      </c>
      <c r="D1922">
        <v>5</v>
      </c>
      <c r="E1922" s="1">
        <f t="shared" si="29"/>
        <v>0.17857142857142858</v>
      </c>
      <c r="F1922">
        <v>88.8</v>
      </c>
      <c r="G1922">
        <v>111.3</v>
      </c>
      <c r="H1922">
        <v>6.9599999999999995E-2</v>
      </c>
      <c r="I1922">
        <v>42.2</v>
      </c>
      <c r="J1922">
        <v>51.5</v>
      </c>
      <c r="K1922">
        <v>21.5</v>
      </c>
      <c r="L1922">
        <v>22.2</v>
      </c>
      <c r="M1922">
        <v>31.6</v>
      </c>
      <c r="N1922">
        <v>37.5</v>
      </c>
      <c r="O1922">
        <v>39.5</v>
      </c>
      <c r="P1922">
        <v>43.1</v>
      </c>
      <c r="Q1922">
        <v>40.5</v>
      </c>
      <c r="R1922">
        <v>50.9</v>
      </c>
      <c r="S1922">
        <v>30.3</v>
      </c>
      <c r="T1922">
        <v>35.4</v>
      </c>
      <c r="U1922">
        <v>70.599999999999994</v>
      </c>
      <c r="V1922">
        <v>-18.3</v>
      </c>
      <c r="W1922" cm="1">
        <f t="array" ref="W1922">_xlfn.IFS(OR(X1922="N/A",X1922="NA"),0,OR(X1922="R64",X1922="R68"),1,X1922="R32",2,X1922="S16",3,X1922="E8",4,X1922="F4",5,X1922="2ND",6,X1922="Champions",7)</f>
        <v>0</v>
      </c>
      <c r="X1922" t="s">
        <v>90</v>
      </c>
      <c r="Y1922" t="s">
        <v>90</v>
      </c>
      <c r="Z1922">
        <v>2013</v>
      </c>
    </row>
    <row r="1923" spans="1:26" x14ac:dyDescent="0.3">
      <c r="A1923" t="s">
        <v>165</v>
      </c>
      <c r="B1923" t="s">
        <v>164</v>
      </c>
      <c r="C1923">
        <v>29</v>
      </c>
      <c r="D1923">
        <v>5</v>
      </c>
      <c r="E1923" s="1">
        <f t="shared" ref="E1923:E1986" si="30">D1923/C1923</f>
        <v>0.17241379310344829</v>
      </c>
      <c r="F1923">
        <v>90.5</v>
      </c>
      <c r="G1923">
        <v>107</v>
      </c>
      <c r="H1923">
        <v>0.12759999999999999</v>
      </c>
      <c r="I1923">
        <v>46.2</v>
      </c>
      <c r="J1923">
        <v>52.1</v>
      </c>
      <c r="K1923">
        <v>19.5</v>
      </c>
      <c r="L1923">
        <v>20.8</v>
      </c>
      <c r="M1923">
        <v>24.5</v>
      </c>
      <c r="N1923">
        <v>34.299999999999997</v>
      </c>
      <c r="O1923">
        <v>37.5</v>
      </c>
      <c r="P1923">
        <v>34.6</v>
      </c>
      <c r="Q1923">
        <v>45.7</v>
      </c>
      <c r="R1923">
        <v>49.7</v>
      </c>
      <c r="S1923">
        <v>31.4</v>
      </c>
      <c r="T1923">
        <v>37.4</v>
      </c>
      <c r="U1923">
        <v>60.3</v>
      </c>
      <c r="V1923">
        <v>-19.5</v>
      </c>
      <c r="W1923" cm="1">
        <f t="array" ref="W1923">_xlfn.IFS(OR(X1923="N/A",X1923="NA"),0,OR(X1923="R64",X1923="R68"),1,X1923="R32",2,X1923="S16",3,X1923="E8",4,X1923="F4",5,X1923="2ND",6,X1923="Champions",7)</f>
        <v>0</v>
      </c>
      <c r="X1923" t="s">
        <v>90</v>
      </c>
      <c r="Y1923" t="s">
        <v>90</v>
      </c>
      <c r="Z1923">
        <v>2013</v>
      </c>
    </row>
    <row r="1924" spans="1:26" x14ac:dyDescent="0.3">
      <c r="A1924" t="s">
        <v>301</v>
      </c>
      <c r="B1924" t="s">
        <v>77</v>
      </c>
      <c r="C1924">
        <v>29</v>
      </c>
      <c r="D1924">
        <v>5</v>
      </c>
      <c r="E1924" s="1">
        <f t="shared" si="30"/>
        <v>0.17241379310344829</v>
      </c>
      <c r="F1924">
        <v>92.1</v>
      </c>
      <c r="G1924">
        <v>111.2</v>
      </c>
      <c r="H1924">
        <v>0.1032</v>
      </c>
      <c r="I1924">
        <v>48.2</v>
      </c>
      <c r="J1924">
        <v>53</v>
      </c>
      <c r="K1924">
        <v>22</v>
      </c>
      <c r="L1924">
        <v>19.100000000000001</v>
      </c>
      <c r="M1924">
        <v>27.6</v>
      </c>
      <c r="N1924">
        <v>34.700000000000003</v>
      </c>
      <c r="O1924">
        <v>31.6</v>
      </c>
      <c r="P1924">
        <v>39.9</v>
      </c>
      <c r="Q1924">
        <v>45.7</v>
      </c>
      <c r="R1924">
        <v>51.4</v>
      </c>
      <c r="S1924">
        <v>34.799999999999997</v>
      </c>
      <c r="T1924">
        <v>37.5</v>
      </c>
      <c r="U1924">
        <v>63.4</v>
      </c>
      <c r="V1924">
        <v>-19.2</v>
      </c>
      <c r="W1924" cm="1">
        <f t="array" ref="W1924">_xlfn.IFS(OR(X1924="N/A",X1924="NA"),0,OR(X1924="R64",X1924="R68"),1,X1924="R32",2,X1924="S16",3,X1924="E8",4,X1924="F4",5,X1924="2ND",6,X1924="Champions",7)</f>
        <v>0</v>
      </c>
      <c r="X1924" t="s">
        <v>90</v>
      </c>
      <c r="Y1924" t="s">
        <v>90</v>
      </c>
      <c r="Z1924">
        <v>2013</v>
      </c>
    </row>
    <row r="1925" spans="1:26" x14ac:dyDescent="0.3">
      <c r="A1925" t="s">
        <v>182</v>
      </c>
      <c r="B1925" t="s">
        <v>74</v>
      </c>
      <c r="C1925">
        <v>29</v>
      </c>
      <c r="D1925">
        <v>5</v>
      </c>
      <c r="E1925" s="1">
        <f t="shared" si="30"/>
        <v>0.17241379310344829</v>
      </c>
      <c r="F1925">
        <v>93.3</v>
      </c>
      <c r="G1925">
        <v>116.5</v>
      </c>
      <c r="H1925">
        <v>7.1900000000000006E-2</v>
      </c>
      <c r="I1925">
        <v>48.9</v>
      </c>
      <c r="J1925">
        <v>53.8</v>
      </c>
      <c r="K1925">
        <v>20.8</v>
      </c>
      <c r="L1925">
        <v>16.399999999999999</v>
      </c>
      <c r="M1925">
        <v>22.7</v>
      </c>
      <c r="N1925">
        <v>35.299999999999997</v>
      </c>
      <c r="O1925">
        <v>26.4</v>
      </c>
      <c r="P1925">
        <v>34.700000000000003</v>
      </c>
      <c r="Q1925">
        <v>47.4</v>
      </c>
      <c r="R1925">
        <v>51.1</v>
      </c>
      <c r="S1925">
        <v>34.5</v>
      </c>
      <c r="T1925">
        <v>39.4</v>
      </c>
      <c r="U1925">
        <v>62.3</v>
      </c>
      <c r="V1925">
        <v>-18.899999999999999</v>
      </c>
      <c r="W1925" cm="1">
        <f t="array" ref="W1925">_xlfn.IFS(OR(X1925="N/A",X1925="NA"),0,OR(X1925="R64",X1925="R68"),1,X1925="R32",2,X1925="S16",3,X1925="E8",4,X1925="F4",5,X1925="2ND",6,X1925="Champions",7)</f>
        <v>0</v>
      </c>
      <c r="X1925" t="s">
        <v>90</v>
      </c>
      <c r="Y1925" t="s">
        <v>90</v>
      </c>
      <c r="Z1925">
        <v>2013</v>
      </c>
    </row>
    <row r="1926" spans="1:26" x14ac:dyDescent="0.3">
      <c r="A1926" t="s">
        <v>350</v>
      </c>
      <c r="B1926" t="s">
        <v>62</v>
      </c>
      <c r="C1926">
        <v>29</v>
      </c>
      <c r="D1926">
        <v>5</v>
      </c>
      <c r="E1926" s="1">
        <f t="shared" si="30"/>
        <v>0.17241379310344829</v>
      </c>
      <c r="F1926">
        <v>90.4</v>
      </c>
      <c r="G1926">
        <v>113.5</v>
      </c>
      <c r="H1926">
        <v>6.8599999999999994E-2</v>
      </c>
      <c r="I1926">
        <v>45.8</v>
      </c>
      <c r="J1926">
        <v>52.6</v>
      </c>
      <c r="K1926">
        <v>22.7</v>
      </c>
      <c r="L1926">
        <v>17.2</v>
      </c>
      <c r="M1926">
        <v>28.4</v>
      </c>
      <c r="N1926">
        <v>33.5</v>
      </c>
      <c r="O1926">
        <v>35.299999999999997</v>
      </c>
      <c r="P1926">
        <v>29.2</v>
      </c>
      <c r="Q1926">
        <v>44</v>
      </c>
      <c r="R1926">
        <v>50.3</v>
      </c>
      <c r="S1926">
        <v>32.6</v>
      </c>
      <c r="T1926">
        <v>38.6</v>
      </c>
      <c r="U1926">
        <v>64.900000000000006</v>
      </c>
      <c r="V1926">
        <v>-20</v>
      </c>
      <c r="W1926" cm="1">
        <f t="array" ref="W1926">_xlfn.IFS(OR(X1926="N/A",X1926="NA"),0,OR(X1926="R64",X1926="R68"),1,X1926="R32",2,X1926="S16",3,X1926="E8",4,X1926="F4",5,X1926="2ND",6,X1926="Champions",7)</f>
        <v>0</v>
      </c>
      <c r="X1926" t="s">
        <v>90</v>
      </c>
      <c r="Y1926" t="s">
        <v>90</v>
      </c>
      <c r="Z1926">
        <v>2013</v>
      </c>
    </row>
    <row r="1927" spans="1:26" x14ac:dyDescent="0.3">
      <c r="A1927" t="s">
        <v>214</v>
      </c>
      <c r="B1927" t="s">
        <v>53</v>
      </c>
      <c r="C1927">
        <v>30</v>
      </c>
      <c r="D1927">
        <v>5</v>
      </c>
      <c r="E1927" s="1">
        <f t="shared" si="30"/>
        <v>0.16666666666666666</v>
      </c>
      <c r="F1927">
        <v>97.7</v>
      </c>
      <c r="G1927">
        <v>106.6</v>
      </c>
      <c r="H1927">
        <v>0.26900000000000002</v>
      </c>
      <c r="I1927">
        <v>44.9</v>
      </c>
      <c r="J1927">
        <v>52.3</v>
      </c>
      <c r="K1927">
        <v>20.7</v>
      </c>
      <c r="L1927">
        <v>20.399999999999999</v>
      </c>
      <c r="M1927">
        <v>38.799999999999997</v>
      </c>
      <c r="N1927">
        <v>33.1</v>
      </c>
      <c r="O1927">
        <v>34.6</v>
      </c>
      <c r="P1927">
        <v>39.200000000000003</v>
      </c>
      <c r="Q1927">
        <v>46.6</v>
      </c>
      <c r="R1927">
        <v>48.8</v>
      </c>
      <c r="S1927">
        <v>27.3</v>
      </c>
      <c r="T1927">
        <v>39.1</v>
      </c>
      <c r="U1927">
        <v>66.8</v>
      </c>
      <c r="V1927">
        <v>-20</v>
      </c>
      <c r="W1927" cm="1">
        <f t="array" ref="W1927">_xlfn.IFS(OR(X1927="N/A",X1927="NA"),0,OR(X1927="R64",X1927="R68"),1,X1927="R32",2,X1927="S16",3,X1927="E8",4,X1927="F4",5,X1927="2ND",6,X1927="Champions",7)</f>
        <v>0</v>
      </c>
      <c r="X1927" t="s">
        <v>90</v>
      </c>
      <c r="Y1927" t="s">
        <v>90</v>
      </c>
      <c r="Z1927">
        <v>2013</v>
      </c>
    </row>
    <row r="1928" spans="1:26" x14ac:dyDescent="0.3">
      <c r="A1928" t="s">
        <v>171</v>
      </c>
      <c r="B1928" t="s">
        <v>164</v>
      </c>
      <c r="C1928">
        <v>26</v>
      </c>
      <c r="D1928">
        <v>6</v>
      </c>
      <c r="E1928" s="1">
        <f t="shared" si="30"/>
        <v>0.23076923076923078</v>
      </c>
      <c r="F1928">
        <v>100.7</v>
      </c>
      <c r="G1928">
        <v>117.7</v>
      </c>
      <c r="H1928">
        <v>0.14299999999999999</v>
      </c>
      <c r="I1928">
        <v>49.7</v>
      </c>
      <c r="J1928">
        <v>53.9</v>
      </c>
      <c r="K1928">
        <v>18.2</v>
      </c>
      <c r="L1928">
        <v>17.2</v>
      </c>
      <c r="M1928">
        <v>31.1</v>
      </c>
      <c r="N1928">
        <v>32.799999999999997</v>
      </c>
      <c r="O1928">
        <v>31.9</v>
      </c>
      <c r="P1928">
        <v>33.299999999999997</v>
      </c>
      <c r="Q1928">
        <v>47.6</v>
      </c>
      <c r="R1928">
        <v>53.4</v>
      </c>
      <c r="S1928">
        <v>37.200000000000003</v>
      </c>
      <c r="T1928">
        <v>36.9</v>
      </c>
      <c r="U1928">
        <v>65</v>
      </c>
      <c r="V1928">
        <v>-16.100000000000001</v>
      </c>
      <c r="W1928" cm="1">
        <f t="array" ref="W1928">_xlfn.IFS(OR(X1928="N/A",X1928="NA"),0,OR(X1928="R64",X1928="R68"),1,X1928="R32",2,X1928="S16",3,X1928="E8",4,X1928="F4",5,X1928="2ND",6,X1928="Champions",7)</f>
        <v>0</v>
      </c>
      <c r="X1928" t="s">
        <v>90</v>
      </c>
      <c r="Y1928" t="s">
        <v>90</v>
      </c>
      <c r="Z1928">
        <v>2013</v>
      </c>
    </row>
    <row r="1929" spans="1:26" x14ac:dyDescent="0.3">
      <c r="A1929" t="s">
        <v>353</v>
      </c>
      <c r="B1929" t="s">
        <v>62</v>
      </c>
      <c r="C1929">
        <v>28</v>
      </c>
      <c r="D1929">
        <v>6</v>
      </c>
      <c r="E1929" s="1">
        <f t="shared" si="30"/>
        <v>0.21428571428571427</v>
      </c>
      <c r="F1929">
        <v>96.7</v>
      </c>
      <c r="G1929">
        <v>118.7</v>
      </c>
      <c r="H1929">
        <v>8.6800000000000002E-2</v>
      </c>
      <c r="I1929">
        <v>50.5</v>
      </c>
      <c r="J1929">
        <v>55</v>
      </c>
      <c r="K1929">
        <v>23.9</v>
      </c>
      <c r="L1929">
        <v>18</v>
      </c>
      <c r="M1929">
        <v>30.9</v>
      </c>
      <c r="N1929">
        <v>36.200000000000003</v>
      </c>
      <c r="O1929">
        <v>37.799999999999997</v>
      </c>
      <c r="P1929">
        <v>28.8</v>
      </c>
      <c r="Q1929">
        <v>48.9</v>
      </c>
      <c r="R1929">
        <v>53.6</v>
      </c>
      <c r="S1929">
        <v>35.9</v>
      </c>
      <c r="T1929">
        <v>38.200000000000003</v>
      </c>
      <c r="U1929">
        <v>65.400000000000006</v>
      </c>
      <c r="V1929">
        <v>-18</v>
      </c>
      <c r="W1929" cm="1">
        <f t="array" ref="W1929">_xlfn.IFS(OR(X1929="N/A",X1929="NA"),0,OR(X1929="R64",X1929="R68"),1,X1929="R32",2,X1929="S16",3,X1929="E8",4,X1929="F4",5,X1929="2ND",6,X1929="Champions",7)</f>
        <v>0</v>
      </c>
      <c r="X1929" t="s">
        <v>90</v>
      </c>
      <c r="Y1929" t="s">
        <v>90</v>
      </c>
      <c r="Z1929">
        <v>2013</v>
      </c>
    </row>
    <row r="1930" spans="1:26" x14ac:dyDescent="0.3">
      <c r="A1930" t="s">
        <v>304</v>
      </c>
      <c r="B1930" t="s">
        <v>64</v>
      </c>
      <c r="C1930">
        <v>29</v>
      </c>
      <c r="D1930">
        <v>6</v>
      </c>
      <c r="E1930" s="1">
        <f t="shared" si="30"/>
        <v>0.20689655172413793</v>
      </c>
      <c r="F1930">
        <v>96.7</v>
      </c>
      <c r="G1930">
        <v>110.2</v>
      </c>
      <c r="H1930">
        <v>0.183</v>
      </c>
      <c r="I1930">
        <v>51.7</v>
      </c>
      <c r="J1930">
        <v>52</v>
      </c>
      <c r="K1930">
        <v>23.2</v>
      </c>
      <c r="L1930">
        <v>18.100000000000001</v>
      </c>
      <c r="M1930">
        <v>28.9</v>
      </c>
      <c r="N1930">
        <v>35.299999999999997</v>
      </c>
      <c r="O1930">
        <v>37.4</v>
      </c>
      <c r="P1930">
        <v>29.3</v>
      </c>
      <c r="Q1930">
        <v>48.8</v>
      </c>
      <c r="R1930">
        <v>51.8</v>
      </c>
      <c r="S1930">
        <v>38.1</v>
      </c>
      <c r="T1930">
        <v>34.9</v>
      </c>
      <c r="U1930">
        <v>69.2</v>
      </c>
      <c r="V1930">
        <v>-18.5</v>
      </c>
      <c r="W1930" cm="1">
        <f t="array" ref="W1930">_xlfn.IFS(OR(X1930="N/A",X1930="NA"),0,OR(X1930="R64",X1930="R68"),1,X1930="R32",2,X1930="S16",3,X1930="E8",4,X1930="F4",5,X1930="2ND",6,X1930="Champions",7)</f>
        <v>0</v>
      </c>
      <c r="X1930" t="s">
        <v>90</v>
      </c>
      <c r="Y1930" t="s">
        <v>90</v>
      </c>
      <c r="Z1930">
        <v>2013</v>
      </c>
    </row>
    <row r="1931" spans="1:26" x14ac:dyDescent="0.3">
      <c r="A1931" t="s">
        <v>266</v>
      </c>
      <c r="B1931" t="s">
        <v>66</v>
      </c>
      <c r="C1931">
        <v>29</v>
      </c>
      <c r="D1931">
        <v>6</v>
      </c>
      <c r="E1931" s="1">
        <f t="shared" si="30"/>
        <v>0.20689655172413793</v>
      </c>
      <c r="F1931">
        <v>88.6</v>
      </c>
      <c r="G1931">
        <v>106.5</v>
      </c>
      <c r="H1931">
        <v>0.10780000000000001</v>
      </c>
      <c r="I1931">
        <v>43</v>
      </c>
      <c r="J1931">
        <v>50.5</v>
      </c>
      <c r="K1931">
        <v>22.5</v>
      </c>
      <c r="L1931">
        <v>22.7</v>
      </c>
      <c r="M1931">
        <v>31.6</v>
      </c>
      <c r="N1931">
        <v>37.4</v>
      </c>
      <c r="O1931">
        <v>32.700000000000003</v>
      </c>
      <c r="P1931">
        <v>42.2</v>
      </c>
      <c r="Q1931">
        <v>41.9</v>
      </c>
      <c r="R1931">
        <v>49.3</v>
      </c>
      <c r="S1931">
        <v>30.3</v>
      </c>
      <c r="T1931">
        <v>35.4</v>
      </c>
      <c r="U1931">
        <v>69.599999999999994</v>
      </c>
      <c r="V1931">
        <v>-18.399999999999999</v>
      </c>
      <c r="W1931" cm="1">
        <f t="array" ref="W1931">_xlfn.IFS(OR(X1931="N/A",X1931="NA"),0,OR(X1931="R64",X1931="R68"),1,X1931="R32",2,X1931="S16",3,X1931="E8",4,X1931="F4",5,X1931="2ND",6,X1931="Champions",7)</f>
        <v>0</v>
      </c>
      <c r="X1931" t="s">
        <v>90</v>
      </c>
      <c r="Y1931" t="s">
        <v>90</v>
      </c>
      <c r="Z1931">
        <v>2013</v>
      </c>
    </row>
    <row r="1932" spans="1:26" x14ac:dyDescent="0.3">
      <c r="A1932" t="s">
        <v>267</v>
      </c>
      <c r="B1932" t="s">
        <v>66</v>
      </c>
      <c r="C1932">
        <v>29</v>
      </c>
      <c r="D1932">
        <v>6</v>
      </c>
      <c r="E1932" s="1">
        <f t="shared" si="30"/>
        <v>0.20689655172413793</v>
      </c>
      <c r="F1932">
        <v>81.2</v>
      </c>
      <c r="G1932">
        <v>101.1</v>
      </c>
      <c r="H1932">
        <v>7.4999999999999997E-2</v>
      </c>
      <c r="I1932">
        <v>39.200000000000003</v>
      </c>
      <c r="J1932">
        <v>47.3</v>
      </c>
      <c r="K1932">
        <v>23.9</v>
      </c>
      <c r="L1932">
        <v>22.9</v>
      </c>
      <c r="M1932">
        <v>35.1</v>
      </c>
      <c r="N1932">
        <v>34.299999999999997</v>
      </c>
      <c r="O1932">
        <v>34.1</v>
      </c>
      <c r="P1932">
        <v>37</v>
      </c>
      <c r="Q1932">
        <v>39.9</v>
      </c>
      <c r="R1932">
        <v>45.8</v>
      </c>
      <c r="S1932">
        <v>24.9</v>
      </c>
      <c r="T1932">
        <v>33.299999999999997</v>
      </c>
      <c r="U1932">
        <v>62.4</v>
      </c>
      <c r="V1932">
        <v>-17.7</v>
      </c>
      <c r="W1932" cm="1">
        <f t="array" ref="W1932">_xlfn.IFS(OR(X1932="N/A",X1932="NA"),0,OR(X1932="R64",X1932="R68"),1,X1932="R32",2,X1932="S16",3,X1932="E8",4,X1932="F4",5,X1932="2ND",6,X1932="Champions",7)</f>
        <v>0</v>
      </c>
      <c r="X1932" t="s">
        <v>90</v>
      </c>
      <c r="Y1932" t="s">
        <v>90</v>
      </c>
      <c r="Z1932">
        <v>2013</v>
      </c>
    </row>
    <row r="1933" spans="1:26" x14ac:dyDescent="0.3">
      <c r="A1933" t="s">
        <v>91</v>
      </c>
      <c r="B1933" t="s">
        <v>45</v>
      </c>
      <c r="C1933">
        <v>30</v>
      </c>
      <c r="D1933">
        <v>6</v>
      </c>
      <c r="E1933" s="1">
        <f t="shared" si="30"/>
        <v>0.2</v>
      </c>
      <c r="F1933">
        <v>98.6</v>
      </c>
      <c r="G1933">
        <v>105.7</v>
      </c>
      <c r="H1933">
        <v>0.31119999999999998</v>
      </c>
      <c r="I1933">
        <v>45</v>
      </c>
      <c r="J1933">
        <v>51.1</v>
      </c>
      <c r="K1933">
        <v>22.9</v>
      </c>
      <c r="L1933">
        <v>16.3</v>
      </c>
      <c r="M1933">
        <v>36.1</v>
      </c>
      <c r="N1933">
        <v>32.5</v>
      </c>
      <c r="O1933">
        <v>32.6</v>
      </c>
      <c r="P1933">
        <v>45.1</v>
      </c>
      <c r="Q1933">
        <v>44.2</v>
      </c>
      <c r="R1933">
        <v>50</v>
      </c>
      <c r="S1933">
        <v>31.3</v>
      </c>
      <c r="T1933">
        <v>35.6</v>
      </c>
      <c r="U1933">
        <v>68.8</v>
      </c>
      <c r="V1933">
        <v>-13.2</v>
      </c>
      <c r="W1933" cm="1">
        <f t="array" ref="W1933">_xlfn.IFS(OR(X1933="N/A",X1933="NA"),0,OR(X1933="R64",X1933="R68"),1,X1933="R32",2,X1933="S16",3,X1933="E8",4,X1933="F4",5,X1933="2ND",6,X1933="Champions",7)</f>
        <v>0</v>
      </c>
      <c r="X1933" t="s">
        <v>90</v>
      </c>
      <c r="Y1933" t="s">
        <v>90</v>
      </c>
      <c r="Z1933">
        <v>2013</v>
      </c>
    </row>
    <row r="1934" spans="1:26" x14ac:dyDescent="0.3">
      <c r="A1934" t="s">
        <v>225</v>
      </c>
      <c r="B1934" t="s">
        <v>43</v>
      </c>
      <c r="C1934">
        <v>30</v>
      </c>
      <c r="D1934">
        <v>6</v>
      </c>
      <c r="E1934" s="1">
        <f t="shared" si="30"/>
        <v>0.2</v>
      </c>
      <c r="F1934">
        <v>93.7</v>
      </c>
      <c r="G1934">
        <v>106.5</v>
      </c>
      <c r="H1934">
        <v>0.18709999999999999</v>
      </c>
      <c r="I1934">
        <v>44.6</v>
      </c>
      <c r="J1934">
        <v>50.5</v>
      </c>
      <c r="K1934">
        <v>21.5</v>
      </c>
      <c r="L1934">
        <v>17.600000000000001</v>
      </c>
      <c r="M1934">
        <v>29</v>
      </c>
      <c r="N1934">
        <v>35</v>
      </c>
      <c r="O1934">
        <v>36.1</v>
      </c>
      <c r="P1934">
        <v>30.2</v>
      </c>
      <c r="Q1934">
        <v>43.5</v>
      </c>
      <c r="R1934">
        <v>51.1</v>
      </c>
      <c r="S1934">
        <v>30.8</v>
      </c>
      <c r="T1934">
        <v>32.700000000000003</v>
      </c>
      <c r="U1934">
        <v>65.900000000000006</v>
      </c>
      <c r="V1934">
        <v>-17.399999999999999</v>
      </c>
      <c r="W1934" cm="1">
        <f t="array" ref="W1934">_xlfn.IFS(OR(X1934="N/A",X1934="NA"),0,OR(X1934="R64",X1934="R68"),1,X1934="R32",2,X1934="S16",3,X1934="E8",4,X1934="F4",5,X1934="2ND",6,X1934="Champions",7)</f>
        <v>0</v>
      </c>
      <c r="X1934" t="s">
        <v>90</v>
      </c>
      <c r="Y1934" t="s">
        <v>90</v>
      </c>
      <c r="Z1934">
        <v>2013</v>
      </c>
    </row>
    <row r="1935" spans="1:26" x14ac:dyDescent="0.3">
      <c r="A1935" t="s">
        <v>201</v>
      </c>
      <c r="B1935" t="s">
        <v>53</v>
      </c>
      <c r="C1935">
        <v>31</v>
      </c>
      <c r="D1935">
        <v>6</v>
      </c>
      <c r="E1935" s="1">
        <f t="shared" si="30"/>
        <v>0.19354838709677419</v>
      </c>
      <c r="F1935">
        <v>88.1</v>
      </c>
      <c r="G1935">
        <v>100</v>
      </c>
      <c r="H1935">
        <v>0.189</v>
      </c>
      <c r="I1935">
        <v>42</v>
      </c>
      <c r="J1935">
        <v>48.9</v>
      </c>
      <c r="K1935">
        <v>22.2</v>
      </c>
      <c r="L1935">
        <v>20.6</v>
      </c>
      <c r="M1935">
        <v>34.299999999999997</v>
      </c>
      <c r="N1935">
        <v>34.9</v>
      </c>
      <c r="O1935">
        <v>39.299999999999997</v>
      </c>
      <c r="P1935">
        <v>36.700000000000003</v>
      </c>
      <c r="Q1935">
        <v>41.6</v>
      </c>
      <c r="R1935">
        <v>50</v>
      </c>
      <c r="S1935">
        <v>28.7</v>
      </c>
      <c r="T1935">
        <v>31</v>
      </c>
      <c r="U1935">
        <v>64.900000000000006</v>
      </c>
      <c r="V1935">
        <v>-19.7</v>
      </c>
      <c r="W1935" cm="1">
        <f t="array" ref="W1935">_xlfn.IFS(OR(X1935="N/A",X1935="NA"),0,OR(X1935="R64",X1935="R68"),1,X1935="R32",2,X1935="S16",3,X1935="E8",4,X1935="F4",5,X1935="2ND",6,X1935="Champions",7)</f>
        <v>0</v>
      </c>
      <c r="X1935" t="s">
        <v>90</v>
      </c>
      <c r="Y1935" t="s">
        <v>90</v>
      </c>
      <c r="Z1935">
        <v>2013</v>
      </c>
    </row>
    <row r="1936" spans="1:26" x14ac:dyDescent="0.3">
      <c r="A1936" t="s">
        <v>181</v>
      </c>
      <c r="B1936" t="s">
        <v>74</v>
      </c>
      <c r="C1936">
        <v>31</v>
      </c>
      <c r="D1936">
        <v>6</v>
      </c>
      <c r="E1936" s="1">
        <f t="shared" si="30"/>
        <v>0.19354838709677419</v>
      </c>
      <c r="F1936">
        <v>93.5</v>
      </c>
      <c r="G1936">
        <v>114.2</v>
      </c>
      <c r="H1936">
        <v>9.0999999999999998E-2</v>
      </c>
      <c r="I1936">
        <v>48.3</v>
      </c>
      <c r="J1936">
        <v>54.4</v>
      </c>
      <c r="K1936">
        <v>22.7</v>
      </c>
      <c r="L1936">
        <v>18.399999999999999</v>
      </c>
      <c r="M1936">
        <v>28.8</v>
      </c>
      <c r="N1936">
        <v>34.6</v>
      </c>
      <c r="O1936">
        <v>30.5</v>
      </c>
      <c r="P1936">
        <v>34.700000000000003</v>
      </c>
      <c r="Q1936">
        <v>48.3</v>
      </c>
      <c r="R1936">
        <v>53.1</v>
      </c>
      <c r="S1936">
        <v>32.1</v>
      </c>
      <c r="T1936">
        <v>38.299999999999997</v>
      </c>
      <c r="U1936">
        <v>70.7</v>
      </c>
      <c r="V1936">
        <v>-19.5</v>
      </c>
      <c r="W1936" cm="1">
        <f t="array" ref="W1936">_xlfn.IFS(OR(X1936="N/A",X1936="NA"),0,OR(X1936="R64",X1936="R68"),1,X1936="R32",2,X1936="S16",3,X1936="E8",4,X1936="F4",5,X1936="2ND",6,X1936="Champions",7)</f>
        <v>0</v>
      </c>
      <c r="X1936" t="s">
        <v>90</v>
      </c>
      <c r="Y1936" t="s">
        <v>90</v>
      </c>
      <c r="Z1936">
        <v>2013</v>
      </c>
    </row>
    <row r="1937" spans="1:26" x14ac:dyDescent="0.3">
      <c r="A1937" t="s">
        <v>310</v>
      </c>
      <c r="B1937" t="s">
        <v>64</v>
      </c>
      <c r="C1937">
        <v>25</v>
      </c>
      <c r="D1937">
        <v>7</v>
      </c>
      <c r="E1937" s="1">
        <f t="shared" si="30"/>
        <v>0.28000000000000003</v>
      </c>
      <c r="F1937">
        <v>90.4</v>
      </c>
      <c r="G1937">
        <v>106.4</v>
      </c>
      <c r="H1937">
        <v>0.1338</v>
      </c>
      <c r="I1937">
        <v>47.7</v>
      </c>
      <c r="J1937">
        <v>51.6</v>
      </c>
      <c r="K1937">
        <v>21.7</v>
      </c>
      <c r="L1937">
        <v>21.1</v>
      </c>
      <c r="M1937">
        <v>28.5</v>
      </c>
      <c r="N1937">
        <v>32</v>
      </c>
      <c r="O1937">
        <v>32.799999999999997</v>
      </c>
      <c r="P1937">
        <v>36.9</v>
      </c>
      <c r="Q1937">
        <v>44.6</v>
      </c>
      <c r="R1937">
        <v>52.6</v>
      </c>
      <c r="S1937">
        <v>36.4</v>
      </c>
      <c r="T1937">
        <v>33</v>
      </c>
      <c r="U1937">
        <v>66.2</v>
      </c>
      <c r="V1937">
        <v>-13.8</v>
      </c>
      <c r="W1937" cm="1">
        <f t="array" ref="W1937">_xlfn.IFS(OR(X1937="N/A",X1937="NA"),0,OR(X1937="R64",X1937="R68"),1,X1937="R32",2,X1937="S16",3,X1937="E8",4,X1937="F4",5,X1937="2ND",6,X1937="Champions",7)</f>
        <v>0</v>
      </c>
      <c r="X1937" t="s">
        <v>90</v>
      </c>
      <c r="Y1937" t="s">
        <v>90</v>
      </c>
      <c r="Z1937">
        <v>2013</v>
      </c>
    </row>
    <row r="1938" spans="1:26" x14ac:dyDescent="0.3">
      <c r="A1938" t="s">
        <v>312</v>
      </c>
      <c r="B1938" t="s">
        <v>64</v>
      </c>
      <c r="C1938">
        <v>28</v>
      </c>
      <c r="D1938">
        <v>7</v>
      </c>
      <c r="E1938" s="1">
        <f t="shared" si="30"/>
        <v>0.25</v>
      </c>
      <c r="F1938">
        <v>91.9</v>
      </c>
      <c r="G1938">
        <v>112.9</v>
      </c>
      <c r="H1938">
        <v>8.6099999999999996E-2</v>
      </c>
      <c r="I1938">
        <v>43.3</v>
      </c>
      <c r="J1938">
        <v>53.5</v>
      </c>
      <c r="K1938">
        <v>21.1</v>
      </c>
      <c r="L1938">
        <v>19.3</v>
      </c>
      <c r="M1938">
        <v>32.299999999999997</v>
      </c>
      <c r="N1938">
        <v>32.700000000000003</v>
      </c>
      <c r="O1938">
        <v>37.700000000000003</v>
      </c>
      <c r="P1938">
        <v>44.9</v>
      </c>
      <c r="Q1938">
        <v>40.9</v>
      </c>
      <c r="R1938">
        <v>53.3</v>
      </c>
      <c r="S1938">
        <v>32.700000000000003</v>
      </c>
      <c r="T1938">
        <v>35.9</v>
      </c>
      <c r="U1938">
        <v>68.400000000000006</v>
      </c>
      <c r="V1938">
        <v>-16</v>
      </c>
      <c r="W1938" cm="1">
        <f t="array" ref="W1938">_xlfn.IFS(OR(X1938="N/A",X1938="NA"),0,OR(X1938="R64",X1938="R68"),1,X1938="R32",2,X1938="S16",3,X1938="E8",4,X1938="F4",5,X1938="2ND",6,X1938="Champions",7)</f>
        <v>0</v>
      </c>
      <c r="X1938" t="s">
        <v>90</v>
      </c>
      <c r="Y1938" t="s">
        <v>90</v>
      </c>
      <c r="Z1938">
        <v>2013</v>
      </c>
    </row>
    <row r="1939" spans="1:26" x14ac:dyDescent="0.3">
      <c r="A1939" t="s">
        <v>403</v>
      </c>
      <c r="B1939" t="s">
        <v>51</v>
      </c>
      <c r="C1939">
        <v>29</v>
      </c>
      <c r="D1939">
        <v>7</v>
      </c>
      <c r="E1939" s="1">
        <f t="shared" si="30"/>
        <v>0.2413793103448276</v>
      </c>
      <c r="F1939">
        <v>92.5</v>
      </c>
      <c r="G1939">
        <v>97.1</v>
      </c>
      <c r="H1939">
        <v>0.36420000000000002</v>
      </c>
      <c r="I1939">
        <v>47.1</v>
      </c>
      <c r="J1939">
        <v>46.7</v>
      </c>
      <c r="K1939">
        <v>25.5</v>
      </c>
      <c r="L1939">
        <v>19.8</v>
      </c>
      <c r="M1939">
        <v>36.700000000000003</v>
      </c>
      <c r="N1939">
        <v>29.9</v>
      </c>
      <c r="O1939">
        <v>28.8</v>
      </c>
      <c r="P1939">
        <v>42.7</v>
      </c>
      <c r="Q1939">
        <v>46.5</v>
      </c>
      <c r="R1939">
        <v>45.9</v>
      </c>
      <c r="S1939">
        <v>32.200000000000003</v>
      </c>
      <c r="T1939">
        <v>32.1</v>
      </c>
      <c r="U1939">
        <v>70.099999999999994</v>
      </c>
      <c r="V1939">
        <v>-16.2</v>
      </c>
      <c r="W1939" cm="1">
        <f t="array" ref="W1939">_xlfn.IFS(OR(X1939="N/A",X1939="NA"),0,OR(X1939="R64",X1939="R68"),1,X1939="R32",2,X1939="S16",3,X1939="E8",4,X1939="F4",5,X1939="2ND",6,X1939="Champions",7)</f>
        <v>0</v>
      </c>
      <c r="X1939" t="s">
        <v>90</v>
      </c>
      <c r="Y1939" t="s">
        <v>90</v>
      </c>
      <c r="Z1939">
        <v>2013</v>
      </c>
    </row>
    <row r="1940" spans="1:26" x14ac:dyDescent="0.3">
      <c r="A1940" t="s">
        <v>354</v>
      </c>
      <c r="B1940" t="s">
        <v>62</v>
      </c>
      <c r="C1940">
        <v>29</v>
      </c>
      <c r="D1940">
        <v>7</v>
      </c>
      <c r="E1940" s="1">
        <f t="shared" si="30"/>
        <v>0.2413793103448276</v>
      </c>
      <c r="F1940">
        <v>96.1</v>
      </c>
      <c r="G1940">
        <v>106.4</v>
      </c>
      <c r="H1940">
        <v>0.23569999999999999</v>
      </c>
      <c r="I1940">
        <v>47</v>
      </c>
      <c r="J1940">
        <v>50.2</v>
      </c>
      <c r="K1940">
        <v>17.8</v>
      </c>
      <c r="L1940">
        <v>19.2</v>
      </c>
      <c r="M1940">
        <v>29.2</v>
      </c>
      <c r="N1940">
        <v>28.1</v>
      </c>
      <c r="O1940">
        <v>33.700000000000003</v>
      </c>
      <c r="P1940">
        <v>51.9</v>
      </c>
      <c r="Q1940">
        <v>45</v>
      </c>
      <c r="R1940">
        <v>48.2</v>
      </c>
      <c r="S1940">
        <v>33.799999999999997</v>
      </c>
      <c r="T1940">
        <v>36.200000000000003</v>
      </c>
      <c r="U1940">
        <v>71.8</v>
      </c>
      <c r="V1940">
        <v>-18</v>
      </c>
      <c r="W1940" cm="1">
        <f t="array" ref="W1940">_xlfn.IFS(OR(X1940="N/A",X1940="NA"),0,OR(X1940="R64",X1940="R68"),1,X1940="R32",2,X1940="S16",3,X1940="E8",4,X1940="F4",5,X1940="2ND",6,X1940="Champions",7)</f>
        <v>0</v>
      </c>
      <c r="X1940" t="s">
        <v>90</v>
      </c>
      <c r="Y1940" t="s">
        <v>90</v>
      </c>
      <c r="Z1940">
        <v>2013</v>
      </c>
    </row>
    <row r="1941" spans="1:26" x14ac:dyDescent="0.3">
      <c r="A1941" t="s">
        <v>401</v>
      </c>
      <c r="B1941" t="s">
        <v>419</v>
      </c>
      <c r="C1941">
        <v>29</v>
      </c>
      <c r="D1941">
        <v>7</v>
      </c>
      <c r="E1941" s="1">
        <f t="shared" si="30"/>
        <v>0.2413793103448276</v>
      </c>
      <c r="F1941">
        <v>90.6</v>
      </c>
      <c r="G1941">
        <v>102.1</v>
      </c>
      <c r="H1941">
        <v>0.20169999999999999</v>
      </c>
      <c r="I1941">
        <v>44.4</v>
      </c>
      <c r="J1941">
        <v>50.5</v>
      </c>
      <c r="K1941">
        <v>21.2</v>
      </c>
      <c r="L1941">
        <v>23.5</v>
      </c>
      <c r="M1941">
        <v>30.1</v>
      </c>
      <c r="N1941">
        <v>33.9</v>
      </c>
      <c r="O1941">
        <v>24.6</v>
      </c>
      <c r="P1941">
        <v>48.1</v>
      </c>
      <c r="Q1941">
        <v>41.9</v>
      </c>
      <c r="R1941">
        <v>48.6</v>
      </c>
      <c r="S1941">
        <v>32.6</v>
      </c>
      <c r="T1941">
        <v>36</v>
      </c>
      <c r="U1941">
        <v>67.099999999999994</v>
      </c>
      <c r="V1941">
        <v>-15.7</v>
      </c>
      <c r="W1941" cm="1">
        <f t="array" ref="W1941">_xlfn.IFS(OR(X1941="N/A",X1941="NA"),0,OR(X1941="R64",X1941="R68"),1,X1941="R32",2,X1941="S16",3,X1941="E8",4,X1941="F4",5,X1941="2ND",6,X1941="Champions",7)</f>
        <v>0</v>
      </c>
      <c r="X1941" t="s">
        <v>90</v>
      </c>
      <c r="Y1941" t="s">
        <v>90</v>
      </c>
      <c r="Z1941">
        <v>2013</v>
      </c>
    </row>
    <row r="1942" spans="1:26" x14ac:dyDescent="0.3">
      <c r="A1942" t="s">
        <v>118</v>
      </c>
      <c r="B1942" t="s">
        <v>112</v>
      </c>
      <c r="C1942">
        <v>30</v>
      </c>
      <c r="D1942">
        <v>7</v>
      </c>
      <c r="E1942" s="1">
        <f t="shared" si="30"/>
        <v>0.23333333333333334</v>
      </c>
      <c r="F1942">
        <v>94.8</v>
      </c>
      <c r="G1942">
        <v>107.4</v>
      </c>
      <c r="H1942">
        <v>0.19089999999999999</v>
      </c>
      <c r="I1942">
        <v>46.6</v>
      </c>
      <c r="J1942">
        <v>51.2</v>
      </c>
      <c r="K1942">
        <v>21.3</v>
      </c>
      <c r="L1942">
        <v>20.2</v>
      </c>
      <c r="M1942">
        <v>28.7</v>
      </c>
      <c r="N1942">
        <v>32.9</v>
      </c>
      <c r="O1942">
        <v>30.1</v>
      </c>
      <c r="P1942">
        <v>44</v>
      </c>
      <c r="Q1942">
        <v>44.2</v>
      </c>
      <c r="R1942">
        <v>53.8</v>
      </c>
      <c r="S1942">
        <v>33.9</v>
      </c>
      <c r="T1942">
        <v>30.9</v>
      </c>
      <c r="U1942">
        <v>67.7</v>
      </c>
      <c r="V1942">
        <v>-17.600000000000001</v>
      </c>
      <c r="W1942" cm="1">
        <f t="array" ref="W1942">_xlfn.IFS(OR(X1942="N/A",X1942="NA"),0,OR(X1942="R64",X1942="R68"),1,X1942="R32",2,X1942="S16",3,X1942="E8",4,X1942="F4",5,X1942="2ND",6,X1942="Champions",7)</f>
        <v>0</v>
      </c>
      <c r="X1942" t="s">
        <v>90</v>
      </c>
      <c r="Y1942" t="s">
        <v>90</v>
      </c>
      <c r="Z1942">
        <v>2013</v>
      </c>
    </row>
    <row r="1943" spans="1:26" x14ac:dyDescent="0.3">
      <c r="A1943" t="s">
        <v>334</v>
      </c>
      <c r="B1943" t="s">
        <v>67</v>
      </c>
      <c r="C1943">
        <v>30</v>
      </c>
      <c r="D1943">
        <v>7</v>
      </c>
      <c r="E1943" s="1">
        <f t="shared" si="30"/>
        <v>0.23333333333333334</v>
      </c>
      <c r="F1943">
        <v>87.7</v>
      </c>
      <c r="G1943">
        <v>102.8</v>
      </c>
      <c r="H1943">
        <v>0.13919999999999999</v>
      </c>
      <c r="I1943">
        <v>44.1</v>
      </c>
      <c r="J1943">
        <v>49.6</v>
      </c>
      <c r="K1943">
        <v>18.5</v>
      </c>
      <c r="L1943">
        <v>21.6</v>
      </c>
      <c r="M1943">
        <v>25.8</v>
      </c>
      <c r="N1943">
        <v>34</v>
      </c>
      <c r="O1943">
        <v>27.9</v>
      </c>
      <c r="P1943">
        <v>38.4</v>
      </c>
      <c r="Q1943">
        <v>42.2</v>
      </c>
      <c r="R1943">
        <v>50.7</v>
      </c>
      <c r="S1943">
        <v>32.1</v>
      </c>
      <c r="T1943">
        <v>31.9</v>
      </c>
      <c r="U1943">
        <v>61</v>
      </c>
      <c r="V1943">
        <v>-18.2</v>
      </c>
      <c r="W1943" cm="1">
        <f t="array" ref="W1943">_xlfn.IFS(OR(X1943="N/A",X1943="NA"),0,OR(X1943="R64",X1943="R68"),1,X1943="R32",2,X1943="S16",3,X1943="E8",4,X1943="F4",5,X1943="2ND",6,X1943="Champions",7)</f>
        <v>0</v>
      </c>
      <c r="X1943" t="s">
        <v>90</v>
      </c>
      <c r="Y1943" t="s">
        <v>90</v>
      </c>
      <c r="Z1943">
        <v>2013</v>
      </c>
    </row>
    <row r="1944" spans="1:26" x14ac:dyDescent="0.3">
      <c r="A1944" t="s">
        <v>264</v>
      </c>
      <c r="B1944" t="s">
        <v>66</v>
      </c>
      <c r="C1944">
        <v>31</v>
      </c>
      <c r="D1944">
        <v>7</v>
      </c>
      <c r="E1944" s="1">
        <f t="shared" si="30"/>
        <v>0.22580645161290322</v>
      </c>
      <c r="F1944">
        <v>92.1</v>
      </c>
      <c r="G1944">
        <v>106.5</v>
      </c>
      <c r="H1944">
        <v>0.15820000000000001</v>
      </c>
      <c r="I1944">
        <v>42.6</v>
      </c>
      <c r="J1944">
        <v>50.1</v>
      </c>
      <c r="K1944">
        <v>21</v>
      </c>
      <c r="L1944">
        <v>23.3</v>
      </c>
      <c r="M1944">
        <v>29</v>
      </c>
      <c r="N1944">
        <v>39.200000000000003</v>
      </c>
      <c r="O1944">
        <v>31.2</v>
      </c>
      <c r="P1944">
        <v>37.1</v>
      </c>
      <c r="Q1944">
        <v>39.6</v>
      </c>
      <c r="R1944">
        <v>53.4</v>
      </c>
      <c r="S1944">
        <v>31.2</v>
      </c>
      <c r="T1944">
        <v>29.6</v>
      </c>
      <c r="U1944">
        <v>68.7</v>
      </c>
      <c r="V1944">
        <v>-18</v>
      </c>
      <c r="W1944" cm="1">
        <f t="array" ref="W1944">_xlfn.IFS(OR(X1944="N/A",X1944="NA"),0,OR(X1944="R64",X1944="R68"),1,X1944="R32",2,X1944="S16",3,X1944="E8",4,X1944="F4",5,X1944="2ND",6,X1944="Champions",7)</f>
        <v>0</v>
      </c>
      <c r="X1944" t="s">
        <v>90</v>
      </c>
      <c r="Y1944" t="s">
        <v>90</v>
      </c>
      <c r="Z1944">
        <v>2013</v>
      </c>
    </row>
    <row r="1945" spans="1:26" x14ac:dyDescent="0.3">
      <c r="A1945" t="s">
        <v>404</v>
      </c>
      <c r="B1945" t="s">
        <v>72</v>
      </c>
      <c r="C1945">
        <v>31</v>
      </c>
      <c r="D1945">
        <v>7</v>
      </c>
      <c r="E1945" s="1">
        <f t="shared" si="30"/>
        <v>0.22580645161290322</v>
      </c>
      <c r="F1945">
        <v>91.6</v>
      </c>
      <c r="G1945">
        <v>106.4</v>
      </c>
      <c r="H1945">
        <v>0.15210000000000001</v>
      </c>
      <c r="I1945">
        <v>47.4</v>
      </c>
      <c r="J1945">
        <v>54.5</v>
      </c>
      <c r="K1945">
        <v>23</v>
      </c>
      <c r="L1945">
        <v>19.3</v>
      </c>
      <c r="M1945">
        <v>29.1</v>
      </c>
      <c r="N1945">
        <v>30.5</v>
      </c>
      <c r="O1945">
        <v>30.3</v>
      </c>
      <c r="P1945">
        <v>42.3</v>
      </c>
      <c r="Q1945">
        <v>45.9</v>
      </c>
      <c r="R1945">
        <v>52</v>
      </c>
      <c r="S1945">
        <v>33.5</v>
      </c>
      <c r="T1945">
        <v>40.1</v>
      </c>
      <c r="U1945">
        <v>65</v>
      </c>
      <c r="V1945">
        <v>-17.600000000000001</v>
      </c>
      <c r="W1945" cm="1">
        <f t="array" ref="W1945">_xlfn.IFS(OR(X1945="N/A",X1945="NA"),0,OR(X1945="R64",X1945="R68"),1,X1945="R32",2,X1945="S16",3,X1945="E8",4,X1945="F4",5,X1945="2ND",6,X1945="Champions",7)</f>
        <v>0</v>
      </c>
      <c r="X1945" t="s">
        <v>90</v>
      </c>
      <c r="Y1945" t="s">
        <v>90</v>
      </c>
      <c r="Z1945">
        <v>2013</v>
      </c>
    </row>
    <row r="1946" spans="1:26" x14ac:dyDescent="0.3">
      <c r="A1946" t="s">
        <v>296</v>
      </c>
      <c r="B1946" t="s">
        <v>77</v>
      </c>
      <c r="C1946">
        <v>31</v>
      </c>
      <c r="D1946">
        <v>7</v>
      </c>
      <c r="E1946" s="1">
        <f t="shared" si="30"/>
        <v>0.22580645161290322</v>
      </c>
      <c r="F1946">
        <v>92.1</v>
      </c>
      <c r="G1946">
        <v>112.8</v>
      </c>
      <c r="H1946">
        <v>8.8700000000000001E-2</v>
      </c>
      <c r="I1946">
        <v>48.9</v>
      </c>
      <c r="J1946">
        <v>52.6</v>
      </c>
      <c r="K1946">
        <v>22.5</v>
      </c>
      <c r="L1946">
        <v>17.5</v>
      </c>
      <c r="M1946">
        <v>26.2</v>
      </c>
      <c r="N1946">
        <v>38.5</v>
      </c>
      <c r="O1946">
        <v>35.200000000000003</v>
      </c>
      <c r="P1946">
        <v>35.700000000000003</v>
      </c>
      <c r="Q1946">
        <v>47.2</v>
      </c>
      <c r="R1946">
        <v>51.7</v>
      </c>
      <c r="S1946">
        <v>35</v>
      </c>
      <c r="T1946">
        <v>36.299999999999997</v>
      </c>
      <c r="U1946">
        <v>68.7</v>
      </c>
      <c r="V1946">
        <v>-18.600000000000001</v>
      </c>
      <c r="W1946" cm="1">
        <f t="array" ref="W1946">_xlfn.IFS(OR(X1946="N/A",X1946="NA"),0,OR(X1946="R64",X1946="R68"),1,X1946="R32",2,X1946="S16",3,X1946="E8",4,X1946="F4",5,X1946="2ND",6,X1946="Champions",7)</f>
        <v>0</v>
      </c>
      <c r="X1946" t="s">
        <v>90</v>
      </c>
      <c r="Y1946" t="s">
        <v>90</v>
      </c>
      <c r="Z1946">
        <v>2013</v>
      </c>
    </row>
    <row r="1947" spans="1:26" x14ac:dyDescent="0.3">
      <c r="A1947" t="s">
        <v>235</v>
      </c>
      <c r="B1947" t="s">
        <v>59</v>
      </c>
      <c r="C1947">
        <v>27</v>
      </c>
      <c r="D1947">
        <v>8</v>
      </c>
      <c r="E1947" s="1">
        <f t="shared" si="30"/>
        <v>0.29629629629629628</v>
      </c>
      <c r="F1947">
        <v>95.1</v>
      </c>
      <c r="G1947">
        <v>105.3</v>
      </c>
      <c r="H1947">
        <v>0.2359</v>
      </c>
      <c r="I1947">
        <v>45.5</v>
      </c>
      <c r="J1947">
        <v>50.7</v>
      </c>
      <c r="K1947">
        <v>20.5</v>
      </c>
      <c r="L1947">
        <v>21</v>
      </c>
      <c r="M1947">
        <v>28.4</v>
      </c>
      <c r="N1947">
        <v>30.9</v>
      </c>
      <c r="O1947">
        <v>33.4</v>
      </c>
      <c r="P1947">
        <v>43.1</v>
      </c>
      <c r="Q1947">
        <v>43.5</v>
      </c>
      <c r="R1947">
        <v>49.5</v>
      </c>
      <c r="S1947">
        <v>33.299999999999997</v>
      </c>
      <c r="T1947">
        <v>35.5</v>
      </c>
      <c r="U1947">
        <v>64.599999999999994</v>
      </c>
      <c r="V1947">
        <v>-14.1</v>
      </c>
      <c r="W1947" cm="1">
        <f t="array" ref="W1947">_xlfn.IFS(OR(X1947="N/A",X1947="NA"),0,OR(X1947="R64",X1947="R68"),1,X1947="R32",2,X1947="S16",3,X1947="E8",4,X1947="F4",5,X1947="2ND",6,X1947="Champions",7)</f>
        <v>0</v>
      </c>
      <c r="X1947" t="s">
        <v>90</v>
      </c>
      <c r="Y1947" t="s">
        <v>90</v>
      </c>
      <c r="Z1947">
        <v>2013</v>
      </c>
    </row>
    <row r="1948" spans="1:26" x14ac:dyDescent="0.3">
      <c r="A1948" t="s">
        <v>115</v>
      </c>
      <c r="B1948" t="s">
        <v>112</v>
      </c>
      <c r="C1948">
        <v>28</v>
      </c>
      <c r="D1948">
        <v>8</v>
      </c>
      <c r="E1948" s="1">
        <f t="shared" si="30"/>
        <v>0.2857142857142857</v>
      </c>
      <c r="F1948">
        <v>90.9</v>
      </c>
      <c r="G1948">
        <v>100.3</v>
      </c>
      <c r="H1948">
        <v>0.24349999999999999</v>
      </c>
      <c r="I1948">
        <v>43.9</v>
      </c>
      <c r="J1948">
        <v>45.8</v>
      </c>
      <c r="K1948">
        <v>18.600000000000001</v>
      </c>
      <c r="L1948">
        <v>18.8</v>
      </c>
      <c r="M1948">
        <v>28.1</v>
      </c>
      <c r="N1948">
        <v>30.5</v>
      </c>
      <c r="O1948">
        <v>34.700000000000003</v>
      </c>
      <c r="P1948">
        <v>36.299999999999997</v>
      </c>
      <c r="Q1948">
        <v>42.9</v>
      </c>
      <c r="R1948">
        <v>47.5</v>
      </c>
      <c r="S1948">
        <v>30.5</v>
      </c>
      <c r="T1948">
        <v>27.9</v>
      </c>
      <c r="U1948">
        <v>64.3</v>
      </c>
      <c r="V1948">
        <v>-15</v>
      </c>
      <c r="W1948" cm="1">
        <f t="array" ref="W1948">_xlfn.IFS(OR(X1948="N/A",X1948="NA"),0,OR(X1948="R64",X1948="R68"),1,X1948="R32",2,X1948="S16",3,X1948="E8",4,X1948="F4",5,X1948="2ND",6,X1948="Champions",7)</f>
        <v>0</v>
      </c>
      <c r="X1948" t="s">
        <v>90</v>
      </c>
      <c r="Y1948" t="s">
        <v>90</v>
      </c>
      <c r="Z1948">
        <v>2013</v>
      </c>
    </row>
    <row r="1949" spans="1:26" x14ac:dyDescent="0.3">
      <c r="A1949" t="s">
        <v>385</v>
      </c>
      <c r="B1949" t="s">
        <v>72</v>
      </c>
      <c r="C1949">
        <v>28</v>
      </c>
      <c r="D1949">
        <v>8</v>
      </c>
      <c r="E1949" s="1">
        <f t="shared" si="30"/>
        <v>0.2857142857142857</v>
      </c>
      <c r="F1949">
        <v>101.4</v>
      </c>
      <c r="G1949">
        <v>112.1</v>
      </c>
      <c r="H1949">
        <v>0.24030000000000001</v>
      </c>
      <c r="I1949">
        <v>50.8</v>
      </c>
      <c r="J1949">
        <v>53.3</v>
      </c>
      <c r="K1949">
        <v>17.899999999999999</v>
      </c>
      <c r="L1949">
        <v>15.7</v>
      </c>
      <c r="M1949">
        <v>24.2</v>
      </c>
      <c r="N1949">
        <v>31.9</v>
      </c>
      <c r="O1949">
        <v>37.4</v>
      </c>
      <c r="P1949">
        <v>26</v>
      </c>
      <c r="Q1949">
        <v>48.2</v>
      </c>
      <c r="R1949">
        <v>51.3</v>
      </c>
      <c r="S1949">
        <v>37.1</v>
      </c>
      <c r="T1949">
        <v>38</v>
      </c>
      <c r="U1949">
        <v>67.8</v>
      </c>
      <c r="V1949">
        <v>-14.1</v>
      </c>
      <c r="W1949" cm="1">
        <f t="array" ref="W1949">_xlfn.IFS(OR(X1949="N/A",X1949="NA"),0,OR(X1949="R64",X1949="R68"),1,X1949="R32",2,X1949="S16",3,X1949="E8",4,X1949="F4",5,X1949="2ND",6,X1949="Champions",7)</f>
        <v>0</v>
      </c>
      <c r="X1949" t="s">
        <v>90</v>
      </c>
      <c r="Y1949" t="s">
        <v>90</v>
      </c>
      <c r="Z1949">
        <v>2013</v>
      </c>
    </row>
    <row r="1950" spans="1:26" x14ac:dyDescent="0.3">
      <c r="A1950" t="s">
        <v>288</v>
      </c>
      <c r="B1950" t="s">
        <v>51</v>
      </c>
      <c r="C1950">
        <v>28</v>
      </c>
      <c r="D1950">
        <v>8</v>
      </c>
      <c r="E1950" s="1">
        <f t="shared" si="30"/>
        <v>0.2857142857142857</v>
      </c>
      <c r="F1950">
        <v>88.1</v>
      </c>
      <c r="G1950">
        <v>102.4</v>
      </c>
      <c r="H1950">
        <v>0.15110000000000001</v>
      </c>
      <c r="I1950">
        <v>41.1</v>
      </c>
      <c r="J1950">
        <v>48.7</v>
      </c>
      <c r="K1950">
        <v>20.2</v>
      </c>
      <c r="L1950">
        <v>19</v>
      </c>
      <c r="M1950">
        <v>33.299999999999997</v>
      </c>
      <c r="N1950">
        <v>31.9</v>
      </c>
      <c r="O1950">
        <v>36.700000000000003</v>
      </c>
      <c r="P1950">
        <v>34.200000000000003</v>
      </c>
      <c r="Q1950">
        <v>40.1</v>
      </c>
      <c r="R1950">
        <v>48.1</v>
      </c>
      <c r="S1950">
        <v>28.9</v>
      </c>
      <c r="T1950">
        <v>33.5</v>
      </c>
      <c r="U1950">
        <v>67.2</v>
      </c>
      <c r="V1950">
        <v>-14.4</v>
      </c>
      <c r="W1950" cm="1">
        <f t="array" ref="W1950">_xlfn.IFS(OR(X1950="N/A",X1950="NA"),0,OR(X1950="R64",X1950="R68"),1,X1950="R32",2,X1950="S16",3,X1950="E8",4,X1950="F4",5,X1950="2ND",6,X1950="Champions",7)</f>
        <v>0</v>
      </c>
      <c r="X1950" t="s">
        <v>90</v>
      </c>
      <c r="Y1950" t="s">
        <v>90</v>
      </c>
      <c r="Z1950">
        <v>2013</v>
      </c>
    </row>
    <row r="1951" spans="1:26" x14ac:dyDescent="0.3">
      <c r="A1951" t="s">
        <v>96</v>
      </c>
      <c r="B1951" t="s">
        <v>45</v>
      </c>
      <c r="C1951">
        <v>29</v>
      </c>
      <c r="D1951">
        <v>8</v>
      </c>
      <c r="E1951" s="1">
        <f t="shared" si="30"/>
        <v>0.27586206896551724</v>
      </c>
      <c r="F1951">
        <v>99.9</v>
      </c>
      <c r="G1951">
        <v>99.4</v>
      </c>
      <c r="H1951">
        <v>0.51629999999999998</v>
      </c>
      <c r="I1951">
        <v>46</v>
      </c>
      <c r="J1951">
        <v>48.7</v>
      </c>
      <c r="K1951">
        <v>18.8</v>
      </c>
      <c r="L1951">
        <v>19.600000000000001</v>
      </c>
      <c r="M1951">
        <v>28.4</v>
      </c>
      <c r="N1951">
        <v>35.5</v>
      </c>
      <c r="O1951">
        <v>35.9</v>
      </c>
      <c r="P1951">
        <v>40</v>
      </c>
      <c r="Q1951">
        <v>44.6</v>
      </c>
      <c r="R1951">
        <v>47.5</v>
      </c>
      <c r="S1951">
        <v>32.200000000000003</v>
      </c>
      <c r="T1951">
        <v>34.200000000000003</v>
      </c>
      <c r="U1951">
        <v>63.2</v>
      </c>
      <c r="V1951">
        <v>-11.6</v>
      </c>
      <c r="W1951" cm="1">
        <f t="array" ref="W1951">_xlfn.IFS(OR(X1951="N/A",X1951="NA"),0,OR(X1951="R64",X1951="R68"),1,X1951="R32",2,X1951="S16",3,X1951="E8",4,X1951="F4",5,X1951="2ND",6,X1951="Champions",7)</f>
        <v>0</v>
      </c>
      <c r="X1951" t="s">
        <v>90</v>
      </c>
      <c r="Y1951" t="s">
        <v>90</v>
      </c>
      <c r="Z1951">
        <v>2013</v>
      </c>
    </row>
    <row r="1952" spans="1:26" x14ac:dyDescent="0.3">
      <c r="A1952" t="s">
        <v>89</v>
      </c>
      <c r="B1952" t="s">
        <v>45</v>
      </c>
      <c r="C1952">
        <v>30</v>
      </c>
      <c r="D1952">
        <v>8</v>
      </c>
      <c r="E1952" s="1">
        <f t="shared" si="30"/>
        <v>0.26666666666666666</v>
      </c>
      <c r="F1952">
        <v>98.9</v>
      </c>
      <c r="G1952">
        <v>104.6</v>
      </c>
      <c r="H1952">
        <v>0.34589999999999999</v>
      </c>
      <c r="I1952">
        <v>47.9</v>
      </c>
      <c r="J1952">
        <v>51.5</v>
      </c>
      <c r="K1952">
        <v>20.8</v>
      </c>
      <c r="L1952">
        <v>17.3</v>
      </c>
      <c r="M1952">
        <v>30.9</v>
      </c>
      <c r="N1952">
        <v>33.200000000000003</v>
      </c>
      <c r="O1952">
        <v>31.7</v>
      </c>
      <c r="P1952">
        <v>32.799999999999997</v>
      </c>
      <c r="Q1952">
        <v>45.9</v>
      </c>
      <c r="R1952">
        <v>48.7</v>
      </c>
      <c r="S1952">
        <v>33.799999999999997</v>
      </c>
      <c r="T1952">
        <v>37.9</v>
      </c>
      <c r="U1952">
        <v>69.3</v>
      </c>
      <c r="V1952">
        <v>-12.5</v>
      </c>
      <c r="W1952" cm="1">
        <f t="array" ref="W1952">_xlfn.IFS(OR(X1952="N/A",X1952="NA"),0,OR(X1952="R64",X1952="R68"),1,X1952="R32",2,X1952="S16",3,X1952="E8",4,X1952="F4",5,X1952="2ND",6,X1952="Champions",7)</f>
        <v>0</v>
      </c>
      <c r="X1952" t="s">
        <v>90</v>
      </c>
      <c r="Y1952" t="s">
        <v>90</v>
      </c>
      <c r="Z1952">
        <v>2013</v>
      </c>
    </row>
    <row r="1953" spans="1:26" x14ac:dyDescent="0.3">
      <c r="A1953" t="s">
        <v>257</v>
      </c>
      <c r="B1953" t="s">
        <v>57</v>
      </c>
      <c r="C1953">
        <v>30</v>
      </c>
      <c r="D1953">
        <v>8</v>
      </c>
      <c r="E1953" s="1">
        <f t="shared" si="30"/>
        <v>0.26666666666666666</v>
      </c>
      <c r="F1953">
        <v>97.1</v>
      </c>
      <c r="G1953">
        <v>103.5</v>
      </c>
      <c r="H1953">
        <v>0.32300000000000001</v>
      </c>
      <c r="I1953">
        <v>48.2</v>
      </c>
      <c r="J1953">
        <v>54</v>
      </c>
      <c r="K1953">
        <v>21.9</v>
      </c>
      <c r="L1953">
        <v>23.1</v>
      </c>
      <c r="M1953">
        <v>27.5</v>
      </c>
      <c r="N1953">
        <v>34.1</v>
      </c>
      <c r="O1953">
        <v>36</v>
      </c>
      <c r="P1953">
        <v>37.6</v>
      </c>
      <c r="Q1953">
        <v>48</v>
      </c>
      <c r="R1953">
        <v>52.7</v>
      </c>
      <c r="S1953">
        <v>32.4</v>
      </c>
      <c r="T1953">
        <v>37.5</v>
      </c>
      <c r="U1953">
        <v>65.8</v>
      </c>
      <c r="V1953">
        <v>-14.5</v>
      </c>
      <c r="W1953" cm="1">
        <f t="array" ref="W1953">_xlfn.IFS(OR(X1953="N/A",X1953="NA"),0,OR(X1953="R64",X1953="R68"),1,X1953="R32",2,X1953="S16",3,X1953="E8",4,X1953="F4",5,X1953="2ND",6,X1953="Champions",7)</f>
        <v>0</v>
      </c>
      <c r="X1953" t="s">
        <v>90</v>
      </c>
      <c r="Y1953" t="s">
        <v>90</v>
      </c>
      <c r="Z1953">
        <v>2013</v>
      </c>
    </row>
    <row r="1954" spans="1:26" x14ac:dyDescent="0.3">
      <c r="A1954" t="s">
        <v>249</v>
      </c>
      <c r="B1954" t="s">
        <v>69</v>
      </c>
      <c r="C1954">
        <v>32</v>
      </c>
      <c r="D1954">
        <v>8</v>
      </c>
      <c r="E1954" s="1">
        <f t="shared" si="30"/>
        <v>0.25</v>
      </c>
      <c r="F1954">
        <v>94.1</v>
      </c>
      <c r="G1954">
        <v>106.1</v>
      </c>
      <c r="H1954">
        <v>0.20230000000000001</v>
      </c>
      <c r="I1954">
        <v>46.1</v>
      </c>
      <c r="J1954">
        <v>48.7</v>
      </c>
      <c r="K1954">
        <v>23.7</v>
      </c>
      <c r="L1954">
        <v>17</v>
      </c>
      <c r="M1954">
        <v>33</v>
      </c>
      <c r="N1954">
        <v>34.5</v>
      </c>
      <c r="O1954">
        <v>38.1</v>
      </c>
      <c r="P1954">
        <v>27.7</v>
      </c>
      <c r="Q1954">
        <v>43.8</v>
      </c>
      <c r="R1954">
        <v>48.2</v>
      </c>
      <c r="S1954">
        <v>33.700000000000003</v>
      </c>
      <c r="T1954">
        <v>33.1</v>
      </c>
      <c r="U1954">
        <v>64.099999999999994</v>
      </c>
      <c r="V1954">
        <v>-18.399999999999999</v>
      </c>
      <c r="W1954" cm="1">
        <f t="array" ref="W1954">_xlfn.IFS(OR(X1954="N/A",X1954="NA"),0,OR(X1954="R64",X1954="R68"),1,X1954="R32",2,X1954="S16",3,X1954="E8",4,X1954="F4",5,X1954="2ND",6,X1954="Champions",7)</f>
        <v>0</v>
      </c>
      <c r="X1954" t="s">
        <v>90</v>
      </c>
      <c r="Y1954" t="s">
        <v>90</v>
      </c>
      <c r="Z1954">
        <v>2013</v>
      </c>
    </row>
    <row r="1955" spans="1:26" x14ac:dyDescent="0.3">
      <c r="A1955" t="s">
        <v>285</v>
      </c>
      <c r="B1955" t="s">
        <v>55</v>
      </c>
      <c r="C1955">
        <v>28</v>
      </c>
      <c r="D1955">
        <v>9</v>
      </c>
      <c r="E1955" s="1">
        <f t="shared" si="30"/>
        <v>0.32142857142857145</v>
      </c>
      <c r="F1955">
        <v>98.1</v>
      </c>
      <c r="G1955">
        <v>92.6</v>
      </c>
      <c r="H1955">
        <v>0.66059999999999997</v>
      </c>
      <c r="I1955">
        <v>43.5</v>
      </c>
      <c r="J1955">
        <v>45.4</v>
      </c>
      <c r="K1955">
        <v>18.5</v>
      </c>
      <c r="L1955">
        <v>20.2</v>
      </c>
      <c r="M1955">
        <v>29.2</v>
      </c>
      <c r="N1955">
        <v>34.9</v>
      </c>
      <c r="O1955">
        <v>37.299999999999997</v>
      </c>
      <c r="P1955">
        <v>47.1</v>
      </c>
      <c r="Q1955">
        <v>39.9</v>
      </c>
      <c r="R1955">
        <v>46.7</v>
      </c>
      <c r="S1955">
        <v>33.700000000000003</v>
      </c>
      <c r="T1955">
        <v>28.1</v>
      </c>
      <c r="U1955">
        <v>62.2</v>
      </c>
      <c r="V1955">
        <v>-8.8000000000000007</v>
      </c>
      <c r="W1955" cm="1">
        <f t="array" ref="W1955">_xlfn.IFS(OR(X1955="N/A",X1955="NA"),0,OR(X1955="R64",X1955="R68"),1,X1955="R32",2,X1955="S16",3,X1955="E8",4,X1955="F4",5,X1955="2ND",6,X1955="Champions",7)</f>
        <v>0</v>
      </c>
      <c r="X1955" t="s">
        <v>90</v>
      </c>
      <c r="Y1955" t="s">
        <v>90</v>
      </c>
      <c r="Z1955">
        <v>2013</v>
      </c>
    </row>
    <row r="1956" spans="1:26" x14ac:dyDescent="0.3">
      <c r="A1956" t="s">
        <v>195</v>
      </c>
      <c r="B1956" t="s">
        <v>48</v>
      </c>
      <c r="C1956">
        <v>29</v>
      </c>
      <c r="D1956">
        <v>9</v>
      </c>
      <c r="E1956" s="1">
        <f t="shared" si="30"/>
        <v>0.31034482758620691</v>
      </c>
      <c r="F1956">
        <v>95</v>
      </c>
      <c r="G1956">
        <v>101.6</v>
      </c>
      <c r="H1956">
        <v>0.31759999999999999</v>
      </c>
      <c r="I1956">
        <v>48.8</v>
      </c>
      <c r="J1956">
        <v>49.1</v>
      </c>
      <c r="K1956">
        <v>22.4</v>
      </c>
      <c r="L1956">
        <v>18.100000000000001</v>
      </c>
      <c r="M1956">
        <v>31</v>
      </c>
      <c r="N1956">
        <v>32.200000000000003</v>
      </c>
      <c r="O1956">
        <v>30.1</v>
      </c>
      <c r="P1956">
        <v>38.200000000000003</v>
      </c>
      <c r="Q1956">
        <v>46.9</v>
      </c>
      <c r="R1956">
        <v>45.3</v>
      </c>
      <c r="S1956">
        <v>34.200000000000003</v>
      </c>
      <c r="T1956">
        <v>37.299999999999997</v>
      </c>
      <c r="U1956">
        <v>64</v>
      </c>
      <c r="V1956">
        <v>-13.3</v>
      </c>
      <c r="W1956" cm="1">
        <f t="array" ref="W1956">_xlfn.IFS(OR(X1956="N/A",X1956="NA"),0,OR(X1956="R64",X1956="R68"),1,X1956="R32",2,X1956="S16",3,X1956="E8",4,X1956="F4",5,X1956="2ND",6,X1956="Champions",7)</f>
        <v>0</v>
      </c>
      <c r="X1956" t="s">
        <v>90</v>
      </c>
      <c r="Y1956" t="s">
        <v>90</v>
      </c>
      <c r="Z1956">
        <v>2013</v>
      </c>
    </row>
    <row r="1957" spans="1:26" x14ac:dyDescent="0.3">
      <c r="A1957" t="s">
        <v>204</v>
      </c>
      <c r="B1957" t="s">
        <v>53</v>
      </c>
      <c r="C1957">
        <v>29</v>
      </c>
      <c r="D1957">
        <v>9</v>
      </c>
      <c r="E1957" s="1">
        <f t="shared" si="30"/>
        <v>0.31034482758620691</v>
      </c>
      <c r="F1957">
        <v>95.9</v>
      </c>
      <c r="G1957">
        <v>106.6</v>
      </c>
      <c r="H1957">
        <v>0.2288</v>
      </c>
      <c r="I1957">
        <v>46.6</v>
      </c>
      <c r="J1957">
        <v>50.2</v>
      </c>
      <c r="K1957">
        <v>21.4</v>
      </c>
      <c r="L1957">
        <v>17.5</v>
      </c>
      <c r="M1957">
        <v>31.5</v>
      </c>
      <c r="N1957">
        <v>32.799999999999997</v>
      </c>
      <c r="O1957">
        <v>36.700000000000003</v>
      </c>
      <c r="P1957">
        <v>38</v>
      </c>
      <c r="Q1957">
        <v>45.1</v>
      </c>
      <c r="R1957">
        <v>50.3</v>
      </c>
      <c r="S1957">
        <v>33.5</v>
      </c>
      <c r="T1957">
        <v>33.299999999999997</v>
      </c>
      <c r="U1957">
        <v>66.7</v>
      </c>
      <c r="V1957">
        <v>-14.5</v>
      </c>
      <c r="W1957" cm="1">
        <f t="array" ref="W1957">_xlfn.IFS(OR(X1957="N/A",X1957="NA"),0,OR(X1957="R64",X1957="R68"),1,X1957="R32",2,X1957="S16",3,X1957="E8",4,X1957="F4",5,X1957="2ND",6,X1957="Champions",7)</f>
        <v>0</v>
      </c>
      <c r="X1957" t="s">
        <v>90</v>
      </c>
      <c r="Y1957" t="s">
        <v>90</v>
      </c>
      <c r="Z1957">
        <v>2013</v>
      </c>
    </row>
    <row r="1958" spans="1:26" x14ac:dyDescent="0.3">
      <c r="A1958" t="s">
        <v>299</v>
      </c>
      <c r="B1958" t="s">
        <v>77</v>
      </c>
      <c r="C1958">
        <v>29</v>
      </c>
      <c r="D1958">
        <v>9</v>
      </c>
      <c r="E1958" s="1">
        <f t="shared" si="30"/>
        <v>0.31034482758620691</v>
      </c>
      <c r="F1958">
        <v>98.1</v>
      </c>
      <c r="G1958">
        <v>110.1</v>
      </c>
      <c r="H1958">
        <v>0.2094</v>
      </c>
      <c r="I1958">
        <v>49.8</v>
      </c>
      <c r="J1958">
        <v>51.2</v>
      </c>
      <c r="K1958">
        <v>21.9</v>
      </c>
      <c r="L1958">
        <v>18.100000000000001</v>
      </c>
      <c r="M1958">
        <v>33.200000000000003</v>
      </c>
      <c r="N1958">
        <v>35.6</v>
      </c>
      <c r="O1958">
        <v>32.200000000000003</v>
      </c>
      <c r="P1958">
        <v>38.200000000000003</v>
      </c>
      <c r="Q1958">
        <v>48.4</v>
      </c>
      <c r="R1958">
        <v>49.1</v>
      </c>
      <c r="S1958">
        <v>35.200000000000003</v>
      </c>
      <c r="T1958">
        <v>37.1</v>
      </c>
      <c r="U1958">
        <v>68.400000000000006</v>
      </c>
      <c r="V1958">
        <v>-14.6</v>
      </c>
      <c r="W1958" cm="1">
        <f t="array" ref="W1958">_xlfn.IFS(OR(X1958="N/A",X1958="NA"),0,OR(X1958="R64",X1958="R68"),1,X1958="R32",2,X1958="S16",3,X1958="E8",4,X1958="F4",5,X1958="2ND",6,X1958="Champions",7)</f>
        <v>0</v>
      </c>
      <c r="X1958" t="s">
        <v>90</v>
      </c>
      <c r="Y1958" t="s">
        <v>90</v>
      </c>
      <c r="Z1958">
        <v>2013</v>
      </c>
    </row>
    <row r="1959" spans="1:26" x14ac:dyDescent="0.3">
      <c r="A1959" t="s">
        <v>173</v>
      </c>
      <c r="B1959" t="s">
        <v>164</v>
      </c>
      <c r="C1959">
        <v>29</v>
      </c>
      <c r="D1959">
        <v>9</v>
      </c>
      <c r="E1959" s="1">
        <f t="shared" si="30"/>
        <v>0.31034482758620691</v>
      </c>
      <c r="F1959">
        <v>91</v>
      </c>
      <c r="G1959">
        <v>104.6</v>
      </c>
      <c r="H1959">
        <v>0.16700000000000001</v>
      </c>
      <c r="I1959">
        <v>44.4</v>
      </c>
      <c r="J1959">
        <v>48.6</v>
      </c>
      <c r="K1959">
        <v>21.9</v>
      </c>
      <c r="L1959">
        <v>17.2</v>
      </c>
      <c r="M1959">
        <v>32</v>
      </c>
      <c r="N1959">
        <v>27.8</v>
      </c>
      <c r="O1959">
        <v>36.799999999999997</v>
      </c>
      <c r="P1959">
        <v>57</v>
      </c>
      <c r="Q1959">
        <v>42.9</v>
      </c>
      <c r="R1959">
        <v>47.1</v>
      </c>
      <c r="S1959">
        <v>32.200000000000003</v>
      </c>
      <c r="T1959">
        <v>35.1</v>
      </c>
      <c r="U1959">
        <v>69.7</v>
      </c>
      <c r="V1959">
        <v>-15.7</v>
      </c>
      <c r="W1959" cm="1">
        <f t="array" ref="W1959">_xlfn.IFS(OR(X1959="N/A",X1959="NA"),0,OR(X1959="R64",X1959="R68"),1,X1959="R32",2,X1959="S16",3,X1959="E8",4,X1959="F4",5,X1959="2ND",6,X1959="Champions",7)</f>
        <v>0</v>
      </c>
      <c r="X1959" t="s">
        <v>90</v>
      </c>
      <c r="Y1959" t="s">
        <v>90</v>
      </c>
      <c r="Z1959">
        <v>2013</v>
      </c>
    </row>
    <row r="1960" spans="1:26" x14ac:dyDescent="0.3">
      <c r="A1960" t="s">
        <v>390</v>
      </c>
      <c r="B1960" t="s">
        <v>76</v>
      </c>
      <c r="C1960">
        <v>29</v>
      </c>
      <c r="D1960">
        <v>9</v>
      </c>
      <c r="E1960" s="1">
        <f t="shared" si="30"/>
        <v>0.31034482758620691</v>
      </c>
      <c r="F1960">
        <v>89.2</v>
      </c>
      <c r="G1960">
        <v>111.1</v>
      </c>
      <c r="H1960">
        <v>7.3999999999999996E-2</v>
      </c>
      <c r="I1960">
        <v>43.8</v>
      </c>
      <c r="J1960">
        <v>49.8</v>
      </c>
      <c r="K1960">
        <v>21</v>
      </c>
      <c r="L1960">
        <v>17.399999999999999</v>
      </c>
      <c r="M1960">
        <v>31.8</v>
      </c>
      <c r="N1960">
        <v>31.9</v>
      </c>
      <c r="O1960">
        <v>36.9</v>
      </c>
      <c r="P1960">
        <v>36</v>
      </c>
      <c r="Q1960">
        <v>43.9</v>
      </c>
      <c r="R1960">
        <v>48.8</v>
      </c>
      <c r="S1960">
        <v>28.9</v>
      </c>
      <c r="T1960">
        <v>34.9</v>
      </c>
      <c r="U1960">
        <v>66.099999999999994</v>
      </c>
      <c r="V1960">
        <v>-16</v>
      </c>
      <c r="W1960" cm="1">
        <f t="array" ref="W1960">_xlfn.IFS(OR(X1960="N/A",X1960="NA"),0,OR(X1960="R64",X1960="R68"),1,X1960="R32",2,X1960="S16",3,X1960="E8",4,X1960="F4",5,X1960="2ND",6,X1960="Champions",7)</f>
        <v>0</v>
      </c>
      <c r="X1960" t="s">
        <v>90</v>
      </c>
      <c r="Y1960" t="s">
        <v>90</v>
      </c>
      <c r="Z1960">
        <v>2013</v>
      </c>
    </row>
    <row r="1961" spans="1:26" x14ac:dyDescent="0.3">
      <c r="A1961" t="s">
        <v>412</v>
      </c>
      <c r="B1961" t="s">
        <v>37</v>
      </c>
      <c r="C1961">
        <v>30</v>
      </c>
      <c r="D1961">
        <v>9</v>
      </c>
      <c r="E1961" s="1">
        <f t="shared" si="30"/>
        <v>0.3</v>
      </c>
      <c r="F1961">
        <v>93.5</v>
      </c>
      <c r="G1961">
        <v>101.1</v>
      </c>
      <c r="H1961">
        <v>0.28810000000000002</v>
      </c>
      <c r="I1961">
        <v>44</v>
      </c>
      <c r="J1961">
        <v>49.6</v>
      </c>
      <c r="K1961">
        <v>23.3</v>
      </c>
      <c r="L1961">
        <v>17.899999999999999</v>
      </c>
      <c r="M1961">
        <v>33.700000000000003</v>
      </c>
      <c r="N1961">
        <v>31</v>
      </c>
      <c r="O1961">
        <v>36.1</v>
      </c>
      <c r="P1961">
        <v>35.799999999999997</v>
      </c>
      <c r="Q1961">
        <v>43.2</v>
      </c>
      <c r="R1961">
        <v>47.7</v>
      </c>
      <c r="S1961">
        <v>31</v>
      </c>
      <c r="T1961">
        <v>35.700000000000003</v>
      </c>
      <c r="U1961">
        <v>65.400000000000006</v>
      </c>
      <c r="V1961">
        <v>-11.7</v>
      </c>
      <c r="W1961" cm="1">
        <f t="array" ref="W1961">_xlfn.IFS(OR(X1961="N/A",X1961="NA"),0,OR(X1961="R64",X1961="R68"),1,X1961="R32",2,X1961="S16",3,X1961="E8",4,X1961="F4",5,X1961="2ND",6,X1961="Champions",7)</f>
        <v>0</v>
      </c>
      <c r="X1961" t="s">
        <v>90</v>
      </c>
      <c r="Y1961" t="s">
        <v>90</v>
      </c>
      <c r="Z1961">
        <v>2013</v>
      </c>
    </row>
    <row r="1962" spans="1:26" x14ac:dyDescent="0.3">
      <c r="A1962" t="s">
        <v>248</v>
      </c>
      <c r="B1962" t="s">
        <v>69</v>
      </c>
      <c r="C1962">
        <v>30</v>
      </c>
      <c r="D1962">
        <v>9</v>
      </c>
      <c r="E1962" s="1">
        <f t="shared" si="30"/>
        <v>0.3</v>
      </c>
      <c r="F1962">
        <v>92.1</v>
      </c>
      <c r="G1962">
        <v>102.5</v>
      </c>
      <c r="H1962">
        <v>0.22589999999999999</v>
      </c>
      <c r="I1962">
        <v>45.8</v>
      </c>
      <c r="J1962">
        <v>50.1</v>
      </c>
      <c r="K1962">
        <v>20</v>
      </c>
      <c r="L1962">
        <v>22</v>
      </c>
      <c r="M1962">
        <v>30.3</v>
      </c>
      <c r="N1962">
        <v>32.5</v>
      </c>
      <c r="O1962">
        <v>30.3</v>
      </c>
      <c r="P1962">
        <v>41.7</v>
      </c>
      <c r="Q1962">
        <v>44.1</v>
      </c>
      <c r="R1962">
        <v>49</v>
      </c>
      <c r="S1962">
        <v>33.6</v>
      </c>
      <c r="T1962">
        <v>35</v>
      </c>
      <c r="U1962">
        <v>63.7</v>
      </c>
      <c r="V1962">
        <v>-15.8</v>
      </c>
      <c r="W1962" cm="1">
        <f t="array" ref="W1962">_xlfn.IFS(OR(X1962="N/A",X1962="NA"),0,OR(X1962="R64",X1962="R68"),1,X1962="R32",2,X1962="S16",3,X1962="E8",4,X1962="F4",5,X1962="2ND",6,X1962="Champions",7)</f>
        <v>0</v>
      </c>
      <c r="X1962" t="s">
        <v>90</v>
      </c>
      <c r="Y1962" t="s">
        <v>90</v>
      </c>
      <c r="Z1962">
        <v>2013</v>
      </c>
    </row>
    <row r="1963" spans="1:26" x14ac:dyDescent="0.3">
      <c r="A1963" t="s">
        <v>375</v>
      </c>
      <c r="B1963" t="s">
        <v>61</v>
      </c>
      <c r="C1963">
        <v>30</v>
      </c>
      <c r="D1963">
        <v>9</v>
      </c>
      <c r="E1963" s="1">
        <f t="shared" si="30"/>
        <v>0.3</v>
      </c>
      <c r="F1963">
        <v>97.1</v>
      </c>
      <c r="G1963">
        <v>109.6</v>
      </c>
      <c r="H1963">
        <v>0.19989999999999999</v>
      </c>
      <c r="I1963">
        <v>48.7</v>
      </c>
      <c r="J1963">
        <v>52.1</v>
      </c>
      <c r="K1963">
        <v>20.2</v>
      </c>
      <c r="L1963">
        <v>20.9</v>
      </c>
      <c r="M1963">
        <v>30.1</v>
      </c>
      <c r="N1963">
        <v>35.1</v>
      </c>
      <c r="O1963">
        <v>40</v>
      </c>
      <c r="P1963">
        <v>39.299999999999997</v>
      </c>
      <c r="Q1963">
        <v>50.1</v>
      </c>
      <c r="R1963">
        <v>51.1</v>
      </c>
      <c r="S1963">
        <v>30.5</v>
      </c>
      <c r="T1963">
        <v>36.5</v>
      </c>
      <c r="U1963">
        <v>67.2</v>
      </c>
      <c r="V1963">
        <v>-15.4</v>
      </c>
      <c r="W1963" cm="1">
        <f t="array" ref="W1963">_xlfn.IFS(OR(X1963="N/A",X1963="NA"),0,OR(X1963="R64",X1963="R68"),1,X1963="R32",2,X1963="S16",3,X1963="E8",4,X1963="F4",5,X1963="2ND",6,X1963="Champions",7)</f>
        <v>0</v>
      </c>
      <c r="X1963" t="s">
        <v>90</v>
      </c>
      <c r="Y1963" t="s">
        <v>90</v>
      </c>
      <c r="Z1963">
        <v>2013</v>
      </c>
    </row>
    <row r="1964" spans="1:26" x14ac:dyDescent="0.3">
      <c r="A1964" t="s">
        <v>280</v>
      </c>
      <c r="B1964" t="s">
        <v>47</v>
      </c>
      <c r="C1964">
        <v>31</v>
      </c>
      <c r="D1964">
        <v>9</v>
      </c>
      <c r="E1964" s="1">
        <f t="shared" si="30"/>
        <v>0.29032258064516131</v>
      </c>
      <c r="F1964">
        <v>100</v>
      </c>
      <c r="G1964">
        <v>102.7</v>
      </c>
      <c r="H1964">
        <v>0.42349999999999999</v>
      </c>
      <c r="I1964">
        <v>44.9</v>
      </c>
      <c r="J1964">
        <v>51.9</v>
      </c>
      <c r="K1964">
        <v>16.8</v>
      </c>
      <c r="L1964">
        <v>19.5</v>
      </c>
      <c r="M1964">
        <v>25.8</v>
      </c>
      <c r="N1964">
        <v>31.7</v>
      </c>
      <c r="O1964">
        <v>34.4</v>
      </c>
      <c r="P1964">
        <v>37.9</v>
      </c>
      <c r="Q1964">
        <v>45.8</v>
      </c>
      <c r="R1964">
        <v>52.5</v>
      </c>
      <c r="S1964">
        <v>28.8</v>
      </c>
      <c r="T1964">
        <v>33.9</v>
      </c>
      <c r="U1964">
        <v>61</v>
      </c>
      <c r="V1964">
        <v>-12.1</v>
      </c>
      <c r="W1964" cm="1">
        <f t="array" ref="W1964">_xlfn.IFS(OR(X1964="N/A",X1964="NA"),0,OR(X1964="R64",X1964="R68"),1,X1964="R32",2,X1964="S16",3,X1964="E8",4,X1964="F4",5,X1964="2ND",6,X1964="Champions",7)</f>
        <v>0</v>
      </c>
      <c r="X1964" t="s">
        <v>90</v>
      </c>
      <c r="Y1964" t="s">
        <v>90</v>
      </c>
      <c r="Z1964">
        <v>2013</v>
      </c>
    </row>
    <row r="1965" spans="1:26" x14ac:dyDescent="0.3">
      <c r="A1965" t="s">
        <v>236</v>
      </c>
      <c r="B1965" t="s">
        <v>59</v>
      </c>
      <c r="C1965">
        <v>31</v>
      </c>
      <c r="D1965">
        <v>9</v>
      </c>
      <c r="E1965" s="1">
        <f t="shared" si="30"/>
        <v>0.29032258064516131</v>
      </c>
      <c r="F1965">
        <v>93.3</v>
      </c>
      <c r="G1965">
        <v>100.2</v>
      </c>
      <c r="H1965">
        <v>0.30709999999999998</v>
      </c>
      <c r="I1965">
        <v>47.7</v>
      </c>
      <c r="J1965">
        <v>47.8</v>
      </c>
      <c r="K1965">
        <v>23.5</v>
      </c>
      <c r="L1965">
        <v>21.4</v>
      </c>
      <c r="M1965">
        <v>26.8</v>
      </c>
      <c r="N1965">
        <v>32.9</v>
      </c>
      <c r="O1965">
        <v>34.4</v>
      </c>
      <c r="P1965">
        <v>44.9</v>
      </c>
      <c r="Q1965">
        <v>46.1</v>
      </c>
      <c r="R1965">
        <v>45.8</v>
      </c>
      <c r="S1965">
        <v>34.299999999999997</v>
      </c>
      <c r="T1965">
        <v>34.4</v>
      </c>
      <c r="U1965">
        <v>68.400000000000006</v>
      </c>
      <c r="V1965">
        <v>-15.1</v>
      </c>
      <c r="W1965" cm="1">
        <f t="array" ref="W1965">_xlfn.IFS(OR(X1965="N/A",X1965="NA"),0,OR(X1965="R64",X1965="R68"),1,X1965="R32",2,X1965="S16",3,X1965="E8",4,X1965="F4",5,X1965="2ND",6,X1965="Champions",7)</f>
        <v>0</v>
      </c>
      <c r="X1965" t="s">
        <v>90</v>
      </c>
      <c r="Y1965" t="s">
        <v>90</v>
      </c>
      <c r="Z1965">
        <v>2013</v>
      </c>
    </row>
    <row r="1966" spans="1:26" x14ac:dyDescent="0.3">
      <c r="A1966" t="s">
        <v>349</v>
      </c>
      <c r="B1966" t="s">
        <v>131</v>
      </c>
      <c r="C1966">
        <v>31</v>
      </c>
      <c r="D1966">
        <v>9</v>
      </c>
      <c r="E1966" s="1">
        <f t="shared" si="30"/>
        <v>0.29032258064516131</v>
      </c>
      <c r="F1966">
        <v>92.6</v>
      </c>
      <c r="G1966">
        <v>109.4</v>
      </c>
      <c r="H1966">
        <v>0.12759999999999999</v>
      </c>
      <c r="I1966">
        <v>45.7</v>
      </c>
      <c r="J1966">
        <v>54.1</v>
      </c>
      <c r="K1966">
        <v>20</v>
      </c>
      <c r="L1966">
        <v>21.1</v>
      </c>
      <c r="M1966">
        <v>27.1</v>
      </c>
      <c r="N1966">
        <v>35.5</v>
      </c>
      <c r="O1966">
        <v>31.6</v>
      </c>
      <c r="P1966">
        <v>33.5</v>
      </c>
      <c r="Q1966">
        <v>44.2</v>
      </c>
      <c r="R1966">
        <v>52.8</v>
      </c>
      <c r="S1966">
        <v>32.299999999999997</v>
      </c>
      <c r="T1966">
        <v>37.200000000000003</v>
      </c>
      <c r="U1966">
        <v>65.2</v>
      </c>
      <c r="V1966">
        <v>-15.5</v>
      </c>
      <c r="W1966" cm="1">
        <f t="array" ref="W1966">_xlfn.IFS(OR(X1966="N/A",X1966="NA"),0,OR(X1966="R64",X1966="R68"),1,X1966="R32",2,X1966="S16",3,X1966="E8",4,X1966="F4",5,X1966="2ND",6,X1966="Champions",7)</f>
        <v>0</v>
      </c>
      <c r="X1966" t="s">
        <v>90</v>
      </c>
      <c r="Y1966" t="s">
        <v>90</v>
      </c>
      <c r="Z1966">
        <v>2013</v>
      </c>
    </row>
    <row r="1967" spans="1:26" x14ac:dyDescent="0.3">
      <c r="A1967" t="s">
        <v>391</v>
      </c>
      <c r="B1967" t="s">
        <v>76</v>
      </c>
      <c r="C1967">
        <v>31</v>
      </c>
      <c r="D1967">
        <v>9</v>
      </c>
      <c r="E1967" s="1">
        <f t="shared" si="30"/>
        <v>0.29032258064516131</v>
      </c>
      <c r="F1967">
        <v>91.1</v>
      </c>
      <c r="G1967">
        <v>110.1</v>
      </c>
      <c r="H1967">
        <v>0.1023</v>
      </c>
      <c r="I1967">
        <v>45.1</v>
      </c>
      <c r="J1967">
        <v>49.4</v>
      </c>
      <c r="K1967">
        <v>22</v>
      </c>
      <c r="L1967">
        <v>19.5</v>
      </c>
      <c r="M1967">
        <v>33.4</v>
      </c>
      <c r="N1967">
        <v>34.5</v>
      </c>
      <c r="O1967">
        <v>32.200000000000003</v>
      </c>
      <c r="P1967">
        <v>38</v>
      </c>
      <c r="Q1967">
        <v>44.8</v>
      </c>
      <c r="R1967">
        <v>47.6</v>
      </c>
      <c r="S1967">
        <v>30.6</v>
      </c>
      <c r="T1967">
        <v>35.200000000000003</v>
      </c>
      <c r="U1967">
        <v>67</v>
      </c>
      <c r="V1967">
        <v>-17.2</v>
      </c>
      <c r="W1967" cm="1">
        <f t="array" ref="W1967">_xlfn.IFS(OR(X1967="N/A",X1967="NA"),0,OR(X1967="R64",X1967="R68"),1,X1967="R32",2,X1967="S16",3,X1967="E8",4,X1967="F4",5,X1967="2ND",6,X1967="Champions",7)</f>
        <v>0</v>
      </c>
      <c r="X1967" t="s">
        <v>90</v>
      </c>
      <c r="Y1967" t="s">
        <v>90</v>
      </c>
      <c r="Z1967">
        <v>2013</v>
      </c>
    </row>
    <row r="1968" spans="1:26" x14ac:dyDescent="0.3">
      <c r="A1968" t="s">
        <v>87</v>
      </c>
      <c r="B1968" t="s">
        <v>29</v>
      </c>
      <c r="C1968">
        <v>32</v>
      </c>
      <c r="D1968">
        <v>9</v>
      </c>
      <c r="E1968" s="1">
        <f t="shared" si="30"/>
        <v>0.28125</v>
      </c>
      <c r="F1968">
        <v>97</v>
      </c>
      <c r="G1968">
        <v>99.4</v>
      </c>
      <c r="H1968">
        <v>0.42980000000000002</v>
      </c>
      <c r="I1968">
        <v>46</v>
      </c>
      <c r="J1968">
        <v>49.7</v>
      </c>
      <c r="K1968">
        <v>19.7</v>
      </c>
      <c r="L1968">
        <v>19.8</v>
      </c>
      <c r="M1968">
        <v>29.2</v>
      </c>
      <c r="N1968">
        <v>29.9</v>
      </c>
      <c r="O1968">
        <v>35.299999999999997</v>
      </c>
      <c r="P1968">
        <v>43</v>
      </c>
      <c r="Q1968">
        <v>45.7</v>
      </c>
      <c r="R1968">
        <v>48.3</v>
      </c>
      <c r="S1968">
        <v>31.1</v>
      </c>
      <c r="T1968">
        <v>34.5</v>
      </c>
      <c r="U1968">
        <v>67.099999999999994</v>
      </c>
      <c r="V1968">
        <v>-13.4</v>
      </c>
      <c r="W1968" cm="1">
        <f t="array" ref="W1968">_xlfn.IFS(OR(X1968="N/A",X1968="NA"),0,OR(X1968="R64",X1968="R68"),1,X1968="R32",2,X1968="S16",3,X1968="E8",4,X1968="F4",5,X1968="2ND",6,X1968="Champions",7)</f>
        <v>0</v>
      </c>
      <c r="X1968" t="s">
        <v>90</v>
      </c>
      <c r="Y1968" t="s">
        <v>90</v>
      </c>
      <c r="Z1968">
        <v>2013</v>
      </c>
    </row>
    <row r="1969" spans="1:26" x14ac:dyDescent="0.3">
      <c r="A1969" t="s">
        <v>392</v>
      </c>
      <c r="B1969" t="s">
        <v>76</v>
      </c>
      <c r="C1969">
        <v>32</v>
      </c>
      <c r="D1969">
        <v>9</v>
      </c>
      <c r="E1969" s="1">
        <f t="shared" si="30"/>
        <v>0.28125</v>
      </c>
      <c r="F1969">
        <v>85.4</v>
      </c>
      <c r="G1969">
        <v>101.2</v>
      </c>
      <c r="H1969">
        <v>0.1234</v>
      </c>
      <c r="I1969">
        <v>42.3</v>
      </c>
      <c r="J1969">
        <v>44.4</v>
      </c>
      <c r="K1969">
        <v>22.2</v>
      </c>
      <c r="L1969">
        <v>19.100000000000001</v>
      </c>
      <c r="M1969">
        <v>29.3</v>
      </c>
      <c r="N1969">
        <v>36</v>
      </c>
      <c r="O1969">
        <v>38.1</v>
      </c>
      <c r="P1969">
        <v>47</v>
      </c>
      <c r="Q1969">
        <v>41.6</v>
      </c>
      <c r="R1969">
        <v>43.8</v>
      </c>
      <c r="S1969">
        <v>29.3</v>
      </c>
      <c r="T1969">
        <v>30.5</v>
      </c>
      <c r="U1969">
        <v>67.7</v>
      </c>
      <c r="V1969">
        <v>-16.7</v>
      </c>
      <c r="W1969" cm="1">
        <f t="array" ref="W1969">_xlfn.IFS(OR(X1969="N/A",X1969="NA"),0,OR(X1969="R64",X1969="R68"),1,X1969="R32",2,X1969="S16",3,X1969="E8",4,X1969="F4",5,X1969="2ND",6,X1969="Champions",7)</f>
        <v>0</v>
      </c>
      <c r="X1969" t="s">
        <v>90</v>
      </c>
      <c r="Y1969" t="s">
        <v>90</v>
      </c>
      <c r="Z1969">
        <v>2013</v>
      </c>
    </row>
    <row r="1970" spans="1:26" x14ac:dyDescent="0.3">
      <c r="A1970" t="s">
        <v>233</v>
      </c>
      <c r="B1970" t="s">
        <v>59</v>
      </c>
      <c r="C1970">
        <v>26</v>
      </c>
      <c r="D1970">
        <v>10</v>
      </c>
      <c r="E1970" s="1">
        <f t="shared" si="30"/>
        <v>0.38461538461538464</v>
      </c>
      <c r="F1970">
        <v>98.7</v>
      </c>
      <c r="G1970">
        <v>101.9</v>
      </c>
      <c r="H1970">
        <v>0.40710000000000002</v>
      </c>
      <c r="I1970">
        <v>47.6</v>
      </c>
      <c r="J1970">
        <v>49.3</v>
      </c>
      <c r="K1970">
        <v>17.8</v>
      </c>
      <c r="L1970">
        <v>20.100000000000001</v>
      </c>
      <c r="M1970">
        <v>29</v>
      </c>
      <c r="N1970">
        <v>27</v>
      </c>
      <c r="O1970">
        <v>33.700000000000003</v>
      </c>
      <c r="P1970">
        <v>42.4</v>
      </c>
      <c r="Q1970">
        <v>44.5</v>
      </c>
      <c r="R1970">
        <v>46.5</v>
      </c>
      <c r="S1970">
        <v>35.4</v>
      </c>
      <c r="T1970">
        <v>37.299999999999997</v>
      </c>
      <c r="U1970">
        <v>61.7</v>
      </c>
      <c r="V1970">
        <v>-11.7</v>
      </c>
      <c r="W1970" cm="1">
        <f t="array" ref="W1970">_xlfn.IFS(OR(X1970="N/A",X1970="NA"),0,OR(X1970="R64",X1970="R68"),1,X1970="R32",2,X1970="S16",3,X1970="E8",4,X1970="F4",5,X1970="2ND",6,X1970="Champions",7)</f>
        <v>0</v>
      </c>
      <c r="X1970" t="s">
        <v>90</v>
      </c>
      <c r="Y1970" t="s">
        <v>90</v>
      </c>
      <c r="Z1970">
        <v>2013</v>
      </c>
    </row>
    <row r="1971" spans="1:26" x14ac:dyDescent="0.3">
      <c r="A1971" t="s">
        <v>400</v>
      </c>
      <c r="B1971" t="s">
        <v>418</v>
      </c>
      <c r="C1971">
        <v>26</v>
      </c>
      <c r="D1971">
        <v>10</v>
      </c>
      <c r="E1971" s="1">
        <f t="shared" si="30"/>
        <v>0.38461538461538464</v>
      </c>
      <c r="F1971">
        <v>95.6</v>
      </c>
      <c r="G1971">
        <v>103.1</v>
      </c>
      <c r="H1971">
        <v>0.29499999999999998</v>
      </c>
      <c r="I1971">
        <v>46.8</v>
      </c>
      <c r="J1971">
        <v>51.5</v>
      </c>
      <c r="K1971">
        <v>20.7</v>
      </c>
      <c r="L1971">
        <v>21.9</v>
      </c>
      <c r="M1971">
        <v>30.1</v>
      </c>
      <c r="N1971">
        <v>30.2</v>
      </c>
      <c r="O1971">
        <v>35.4</v>
      </c>
      <c r="P1971">
        <v>52.4</v>
      </c>
      <c r="Q1971">
        <v>44.7</v>
      </c>
      <c r="R1971">
        <v>51.3</v>
      </c>
      <c r="S1971">
        <v>33.700000000000003</v>
      </c>
      <c r="T1971">
        <v>34.6</v>
      </c>
      <c r="U1971">
        <v>66.5</v>
      </c>
      <c r="V1971">
        <v>-10.4</v>
      </c>
      <c r="W1971" cm="1">
        <f t="array" ref="W1971">_xlfn.IFS(OR(X1971="N/A",X1971="NA"),0,OR(X1971="R64",X1971="R68"),1,X1971="R32",2,X1971="S16",3,X1971="E8",4,X1971="F4",5,X1971="2ND",6,X1971="Champions",7)</f>
        <v>0</v>
      </c>
      <c r="X1971" t="s">
        <v>90</v>
      </c>
      <c r="Y1971" t="s">
        <v>90</v>
      </c>
      <c r="Z1971">
        <v>2013</v>
      </c>
    </row>
    <row r="1972" spans="1:26" x14ac:dyDescent="0.3">
      <c r="A1972" t="s">
        <v>314</v>
      </c>
      <c r="B1972" t="s">
        <v>64</v>
      </c>
      <c r="C1972">
        <v>27</v>
      </c>
      <c r="D1972">
        <v>10</v>
      </c>
      <c r="E1972" s="1">
        <f t="shared" si="30"/>
        <v>0.37037037037037035</v>
      </c>
      <c r="F1972">
        <v>94.7</v>
      </c>
      <c r="G1972">
        <v>105.2</v>
      </c>
      <c r="H1972">
        <v>0.2301</v>
      </c>
      <c r="I1972">
        <v>46.9</v>
      </c>
      <c r="J1972">
        <v>51.2</v>
      </c>
      <c r="K1972">
        <v>24.2</v>
      </c>
      <c r="L1972">
        <v>21.5</v>
      </c>
      <c r="M1972">
        <v>35.299999999999997</v>
      </c>
      <c r="N1972">
        <v>34.6</v>
      </c>
      <c r="O1972">
        <v>38.200000000000003</v>
      </c>
      <c r="P1972">
        <v>45.8</v>
      </c>
      <c r="Q1972">
        <v>47.3</v>
      </c>
      <c r="R1972">
        <v>51.2</v>
      </c>
      <c r="S1972">
        <v>30.8</v>
      </c>
      <c r="T1972">
        <v>34.1</v>
      </c>
      <c r="U1972">
        <v>65.599999999999994</v>
      </c>
      <c r="V1972">
        <v>-12.5</v>
      </c>
      <c r="W1972" cm="1">
        <f t="array" ref="W1972">_xlfn.IFS(OR(X1972="N/A",X1972="NA"),0,OR(X1972="R64",X1972="R68"),1,X1972="R32",2,X1972="S16",3,X1972="E8",4,X1972="F4",5,X1972="2ND",6,X1972="Champions",7)</f>
        <v>0</v>
      </c>
      <c r="X1972" t="s">
        <v>90</v>
      </c>
      <c r="Y1972" t="s">
        <v>90</v>
      </c>
      <c r="Z1972">
        <v>2013</v>
      </c>
    </row>
    <row r="1973" spans="1:26" x14ac:dyDescent="0.3">
      <c r="A1973" t="s">
        <v>411</v>
      </c>
      <c r="B1973" t="s">
        <v>37</v>
      </c>
      <c r="C1973">
        <v>28</v>
      </c>
      <c r="D1973">
        <v>10</v>
      </c>
      <c r="E1973" s="1">
        <f t="shared" si="30"/>
        <v>0.35714285714285715</v>
      </c>
      <c r="F1973">
        <v>97.6</v>
      </c>
      <c r="G1973">
        <v>101.8</v>
      </c>
      <c r="H1973">
        <v>0.37930000000000003</v>
      </c>
      <c r="I1973">
        <v>48.6</v>
      </c>
      <c r="J1973">
        <v>48.1</v>
      </c>
      <c r="K1973">
        <v>23</v>
      </c>
      <c r="L1973">
        <v>17.899999999999999</v>
      </c>
      <c r="M1973">
        <v>32.4</v>
      </c>
      <c r="N1973">
        <v>33.299999999999997</v>
      </c>
      <c r="O1973">
        <v>34.299999999999997</v>
      </c>
      <c r="P1973">
        <v>33.200000000000003</v>
      </c>
      <c r="Q1973">
        <v>46.8</v>
      </c>
      <c r="R1973">
        <v>45.5</v>
      </c>
      <c r="S1973">
        <v>35.299999999999997</v>
      </c>
      <c r="T1973">
        <v>35.4</v>
      </c>
      <c r="U1973">
        <v>63.8</v>
      </c>
      <c r="V1973">
        <v>-10.7</v>
      </c>
      <c r="W1973" cm="1">
        <f t="array" ref="W1973">_xlfn.IFS(OR(X1973="N/A",X1973="NA"),0,OR(X1973="R64",X1973="R68"),1,X1973="R32",2,X1973="S16",3,X1973="E8",4,X1973="F4",5,X1973="2ND",6,X1973="Champions",7)</f>
        <v>0</v>
      </c>
      <c r="X1973" t="s">
        <v>90</v>
      </c>
      <c r="Y1973" t="s">
        <v>90</v>
      </c>
      <c r="Z1973">
        <v>2013</v>
      </c>
    </row>
    <row r="1974" spans="1:26" x14ac:dyDescent="0.3">
      <c r="A1974" t="s">
        <v>406</v>
      </c>
      <c r="B1974" t="s">
        <v>419</v>
      </c>
      <c r="C1974">
        <v>28</v>
      </c>
      <c r="D1974">
        <v>10</v>
      </c>
      <c r="E1974" s="1">
        <f t="shared" si="30"/>
        <v>0.35714285714285715</v>
      </c>
      <c r="F1974">
        <v>96.4</v>
      </c>
      <c r="G1974">
        <v>110.7</v>
      </c>
      <c r="H1974">
        <v>0.16930000000000001</v>
      </c>
      <c r="I1974">
        <v>49.6</v>
      </c>
      <c r="J1974">
        <v>50.5</v>
      </c>
      <c r="K1974">
        <v>18.899999999999999</v>
      </c>
      <c r="L1974">
        <v>17.3</v>
      </c>
      <c r="M1974">
        <v>25.7</v>
      </c>
      <c r="N1974">
        <v>30.1</v>
      </c>
      <c r="O1974">
        <v>30.5</v>
      </c>
      <c r="P1974">
        <v>27.4</v>
      </c>
      <c r="Q1974">
        <v>50.3</v>
      </c>
      <c r="R1974">
        <v>50</v>
      </c>
      <c r="S1974">
        <v>32.1</v>
      </c>
      <c r="T1974">
        <v>34.4</v>
      </c>
      <c r="U1974">
        <v>64.5</v>
      </c>
      <c r="V1974">
        <v>-14.3</v>
      </c>
      <c r="W1974" cm="1">
        <f t="array" ref="W1974">_xlfn.IFS(OR(X1974="N/A",X1974="NA"),0,OR(X1974="R64",X1974="R68"),1,X1974="R32",2,X1974="S16",3,X1974="E8",4,X1974="F4",5,X1974="2ND",6,X1974="Champions",7)</f>
        <v>0</v>
      </c>
      <c r="X1974" t="s">
        <v>90</v>
      </c>
      <c r="Y1974" t="s">
        <v>90</v>
      </c>
      <c r="Z1974">
        <v>2013</v>
      </c>
    </row>
    <row r="1975" spans="1:26" x14ac:dyDescent="0.3">
      <c r="A1975" t="s">
        <v>114</v>
      </c>
      <c r="B1975" t="s">
        <v>112</v>
      </c>
      <c r="C1975">
        <v>29</v>
      </c>
      <c r="D1975">
        <v>10</v>
      </c>
      <c r="E1975" s="1">
        <f t="shared" si="30"/>
        <v>0.34482758620689657</v>
      </c>
      <c r="F1975">
        <v>95.8</v>
      </c>
      <c r="G1975">
        <v>103.6</v>
      </c>
      <c r="H1975">
        <v>0.29020000000000001</v>
      </c>
      <c r="I1975">
        <v>47.3</v>
      </c>
      <c r="J1975">
        <v>48.2</v>
      </c>
      <c r="K1975">
        <v>21.7</v>
      </c>
      <c r="L1975">
        <v>17.2</v>
      </c>
      <c r="M1975">
        <v>30.4</v>
      </c>
      <c r="N1975">
        <v>30.4</v>
      </c>
      <c r="O1975">
        <v>33.299999999999997</v>
      </c>
      <c r="P1975">
        <v>34.299999999999997</v>
      </c>
      <c r="Q1975">
        <v>48.8</v>
      </c>
      <c r="R1975">
        <v>45.9</v>
      </c>
      <c r="S1975">
        <v>29.2</v>
      </c>
      <c r="T1975">
        <v>35.4</v>
      </c>
      <c r="U1975">
        <v>69.599999999999994</v>
      </c>
      <c r="V1975">
        <v>-13.9</v>
      </c>
      <c r="W1975" cm="1">
        <f t="array" ref="W1975">_xlfn.IFS(OR(X1975="N/A",X1975="NA"),0,OR(X1975="R64",X1975="R68"),1,X1975="R32",2,X1975="S16",3,X1975="E8",4,X1975="F4",5,X1975="2ND",6,X1975="Champions",7)</f>
        <v>0</v>
      </c>
      <c r="X1975" t="s">
        <v>90</v>
      </c>
      <c r="Y1975" t="s">
        <v>90</v>
      </c>
      <c r="Z1975">
        <v>2013</v>
      </c>
    </row>
    <row r="1976" spans="1:26" x14ac:dyDescent="0.3">
      <c r="A1976" t="s">
        <v>183</v>
      </c>
      <c r="B1976" t="s">
        <v>74</v>
      </c>
      <c r="C1976">
        <v>29</v>
      </c>
      <c r="D1976">
        <v>10</v>
      </c>
      <c r="E1976" s="1">
        <f t="shared" si="30"/>
        <v>0.34482758620689657</v>
      </c>
      <c r="F1976">
        <v>90.2</v>
      </c>
      <c r="G1976">
        <v>101.7</v>
      </c>
      <c r="H1976">
        <v>0.2009</v>
      </c>
      <c r="I1976">
        <v>44.2</v>
      </c>
      <c r="J1976">
        <v>49</v>
      </c>
      <c r="K1976">
        <v>19.5</v>
      </c>
      <c r="L1976">
        <v>21.6</v>
      </c>
      <c r="M1976">
        <v>32.200000000000003</v>
      </c>
      <c r="N1976">
        <v>31.9</v>
      </c>
      <c r="O1976">
        <v>35.799999999999997</v>
      </c>
      <c r="P1976">
        <v>39.9</v>
      </c>
      <c r="Q1976">
        <v>42.9</v>
      </c>
      <c r="R1976">
        <v>47</v>
      </c>
      <c r="S1976">
        <v>31.2</v>
      </c>
      <c r="T1976">
        <v>36.6</v>
      </c>
      <c r="U1976">
        <v>67.599999999999994</v>
      </c>
      <c r="V1976">
        <v>-15.6</v>
      </c>
      <c r="W1976" cm="1">
        <f t="array" ref="W1976">_xlfn.IFS(OR(X1976="N/A",X1976="NA"),0,OR(X1976="R64",X1976="R68"),1,X1976="R32",2,X1976="S16",3,X1976="E8",4,X1976="F4",5,X1976="2ND",6,X1976="Champions",7)</f>
        <v>0</v>
      </c>
      <c r="X1976" t="s">
        <v>90</v>
      </c>
      <c r="Y1976" t="s">
        <v>90</v>
      </c>
      <c r="Z1976">
        <v>2013</v>
      </c>
    </row>
    <row r="1977" spans="1:26" x14ac:dyDescent="0.3">
      <c r="A1977" t="s">
        <v>383</v>
      </c>
      <c r="B1977" t="s">
        <v>72</v>
      </c>
      <c r="C1977">
        <v>29</v>
      </c>
      <c r="D1977">
        <v>10</v>
      </c>
      <c r="E1977" s="1">
        <f t="shared" si="30"/>
        <v>0.34482758620689657</v>
      </c>
      <c r="F1977">
        <v>98.4</v>
      </c>
      <c r="G1977">
        <v>116.9</v>
      </c>
      <c r="H1977">
        <v>0.12139999999999999</v>
      </c>
      <c r="I1977">
        <v>51.5</v>
      </c>
      <c r="J1977">
        <v>55.7</v>
      </c>
      <c r="K1977">
        <v>20.100000000000001</v>
      </c>
      <c r="L1977">
        <v>17.600000000000001</v>
      </c>
      <c r="M1977">
        <v>24.5</v>
      </c>
      <c r="N1977">
        <v>37.1</v>
      </c>
      <c r="O1977">
        <v>28.9</v>
      </c>
      <c r="P1977">
        <v>29.1</v>
      </c>
      <c r="Q1977">
        <v>50.2</v>
      </c>
      <c r="R1977">
        <v>54.8</v>
      </c>
      <c r="S1977">
        <v>36.5</v>
      </c>
      <c r="T1977">
        <v>38.4</v>
      </c>
      <c r="U1977">
        <v>72.400000000000006</v>
      </c>
      <c r="V1977">
        <v>-13.4</v>
      </c>
      <c r="W1977" cm="1">
        <f t="array" ref="W1977">_xlfn.IFS(OR(X1977="N/A",X1977="NA"),0,OR(X1977="R64",X1977="R68"),1,X1977="R32",2,X1977="S16",3,X1977="E8",4,X1977="F4",5,X1977="2ND",6,X1977="Champions",7)</f>
        <v>0</v>
      </c>
      <c r="X1977" t="s">
        <v>90</v>
      </c>
      <c r="Y1977" t="s">
        <v>90</v>
      </c>
      <c r="Z1977">
        <v>2013</v>
      </c>
    </row>
    <row r="1978" spans="1:26" x14ac:dyDescent="0.3">
      <c r="A1978" t="s">
        <v>254</v>
      </c>
      <c r="B1978" t="s">
        <v>57</v>
      </c>
      <c r="C1978">
        <v>30</v>
      </c>
      <c r="D1978">
        <v>10</v>
      </c>
      <c r="E1978" s="1">
        <f t="shared" si="30"/>
        <v>0.33333333333333331</v>
      </c>
      <c r="F1978">
        <v>103.6</v>
      </c>
      <c r="G1978">
        <v>111</v>
      </c>
      <c r="H1978">
        <v>0.31069999999999998</v>
      </c>
      <c r="I1978">
        <v>48.3</v>
      </c>
      <c r="J1978">
        <v>55</v>
      </c>
      <c r="K1978">
        <v>19.8</v>
      </c>
      <c r="L1978">
        <v>19.8</v>
      </c>
      <c r="M1978">
        <v>30.9</v>
      </c>
      <c r="N1978">
        <v>33.1</v>
      </c>
      <c r="O1978">
        <v>39.4</v>
      </c>
      <c r="P1978">
        <v>34.799999999999997</v>
      </c>
      <c r="Q1978">
        <v>47.1</v>
      </c>
      <c r="R1978">
        <v>54.2</v>
      </c>
      <c r="S1978">
        <v>33.200000000000003</v>
      </c>
      <c r="T1978">
        <v>37.700000000000003</v>
      </c>
      <c r="U1978">
        <v>65.599999999999994</v>
      </c>
      <c r="V1978">
        <v>-13.8</v>
      </c>
      <c r="W1978" cm="1">
        <f t="array" ref="W1978">_xlfn.IFS(OR(X1978="N/A",X1978="NA"),0,OR(X1978="R64",X1978="R68"),1,X1978="R32",2,X1978="S16",3,X1978="E8",4,X1978="F4",5,X1978="2ND",6,X1978="Champions",7)</f>
        <v>0</v>
      </c>
      <c r="X1978" t="s">
        <v>90</v>
      </c>
      <c r="Y1978" t="s">
        <v>90</v>
      </c>
      <c r="Z1978">
        <v>2013</v>
      </c>
    </row>
    <row r="1979" spans="1:26" x14ac:dyDescent="0.3">
      <c r="A1979" t="s">
        <v>326</v>
      </c>
      <c r="B1979" t="s">
        <v>67</v>
      </c>
      <c r="C1979">
        <v>30</v>
      </c>
      <c r="D1979">
        <v>10</v>
      </c>
      <c r="E1979" s="1">
        <f t="shared" si="30"/>
        <v>0.33333333333333331</v>
      </c>
      <c r="F1979">
        <v>95.7</v>
      </c>
      <c r="G1979">
        <v>106.4</v>
      </c>
      <c r="H1979">
        <v>0.2266</v>
      </c>
      <c r="I1979">
        <v>47.3</v>
      </c>
      <c r="J1979">
        <v>51.3</v>
      </c>
      <c r="K1979">
        <v>20.2</v>
      </c>
      <c r="L1979">
        <v>15.6</v>
      </c>
      <c r="M1979">
        <v>28.5</v>
      </c>
      <c r="N1979">
        <v>27</v>
      </c>
      <c r="O1979">
        <v>30.9</v>
      </c>
      <c r="P1979">
        <v>27.9</v>
      </c>
      <c r="Q1979">
        <v>43.8</v>
      </c>
      <c r="R1979">
        <v>45.7</v>
      </c>
      <c r="S1979">
        <v>36.200000000000003</v>
      </c>
      <c r="T1979">
        <v>41.1</v>
      </c>
      <c r="U1979">
        <v>59.9</v>
      </c>
      <c r="V1979">
        <v>-13.4</v>
      </c>
      <c r="W1979" cm="1">
        <f t="array" ref="W1979">_xlfn.IFS(OR(X1979="N/A",X1979="NA"),0,OR(X1979="R64",X1979="R68"),1,X1979="R32",2,X1979="S16",3,X1979="E8",4,X1979="F4",5,X1979="2ND",6,X1979="Champions",7)</f>
        <v>0</v>
      </c>
      <c r="X1979" t="s">
        <v>90</v>
      </c>
      <c r="Y1979" t="s">
        <v>90</v>
      </c>
      <c r="Z1979">
        <v>2013</v>
      </c>
    </row>
    <row r="1980" spans="1:26" x14ac:dyDescent="0.3">
      <c r="A1980" t="s">
        <v>145</v>
      </c>
      <c r="B1980" t="s">
        <v>31</v>
      </c>
      <c r="C1980">
        <v>31</v>
      </c>
      <c r="D1980">
        <v>10</v>
      </c>
      <c r="E1980" s="1">
        <f t="shared" si="30"/>
        <v>0.32258064516129031</v>
      </c>
      <c r="F1980">
        <v>101.5</v>
      </c>
      <c r="G1980">
        <v>97.8</v>
      </c>
      <c r="H1980">
        <v>0.60440000000000005</v>
      </c>
      <c r="I1980">
        <v>44.2</v>
      </c>
      <c r="J1980">
        <v>49.4</v>
      </c>
      <c r="K1980">
        <v>18.899999999999999</v>
      </c>
      <c r="L1980">
        <v>17.5</v>
      </c>
      <c r="M1980">
        <v>30.9</v>
      </c>
      <c r="N1980">
        <v>27.1</v>
      </c>
      <c r="O1980">
        <v>37.1</v>
      </c>
      <c r="P1980">
        <v>51.1</v>
      </c>
      <c r="Q1980">
        <v>44.1</v>
      </c>
      <c r="R1980">
        <v>48</v>
      </c>
      <c r="S1980">
        <v>29.6</v>
      </c>
      <c r="T1980">
        <v>34.4</v>
      </c>
      <c r="U1980">
        <v>65.3</v>
      </c>
      <c r="V1980">
        <v>-7.4</v>
      </c>
      <c r="W1980" cm="1">
        <f t="array" ref="W1980">_xlfn.IFS(OR(X1980="N/A",X1980="NA"),0,OR(X1980="R64",X1980="R68"),1,X1980="R32",2,X1980="S16",3,X1980="E8",4,X1980="F4",5,X1980="2ND",6,X1980="Champions",7)</f>
        <v>0</v>
      </c>
      <c r="X1980" t="s">
        <v>90</v>
      </c>
      <c r="Y1980" t="s">
        <v>90</v>
      </c>
      <c r="Z1980">
        <v>2013</v>
      </c>
    </row>
    <row r="1981" spans="1:26" x14ac:dyDescent="0.3">
      <c r="A1981" t="s">
        <v>243</v>
      </c>
      <c r="B1981" t="s">
        <v>69</v>
      </c>
      <c r="C1981">
        <v>31</v>
      </c>
      <c r="D1981">
        <v>10</v>
      </c>
      <c r="E1981" s="1">
        <f t="shared" si="30"/>
        <v>0.32258064516129031</v>
      </c>
      <c r="F1981">
        <v>97</v>
      </c>
      <c r="G1981">
        <v>103.5</v>
      </c>
      <c r="H1981">
        <v>0.32190000000000002</v>
      </c>
      <c r="I1981">
        <v>48.4</v>
      </c>
      <c r="J1981">
        <v>49.9</v>
      </c>
      <c r="K1981">
        <v>20.8</v>
      </c>
      <c r="L1981">
        <v>18.899999999999999</v>
      </c>
      <c r="M1981">
        <v>27</v>
      </c>
      <c r="N1981">
        <v>33.1</v>
      </c>
      <c r="O1981">
        <v>39.6</v>
      </c>
      <c r="P1981">
        <v>32</v>
      </c>
      <c r="Q1981">
        <v>46.6</v>
      </c>
      <c r="R1981">
        <v>47.6</v>
      </c>
      <c r="S1981">
        <v>34.6</v>
      </c>
      <c r="T1981">
        <v>36.799999999999997</v>
      </c>
      <c r="U1981">
        <v>68.3</v>
      </c>
      <c r="V1981">
        <v>-15.1</v>
      </c>
      <c r="W1981" cm="1">
        <f t="array" ref="W1981">_xlfn.IFS(OR(X1981="N/A",X1981="NA"),0,OR(X1981="R64",X1981="R68"),1,X1981="R32",2,X1981="S16",3,X1981="E8",4,X1981="F4",5,X1981="2ND",6,X1981="Champions",7)</f>
        <v>0</v>
      </c>
      <c r="X1981" t="s">
        <v>90</v>
      </c>
      <c r="Y1981" t="s">
        <v>90</v>
      </c>
      <c r="Z1981">
        <v>2013</v>
      </c>
    </row>
    <row r="1982" spans="1:26" x14ac:dyDescent="0.3">
      <c r="A1982" t="s">
        <v>150</v>
      </c>
      <c r="B1982" t="s">
        <v>35</v>
      </c>
      <c r="C1982">
        <v>31</v>
      </c>
      <c r="D1982">
        <v>10</v>
      </c>
      <c r="E1982" s="1">
        <f t="shared" si="30"/>
        <v>0.32258064516129031</v>
      </c>
      <c r="F1982">
        <v>92.7</v>
      </c>
      <c r="G1982">
        <v>99.9</v>
      </c>
      <c r="H1982">
        <v>0.2964</v>
      </c>
      <c r="I1982">
        <v>43.3</v>
      </c>
      <c r="J1982">
        <v>49.7</v>
      </c>
      <c r="K1982">
        <v>21.9</v>
      </c>
      <c r="L1982">
        <v>20.100000000000001</v>
      </c>
      <c r="M1982">
        <v>32</v>
      </c>
      <c r="N1982">
        <v>32.799999999999997</v>
      </c>
      <c r="O1982">
        <v>40.6</v>
      </c>
      <c r="P1982">
        <v>34.1</v>
      </c>
      <c r="Q1982">
        <v>42.3</v>
      </c>
      <c r="R1982">
        <v>49</v>
      </c>
      <c r="S1982">
        <v>30.8</v>
      </c>
      <c r="T1982">
        <v>34.200000000000003</v>
      </c>
      <c r="U1982">
        <v>61.1</v>
      </c>
      <c r="V1982">
        <v>-11.2</v>
      </c>
      <c r="W1982" cm="1">
        <f t="array" ref="W1982">_xlfn.IFS(OR(X1982="N/A",X1982="NA"),0,OR(X1982="R64",X1982="R68"),1,X1982="R32",2,X1982="S16",3,X1982="E8",4,X1982="F4",5,X1982="2ND",6,X1982="Champions",7)</f>
        <v>0</v>
      </c>
      <c r="X1982" t="s">
        <v>90</v>
      </c>
      <c r="Y1982" t="s">
        <v>90</v>
      </c>
      <c r="Z1982">
        <v>2013</v>
      </c>
    </row>
    <row r="1983" spans="1:26" x14ac:dyDescent="0.3">
      <c r="A1983" t="s">
        <v>175</v>
      </c>
      <c r="B1983" t="s">
        <v>164</v>
      </c>
      <c r="C1983">
        <v>31</v>
      </c>
      <c r="D1983">
        <v>10</v>
      </c>
      <c r="E1983" s="1">
        <f t="shared" si="30"/>
        <v>0.32258064516129031</v>
      </c>
      <c r="F1983">
        <v>96.4</v>
      </c>
      <c r="G1983">
        <v>107.8</v>
      </c>
      <c r="H1983">
        <v>0.21740000000000001</v>
      </c>
      <c r="I1983">
        <v>48.8</v>
      </c>
      <c r="J1983">
        <v>48.1</v>
      </c>
      <c r="K1983">
        <v>19.3</v>
      </c>
      <c r="L1983">
        <v>15.8</v>
      </c>
      <c r="M1983">
        <v>29.4</v>
      </c>
      <c r="N1983">
        <v>35.299999999999997</v>
      </c>
      <c r="O1983">
        <v>32</v>
      </c>
      <c r="P1983">
        <v>36.200000000000003</v>
      </c>
      <c r="Q1983">
        <v>47</v>
      </c>
      <c r="R1983">
        <v>46.2</v>
      </c>
      <c r="S1983">
        <v>34.1</v>
      </c>
      <c r="T1983">
        <v>35.1</v>
      </c>
      <c r="U1983">
        <v>68.5</v>
      </c>
      <c r="V1983">
        <v>-16.7</v>
      </c>
      <c r="W1983" cm="1">
        <f t="array" ref="W1983">_xlfn.IFS(OR(X1983="N/A",X1983="NA"),0,OR(X1983="R64",X1983="R68"),1,X1983="R32",2,X1983="S16",3,X1983="E8",4,X1983="F4",5,X1983="2ND",6,X1983="Champions",7)</f>
        <v>0</v>
      </c>
      <c r="X1983" t="s">
        <v>90</v>
      </c>
      <c r="Y1983" t="s">
        <v>90</v>
      </c>
      <c r="Z1983">
        <v>2013</v>
      </c>
    </row>
    <row r="1984" spans="1:26" x14ac:dyDescent="0.3">
      <c r="A1984" t="s">
        <v>352</v>
      </c>
      <c r="B1984" t="s">
        <v>62</v>
      </c>
      <c r="C1984">
        <v>31</v>
      </c>
      <c r="D1984">
        <v>10</v>
      </c>
      <c r="E1984" s="1">
        <f t="shared" si="30"/>
        <v>0.32258064516129031</v>
      </c>
      <c r="F1984">
        <v>96.1</v>
      </c>
      <c r="G1984">
        <v>107.8</v>
      </c>
      <c r="H1984">
        <v>0.21099999999999999</v>
      </c>
      <c r="I1984">
        <v>50.7</v>
      </c>
      <c r="J1984">
        <v>51.8</v>
      </c>
      <c r="K1984">
        <v>21.1</v>
      </c>
      <c r="L1984">
        <v>20</v>
      </c>
      <c r="M1984">
        <v>26.8</v>
      </c>
      <c r="N1984">
        <v>34.4</v>
      </c>
      <c r="O1984">
        <v>31.3</v>
      </c>
      <c r="P1984">
        <v>36.6</v>
      </c>
      <c r="Q1984">
        <v>48.7</v>
      </c>
      <c r="R1984">
        <v>50.8</v>
      </c>
      <c r="S1984">
        <v>36.4</v>
      </c>
      <c r="T1984">
        <v>35.9</v>
      </c>
      <c r="U1984">
        <v>60.7</v>
      </c>
      <c r="V1984">
        <v>-15.3</v>
      </c>
      <c r="W1984" cm="1">
        <f t="array" ref="W1984">_xlfn.IFS(OR(X1984="N/A",X1984="NA"),0,OR(X1984="R64",X1984="R68"),1,X1984="R32",2,X1984="S16",3,X1984="E8",4,X1984="F4",5,X1984="2ND",6,X1984="Champions",7)</f>
        <v>0</v>
      </c>
      <c r="X1984" t="s">
        <v>90</v>
      </c>
      <c r="Y1984" t="s">
        <v>90</v>
      </c>
      <c r="Z1984">
        <v>2013</v>
      </c>
    </row>
    <row r="1985" spans="1:26" x14ac:dyDescent="0.3">
      <c r="A1985" t="s">
        <v>244</v>
      </c>
      <c r="B1985" t="s">
        <v>77</v>
      </c>
      <c r="C1985">
        <v>31</v>
      </c>
      <c r="D1985">
        <v>10</v>
      </c>
      <c r="E1985" s="1">
        <f t="shared" si="30"/>
        <v>0.32258064516129031</v>
      </c>
      <c r="F1985">
        <v>90.7</v>
      </c>
      <c r="G1985">
        <v>103.6</v>
      </c>
      <c r="H1985">
        <v>0.1782</v>
      </c>
      <c r="I1985">
        <v>44.4</v>
      </c>
      <c r="J1985">
        <v>52.9</v>
      </c>
      <c r="K1985">
        <v>20.9</v>
      </c>
      <c r="L1985">
        <v>25.5</v>
      </c>
      <c r="M1985">
        <v>29.8</v>
      </c>
      <c r="N1985">
        <v>35.200000000000003</v>
      </c>
      <c r="O1985">
        <v>32.299999999999997</v>
      </c>
      <c r="P1985">
        <v>41.5</v>
      </c>
      <c r="Q1985">
        <v>43.5</v>
      </c>
      <c r="R1985">
        <v>52.2</v>
      </c>
      <c r="S1985">
        <v>31</v>
      </c>
      <c r="T1985">
        <v>36</v>
      </c>
      <c r="U1985">
        <v>70.3</v>
      </c>
      <c r="V1985">
        <v>-15.4</v>
      </c>
      <c r="W1985" cm="1">
        <f t="array" ref="W1985">_xlfn.IFS(OR(X1985="N/A",X1985="NA"),0,OR(X1985="R64",X1985="R68"),1,X1985="R32",2,X1985="S16",3,X1985="E8",4,X1985="F4",5,X1985="2ND",6,X1985="Champions",7)</f>
        <v>0</v>
      </c>
      <c r="X1985" t="s">
        <v>90</v>
      </c>
      <c r="Y1985" t="s">
        <v>90</v>
      </c>
      <c r="Z1985">
        <v>2013</v>
      </c>
    </row>
    <row r="1986" spans="1:26" x14ac:dyDescent="0.3">
      <c r="A1986" t="s">
        <v>409</v>
      </c>
      <c r="B1986" t="s">
        <v>37</v>
      </c>
      <c r="C1986">
        <v>32</v>
      </c>
      <c r="D1986">
        <v>10</v>
      </c>
      <c r="E1986" s="1">
        <f t="shared" si="30"/>
        <v>0.3125</v>
      </c>
      <c r="F1986">
        <v>95.7</v>
      </c>
      <c r="G1986">
        <v>99.7</v>
      </c>
      <c r="H1986">
        <v>0.38540000000000002</v>
      </c>
      <c r="I1986">
        <v>44.6</v>
      </c>
      <c r="J1986">
        <v>51.4</v>
      </c>
      <c r="K1986">
        <v>20.100000000000001</v>
      </c>
      <c r="L1986">
        <v>20.9</v>
      </c>
      <c r="M1986">
        <v>32.700000000000003</v>
      </c>
      <c r="N1986">
        <v>32.4</v>
      </c>
      <c r="O1986">
        <v>34</v>
      </c>
      <c r="P1986">
        <v>40.4</v>
      </c>
      <c r="Q1986">
        <v>42.6</v>
      </c>
      <c r="R1986">
        <v>48.7</v>
      </c>
      <c r="S1986">
        <v>32.6</v>
      </c>
      <c r="T1986">
        <v>37.5</v>
      </c>
      <c r="U1986">
        <v>64.8</v>
      </c>
      <c r="V1986">
        <v>-12.7</v>
      </c>
      <c r="W1986" cm="1">
        <f t="array" ref="W1986">_xlfn.IFS(OR(X1986="N/A",X1986="NA"),0,OR(X1986="R64",X1986="R68"),1,X1986="R32",2,X1986="S16",3,X1986="E8",4,X1986="F4",5,X1986="2ND",6,X1986="Champions",7)</f>
        <v>0</v>
      </c>
      <c r="X1986" t="s">
        <v>90</v>
      </c>
      <c r="Y1986" t="s">
        <v>90</v>
      </c>
      <c r="Z1986">
        <v>2013</v>
      </c>
    </row>
    <row r="1987" spans="1:26" x14ac:dyDescent="0.3">
      <c r="A1987" t="s">
        <v>359</v>
      </c>
      <c r="B1987" t="s">
        <v>29</v>
      </c>
      <c r="C1987">
        <v>32</v>
      </c>
      <c r="D1987">
        <v>10</v>
      </c>
      <c r="E1987" s="1">
        <f t="shared" ref="E1987:E2050" si="31">D1987/C1987</f>
        <v>0.3125</v>
      </c>
      <c r="F1987">
        <v>89.8</v>
      </c>
      <c r="G1987">
        <v>98</v>
      </c>
      <c r="H1987">
        <v>0.26819999999999999</v>
      </c>
      <c r="I1987">
        <v>44.6</v>
      </c>
      <c r="J1987">
        <v>49.9</v>
      </c>
      <c r="K1987">
        <v>24.8</v>
      </c>
      <c r="L1987">
        <v>22.3</v>
      </c>
      <c r="M1987">
        <v>30.5</v>
      </c>
      <c r="N1987">
        <v>36.1</v>
      </c>
      <c r="O1987">
        <v>40.799999999999997</v>
      </c>
      <c r="P1987">
        <v>25.8</v>
      </c>
      <c r="Q1987">
        <v>45.5</v>
      </c>
      <c r="R1987">
        <v>50</v>
      </c>
      <c r="S1987">
        <v>28.4</v>
      </c>
      <c r="T1987">
        <v>33.200000000000003</v>
      </c>
      <c r="U1987">
        <v>68.099999999999994</v>
      </c>
      <c r="V1987">
        <v>-11.6</v>
      </c>
      <c r="W1987" cm="1">
        <f t="array" ref="W1987">_xlfn.IFS(OR(X1987="N/A",X1987="NA"),0,OR(X1987="R64",X1987="R68"),1,X1987="R32",2,X1987="S16",3,X1987="E8",4,X1987="F4",5,X1987="2ND",6,X1987="Champions",7)</f>
        <v>0</v>
      </c>
      <c r="X1987" t="s">
        <v>90</v>
      </c>
      <c r="Y1987" t="s">
        <v>90</v>
      </c>
      <c r="Z1987">
        <v>2013</v>
      </c>
    </row>
    <row r="1988" spans="1:26" x14ac:dyDescent="0.3">
      <c r="A1988" t="s">
        <v>218</v>
      </c>
      <c r="B1988" t="s">
        <v>51</v>
      </c>
      <c r="C1988">
        <v>32</v>
      </c>
      <c r="D1988">
        <v>10</v>
      </c>
      <c r="E1988" s="1">
        <f t="shared" si="31"/>
        <v>0.3125</v>
      </c>
      <c r="F1988">
        <v>97.7</v>
      </c>
      <c r="G1988">
        <v>107.5</v>
      </c>
      <c r="H1988">
        <v>0.24929999999999999</v>
      </c>
      <c r="I1988">
        <v>46.9</v>
      </c>
      <c r="J1988">
        <v>52.6</v>
      </c>
      <c r="K1988">
        <v>20.6</v>
      </c>
      <c r="L1988">
        <v>20.399999999999999</v>
      </c>
      <c r="M1988">
        <v>31</v>
      </c>
      <c r="N1988">
        <v>34.4</v>
      </c>
      <c r="O1988">
        <v>36.4</v>
      </c>
      <c r="P1988">
        <v>34.4</v>
      </c>
      <c r="Q1988">
        <v>44.7</v>
      </c>
      <c r="R1988">
        <v>52.3</v>
      </c>
      <c r="S1988">
        <v>33.4</v>
      </c>
      <c r="T1988">
        <v>35.4</v>
      </c>
      <c r="U1988">
        <v>64.599999999999994</v>
      </c>
      <c r="V1988">
        <v>-15.7</v>
      </c>
      <c r="W1988" cm="1">
        <f t="array" ref="W1988">_xlfn.IFS(OR(X1988="N/A",X1988="NA"),0,OR(X1988="R64",X1988="R68"),1,X1988="R32",2,X1988="S16",3,X1988="E8",4,X1988="F4",5,X1988="2ND",6,X1988="Champions",7)</f>
        <v>0</v>
      </c>
      <c r="X1988" t="s">
        <v>90</v>
      </c>
      <c r="Y1988" t="s">
        <v>90</v>
      </c>
      <c r="Z1988">
        <v>2013</v>
      </c>
    </row>
    <row r="1989" spans="1:26" x14ac:dyDescent="0.3">
      <c r="A1989" t="s">
        <v>186</v>
      </c>
      <c r="B1989" t="s">
        <v>74</v>
      </c>
      <c r="C1989">
        <v>26</v>
      </c>
      <c r="D1989">
        <v>11</v>
      </c>
      <c r="E1989" s="1">
        <f t="shared" si="31"/>
        <v>0.42307692307692307</v>
      </c>
      <c r="F1989">
        <v>96</v>
      </c>
      <c r="G1989">
        <v>101.8</v>
      </c>
      <c r="H1989">
        <v>0.33560000000000001</v>
      </c>
      <c r="I1989">
        <v>47</v>
      </c>
      <c r="J1989">
        <v>49.6</v>
      </c>
      <c r="K1989">
        <v>21.7</v>
      </c>
      <c r="L1989">
        <v>22</v>
      </c>
      <c r="M1989">
        <v>37</v>
      </c>
      <c r="N1989">
        <v>30.6</v>
      </c>
      <c r="O1989">
        <v>35.799999999999997</v>
      </c>
      <c r="P1989">
        <v>39.1</v>
      </c>
      <c r="Q1989">
        <v>46.8</v>
      </c>
      <c r="R1989">
        <v>47.7</v>
      </c>
      <c r="S1989">
        <v>31.6</v>
      </c>
      <c r="T1989">
        <v>34.799999999999997</v>
      </c>
      <c r="U1989">
        <v>65.099999999999994</v>
      </c>
      <c r="V1989">
        <v>-11.6</v>
      </c>
      <c r="W1989" cm="1">
        <f t="array" ref="W1989">_xlfn.IFS(OR(X1989="N/A",X1989="NA"),0,OR(X1989="R64",X1989="R68"),1,X1989="R32",2,X1989="S16",3,X1989="E8",4,X1989="F4",5,X1989="2ND",6,X1989="Champions",7)</f>
        <v>0</v>
      </c>
      <c r="X1989" t="s">
        <v>90</v>
      </c>
      <c r="Y1989" t="s">
        <v>90</v>
      </c>
      <c r="Z1989">
        <v>2013</v>
      </c>
    </row>
    <row r="1990" spans="1:26" x14ac:dyDescent="0.3">
      <c r="A1990" t="s">
        <v>135</v>
      </c>
      <c r="B1990" t="s">
        <v>131</v>
      </c>
      <c r="C1990">
        <v>27</v>
      </c>
      <c r="D1990">
        <v>11</v>
      </c>
      <c r="E1990" s="1">
        <f t="shared" si="31"/>
        <v>0.40740740740740738</v>
      </c>
      <c r="F1990">
        <v>95.9</v>
      </c>
      <c r="G1990">
        <v>103.3</v>
      </c>
      <c r="H1990">
        <v>0.29970000000000002</v>
      </c>
      <c r="I1990">
        <v>48.1</v>
      </c>
      <c r="J1990">
        <v>49.8</v>
      </c>
      <c r="K1990">
        <v>18.899999999999999</v>
      </c>
      <c r="L1990">
        <v>21</v>
      </c>
      <c r="M1990">
        <v>25.2</v>
      </c>
      <c r="N1990">
        <v>31.7</v>
      </c>
      <c r="O1990">
        <v>28.4</v>
      </c>
      <c r="P1990">
        <v>35.700000000000003</v>
      </c>
      <c r="Q1990">
        <v>46.8</v>
      </c>
      <c r="R1990">
        <v>49.5</v>
      </c>
      <c r="S1990">
        <v>33.1</v>
      </c>
      <c r="T1990">
        <v>33.5</v>
      </c>
      <c r="U1990">
        <v>59.6</v>
      </c>
      <c r="V1990">
        <v>-12</v>
      </c>
      <c r="W1990" cm="1">
        <f t="array" ref="W1990">_xlfn.IFS(OR(X1990="N/A",X1990="NA"),0,OR(X1990="R64",X1990="R68"),1,X1990="R32",2,X1990="S16",3,X1990="E8",4,X1990="F4",5,X1990="2ND",6,X1990="Champions",7)</f>
        <v>0</v>
      </c>
      <c r="X1990" t="s">
        <v>90</v>
      </c>
      <c r="Y1990" t="s">
        <v>90</v>
      </c>
      <c r="Z1990">
        <v>2013</v>
      </c>
    </row>
    <row r="1991" spans="1:26" x14ac:dyDescent="0.3">
      <c r="A1991" t="s">
        <v>370</v>
      </c>
      <c r="B1991" t="s">
        <v>419</v>
      </c>
      <c r="C1991">
        <v>27</v>
      </c>
      <c r="D1991">
        <v>11</v>
      </c>
      <c r="E1991" s="1">
        <f t="shared" si="31"/>
        <v>0.40740740740740738</v>
      </c>
      <c r="F1991">
        <v>85.7</v>
      </c>
      <c r="G1991">
        <v>102.4</v>
      </c>
      <c r="H1991">
        <v>0.1137</v>
      </c>
      <c r="I1991">
        <v>43.8</v>
      </c>
      <c r="J1991">
        <v>47.3</v>
      </c>
      <c r="K1991">
        <v>25</v>
      </c>
      <c r="L1991">
        <v>22.6</v>
      </c>
      <c r="M1991">
        <v>31.7</v>
      </c>
      <c r="N1991">
        <v>33</v>
      </c>
      <c r="O1991">
        <v>37.5</v>
      </c>
      <c r="P1991">
        <v>41.7</v>
      </c>
      <c r="Q1991">
        <v>42.5</v>
      </c>
      <c r="R1991">
        <v>46.8</v>
      </c>
      <c r="S1991">
        <v>31.7</v>
      </c>
      <c r="T1991">
        <v>32.6</v>
      </c>
      <c r="U1991">
        <v>69</v>
      </c>
      <c r="V1991">
        <v>-12.7</v>
      </c>
      <c r="W1991" cm="1">
        <f t="array" ref="W1991">_xlfn.IFS(OR(X1991="N/A",X1991="NA"),0,OR(X1991="R64",X1991="R68"),1,X1991="R32",2,X1991="S16",3,X1991="E8",4,X1991="F4",5,X1991="2ND",6,X1991="Champions",7)</f>
        <v>0</v>
      </c>
      <c r="X1991" t="s">
        <v>90</v>
      </c>
      <c r="Y1991" t="s">
        <v>90</v>
      </c>
      <c r="Z1991">
        <v>2013</v>
      </c>
    </row>
    <row r="1992" spans="1:26" x14ac:dyDescent="0.3">
      <c r="A1992" t="s">
        <v>185</v>
      </c>
      <c r="B1992" t="s">
        <v>74</v>
      </c>
      <c r="C1992">
        <v>28</v>
      </c>
      <c r="D1992">
        <v>11</v>
      </c>
      <c r="E1992" s="1">
        <f t="shared" si="31"/>
        <v>0.39285714285714285</v>
      </c>
      <c r="F1992">
        <v>94.3</v>
      </c>
      <c r="G1992">
        <v>103.9</v>
      </c>
      <c r="H1992">
        <v>0.2475</v>
      </c>
      <c r="I1992">
        <v>46.6</v>
      </c>
      <c r="J1992">
        <v>47.1</v>
      </c>
      <c r="K1992">
        <v>21.4</v>
      </c>
      <c r="L1992">
        <v>18.2</v>
      </c>
      <c r="M1992">
        <v>29.3</v>
      </c>
      <c r="N1992">
        <v>30.6</v>
      </c>
      <c r="O1992">
        <v>36.1</v>
      </c>
      <c r="P1992">
        <v>36.700000000000003</v>
      </c>
      <c r="Q1992">
        <v>46.4</v>
      </c>
      <c r="R1992">
        <v>46.1</v>
      </c>
      <c r="S1992">
        <v>31.3</v>
      </c>
      <c r="T1992">
        <v>32.6</v>
      </c>
      <c r="U1992">
        <v>61.1</v>
      </c>
      <c r="V1992">
        <v>-12.5</v>
      </c>
      <c r="W1992" cm="1">
        <f t="array" ref="W1992">_xlfn.IFS(OR(X1992="N/A",X1992="NA"),0,OR(X1992="R64",X1992="R68"),1,X1992="R32",2,X1992="S16",3,X1992="E8",4,X1992="F4",5,X1992="2ND",6,X1992="Champions",7)</f>
        <v>0</v>
      </c>
      <c r="X1992" t="s">
        <v>90</v>
      </c>
      <c r="Y1992" t="s">
        <v>90</v>
      </c>
      <c r="Z1992">
        <v>2013</v>
      </c>
    </row>
    <row r="1993" spans="1:26" x14ac:dyDescent="0.3">
      <c r="A1993" t="s">
        <v>355</v>
      </c>
      <c r="B1993" t="s">
        <v>74</v>
      </c>
      <c r="C1993">
        <v>28</v>
      </c>
      <c r="D1993">
        <v>11</v>
      </c>
      <c r="E1993" s="1">
        <f t="shared" si="31"/>
        <v>0.39285714285714285</v>
      </c>
      <c r="F1993">
        <v>100.5</v>
      </c>
      <c r="G1993">
        <v>112.3</v>
      </c>
      <c r="H1993">
        <v>0.21870000000000001</v>
      </c>
      <c r="I1993">
        <v>49.2</v>
      </c>
      <c r="J1993">
        <v>51.2</v>
      </c>
      <c r="K1993">
        <v>17.600000000000001</v>
      </c>
      <c r="L1993">
        <v>18.600000000000001</v>
      </c>
      <c r="M1993">
        <v>32</v>
      </c>
      <c r="N1993">
        <v>37.200000000000003</v>
      </c>
      <c r="O1993">
        <v>30.5</v>
      </c>
      <c r="P1993">
        <v>30.7</v>
      </c>
      <c r="Q1993">
        <v>49.9</v>
      </c>
      <c r="R1993">
        <v>49.8</v>
      </c>
      <c r="S1993">
        <v>32.200000000000003</v>
      </c>
      <c r="T1993">
        <v>36.299999999999997</v>
      </c>
      <c r="U1993">
        <v>71.3</v>
      </c>
      <c r="V1993">
        <v>-13.7</v>
      </c>
      <c r="W1993" cm="1">
        <f t="array" ref="W1993">_xlfn.IFS(OR(X1993="N/A",X1993="NA"),0,OR(X1993="R64",X1993="R68"),1,X1993="R32",2,X1993="S16",3,X1993="E8",4,X1993="F4",5,X1993="2ND",6,X1993="Champions",7)</f>
        <v>0</v>
      </c>
      <c r="X1993" t="s">
        <v>90</v>
      </c>
      <c r="Y1993" t="s">
        <v>90</v>
      </c>
      <c r="Z1993">
        <v>2013</v>
      </c>
    </row>
    <row r="1994" spans="1:26" x14ac:dyDescent="0.3">
      <c r="A1994" t="s">
        <v>167</v>
      </c>
      <c r="B1994" t="s">
        <v>164</v>
      </c>
      <c r="C1994">
        <v>28</v>
      </c>
      <c r="D1994">
        <v>11</v>
      </c>
      <c r="E1994" s="1">
        <f t="shared" si="31"/>
        <v>0.39285714285714285</v>
      </c>
      <c r="F1994">
        <v>98.8</v>
      </c>
      <c r="G1994">
        <v>113.2</v>
      </c>
      <c r="H1994">
        <v>0.1726</v>
      </c>
      <c r="I1994">
        <v>47.8</v>
      </c>
      <c r="J1994">
        <v>55.5</v>
      </c>
      <c r="K1994">
        <v>17</v>
      </c>
      <c r="L1994">
        <v>21.1</v>
      </c>
      <c r="M1994">
        <v>29.2</v>
      </c>
      <c r="N1994">
        <v>30.1</v>
      </c>
      <c r="O1994">
        <v>37.299999999999997</v>
      </c>
      <c r="P1994">
        <v>39.6</v>
      </c>
      <c r="Q1994">
        <v>46.5</v>
      </c>
      <c r="R1994">
        <v>53.7</v>
      </c>
      <c r="S1994">
        <v>33.299999999999997</v>
      </c>
      <c r="T1994">
        <v>39.1</v>
      </c>
      <c r="U1994">
        <v>66.2</v>
      </c>
      <c r="V1994">
        <v>-13.8</v>
      </c>
      <c r="W1994" cm="1">
        <f t="array" ref="W1994">_xlfn.IFS(OR(X1994="N/A",X1994="NA"),0,OR(X1994="R64",X1994="R68"),1,X1994="R32",2,X1994="S16",3,X1994="E8",4,X1994="F4",5,X1994="2ND",6,X1994="Champions",7)</f>
        <v>0</v>
      </c>
      <c r="X1994" t="s">
        <v>90</v>
      </c>
      <c r="Y1994" t="s">
        <v>90</v>
      </c>
      <c r="Z1994">
        <v>2013</v>
      </c>
    </row>
    <row r="1995" spans="1:26" x14ac:dyDescent="0.3">
      <c r="A1995" t="s">
        <v>369</v>
      </c>
      <c r="B1995" t="s">
        <v>61</v>
      </c>
      <c r="C1995">
        <v>28</v>
      </c>
      <c r="D1995">
        <v>11</v>
      </c>
      <c r="E1995" s="1">
        <f t="shared" si="31"/>
        <v>0.39285714285714285</v>
      </c>
      <c r="F1995">
        <v>97</v>
      </c>
      <c r="G1995">
        <v>111.9</v>
      </c>
      <c r="H1995">
        <v>0.16220000000000001</v>
      </c>
      <c r="I1995">
        <v>47.9</v>
      </c>
      <c r="J1995">
        <v>50.7</v>
      </c>
      <c r="K1995">
        <v>19.8</v>
      </c>
      <c r="L1995">
        <v>19.399999999999999</v>
      </c>
      <c r="M1995">
        <v>33.4</v>
      </c>
      <c r="N1995">
        <v>36.6</v>
      </c>
      <c r="O1995">
        <v>29.6</v>
      </c>
      <c r="P1995">
        <v>40.799999999999997</v>
      </c>
      <c r="Q1995">
        <v>46.4</v>
      </c>
      <c r="R1995">
        <v>49.6</v>
      </c>
      <c r="S1995">
        <v>34.200000000000003</v>
      </c>
      <c r="T1995">
        <v>35.700000000000003</v>
      </c>
      <c r="U1995">
        <v>72.599999999999994</v>
      </c>
      <c r="V1995">
        <v>-13</v>
      </c>
      <c r="W1995" cm="1">
        <f t="array" ref="W1995">_xlfn.IFS(OR(X1995="N/A",X1995="NA"),0,OR(X1995="R64",X1995="R68"),1,X1995="R32",2,X1995="S16",3,X1995="E8",4,X1995="F4",5,X1995="2ND",6,X1995="Champions",7)</f>
        <v>0</v>
      </c>
      <c r="X1995" t="s">
        <v>90</v>
      </c>
      <c r="Y1995" t="s">
        <v>90</v>
      </c>
      <c r="Z1995">
        <v>2013</v>
      </c>
    </row>
    <row r="1996" spans="1:26" x14ac:dyDescent="0.3">
      <c r="A1996" t="s">
        <v>373</v>
      </c>
      <c r="B1996" t="s">
        <v>61</v>
      </c>
      <c r="C1996">
        <v>28</v>
      </c>
      <c r="D1996">
        <v>11</v>
      </c>
      <c r="E1996" s="1">
        <f t="shared" si="31"/>
        <v>0.39285714285714285</v>
      </c>
      <c r="F1996">
        <v>93.7</v>
      </c>
      <c r="G1996">
        <v>108.7</v>
      </c>
      <c r="H1996">
        <v>0.15409999999999999</v>
      </c>
      <c r="I1996">
        <v>44.9</v>
      </c>
      <c r="J1996">
        <v>48.8</v>
      </c>
      <c r="K1996">
        <v>17.899999999999999</v>
      </c>
      <c r="L1996">
        <v>19</v>
      </c>
      <c r="M1996">
        <v>31.8</v>
      </c>
      <c r="N1996">
        <v>37.799999999999997</v>
      </c>
      <c r="O1996">
        <v>30.3</v>
      </c>
      <c r="P1996">
        <v>35.799999999999997</v>
      </c>
      <c r="Q1996">
        <v>43.9</v>
      </c>
      <c r="R1996">
        <v>48.6</v>
      </c>
      <c r="S1996">
        <v>31.9</v>
      </c>
      <c r="T1996">
        <v>32.799999999999997</v>
      </c>
      <c r="U1996">
        <v>64.3</v>
      </c>
      <c r="V1996">
        <v>-12.1</v>
      </c>
      <c r="W1996" cm="1">
        <f t="array" ref="W1996">_xlfn.IFS(OR(X1996="N/A",X1996="NA"),0,OR(X1996="R64",X1996="R68"),1,X1996="R32",2,X1996="S16",3,X1996="E8",4,X1996="F4",5,X1996="2ND",6,X1996="Champions",7)</f>
        <v>0</v>
      </c>
      <c r="X1996" t="s">
        <v>90</v>
      </c>
      <c r="Y1996" t="s">
        <v>90</v>
      </c>
      <c r="Z1996">
        <v>2013</v>
      </c>
    </row>
    <row r="1997" spans="1:26" x14ac:dyDescent="0.3">
      <c r="A1997" t="s">
        <v>163</v>
      </c>
      <c r="B1997" t="s">
        <v>51</v>
      </c>
      <c r="C1997">
        <v>29</v>
      </c>
      <c r="D1997">
        <v>11</v>
      </c>
      <c r="E1997" s="1">
        <f t="shared" si="31"/>
        <v>0.37931034482758619</v>
      </c>
      <c r="F1997">
        <v>108.3</v>
      </c>
      <c r="G1997">
        <v>111.6</v>
      </c>
      <c r="H1997">
        <v>0.41410000000000002</v>
      </c>
      <c r="I1997">
        <v>52.7</v>
      </c>
      <c r="J1997">
        <v>51.7</v>
      </c>
      <c r="K1997">
        <v>21.2</v>
      </c>
      <c r="L1997">
        <v>14.2</v>
      </c>
      <c r="M1997">
        <v>33.1</v>
      </c>
      <c r="N1997">
        <v>29.2</v>
      </c>
      <c r="O1997">
        <v>37.6</v>
      </c>
      <c r="P1997">
        <v>30.8</v>
      </c>
      <c r="Q1997">
        <v>51.4</v>
      </c>
      <c r="R1997">
        <v>50.5</v>
      </c>
      <c r="S1997">
        <v>36.799999999999997</v>
      </c>
      <c r="T1997">
        <v>36</v>
      </c>
      <c r="U1997">
        <v>63.4</v>
      </c>
      <c r="V1997">
        <v>-11.6</v>
      </c>
      <c r="W1997" cm="1">
        <f t="array" ref="W1997">_xlfn.IFS(OR(X1997="N/A",X1997="NA"),0,OR(X1997="R64",X1997="R68"),1,X1997="R32",2,X1997="S16",3,X1997="E8",4,X1997="F4",5,X1997="2ND",6,X1997="Champions",7)</f>
        <v>0</v>
      </c>
      <c r="X1997" t="s">
        <v>90</v>
      </c>
      <c r="Y1997" t="s">
        <v>90</v>
      </c>
      <c r="Z1997">
        <v>2013</v>
      </c>
    </row>
    <row r="1998" spans="1:26" x14ac:dyDescent="0.3">
      <c r="A1998" t="s">
        <v>170</v>
      </c>
      <c r="B1998" t="s">
        <v>164</v>
      </c>
      <c r="C1998">
        <v>29</v>
      </c>
      <c r="D1998">
        <v>11</v>
      </c>
      <c r="E1998" s="1">
        <f t="shared" si="31"/>
        <v>0.37931034482758619</v>
      </c>
      <c r="F1998">
        <v>100.8</v>
      </c>
      <c r="G1998">
        <v>108.5</v>
      </c>
      <c r="H1998">
        <v>0.30030000000000001</v>
      </c>
      <c r="I1998">
        <v>51.3</v>
      </c>
      <c r="J1998">
        <v>53</v>
      </c>
      <c r="K1998">
        <v>20.2</v>
      </c>
      <c r="L1998">
        <v>19</v>
      </c>
      <c r="M1998">
        <v>31.4</v>
      </c>
      <c r="N1998">
        <v>29.7</v>
      </c>
      <c r="O1998">
        <v>33.200000000000003</v>
      </c>
      <c r="P1998">
        <v>33.4</v>
      </c>
      <c r="Q1998">
        <v>49.2</v>
      </c>
      <c r="R1998">
        <v>52.7</v>
      </c>
      <c r="S1998">
        <v>37.1</v>
      </c>
      <c r="T1998">
        <v>35.6</v>
      </c>
      <c r="U1998">
        <v>66.400000000000006</v>
      </c>
      <c r="V1998">
        <v>-13.3</v>
      </c>
      <c r="W1998" cm="1">
        <f t="array" ref="W1998">_xlfn.IFS(OR(X1998="N/A",X1998="NA"),0,OR(X1998="R64",X1998="R68"),1,X1998="R32",2,X1998="S16",3,X1998="E8",4,X1998="F4",5,X1998="2ND",6,X1998="Champions",7)</f>
        <v>0</v>
      </c>
      <c r="X1998" t="s">
        <v>90</v>
      </c>
      <c r="Y1998" t="s">
        <v>90</v>
      </c>
      <c r="Z1998">
        <v>2013</v>
      </c>
    </row>
    <row r="1999" spans="1:26" x14ac:dyDescent="0.3">
      <c r="A1999" t="s">
        <v>221</v>
      </c>
      <c r="B1999" t="s">
        <v>43</v>
      </c>
      <c r="C1999">
        <v>29</v>
      </c>
      <c r="D1999">
        <v>11</v>
      </c>
      <c r="E1999" s="1">
        <f t="shared" si="31"/>
        <v>0.37931034482758619</v>
      </c>
      <c r="F1999">
        <v>97.9</v>
      </c>
      <c r="G1999">
        <v>107.6</v>
      </c>
      <c r="H1999">
        <v>0.25309999999999999</v>
      </c>
      <c r="I1999">
        <v>46.9</v>
      </c>
      <c r="J1999">
        <v>52.2</v>
      </c>
      <c r="K1999">
        <v>21.2</v>
      </c>
      <c r="L1999">
        <v>21.1</v>
      </c>
      <c r="M1999">
        <v>31.9</v>
      </c>
      <c r="N1999">
        <v>32.5</v>
      </c>
      <c r="O1999">
        <v>30.4</v>
      </c>
      <c r="P1999">
        <v>45.2</v>
      </c>
      <c r="Q1999">
        <v>45.1</v>
      </c>
      <c r="R1999">
        <v>51.8</v>
      </c>
      <c r="S1999">
        <v>33.5</v>
      </c>
      <c r="T1999">
        <v>35.4</v>
      </c>
      <c r="U1999">
        <v>65.400000000000006</v>
      </c>
      <c r="V1999">
        <v>-11</v>
      </c>
      <c r="W1999" cm="1">
        <f t="array" ref="W1999">_xlfn.IFS(OR(X1999="N/A",X1999="NA"),0,OR(X1999="R64",X1999="R68"),1,X1999="R32",2,X1999="S16",3,X1999="E8",4,X1999="F4",5,X1999="2ND",6,X1999="Champions",7)</f>
        <v>0</v>
      </c>
      <c r="X1999" t="s">
        <v>90</v>
      </c>
      <c r="Y1999" t="s">
        <v>90</v>
      </c>
      <c r="Z1999">
        <v>2013</v>
      </c>
    </row>
    <row r="2000" spans="1:26" x14ac:dyDescent="0.3">
      <c r="A2000" t="s">
        <v>134</v>
      </c>
      <c r="B2000" t="s">
        <v>131</v>
      </c>
      <c r="C2000">
        <v>29</v>
      </c>
      <c r="D2000">
        <v>11</v>
      </c>
      <c r="E2000" s="1">
        <f t="shared" si="31"/>
        <v>0.37931034482758619</v>
      </c>
      <c r="F2000">
        <v>96.2</v>
      </c>
      <c r="G2000">
        <v>107.7</v>
      </c>
      <c r="H2000">
        <v>0.2142</v>
      </c>
      <c r="I2000">
        <v>46.7</v>
      </c>
      <c r="J2000">
        <v>51.8</v>
      </c>
      <c r="K2000">
        <v>23.2</v>
      </c>
      <c r="L2000">
        <v>18.600000000000001</v>
      </c>
      <c r="M2000">
        <v>35.700000000000003</v>
      </c>
      <c r="N2000">
        <v>32</v>
      </c>
      <c r="O2000">
        <v>44.6</v>
      </c>
      <c r="P2000">
        <v>44.9</v>
      </c>
      <c r="Q2000">
        <v>46.5</v>
      </c>
      <c r="R2000">
        <v>52.6</v>
      </c>
      <c r="S2000">
        <v>31.5</v>
      </c>
      <c r="T2000">
        <v>33.799999999999997</v>
      </c>
      <c r="U2000">
        <v>70.7</v>
      </c>
      <c r="V2000">
        <v>-12.4</v>
      </c>
      <c r="W2000" cm="1">
        <f t="array" ref="W2000">_xlfn.IFS(OR(X2000="N/A",X2000="NA"),0,OR(X2000="R64",X2000="R68"),1,X2000="R32",2,X2000="S16",3,X2000="E8",4,X2000="F4",5,X2000="2ND",6,X2000="Champions",7)</f>
        <v>0</v>
      </c>
      <c r="X2000" t="s">
        <v>90</v>
      </c>
      <c r="Y2000" t="s">
        <v>90</v>
      </c>
      <c r="Z2000">
        <v>2013</v>
      </c>
    </row>
    <row r="2001" spans="1:26" x14ac:dyDescent="0.3">
      <c r="A2001" t="s">
        <v>378</v>
      </c>
      <c r="B2001" t="s">
        <v>61</v>
      </c>
      <c r="C2001">
        <v>29</v>
      </c>
      <c r="D2001">
        <v>11</v>
      </c>
      <c r="E2001" s="1">
        <f t="shared" si="31"/>
        <v>0.37931034482758619</v>
      </c>
      <c r="F2001">
        <v>93.8</v>
      </c>
      <c r="G2001">
        <v>105.4</v>
      </c>
      <c r="H2001">
        <v>0.2079</v>
      </c>
      <c r="I2001">
        <v>45.6</v>
      </c>
      <c r="J2001">
        <v>49.6</v>
      </c>
      <c r="K2001">
        <v>19.5</v>
      </c>
      <c r="L2001">
        <v>18.399999999999999</v>
      </c>
      <c r="M2001">
        <v>26.4</v>
      </c>
      <c r="N2001">
        <v>32</v>
      </c>
      <c r="O2001">
        <v>36</v>
      </c>
      <c r="P2001">
        <v>42.8</v>
      </c>
      <c r="Q2001">
        <v>42.1</v>
      </c>
      <c r="R2001">
        <v>46.1</v>
      </c>
      <c r="S2001">
        <v>35.5</v>
      </c>
      <c r="T2001">
        <v>39.700000000000003</v>
      </c>
      <c r="U2001">
        <v>66.3</v>
      </c>
      <c r="V2001">
        <v>-11.8</v>
      </c>
      <c r="W2001" cm="1">
        <f t="array" ref="W2001">_xlfn.IFS(OR(X2001="N/A",X2001="NA"),0,OR(X2001="R64",X2001="R68"),1,X2001="R32",2,X2001="S16",3,X2001="E8",4,X2001="F4",5,X2001="2ND",6,X2001="Champions",7)</f>
        <v>0</v>
      </c>
      <c r="X2001" t="s">
        <v>90</v>
      </c>
      <c r="Y2001" t="s">
        <v>90</v>
      </c>
      <c r="Z2001">
        <v>2013</v>
      </c>
    </row>
    <row r="2002" spans="1:26" x14ac:dyDescent="0.3">
      <c r="A2002" t="s">
        <v>395</v>
      </c>
      <c r="B2002" t="s">
        <v>76</v>
      </c>
      <c r="C2002">
        <v>29</v>
      </c>
      <c r="D2002">
        <v>11</v>
      </c>
      <c r="E2002" s="1">
        <f t="shared" si="31"/>
        <v>0.37931034482758619</v>
      </c>
      <c r="F2002">
        <v>93.7</v>
      </c>
      <c r="G2002">
        <v>106.8</v>
      </c>
      <c r="H2002">
        <v>0.1817</v>
      </c>
      <c r="I2002">
        <v>44.5</v>
      </c>
      <c r="J2002">
        <v>50</v>
      </c>
      <c r="K2002">
        <v>18.2</v>
      </c>
      <c r="L2002">
        <v>20.9</v>
      </c>
      <c r="M2002">
        <v>27.4</v>
      </c>
      <c r="N2002">
        <v>35</v>
      </c>
      <c r="O2002">
        <v>38.4</v>
      </c>
      <c r="P2002">
        <v>39.299999999999997</v>
      </c>
      <c r="Q2002">
        <v>43.2</v>
      </c>
      <c r="R2002">
        <v>51.3</v>
      </c>
      <c r="S2002">
        <v>31.2</v>
      </c>
      <c r="T2002">
        <v>31.5</v>
      </c>
      <c r="U2002">
        <v>68.599999999999994</v>
      </c>
      <c r="V2002">
        <v>-13.5</v>
      </c>
      <c r="W2002" cm="1">
        <f t="array" ref="W2002">_xlfn.IFS(OR(X2002="N/A",X2002="NA"),0,OR(X2002="R64",X2002="R68"),1,X2002="R32",2,X2002="S16",3,X2002="E8",4,X2002="F4",5,X2002="2ND",6,X2002="Champions",7)</f>
        <v>0</v>
      </c>
      <c r="X2002" t="s">
        <v>90</v>
      </c>
      <c r="Y2002" t="s">
        <v>90</v>
      </c>
      <c r="Z2002">
        <v>2013</v>
      </c>
    </row>
    <row r="2003" spans="1:26" x14ac:dyDescent="0.3">
      <c r="A2003" t="s">
        <v>286</v>
      </c>
      <c r="B2003" t="s">
        <v>55</v>
      </c>
      <c r="C2003">
        <v>30</v>
      </c>
      <c r="D2003">
        <v>11</v>
      </c>
      <c r="E2003" s="1">
        <f t="shared" si="31"/>
        <v>0.36666666666666664</v>
      </c>
      <c r="F2003">
        <v>103.1</v>
      </c>
      <c r="G2003">
        <v>104.3</v>
      </c>
      <c r="H2003">
        <v>0.46710000000000002</v>
      </c>
      <c r="I2003">
        <v>47.3</v>
      </c>
      <c r="J2003">
        <v>51.8</v>
      </c>
      <c r="K2003">
        <v>18.7</v>
      </c>
      <c r="L2003">
        <v>18.7</v>
      </c>
      <c r="M2003">
        <v>28.9</v>
      </c>
      <c r="N2003">
        <v>32</v>
      </c>
      <c r="O2003">
        <v>41.8</v>
      </c>
      <c r="P2003">
        <v>40.200000000000003</v>
      </c>
      <c r="Q2003">
        <v>47.8</v>
      </c>
      <c r="R2003">
        <v>49.5</v>
      </c>
      <c r="S2003">
        <v>30.9</v>
      </c>
      <c r="T2003">
        <v>37.4</v>
      </c>
      <c r="U2003">
        <v>67</v>
      </c>
      <c r="V2003">
        <v>-9.1999999999999993</v>
      </c>
      <c r="W2003" cm="1">
        <f t="array" ref="W2003">_xlfn.IFS(OR(X2003="N/A",X2003="NA"),0,OR(X2003="R64",X2003="R68"),1,X2003="R32",2,X2003="S16",3,X2003="E8",4,X2003="F4",5,X2003="2ND",6,X2003="Champions",7)</f>
        <v>0</v>
      </c>
      <c r="X2003" t="s">
        <v>90</v>
      </c>
      <c r="Y2003" t="s">
        <v>90</v>
      </c>
      <c r="Z2003">
        <v>2013</v>
      </c>
    </row>
    <row r="2004" spans="1:26" x14ac:dyDescent="0.3">
      <c r="A2004" t="s">
        <v>253</v>
      </c>
      <c r="B2004" t="s">
        <v>57</v>
      </c>
      <c r="C2004">
        <v>30</v>
      </c>
      <c r="D2004">
        <v>11</v>
      </c>
      <c r="E2004" s="1">
        <f t="shared" si="31"/>
        <v>0.36666666666666664</v>
      </c>
      <c r="F2004">
        <v>95.4</v>
      </c>
      <c r="G2004">
        <v>98.5</v>
      </c>
      <c r="H2004">
        <v>0.40870000000000001</v>
      </c>
      <c r="I2004">
        <v>46.6</v>
      </c>
      <c r="J2004">
        <v>48</v>
      </c>
      <c r="K2004">
        <v>19.899999999999999</v>
      </c>
      <c r="L2004">
        <v>20</v>
      </c>
      <c r="M2004">
        <v>30.4</v>
      </c>
      <c r="N2004">
        <v>31.6</v>
      </c>
      <c r="O2004">
        <v>25.8</v>
      </c>
      <c r="P2004">
        <v>34.200000000000003</v>
      </c>
      <c r="Q2004">
        <v>46.8</v>
      </c>
      <c r="R2004">
        <v>46.5</v>
      </c>
      <c r="S2004">
        <v>30.6</v>
      </c>
      <c r="T2004">
        <v>34.299999999999997</v>
      </c>
      <c r="U2004">
        <v>64.099999999999994</v>
      </c>
      <c r="V2004">
        <v>-13.3</v>
      </c>
      <c r="W2004" cm="1">
        <f t="array" ref="W2004">_xlfn.IFS(OR(X2004="N/A",X2004="NA"),0,OR(X2004="R64",X2004="R68"),1,X2004="R32",2,X2004="S16",3,X2004="E8",4,X2004="F4",5,X2004="2ND",6,X2004="Champions",7)</f>
        <v>0</v>
      </c>
      <c r="X2004" t="s">
        <v>90</v>
      </c>
      <c r="Y2004" t="s">
        <v>90</v>
      </c>
      <c r="Z2004">
        <v>2013</v>
      </c>
    </row>
    <row r="2005" spans="1:26" x14ac:dyDescent="0.3">
      <c r="A2005" t="s">
        <v>213</v>
      </c>
      <c r="B2005" t="s">
        <v>58</v>
      </c>
      <c r="C2005">
        <v>30</v>
      </c>
      <c r="D2005">
        <v>11</v>
      </c>
      <c r="E2005" s="1">
        <f t="shared" si="31"/>
        <v>0.36666666666666664</v>
      </c>
      <c r="F2005">
        <v>96</v>
      </c>
      <c r="G2005">
        <v>102.9</v>
      </c>
      <c r="H2005">
        <v>0.31040000000000001</v>
      </c>
      <c r="I2005">
        <v>44.4</v>
      </c>
      <c r="J2005">
        <v>47.8</v>
      </c>
      <c r="K2005">
        <v>20.7</v>
      </c>
      <c r="L2005">
        <v>18.5</v>
      </c>
      <c r="M2005">
        <v>33.6</v>
      </c>
      <c r="N2005">
        <v>32.799999999999997</v>
      </c>
      <c r="O2005">
        <v>41.5</v>
      </c>
      <c r="P2005">
        <v>34.299999999999997</v>
      </c>
      <c r="Q2005">
        <v>44.9</v>
      </c>
      <c r="R2005">
        <v>45.3</v>
      </c>
      <c r="S2005">
        <v>28.6</v>
      </c>
      <c r="T2005">
        <v>35.700000000000003</v>
      </c>
      <c r="U2005">
        <v>66.900000000000006</v>
      </c>
      <c r="V2005">
        <v>-13.5</v>
      </c>
      <c r="W2005" cm="1">
        <f t="array" ref="W2005">_xlfn.IFS(OR(X2005="N/A",X2005="NA"),0,OR(X2005="R64",X2005="R68"),1,X2005="R32",2,X2005="S16",3,X2005="E8",4,X2005="F4",5,X2005="2ND",6,X2005="Champions",7)</f>
        <v>0</v>
      </c>
      <c r="X2005" t="s">
        <v>90</v>
      </c>
      <c r="Y2005" t="s">
        <v>90</v>
      </c>
      <c r="Z2005">
        <v>2013</v>
      </c>
    </row>
    <row r="2006" spans="1:26" x14ac:dyDescent="0.3">
      <c r="A2006" t="s">
        <v>176</v>
      </c>
      <c r="B2006" t="s">
        <v>74</v>
      </c>
      <c r="C2006">
        <v>30</v>
      </c>
      <c r="D2006">
        <v>11</v>
      </c>
      <c r="E2006" s="1">
        <f t="shared" si="31"/>
        <v>0.36666666666666664</v>
      </c>
      <c r="F2006">
        <v>96.1</v>
      </c>
      <c r="G2006">
        <v>110.1</v>
      </c>
      <c r="H2006">
        <v>0.17399999999999999</v>
      </c>
      <c r="I2006">
        <v>48.2</v>
      </c>
      <c r="J2006">
        <v>51.6</v>
      </c>
      <c r="K2006">
        <v>20.100000000000001</v>
      </c>
      <c r="L2006">
        <v>20.2</v>
      </c>
      <c r="M2006">
        <v>32.700000000000003</v>
      </c>
      <c r="N2006">
        <v>34.6</v>
      </c>
      <c r="O2006">
        <v>30.8</v>
      </c>
      <c r="P2006">
        <v>39.200000000000003</v>
      </c>
      <c r="Q2006">
        <v>48.7</v>
      </c>
      <c r="R2006">
        <v>52.2</v>
      </c>
      <c r="S2006">
        <v>31.2</v>
      </c>
      <c r="T2006">
        <v>33.5</v>
      </c>
      <c r="U2006">
        <v>66.3</v>
      </c>
      <c r="V2006">
        <v>-14.4</v>
      </c>
      <c r="W2006" cm="1">
        <f t="array" ref="W2006">_xlfn.IFS(OR(X2006="N/A",X2006="NA"),0,OR(X2006="R64",X2006="R68"),1,X2006="R32",2,X2006="S16",3,X2006="E8",4,X2006="F4",5,X2006="2ND",6,X2006="Champions",7)</f>
        <v>0</v>
      </c>
      <c r="X2006" t="s">
        <v>90</v>
      </c>
      <c r="Y2006" t="s">
        <v>90</v>
      </c>
      <c r="Z2006">
        <v>2013</v>
      </c>
    </row>
    <row r="2007" spans="1:26" x14ac:dyDescent="0.3">
      <c r="A2007" t="s">
        <v>348</v>
      </c>
      <c r="B2007" t="s">
        <v>62</v>
      </c>
      <c r="C2007">
        <v>30</v>
      </c>
      <c r="D2007">
        <v>11</v>
      </c>
      <c r="E2007" s="1">
        <f t="shared" si="31"/>
        <v>0.36666666666666664</v>
      </c>
      <c r="F2007">
        <v>96.5</v>
      </c>
      <c r="G2007">
        <v>110.9</v>
      </c>
      <c r="H2007">
        <v>0.16819999999999999</v>
      </c>
      <c r="I2007">
        <v>46</v>
      </c>
      <c r="J2007">
        <v>53.5</v>
      </c>
      <c r="K2007">
        <v>20</v>
      </c>
      <c r="L2007">
        <v>18.5</v>
      </c>
      <c r="M2007">
        <v>33.9</v>
      </c>
      <c r="N2007">
        <v>27.8</v>
      </c>
      <c r="O2007">
        <v>43</v>
      </c>
      <c r="P2007">
        <v>32.6</v>
      </c>
      <c r="Q2007">
        <v>45.9</v>
      </c>
      <c r="R2007">
        <v>51.4</v>
      </c>
      <c r="S2007">
        <v>30.8</v>
      </c>
      <c r="T2007">
        <v>37.6</v>
      </c>
      <c r="U2007">
        <v>67.7</v>
      </c>
      <c r="V2007">
        <v>-14.8</v>
      </c>
      <c r="W2007" cm="1">
        <f t="array" ref="W2007">_xlfn.IFS(OR(X2007="N/A",X2007="NA"),0,OR(X2007="R64",X2007="R68"),1,X2007="R32",2,X2007="S16",3,X2007="E8",4,X2007="F4",5,X2007="2ND",6,X2007="Champions",7)</f>
        <v>0</v>
      </c>
      <c r="X2007" t="s">
        <v>90</v>
      </c>
      <c r="Y2007" t="s">
        <v>90</v>
      </c>
      <c r="Z2007">
        <v>2013</v>
      </c>
    </row>
    <row r="2008" spans="1:26" x14ac:dyDescent="0.3">
      <c r="A2008" t="s">
        <v>34</v>
      </c>
      <c r="B2008" t="s">
        <v>35</v>
      </c>
      <c r="C2008">
        <v>31</v>
      </c>
      <c r="D2008">
        <v>11</v>
      </c>
      <c r="E2008" s="1">
        <f t="shared" si="31"/>
        <v>0.35483870967741937</v>
      </c>
      <c r="F2008">
        <v>99.3</v>
      </c>
      <c r="G2008">
        <v>104</v>
      </c>
      <c r="H2008">
        <v>0.37030000000000002</v>
      </c>
      <c r="I2008">
        <v>46.5</v>
      </c>
      <c r="J2008">
        <v>52.8</v>
      </c>
      <c r="K2008">
        <v>21.5</v>
      </c>
      <c r="L2008">
        <v>21.3</v>
      </c>
      <c r="M2008">
        <v>32.1</v>
      </c>
      <c r="N2008">
        <v>34.299999999999997</v>
      </c>
      <c r="O2008">
        <v>38.1</v>
      </c>
      <c r="P2008">
        <v>41.1</v>
      </c>
      <c r="Q2008">
        <v>47.9</v>
      </c>
      <c r="R2008">
        <v>51.1</v>
      </c>
      <c r="S2008">
        <v>28.8</v>
      </c>
      <c r="T2008">
        <v>37.5</v>
      </c>
      <c r="U2008">
        <v>68.2</v>
      </c>
      <c r="V2008">
        <v>-9.4</v>
      </c>
      <c r="W2008" cm="1">
        <f t="array" ref="W2008">_xlfn.IFS(OR(X2008="N/A",X2008="NA"),0,OR(X2008="R64",X2008="R68"),1,X2008="R32",2,X2008="S16",3,X2008="E8",4,X2008="F4",5,X2008="2ND",6,X2008="Champions",7)</f>
        <v>0</v>
      </c>
      <c r="X2008" t="s">
        <v>90</v>
      </c>
      <c r="Y2008" t="s">
        <v>90</v>
      </c>
      <c r="Z2008">
        <v>2013</v>
      </c>
    </row>
    <row r="2009" spans="1:26" x14ac:dyDescent="0.3">
      <c r="A2009" t="s">
        <v>305</v>
      </c>
      <c r="B2009" t="s">
        <v>64</v>
      </c>
      <c r="C2009">
        <v>31</v>
      </c>
      <c r="D2009">
        <v>11</v>
      </c>
      <c r="E2009" s="1">
        <f t="shared" si="31"/>
        <v>0.35483870967741937</v>
      </c>
      <c r="F2009">
        <v>97.3</v>
      </c>
      <c r="G2009">
        <v>108.5</v>
      </c>
      <c r="H2009">
        <v>0.22289999999999999</v>
      </c>
      <c r="I2009">
        <v>50.1</v>
      </c>
      <c r="J2009">
        <v>54.1</v>
      </c>
      <c r="K2009">
        <v>21.3</v>
      </c>
      <c r="L2009">
        <v>21.3</v>
      </c>
      <c r="M2009">
        <v>30.2</v>
      </c>
      <c r="N2009">
        <v>29.8</v>
      </c>
      <c r="O2009">
        <v>34.200000000000003</v>
      </c>
      <c r="P2009">
        <v>37.6</v>
      </c>
      <c r="Q2009">
        <v>48.7</v>
      </c>
      <c r="R2009">
        <v>51.2</v>
      </c>
      <c r="S2009">
        <v>35</v>
      </c>
      <c r="T2009">
        <v>38.9</v>
      </c>
      <c r="U2009">
        <v>60.2</v>
      </c>
      <c r="V2009">
        <v>-15.3</v>
      </c>
      <c r="W2009" cm="1">
        <f t="array" ref="W2009">_xlfn.IFS(OR(X2009="N/A",X2009="NA"),0,OR(X2009="R64",X2009="R68"),1,X2009="R32",2,X2009="S16",3,X2009="E8",4,X2009="F4",5,X2009="2ND",6,X2009="Champions",7)</f>
        <v>0</v>
      </c>
      <c r="X2009" t="s">
        <v>90</v>
      </c>
      <c r="Y2009" t="s">
        <v>90</v>
      </c>
      <c r="Z2009">
        <v>2013</v>
      </c>
    </row>
    <row r="2010" spans="1:26" x14ac:dyDescent="0.3">
      <c r="A2010" t="s">
        <v>157</v>
      </c>
      <c r="B2010" t="s">
        <v>33</v>
      </c>
      <c r="C2010">
        <v>32</v>
      </c>
      <c r="D2010">
        <v>11</v>
      </c>
      <c r="E2010" s="1">
        <f t="shared" si="31"/>
        <v>0.34375</v>
      </c>
      <c r="F2010">
        <v>105.6</v>
      </c>
      <c r="G2010">
        <v>103.2</v>
      </c>
      <c r="H2010">
        <v>0.56499999999999995</v>
      </c>
      <c r="I2010">
        <v>47.4</v>
      </c>
      <c r="J2010">
        <v>51.5</v>
      </c>
      <c r="K2010">
        <v>19.8</v>
      </c>
      <c r="L2010">
        <v>21.5</v>
      </c>
      <c r="M2010">
        <v>31.7</v>
      </c>
      <c r="N2010">
        <v>35.700000000000003</v>
      </c>
      <c r="O2010">
        <v>31.7</v>
      </c>
      <c r="P2010">
        <v>36.200000000000003</v>
      </c>
      <c r="Q2010">
        <v>48.3</v>
      </c>
      <c r="R2010">
        <v>50.4</v>
      </c>
      <c r="S2010">
        <v>29.9</v>
      </c>
      <c r="T2010">
        <v>36.5</v>
      </c>
      <c r="U2010">
        <v>72.8</v>
      </c>
      <c r="V2010">
        <v>-9.4</v>
      </c>
      <c r="W2010" cm="1">
        <f t="array" ref="W2010">_xlfn.IFS(OR(X2010="N/A",X2010="NA"),0,OR(X2010="R64",X2010="R68"),1,X2010="R32",2,X2010="S16",3,X2010="E8",4,X2010="F4",5,X2010="2ND",6,X2010="Champions",7)</f>
        <v>0</v>
      </c>
      <c r="X2010" t="s">
        <v>90</v>
      </c>
      <c r="Y2010" t="s">
        <v>90</v>
      </c>
      <c r="Z2010">
        <v>2013</v>
      </c>
    </row>
    <row r="2011" spans="1:26" x14ac:dyDescent="0.3">
      <c r="A2011" t="s">
        <v>330</v>
      </c>
      <c r="B2011" t="s">
        <v>67</v>
      </c>
      <c r="C2011">
        <v>32</v>
      </c>
      <c r="D2011">
        <v>11</v>
      </c>
      <c r="E2011" s="1">
        <f t="shared" si="31"/>
        <v>0.34375</v>
      </c>
      <c r="F2011">
        <v>95.8</v>
      </c>
      <c r="G2011">
        <v>104.5</v>
      </c>
      <c r="H2011">
        <v>0.26840000000000003</v>
      </c>
      <c r="I2011">
        <v>48</v>
      </c>
      <c r="J2011">
        <v>49.1</v>
      </c>
      <c r="K2011">
        <v>19.8</v>
      </c>
      <c r="L2011">
        <v>15.2</v>
      </c>
      <c r="M2011">
        <v>26.2</v>
      </c>
      <c r="N2011">
        <v>27</v>
      </c>
      <c r="O2011">
        <v>27.6</v>
      </c>
      <c r="P2011">
        <v>33</v>
      </c>
      <c r="Q2011">
        <v>46.1</v>
      </c>
      <c r="R2011">
        <v>46.9</v>
      </c>
      <c r="S2011">
        <v>34.200000000000003</v>
      </c>
      <c r="T2011">
        <v>35.5</v>
      </c>
      <c r="U2011">
        <v>67.2</v>
      </c>
      <c r="V2011">
        <v>-14</v>
      </c>
      <c r="W2011" cm="1">
        <f t="array" ref="W2011">_xlfn.IFS(OR(X2011="N/A",X2011="NA"),0,OR(X2011="R64",X2011="R68"),1,X2011="R32",2,X2011="S16",3,X2011="E8",4,X2011="F4",5,X2011="2ND",6,X2011="Champions",7)</f>
        <v>0</v>
      </c>
      <c r="X2011" t="s">
        <v>90</v>
      </c>
      <c r="Y2011" t="s">
        <v>90</v>
      </c>
      <c r="Z2011">
        <v>2013</v>
      </c>
    </row>
    <row r="2012" spans="1:26" x14ac:dyDescent="0.3">
      <c r="A2012" t="s">
        <v>169</v>
      </c>
      <c r="B2012" t="s">
        <v>164</v>
      </c>
      <c r="C2012">
        <v>32</v>
      </c>
      <c r="D2012">
        <v>11</v>
      </c>
      <c r="E2012" s="1">
        <f t="shared" si="31"/>
        <v>0.34375</v>
      </c>
      <c r="F2012">
        <v>94.9</v>
      </c>
      <c r="G2012">
        <v>107.1</v>
      </c>
      <c r="H2012">
        <v>0.19950000000000001</v>
      </c>
      <c r="I2012">
        <v>48.7</v>
      </c>
      <c r="J2012">
        <v>53.2</v>
      </c>
      <c r="K2012">
        <v>20.5</v>
      </c>
      <c r="L2012">
        <v>20.2</v>
      </c>
      <c r="M2012">
        <v>27</v>
      </c>
      <c r="N2012">
        <v>30.7</v>
      </c>
      <c r="O2012">
        <v>31.4</v>
      </c>
      <c r="P2012">
        <v>38.799999999999997</v>
      </c>
      <c r="Q2012">
        <v>48.5</v>
      </c>
      <c r="R2012">
        <v>52.2</v>
      </c>
      <c r="S2012">
        <v>32.700000000000003</v>
      </c>
      <c r="T2012">
        <v>36.6</v>
      </c>
      <c r="U2012">
        <v>68.5</v>
      </c>
      <c r="V2012">
        <v>-14.7</v>
      </c>
      <c r="W2012" cm="1">
        <f t="array" ref="W2012">_xlfn.IFS(OR(X2012="N/A",X2012="NA"),0,OR(X2012="R64",X2012="R68"),1,X2012="R32",2,X2012="S16",3,X2012="E8",4,X2012="F4",5,X2012="2ND",6,X2012="Champions",7)</f>
        <v>0</v>
      </c>
      <c r="X2012" t="s">
        <v>90</v>
      </c>
      <c r="Y2012" t="s">
        <v>90</v>
      </c>
      <c r="Z2012">
        <v>2013</v>
      </c>
    </row>
    <row r="2013" spans="1:26" x14ac:dyDescent="0.3">
      <c r="A2013" t="s">
        <v>343</v>
      </c>
      <c r="B2013" t="s">
        <v>51</v>
      </c>
      <c r="C2013">
        <v>33</v>
      </c>
      <c r="D2013">
        <v>11</v>
      </c>
      <c r="E2013" s="1">
        <f t="shared" si="31"/>
        <v>0.33333333333333331</v>
      </c>
      <c r="F2013">
        <v>98.9</v>
      </c>
      <c r="G2013">
        <v>107.4</v>
      </c>
      <c r="H2013">
        <v>0.2782</v>
      </c>
      <c r="I2013">
        <v>47.8</v>
      </c>
      <c r="J2013">
        <v>51.2</v>
      </c>
      <c r="K2013">
        <v>19.3</v>
      </c>
      <c r="L2013">
        <v>20.7</v>
      </c>
      <c r="M2013">
        <v>26.9</v>
      </c>
      <c r="N2013">
        <v>33.700000000000003</v>
      </c>
      <c r="O2013">
        <v>36.5</v>
      </c>
      <c r="P2013">
        <v>37.700000000000003</v>
      </c>
      <c r="Q2013">
        <v>46.7</v>
      </c>
      <c r="R2013">
        <v>50.8</v>
      </c>
      <c r="S2013">
        <v>33.200000000000003</v>
      </c>
      <c r="T2013">
        <v>34.799999999999997</v>
      </c>
      <c r="U2013">
        <v>72.2</v>
      </c>
      <c r="V2013">
        <v>-15.7</v>
      </c>
      <c r="W2013" cm="1">
        <f t="array" ref="W2013">_xlfn.IFS(OR(X2013="N/A",X2013="NA"),0,OR(X2013="R64",X2013="R68"),1,X2013="R32",2,X2013="S16",3,X2013="E8",4,X2013="F4",5,X2013="2ND",6,X2013="Champions",7)</f>
        <v>0</v>
      </c>
      <c r="X2013" t="s">
        <v>90</v>
      </c>
      <c r="Y2013" t="s">
        <v>90</v>
      </c>
      <c r="Z2013">
        <v>2013</v>
      </c>
    </row>
    <row r="2014" spans="1:26" x14ac:dyDescent="0.3">
      <c r="A2014" t="s">
        <v>138</v>
      </c>
      <c r="B2014" t="s">
        <v>419</v>
      </c>
      <c r="C2014">
        <v>25</v>
      </c>
      <c r="D2014">
        <v>12</v>
      </c>
      <c r="E2014" s="1">
        <f t="shared" si="31"/>
        <v>0.48</v>
      </c>
      <c r="F2014">
        <v>93</v>
      </c>
      <c r="G2014">
        <v>102</v>
      </c>
      <c r="H2014">
        <v>0.25690000000000002</v>
      </c>
      <c r="I2014">
        <v>45.8</v>
      </c>
      <c r="J2014">
        <v>45.1</v>
      </c>
      <c r="K2014">
        <v>21.5</v>
      </c>
      <c r="L2014">
        <v>21.2</v>
      </c>
      <c r="M2014">
        <v>33.799999999999997</v>
      </c>
      <c r="N2014">
        <v>31.9</v>
      </c>
      <c r="O2014">
        <v>41.3</v>
      </c>
      <c r="P2014">
        <v>41.7</v>
      </c>
      <c r="Q2014">
        <v>42.3</v>
      </c>
      <c r="R2014">
        <v>42.5</v>
      </c>
      <c r="S2014">
        <v>35.799999999999997</v>
      </c>
      <c r="T2014">
        <v>33.299999999999997</v>
      </c>
      <c r="U2014">
        <v>67.5</v>
      </c>
      <c r="V2014">
        <v>-9.8000000000000007</v>
      </c>
      <c r="W2014" cm="1">
        <f t="array" ref="W2014">_xlfn.IFS(OR(X2014="N/A",X2014="NA"),0,OR(X2014="R64",X2014="R68"),1,X2014="R32",2,X2014="S16",3,X2014="E8",4,X2014="F4",5,X2014="2ND",6,X2014="Champions",7)</f>
        <v>0</v>
      </c>
      <c r="X2014" t="s">
        <v>90</v>
      </c>
      <c r="Y2014" t="s">
        <v>90</v>
      </c>
      <c r="Z2014">
        <v>2013</v>
      </c>
    </row>
    <row r="2015" spans="1:26" x14ac:dyDescent="0.3">
      <c r="A2015" t="s">
        <v>232</v>
      </c>
      <c r="B2015" t="s">
        <v>59</v>
      </c>
      <c r="C2015">
        <v>27</v>
      </c>
      <c r="D2015">
        <v>12</v>
      </c>
      <c r="E2015" s="1">
        <f t="shared" si="31"/>
        <v>0.44444444444444442</v>
      </c>
      <c r="F2015">
        <v>94.3</v>
      </c>
      <c r="G2015">
        <v>99.7</v>
      </c>
      <c r="H2015">
        <v>0.3458</v>
      </c>
      <c r="I2015">
        <v>47.6</v>
      </c>
      <c r="J2015">
        <v>49.5</v>
      </c>
      <c r="K2015">
        <v>21.6</v>
      </c>
      <c r="L2015">
        <v>18.5</v>
      </c>
      <c r="M2015">
        <v>30.5</v>
      </c>
      <c r="N2015">
        <v>27.1</v>
      </c>
      <c r="O2015">
        <v>34.299999999999997</v>
      </c>
      <c r="P2015">
        <v>34</v>
      </c>
      <c r="Q2015">
        <v>45.3</v>
      </c>
      <c r="R2015">
        <v>45.7</v>
      </c>
      <c r="S2015">
        <v>34</v>
      </c>
      <c r="T2015">
        <v>37.799999999999997</v>
      </c>
      <c r="U2015">
        <v>64.400000000000006</v>
      </c>
      <c r="V2015">
        <v>-10.3</v>
      </c>
      <c r="W2015" cm="1">
        <f t="array" ref="W2015">_xlfn.IFS(OR(X2015="N/A",X2015="NA"),0,OR(X2015="R64",X2015="R68"),1,X2015="R32",2,X2015="S16",3,X2015="E8",4,X2015="F4",5,X2015="2ND",6,X2015="Champions",7)</f>
        <v>0</v>
      </c>
      <c r="X2015" t="s">
        <v>90</v>
      </c>
      <c r="Y2015" t="s">
        <v>90</v>
      </c>
      <c r="Z2015">
        <v>2013</v>
      </c>
    </row>
    <row r="2016" spans="1:26" x14ac:dyDescent="0.3">
      <c r="A2016" t="s">
        <v>172</v>
      </c>
      <c r="B2016" t="s">
        <v>164</v>
      </c>
      <c r="C2016">
        <v>27</v>
      </c>
      <c r="D2016">
        <v>12</v>
      </c>
      <c r="E2016" s="1">
        <f t="shared" si="31"/>
        <v>0.44444444444444442</v>
      </c>
      <c r="F2016">
        <v>94.7</v>
      </c>
      <c r="G2016">
        <v>106.3</v>
      </c>
      <c r="H2016">
        <v>0.20910000000000001</v>
      </c>
      <c r="I2016">
        <v>45.8</v>
      </c>
      <c r="J2016">
        <v>50.4</v>
      </c>
      <c r="K2016">
        <v>17.8</v>
      </c>
      <c r="L2016">
        <v>19</v>
      </c>
      <c r="M2016">
        <v>30.1</v>
      </c>
      <c r="N2016">
        <v>31.2</v>
      </c>
      <c r="O2016">
        <v>37.200000000000003</v>
      </c>
      <c r="P2016">
        <v>27.7</v>
      </c>
      <c r="Q2016">
        <v>44.1</v>
      </c>
      <c r="R2016">
        <v>48.8</v>
      </c>
      <c r="S2016">
        <v>33</v>
      </c>
      <c r="T2016">
        <v>35.4</v>
      </c>
      <c r="U2016">
        <v>63</v>
      </c>
      <c r="V2016">
        <v>-11.8</v>
      </c>
      <c r="W2016" cm="1">
        <f t="array" ref="W2016">_xlfn.IFS(OR(X2016="N/A",X2016="NA"),0,OR(X2016="R64",X2016="R68"),1,X2016="R32",2,X2016="S16",3,X2016="E8",4,X2016="F4",5,X2016="2ND",6,X2016="Champions",7)</f>
        <v>0</v>
      </c>
      <c r="X2016" t="s">
        <v>90</v>
      </c>
      <c r="Y2016" t="s">
        <v>90</v>
      </c>
      <c r="Z2016">
        <v>2013</v>
      </c>
    </row>
    <row r="2017" spans="1:26" x14ac:dyDescent="0.3">
      <c r="A2017" t="s">
        <v>405</v>
      </c>
      <c r="B2017" t="s">
        <v>419</v>
      </c>
      <c r="C2017">
        <v>28</v>
      </c>
      <c r="D2017">
        <v>12</v>
      </c>
      <c r="E2017" s="1">
        <f t="shared" si="31"/>
        <v>0.42857142857142855</v>
      </c>
      <c r="F2017">
        <v>90.5</v>
      </c>
      <c r="G2017">
        <v>106.3</v>
      </c>
      <c r="H2017">
        <v>0.1346</v>
      </c>
      <c r="I2017">
        <v>47.4</v>
      </c>
      <c r="J2017">
        <v>49.5</v>
      </c>
      <c r="K2017">
        <v>20.8</v>
      </c>
      <c r="L2017">
        <v>22</v>
      </c>
      <c r="M2017">
        <v>27</v>
      </c>
      <c r="N2017">
        <v>35.799999999999997</v>
      </c>
      <c r="O2017">
        <v>39.4</v>
      </c>
      <c r="P2017">
        <v>35.9</v>
      </c>
      <c r="Q2017">
        <v>44.9</v>
      </c>
      <c r="R2017">
        <v>48.6</v>
      </c>
      <c r="S2017">
        <v>34.9</v>
      </c>
      <c r="T2017">
        <v>34.799999999999997</v>
      </c>
      <c r="U2017">
        <v>64.099999999999994</v>
      </c>
      <c r="V2017">
        <v>-12.5</v>
      </c>
      <c r="W2017" cm="1">
        <f t="array" ref="W2017">_xlfn.IFS(OR(X2017="N/A",X2017="NA"),0,OR(X2017="R64",X2017="R68"),1,X2017="R32",2,X2017="S16",3,X2017="E8",4,X2017="F4",5,X2017="2ND",6,X2017="Champions",7)</f>
        <v>0</v>
      </c>
      <c r="X2017" t="s">
        <v>90</v>
      </c>
      <c r="Y2017" t="s">
        <v>90</v>
      </c>
      <c r="Z2017">
        <v>2013</v>
      </c>
    </row>
    <row r="2018" spans="1:26" x14ac:dyDescent="0.3">
      <c r="A2018" t="s">
        <v>238</v>
      </c>
      <c r="B2018" t="s">
        <v>59</v>
      </c>
      <c r="C2018">
        <v>29</v>
      </c>
      <c r="D2018">
        <v>12</v>
      </c>
      <c r="E2018" s="1">
        <f t="shared" si="31"/>
        <v>0.41379310344827586</v>
      </c>
      <c r="F2018">
        <v>101.5</v>
      </c>
      <c r="G2018">
        <v>103.6</v>
      </c>
      <c r="H2018">
        <v>0.44130000000000003</v>
      </c>
      <c r="I2018">
        <v>46.5</v>
      </c>
      <c r="J2018">
        <v>52</v>
      </c>
      <c r="K2018">
        <v>22.2</v>
      </c>
      <c r="L2018">
        <v>20.399999999999999</v>
      </c>
      <c r="M2018">
        <v>35</v>
      </c>
      <c r="N2018">
        <v>29.8</v>
      </c>
      <c r="O2018">
        <v>42.9</v>
      </c>
      <c r="P2018">
        <v>40.299999999999997</v>
      </c>
      <c r="Q2018">
        <v>45</v>
      </c>
      <c r="R2018">
        <v>49.2</v>
      </c>
      <c r="S2018">
        <v>33.200000000000003</v>
      </c>
      <c r="T2018">
        <v>38.299999999999997</v>
      </c>
      <c r="U2018">
        <v>64.599999999999994</v>
      </c>
      <c r="V2018">
        <v>-10.199999999999999</v>
      </c>
      <c r="W2018" cm="1">
        <f t="array" ref="W2018">_xlfn.IFS(OR(X2018="N/A",X2018="NA"),0,OR(X2018="R64",X2018="R68"),1,X2018="R32",2,X2018="S16",3,X2018="E8",4,X2018="F4",5,X2018="2ND",6,X2018="Champions",7)</f>
        <v>0</v>
      </c>
      <c r="X2018" t="s">
        <v>90</v>
      </c>
      <c r="Y2018" t="s">
        <v>90</v>
      </c>
      <c r="Z2018">
        <v>2013</v>
      </c>
    </row>
    <row r="2019" spans="1:26" x14ac:dyDescent="0.3">
      <c r="A2019" t="s">
        <v>205</v>
      </c>
      <c r="B2019" t="s">
        <v>53</v>
      </c>
      <c r="C2019">
        <v>29</v>
      </c>
      <c r="D2019">
        <v>12</v>
      </c>
      <c r="E2019" s="1">
        <f t="shared" si="31"/>
        <v>0.41379310344827586</v>
      </c>
      <c r="F2019">
        <v>106.1</v>
      </c>
      <c r="G2019">
        <v>108.5</v>
      </c>
      <c r="H2019">
        <v>0.43640000000000001</v>
      </c>
      <c r="I2019">
        <v>53.6</v>
      </c>
      <c r="J2019">
        <v>48.9</v>
      </c>
      <c r="K2019">
        <v>20</v>
      </c>
      <c r="L2019">
        <v>16.100000000000001</v>
      </c>
      <c r="M2019">
        <v>28.5</v>
      </c>
      <c r="N2019">
        <v>32.4</v>
      </c>
      <c r="O2019">
        <v>37.6</v>
      </c>
      <c r="P2019">
        <v>30.1</v>
      </c>
      <c r="Q2019">
        <v>52.2</v>
      </c>
      <c r="R2019">
        <v>49.3</v>
      </c>
      <c r="S2019">
        <v>37.200000000000003</v>
      </c>
      <c r="T2019">
        <v>32</v>
      </c>
      <c r="U2019">
        <v>63.6</v>
      </c>
      <c r="V2019">
        <v>-12.1</v>
      </c>
      <c r="W2019" cm="1">
        <f t="array" ref="W2019">_xlfn.IFS(OR(X2019="N/A",X2019="NA"),0,OR(X2019="R64",X2019="R68"),1,X2019="R32",2,X2019="S16",3,X2019="E8",4,X2019="F4",5,X2019="2ND",6,X2019="Champions",7)</f>
        <v>0</v>
      </c>
      <c r="X2019" t="s">
        <v>90</v>
      </c>
      <c r="Y2019" t="s">
        <v>90</v>
      </c>
      <c r="Z2019">
        <v>2013</v>
      </c>
    </row>
    <row r="2020" spans="1:26" x14ac:dyDescent="0.3">
      <c r="A2020" t="s">
        <v>190</v>
      </c>
      <c r="B2020" t="s">
        <v>48</v>
      </c>
      <c r="C2020">
        <v>29</v>
      </c>
      <c r="D2020">
        <v>12</v>
      </c>
      <c r="E2020" s="1">
        <f t="shared" si="31"/>
        <v>0.41379310344827586</v>
      </c>
      <c r="F2020">
        <v>101.2</v>
      </c>
      <c r="G2020">
        <v>107.3</v>
      </c>
      <c r="H2020">
        <v>0.33779999999999999</v>
      </c>
      <c r="I2020">
        <v>46.6</v>
      </c>
      <c r="J2020">
        <v>54.7</v>
      </c>
      <c r="K2020">
        <v>19.100000000000001</v>
      </c>
      <c r="L2020">
        <v>22.2</v>
      </c>
      <c r="M2020">
        <v>35.9</v>
      </c>
      <c r="N2020">
        <v>31</v>
      </c>
      <c r="O2020">
        <v>38.5</v>
      </c>
      <c r="P2020">
        <v>39.799999999999997</v>
      </c>
      <c r="Q2020">
        <v>45.7</v>
      </c>
      <c r="R2020">
        <v>53.6</v>
      </c>
      <c r="S2020">
        <v>33</v>
      </c>
      <c r="T2020">
        <v>37.700000000000003</v>
      </c>
      <c r="U2020">
        <v>71</v>
      </c>
      <c r="V2020">
        <v>-11.7</v>
      </c>
      <c r="W2020" cm="1">
        <f t="array" ref="W2020">_xlfn.IFS(OR(X2020="N/A",X2020="NA"),0,OR(X2020="R64",X2020="R68"),1,X2020="R32",2,X2020="S16",3,X2020="E8",4,X2020="F4",5,X2020="2ND",6,X2020="Champions",7)</f>
        <v>0</v>
      </c>
      <c r="X2020" t="s">
        <v>90</v>
      </c>
      <c r="Y2020" t="s">
        <v>90</v>
      </c>
      <c r="Z2020">
        <v>2013</v>
      </c>
    </row>
    <row r="2021" spans="1:26" x14ac:dyDescent="0.3">
      <c r="A2021" t="s">
        <v>189</v>
      </c>
      <c r="B2021" t="s">
        <v>48</v>
      </c>
      <c r="C2021">
        <v>30</v>
      </c>
      <c r="D2021">
        <v>12</v>
      </c>
      <c r="E2021" s="1">
        <f t="shared" si="31"/>
        <v>0.4</v>
      </c>
      <c r="F2021">
        <v>104.2</v>
      </c>
      <c r="G2021">
        <v>108.8</v>
      </c>
      <c r="H2021">
        <v>0.37969999999999998</v>
      </c>
      <c r="I2021">
        <v>53.6</v>
      </c>
      <c r="J2021">
        <v>54.1</v>
      </c>
      <c r="K2021">
        <v>18.100000000000001</v>
      </c>
      <c r="L2021">
        <v>22.8</v>
      </c>
      <c r="M2021">
        <v>25</v>
      </c>
      <c r="N2021">
        <v>37.200000000000003</v>
      </c>
      <c r="O2021">
        <v>35.5</v>
      </c>
      <c r="P2021">
        <v>36.6</v>
      </c>
      <c r="Q2021">
        <v>51.8</v>
      </c>
      <c r="R2021">
        <v>54.8</v>
      </c>
      <c r="S2021">
        <v>37.700000000000003</v>
      </c>
      <c r="T2021">
        <v>35.1</v>
      </c>
      <c r="U2021">
        <v>69.900000000000006</v>
      </c>
      <c r="V2021">
        <v>-13.3</v>
      </c>
      <c r="W2021" cm="1">
        <f t="array" ref="W2021">_xlfn.IFS(OR(X2021="N/A",X2021="NA"),0,OR(X2021="R64",X2021="R68"),1,X2021="R32",2,X2021="S16",3,X2021="E8",4,X2021="F4",5,X2021="2ND",6,X2021="Champions",7)</f>
        <v>0</v>
      </c>
      <c r="X2021" t="s">
        <v>90</v>
      </c>
      <c r="Y2021" t="s">
        <v>90</v>
      </c>
      <c r="Z2021">
        <v>2013</v>
      </c>
    </row>
    <row r="2022" spans="1:26" x14ac:dyDescent="0.3">
      <c r="A2022" t="s">
        <v>300</v>
      </c>
      <c r="B2022" t="s">
        <v>77</v>
      </c>
      <c r="C2022">
        <v>30</v>
      </c>
      <c r="D2022">
        <v>12</v>
      </c>
      <c r="E2022" s="1">
        <f t="shared" si="31"/>
        <v>0.4</v>
      </c>
      <c r="F2022">
        <v>101.5</v>
      </c>
      <c r="G2022">
        <v>106.6</v>
      </c>
      <c r="H2022">
        <v>0.36170000000000002</v>
      </c>
      <c r="I2022">
        <v>48.4</v>
      </c>
      <c r="J2022">
        <v>50.8</v>
      </c>
      <c r="K2022">
        <v>18.2</v>
      </c>
      <c r="L2022">
        <v>19.8</v>
      </c>
      <c r="M2022">
        <v>34.299999999999997</v>
      </c>
      <c r="N2022">
        <v>33.9</v>
      </c>
      <c r="O2022">
        <v>31.6</v>
      </c>
      <c r="P2022">
        <v>37.799999999999997</v>
      </c>
      <c r="Q2022">
        <v>48</v>
      </c>
      <c r="R2022">
        <v>51.3</v>
      </c>
      <c r="S2022">
        <v>32.799999999999997</v>
      </c>
      <c r="T2022">
        <v>33.200000000000003</v>
      </c>
      <c r="U2022">
        <v>66.5</v>
      </c>
      <c r="V2022">
        <v>-13.1</v>
      </c>
      <c r="W2022" cm="1">
        <f t="array" ref="W2022">_xlfn.IFS(OR(X2022="N/A",X2022="NA"),0,OR(X2022="R64",X2022="R68"),1,X2022="R32",2,X2022="S16",3,X2022="E8",4,X2022="F4",5,X2022="2ND",6,X2022="Champions",7)</f>
        <v>0</v>
      </c>
      <c r="X2022" t="s">
        <v>90</v>
      </c>
      <c r="Y2022" t="s">
        <v>90</v>
      </c>
      <c r="Z2022">
        <v>2013</v>
      </c>
    </row>
    <row r="2023" spans="1:26" x14ac:dyDescent="0.3">
      <c r="A2023" t="s">
        <v>234</v>
      </c>
      <c r="B2023" t="s">
        <v>59</v>
      </c>
      <c r="C2023">
        <v>30</v>
      </c>
      <c r="D2023">
        <v>12</v>
      </c>
      <c r="E2023" s="1">
        <f t="shared" si="31"/>
        <v>0.4</v>
      </c>
      <c r="F2023">
        <v>98.3</v>
      </c>
      <c r="G2023">
        <v>106.6</v>
      </c>
      <c r="H2023">
        <v>0.28220000000000001</v>
      </c>
      <c r="I2023">
        <v>47.4</v>
      </c>
      <c r="J2023">
        <v>52.8</v>
      </c>
      <c r="K2023">
        <v>19.600000000000001</v>
      </c>
      <c r="L2023">
        <v>20.6</v>
      </c>
      <c r="M2023">
        <v>28.2</v>
      </c>
      <c r="N2023">
        <v>28.3</v>
      </c>
      <c r="O2023">
        <v>30.7</v>
      </c>
      <c r="P2023">
        <v>37.4</v>
      </c>
      <c r="Q2023">
        <v>46.1</v>
      </c>
      <c r="R2023">
        <v>49.8</v>
      </c>
      <c r="S2023">
        <v>33.200000000000003</v>
      </c>
      <c r="T2023">
        <v>38.700000000000003</v>
      </c>
      <c r="U2023">
        <v>68.2</v>
      </c>
      <c r="V2023">
        <v>-11.8</v>
      </c>
      <c r="W2023" cm="1">
        <f t="array" ref="W2023">_xlfn.IFS(OR(X2023="N/A",X2023="NA"),0,OR(X2023="R64",X2023="R68"),1,X2023="R32",2,X2023="S16",3,X2023="E8",4,X2023="F4",5,X2023="2ND",6,X2023="Champions",7)</f>
        <v>0</v>
      </c>
      <c r="X2023" t="s">
        <v>90</v>
      </c>
      <c r="Y2023" t="s">
        <v>90</v>
      </c>
      <c r="Z2023">
        <v>2013</v>
      </c>
    </row>
    <row r="2024" spans="1:26" x14ac:dyDescent="0.3">
      <c r="A2024" t="s">
        <v>132</v>
      </c>
      <c r="B2024" t="s">
        <v>131</v>
      </c>
      <c r="C2024">
        <v>30</v>
      </c>
      <c r="D2024">
        <v>12</v>
      </c>
      <c r="E2024" s="1">
        <f t="shared" si="31"/>
        <v>0.4</v>
      </c>
      <c r="F2024">
        <v>94.2</v>
      </c>
      <c r="G2024">
        <v>106.4</v>
      </c>
      <c r="H2024">
        <v>0.19869999999999999</v>
      </c>
      <c r="I2024">
        <v>46.1</v>
      </c>
      <c r="J2024">
        <v>50.3</v>
      </c>
      <c r="K2024">
        <v>21.5</v>
      </c>
      <c r="L2024">
        <v>20.2</v>
      </c>
      <c r="M2024">
        <v>33</v>
      </c>
      <c r="N2024">
        <v>32</v>
      </c>
      <c r="O2024">
        <v>36.299999999999997</v>
      </c>
      <c r="P2024">
        <v>39.5</v>
      </c>
      <c r="Q2024">
        <v>45.4</v>
      </c>
      <c r="R2024">
        <v>49.6</v>
      </c>
      <c r="S2024">
        <v>32</v>
      </c>
      <c r="T2024">
        <v>34.5</v>
      </c>
      <c r="U2024">
        <v>69.400000000000006</v>
      </c>
      <c r="V2024">
        <v>-12.9</v>
      </c>
      <c r="W2024" cm="1">
        <f t="array" ref="W2024">_xlfn.IFS(OR(X2024="N/A",X2024="NA"),0,OR(X2024="R64",X2024="R68"),1,X2024="R32",2,X2024="S16",3,X2024="E8",4,X2024="F4",5,X2024="2ND",6,X2024="Champions",7)</f>
        <v>0</v>
      </c>
      <c r="X2024" t="s">
        <v>90</v>
      </c>
      <c r="Y2024" t="s">
        <v>90</v>
      </c>
      <c r="Z2024">
        <v>2013</v>
      </c>
    </row>
    <row r="2025" spans="1:26" x14ac:dyDescent="0.3">
      <c r="A2025" t="s">
        <v>124</v>
      </c>
      <c r="B2025" t="s">
        <v>33</v>
      </c>
      <c r="C2025">
        <v>31</v>
      </c>
      <c r="D2025">
        <v>12</v>
      </c>
      <c r="E2025" s="1">
        <f t="shared" si="31"/>
        <v>0.38709677419354838</v>
      </c>
      <c r="F2025">
        <v>99.8</v>
      </c>
      <c r="G2025">
        <v>96.9</v>
      </c>
      <c r="H2025">
        <v>0.58560000000000001</v>
      </c>
      <c r="I2025">
        <v>44.6</v>
      </c>
      <c r="J2025">
        <v>47.3</v>
      </c>
      <c r="K2025">
        <v>17.7</v>
      </c>
      <c r="L2025">
        <v>19.600000000000001</v>
      </c>
      <c r="M2025">
        <v>30.3</v>
      </c>
      <c r="N2025">
        <v>34.5</v>
      </c>
      <c r="O2025">
        <v>29.2</v>
      </c>
      <c r="P2025">
        <v>30.5</v>
      </c>
      <c r="Q2025">
        <v>43.2</v>
      </c>
      <c r="R2025">
        <v>48.5</v>
      </c>
      <c r="S2025">
        <v>31.3</v>
      </c>
      <c r="T2025">
        <v>29.9</v>
      </c>
      <c r="U2025">
        <v>60.4</v>
      </c>
      <c r="V2025">
        <v>-6.8</v>
      </c>
      <c r="W2025" cm="1">
        <f t="array" ref="W2025">_xlfn.IFS(OR(X2025="N/A",X2025="NA"),0,OR(X2025="R64",X2025="R68"),1,X2025="R32",2,X2025="S16",3,X2025="E8",4,X2025="F4",5,X2025="2ND",6,X2025="Champions",7)</f>
        <v>0</v>
      </c>
      <c r="X2025" t="s">
        <v>90</v>
      </c>
      <c r="Y2025" t="s">
        <v>90</v>
      </c>
      <c r="Z2025">
        <v>2013</v>
      </c>
    </row>
    <row r="2026" spans="1:26" x14ac:dyDescent="0.3">
      <c r="A2026" t="s">
        <v>211</v>
      </c>
      <c r="B2026" t="s">
        <v>40</v>
      </c>
      <c r="C2026">
        <v>31</v>
      </c>
      <c r="D2026">
        <v>12</v>
      </c>
      <c r="E2026" s="1">
        <f t="shared" si="31"/>
        <v>0.38709677419354838</v>
      </c>
      <c r="F2026">
        <v>100.2</v>
      </c>
      <c r="G2026">
        <v>104.4</v>
      </c>
      <c r="H2026">
        <v>0.3831</v>
      </c>
      <c r="I2026">
        <v>48.1</v>
      </c>
      <c r="J2026">
        <v>49.8</v>
      </c>
      <c r="K2026">
        <v>22.9</v>
      </c>
      <c r="L2026">
        <v>19.2</v>
      </c>
      <c r="M2026">
        <v>37.6</v>
      </c>
      <c r="N2026">
        <v>36.1</v>
      </c>
      <c r="O2026">
        <v>45</v>
      </c>
      <c r="P2026">
        <v>38.4</v>
      </c>
      <c r="Q2026">
        <v>49.1</v>
      </c>
      <c r="R2026">
        <v>47.3</v>
      </c>
      <c r="S2026">
        <v>30.9</v>
      </c>
      <c r="T2026">
        <v>37.1</v>
      </c>
      <c r="U2026">
        <v>68.099999999999994</v>
      </c>
      <c r="V2026">
        <v>-11.4</v>
      </c>
      <c r="W2026" cm="1">
        <f t="array" ref="W2026">_xlfn.IFS(OR(X2026="N/A",X2026="NA"),0,OR(X2026="R64",X2026="R68"),1,X2026="R32",2,X2026="S16",3,X2026="E8",4,X2026="F4",5,X2026="2ND",6,X2026="Champions",7)</f>
        <v>0</v>
      </c>
      <c r="X2026" t="s">
        <v>90</v>
      </c>
      <c r="Y2026" t="s">
        <v>90</v>
      </c>
      <c r="Z2026">
        <v>2013</v>
      </c>
    </row>
    <row r="2027" spans="1:26" x14ac:dyDescent="0.3">
      <c r="A2027" t="s">
        <v>331</v>
      </c>
      <c r="B2027" t="s">
        <v>67</v>
      </c>
      <c r="C2027">
        <v>31</v>
      </c>
      <c r="D2027">
        <v>12</v>
      </c>
      <c r="E2027" s="1">
        <f t="shared" si="31"/>
        <v>0.38709677419354838</v>
      </c>
      <c r="F2027">
        <v>97.4</v>
      </c>
      <c r="G2027">
        <v>103.5</v>
      </c>
      <c r="H2027">
        <v>0.33450000000000002</v>
      </c>
      <c r="I2027">
        <v>47.7</v>
      </c>
      <c r="J2027">
        <v>47.7</v>
      </c>
      <c r="K2027">
        <v>20.100000000000001</v>
      </c>
      <c r="L2027">
        <v>15.5</v>
      </c>
      <c r="M2027">
        <v>28.3</v>
      </c>
      <c r="N2027">
        <v>30.1</v>
      </c>
      <c r="O2027">
        <v>29.6</v>
      </c>
      <c r="P2027">
        <v>31.2</v>
      </c>
      <c r="Q2027">
        <v>45.3</v>
      </c>
      <c r="R2027">
        <v>47.7</v>
      </c>
      <c r="S2027">
        <v>34.5</v>
      </c>
      <c r="T2027">
        <v>31.7</v>
      </c>
      <c r="U2027">
        <v>63.1</v>
      </c>
      <c r="V2027">
        <v>-13.3</v>
      </c>
      <c r="W2027" cm="1">
        <f t="array" ref="W2027">_xlfn.IFS(OR(X2027="N/A",X2027="NA"),0,OR(X2027="R64",X2027="R68"),1,X2027="R32",2,X2027="S16",3,X2027="E8",4,X2027="F4",5,X2027="2ND",6,X2027="Champions",7)</f>
        <v>0</v>
      </c>
      <c r="X2027" t="s">
        <v>90</v>
      </c>
      <c r="Y2027" t="s">
        <v>90</v>
      </c>
      <c r="Z2027">
        <v>2013</v>
      </c>
    </row>
    <row r="2028" spans="1:26" x14ac:dyDescent="0.3">
      <c r="A2028" t="s">
        <v>139</v>
      </c>
      <c r="B2028" t="s">
        <v>131</v>
      </c>
      <c r="C2028">
        <v>31</v>
      </c>
      <c r="D2028">
        <v>12</v>
      </c>
      <c r="E2028" s="1">
        <f t="shared" si="31"/>
        <v>0.38709677419354838</v>
      </c>
      <c r="F2028">
        <v>98.8</v>
      </c>
      <c r="G2028">
        <v>106.1</v>
      </c>
      <c r="H2028">
        <v>0.30530000000000002</v>
      </c>
      <c r="I2028">
        <v>50.6</v>
      </c>
      <c r="J2028">
        <v>48.3</v>
      </c>
      <c r="K2028">
        <v>22.1</v>
      </c>
      <c r="L2028">
        <v>18.600000000000001</v>
      </c>
      <c r="M2028">
        <v>31</v>
      </c>
      <c r="N2028">
        <v>38.1</v>
      </c>
      <c r="O2028">
        <v>29.7</v>
      </c>
      <c r="P2028">
        <v>36.5</v>
      </c>
      <c r="Q2028">
        <v>50.2</v>
      </c>
      <c r="R2028">
        <v>47</v>
      </c>
      <c r="S2028">
        <v>34.200000000000003</v>
      </c>
      <c r="T2028">
        <v>34.9</v>
      </c>
      <c r="U2028">
        <v>66.400000000000006</v>
      </c>
      <c r="V2028">
        <v>-12.1</v>
      </c>
      <c r="W2028" cm="1">
        <f t="array" ref="W2028">_xlfn.IFS(OR(X2028="N/A",X2028="NA"),0,OR(X2028="R64",X2028="R68"),1,X2028="R32",2,X2028="S16",3,X2028="E8",4,X2028="F4",5,X2028="2ND",6,X2028="Champions",7)</f>
        <v>0</v>
      </c>
      <c r="X2028" t="s">
        <v>90</v>
      </c>
      <c r="Y2028" t="s">
        <v>90</v>
      </c>
      <c r="Z2028">
        <v>2013</v>
      </c>
    </row>
    <row r="2029" spans="1:26" x14ac:dyDescent="0.3">
      <c r="A2029" t="s">
        <v>356</v>
      </c>
      <c r="B2029" t="s">
        <v>62</v>
      </c>
      <c r="C2029">
        <v>31</v>
      </c>
      <c r="D2029">
        <v>12</v>
      </c>
      <c r="E2029" s="1">
        <f t="shared" si="31"/>
        <v>0.38709677419354838</v>
      </c>
      <c r="F2029">
        <v>99.6</v>
      </c>
      <c r="G2029">
        <v>107.4</v>
      </c>
      <c r="H2029">
        <v>0.2974</v>
      </c>
      <c r="I2029">
        <v>47.6</v>
      </c>
      <c r="J2029">
        <v>49.9</v>
      </c>
      <c r="K2029">
        <v>18.899999999999999</v>
      </c>
      <c r="L2029">
        <v>20.399999999999999</v>
      </c>
      <c r="M2029">
        <v>34.6</v>
      </c>
      <c r="N2029">
        <v>35.1</v>
      </c>
      <c r="O2029">
        <v>30.9</v>
      </c>
      <c r="P2029">
        <v>47.1</v>
      </c>
      <c r="Q2029">
        <v>46</v>
      </c>
      <c r="R2029">
        <v>50.5</v>
      </c>
      <c r="S2029">
        <v>34</v>
      </c>
      <c r="T2029">
        <v>32.5</v>
      </c>
      <c r="U2029">
        <v>66.5</v>
      </c>
      <c r="V2029">
        <v>-13.2</v>
      </c>
      <c r="W2029" cm="1">
        <f t="array" ref="W2029">_xlfn.IFS(OR(X2029="N/A",X2029="NA"),0,OR(X2029="R64",X2029="R68"),1,X2029="R32",2,X2029="S16",3,X2029="E8",4,X2029="F4",5,X2029="2ND",6,X2029="Champions",7)</f>
        <v>0</v>
      </c>
      <c r="X2029" t="s">
        <v>90</v>
      </c>
      <c r="Y2029" t="s">
        <v>90</v>
      </c>
      <c r="Z2029">
        <v>2013</v>
      </c>
    </row>
    <row r="2030" spans="1:26" x14ac:dyDescent="0.3">
      <c r="A2030" t="s">
        <v>357</v>
      </c>
      <c r="B2030" t="s">
        <v>62</v>
      </c>
      <c r="C2030">
        <v>31</v>
      </c>
      <c r="D2030">
        <v>12</v>
      </c>
      <c r="E2030" s="1">
        <f t="shared" si="31"/>
        <v>0.38709677419354838</v>
      </c>
      <c r="F2030">
        <v>86.5</v>
      </c>
      <c r="G2030">
        <v>94.9</v>
      </c>
      <c r="H2030">
        <v>0.25430000000000003</v>
      </c>
      <c r="I2030">
        <v>44.2</v>
      </c>
      <c r="J2030">
        <v>47.6</v>
      </c>
      <c r="K2030">
        <v>20.3</v>
      </c>
      <c r="L2030">
        <v>22.2</v>
      </c>
      <c r="M2030">
        <v>25.9</v>
      </c>
      <c r="N2030">
        <v>27</v>
      </c>
      <c r="O2030">
        <v>27.9</v>
      </c>
      <c r="P2030">
        <v>38.299999999999997</v>
      </c>
      <c r="Q2030">
        <v>43.2</v>
      </c>
      <c r="R2030">
        <v>48.4</v>
      </c>
      <c r="S2030">
        <v>30.7</v>
      </c>
      <c r="T2030">
        <v>30.6</v>
      </c>
      <c r="U2030">
        <v>63.9</v>
      </c>
      <c r="V2030">
        <v>-13.2</v>
      </c>
      <c r="W2030" cm="1">
        <f t="array" ref="W2030">_xlfn.IFS(OR(X2030="N/A",X2030="NA"),0,OR(X2030="R64",X2030="R68"),1,X2030="R32",2,X2030="S16",3,X2030="E8",4,X2030="F4",5,X2030="2ND",6,X2030="Champions",7)</f>
        <v>0</v>
      </c>
      <c r="X2030" t="s">
        <v>90</v>
      </c>
      <c r="Y2030" t="s">
        <v>90</v>
      </c>
      <c r="Z2030">
        <v>2013</v>
      </c>
    </row>
    <row r="2031" spans="1:26" x14ac:dyDescent="0.3">
      <c r="A2031" t="s">
        <v>339</v>
      </c>
      <c r="B2031" t="s">
        <v>62</v>
      </c>
      <c r="C2031">
        <v>31</v>
      </c>
      <c r="D2031">
        <v>12</v>
      </c>
      <c r="E2031" s="1">
        <f t="shared" si="31"/>
        <v>0.38709677419354838</v>
      </c>
      <c r="F2031">
        <v>94.6</v>
      </c>
      <c r="G2031">
        <v>106.3</v>
      </c>
      <c r="H2031">
        <v>0.20710000000000001</v>
      </c>
      <c r="I2031">
        <v>45.9</v>
      </c>
      <c r="J2031">
        <v>49.7</v>
      </c>
      <c r="K2031">
        <v>20.100000000000001</v>
      </c>
      <c r="L2031">
        <v>20.5</v>
      </c>
      <c r="M2031">
        <v>30.9</v>
      </c>
      <c r="N2031">
        <v>34.4</v>
      </c>
      <c r="O2031">
        <v>35.4</v>
      </c>
      <c r="P2031">
        <v>37</v>
      </c>
      <c r="Q2031">
        <v>44.2</v>
      </c>
      <c r="R2031">
        <v>50.8</v>
      </c>
      <c r="S2031">
        <v>33.1</v>
      </c>
      <c r="T2031">
        <v>31.8</v>
      </c>
      <c r="U2031">
        <v>62.2</v>
      </c>
      <c r="V2031">
        <v>-13.9</v>
      </c>
      <c r="W2031" cm="1">
        <f t="array" ref="W2031">_xlfn.IFS(OR(X2031="N/A",X2031="NA"),0,OR(X2031="R64",X2031="R68"),1,X2031="R32",2,X2031="S16",3,X2031="E8",4,X2031="F4",5,X2031="2ND",6,X2031="Champions",7)</f>
        <v>0</v>
      </c>
      <c r="X2031" t="s">
        <v>90</v>
      </c>
      <c r="Y2031" t="s">
        <v>90</v>
      </c>
      <c r="Z2031">
        <v>2013</v>
      </c>
    </row>
    <row r="2032" spans="1:26" x14ac:dyDescent="0.3">
      <c r="A2032" t="s">
        <v>397</v>
      </c>
      <c r="B2032" t="s">
        <v>76</v>
      </c>
      <c r="C2032">
        <v>31</v>
      </c>
      <c r="D2032">
        <v>12</v>
      </c>
      <c r="E2032" s="1">
        <f t="shared" si="31"/>
        <v>0.38709677419354838</v>
      </c>
      <c r="F2032">
        <v>87.1</v>
      </c>
      <c r="G2032">
        <v>103.5</v>
      </c>
      <c r="H2032">
        <v>0.12089999999999999</v>
      </c>
      <c r="I2032">
        <v>41.3</v>
      </c>
      <c r="J2032">
        <v>46.9</v>
      </c>
      <c r="K2032">
        <v>21.6</v>
      </c>
      <c r="L2032">
        <v>21.1</v>
      </c>
      <c r="M2032">
        <v>38.6</v>
      </c>
      <c r="N2032">
        <v>33.4</v>
      </c>
      <c r="O2032">
        <v>32.6</v>
      </c>
      <c r="P2032">
        <v>43.7</v>
      </c>
      <c r="Q2032">
        <v>42</v>
      </c>
      <c r="R2032">
        <v>46.9</v>
      </c>
      <c r="S2032">
        <v>26</v>
      </c>
      <c r="T2032">
        <v>31.3</v>
      </c>
      <c r="U2032">
        <v>67</v>
      </c>
      <c r="V2032">
        <v>-15.1</v>
      </c>
      <c r="W2032" cm="1">
        <f t="array" ref="W2032">_xlfn.IFS(OR(X2032="N/A",X2032="NA"),0,OR(X2032="R64",X2032="R68"),1,X2032="R32",2,X2032="S16",3,X2032="E8",4,X2032="F4",5,X2032="2ND",6,X2032="Champions",7)</f>
        <v>0</v>
      </c>
      <c r="X2032" t="s">
        <v>90</v>
      </c>
      <c r="Y2032" t="s">
        <v>90</v>
      </c>
      <c r="Z2032">
        <v>2013</v>
      </c>
    </row>
    <row r="2033" spans="1:26" x14ac:dyDescent="0.3">
      <c r="A2033" t="s">
        <v>262</v>
      </c>
      <c r="B2033" t="s">
        <v>57</v>
      </c>
      <c r="C2033">
        <v>32</v>
      </c>
      <c r="D2033">
        <v>12</v>
      </c>
      <c r="E2033" s="1">
        <f t="shared" si="31"/>
        <v>0.375</v>
      </c>
      <c r="F2033">
        <v>102.5</v>
      </c>
      <c r="G2033">
        <v>103.4</v>
      </c>
      <c r="H2033">
        <v>0.47610000000000002</v>
      </c>
      <c r="I2033">
        <v>50.4</v>
      </c>
      <c r="J2033">
        <v>47.2</v>
      </c>
      <c r="K2033">
        <v>23.7</v>
      </c>
      <c r="L2033">
        <v>17.100000000000001</v>
      </c>
      <c r="M2033">
        <v>35.1</v>
      </c>
      <c r="N2033">
        <v>32.5</v>
      </c>
      <c r="O2033">
        <v>38.5</v>
      </c>
      <c r="P2033">
        <v>36.799999999999997</v>
      </c>
      <c r="Q2033">
        <v>50</v>
      </c>
      <c r="R2033">
        <v>46.1</v>
      </c>
      <c r="S2033">
        <v>34.200000000000003</v>
      </c>
      <c r="T2033">
        <v>33.200000000000003</v>
      </c>
      <c r="U2033">
        <v>65.400000000000006</v>
      </c>
      <c r="V2033">
        <v>-13.6</v>
      </c>
      <c r="W2033" cm="1">
        <f t="array" ref="W2033">_xlfn.IFS(OR(X2033="N/A",X2033="NA"),0,OR(X2033="R64",X2033="R68"),1,X2033="R32",2,X2033="S16",3,X2033="E8",4,X2033="F4",5,X2033="2ND",6,X2033="Champions",7)</f>
        <v>0</v>
      </c>
      <c r="X2033" t="s">
        <v>90</v>
      </c>
      <c r="Y2033" t="s">
        <v>90</v>
      </c>
      <c r="Z2033">
        <v>2013</v>
      </c>
    </row>
    <row r="2034" spans="1:26" x14ac:dyDescent="0.3">
      <c r="A2034" t="s">
        <v>340</v>
      </c>
      <c r="B2034" t="s">
        <v>58</v>
      </c>
      <c r="C2034">
        <v>32</v>
      </c>
      <c r="D2034">
        <v>12</v>
      </c>
      <c r="E2034" s="1">
        <f t="shared" si="31"/>
        <v>0.375</v>
      </c>
      <c r="F2034">
        <v>98.4</v>
      </c>
      <c r="G2034">
        <v>105.3</v>
      </c>
      <c r="H2034">
        <v>0.3135</v>
      </c>
      <c r="I2034">
        <v>48.6</v>
      </c>
      <c r="J2034">
        <v>48.8</v>
      </c>
      <c r="K2034">
        <v>19.600000000000001</v>
      </c>
      <c r="L2034">
        <v>20.8</v>
      </c>
      <c r="M2034">
        <v>29.1</v>
      </c>
      <c r="N2034">
        <v>35.200000000000003</v>
      </c>
      <c r="O2034">
        <v>35.1</v>
      </c>
      <c r="P2034">
        <v>43.3</v>
      </c>
      <c r="Q2034">
        <v>46.9</v>
      </c>
      <c r="R2034">
        <v>47.2</v>
      </c>
      <c r="S2034">
        <v>34.5</v>
      </c>
      <c r="T2034">
        <v>34.9</v>
      </c>
      <c r="U2034">
        <v>70.2</v>
      </c>
      <c r="V2034">
        <v>-13.9</v>
      </c>
      <c r="W2034" cm="1">
        <f t="array" ref="W2034">_xlfn.IFS(OR(X2034="N/A",X2034="NA"),0,OR(X2034="R64",X2034="R68"),1,X2034="R32",2,X2034="S16",3,X2034="E8",4,X2034="F4",5,X2034="2ND",6,X2034="Champions",7)</f>
        <v>0</v>
      </c>
      <c r="X2034" t="s">
        <v>90</v>
      </c>
      <c r="Y2034" t="s">
        <v>90</v>
      </c>
      <c r="Z2034">
        <v>2013</v>
      </c>
    </row>
    <row r="2035" spans="1:26" x14ac:dyDescent="0.3">
      <c r="A2035" t="s">
        <v>263</v>
      </c>
      <c r="B2035" t="s">
        <v>66</v>
      </c>
      <c r="C2035">
        <v>32</v>
      </c>
      <c r="D2035">
        <v>12</v>
      </c>
      <c r="E2035" s="1">
        <f t="shared" si="31"/>
        <v>0.375</v>
      </c>
      <c r="F2035">
        <v>96</v>
      </c>
      <c r="G2035">
        <v>107.5</v>
      </c>
      <c r="H2035">
        <v>0.21340000000000001</v>
      </c>
      <c r="I2035">
        <v>45.9</v>
      </c>
      <c r="J2035">
        <v>51</v>
      </c>
      <c r="K2035">
        <v>18.399999999999999</v>
      </c>
      <c r="L2035">
        <v>22.4</v>
      </c>
      <c r="M2035">
        <v>31.3</v>
      </c>
      <c r="N2035">
        <v>32.1</v>
      </c>
      <c r="O2035">
        <v>39</v>
      </c>
      <c r="P2035">
        <v>46.8</v>
      </c>
      <c r="Q2035">
        <v>45.6</v>
      </c>
      <c r="R2035">
        <v>50.9</v>
      </c>
      <c r="S2035">
        <v>31</v>
      </c>
      <c r="T2035">
        <v>34.1</v>
      </c>
      <c r="U2035">
        <v>65.900000000000006</v>
      </c>
      <c r="V2035">
        <v>-15</v>
      </c>
      <c r="W2035" cm="1">
        <f t="array" ref="W2035">_xlfn.IFS(OR(X2035="N/A",X2035="NA"),0,OR(X2035="R64",X2035="R68"),1,X2035="R32",2,X2035="S16",3,X2035="E8",4,X2035="F4",5,X2035="2ND",6,X2035="Champions",7)</f>
        <v>0</v>
      </c>
      <c r="X2035" t="s">
        <v>90</v>
      </c>
      <c r="Y2035" t="s">
        <v>90</v>
      </c>
      <c r="Z2035">
        <v>2013</v>
      </c>
    </row>
    <row r="2036" spans="1:26" x14ac:dyDescent="0.3">
      <c r="A2036" t="s">
        <v>344</v>
      </c>
      <c r="B2036" t="s">
        <v>58</v>
      </c>
      <c r="C2036">
        <v>33</v>
      </c>
      <c r="D2036">
        <v>12</v>
      </c>
      <c r="E2036" s="1">
        <f t="shared" si="31"/>
        <v>0.36363636363636365</v>
      </c>
      <c r="F2036">
        <v>97.3</v>
      </c>
      <c r="G2036">
        <v>107.5</v>
      </c>
      <c r="H2036">
        <v>0.24160000000000001</v>
      </c>
      <c r="I2036">
        <v>45.3</v>
      </c>
      <c r="J2036">
        <v>51</v>
      </c>
      <c r="K2036">
        <v>16.5</v>
      </c>
      <c r="L2036">
        <v>19.100000000000001</v>
      </c>
      <c r="M2036">
        <v>30.7</v>
      </c>
      <c r="N2036">
        <v>33</v>
      </c>
      <c r="O2036">
        <v>24.5</v>
      </c>
      <c r="P2036">
        <v>36.6</v>
      </c>
      <c r="Q2036">
        <v>44.5</v>
      </c>
      <c r="R2036">
        <v>49.5</v>
      </c>
      <c r="S2036">
        <v>31.2</v>
      </c>
      <c r="T2036">
        <v>35.799999999999997</v>
      </c>
      <c r="U2036">
        <v>61.1</v>
      </c>
      <c r="V2036">
        <v>-16.600000000000001</v>
      </c>
      <c r="W2036" cm="1">
        <f t="array" ref="W2036">_xlfn.IFS(OR(X2036="N/A",X2036="NA"),0,OR(X2036="R64",X2036="R68"),1,X2036="R32",2,X2036="S16",3,X2036="E8",4,X2036="F4",5,X2036="2ND",6,X2036="Champions",7)</f>
        <v>0</v>
      </c>
      <c r="X2036" t="s">
        <v>90</v>
      </c>
      <c r="Y2036" t="s">
        <v>90</v>
      </c>
      <c r="Z2036">
        <v>2013</v>
      </c>
    </row>
    <row r="2037" spans="1:26" x14ac:dyDescent="0.3">
      <c r="A2037" t="s">
        <v>79</v>
      </c>
      <c r="B2037" t="s">
        <v>45</v>
      </c>
      <c r="C2037">
        <v>36</v>
      </c>
      <c r="D2037">
        <v>27</v>
      </c>
      <c r="E2037" s="1">
        <f t="shared" si="31"/>
        <v>0.75</v>
      </c>
      <c r="F2037">
        <v>107</v>
      </c>
      <c r="G2037">
        <v>94.5</v>
      </c>
      <c r="H2037">
        <v>0.80589999999999995</v>
      </c>
      <c r="I2037">
        <v>52.9</v>
      </c>
      <c r="J2037">
        <v>47.3</v>
      </c>
      <c r="K2037">
        <v>17.899999999999999</v>
      </c>
      <c r="L2037">
        <v>21.1</v>
      </c>
      <c r="M2037">
        <v>23.3</v>
      </c>
      <c r="N2037">
        <v>28.4</v>
      </c>
      <c r="O2037">
        <v>48.1</v>
      </c>
      <c r="P2037">
        <v>30.6</v>
      </c>
      <c r="Q2037">
        <v>52.6</v>
      </c>
      <c r="R2037">
        <v>46.5</v>
      </c>
      <c r="S2037">
        <v>35.6</v>
      </c>
      <c r="T2037">
        <v>32.5</v>
      </c>
      <c r="U2037">
        <v>63.8</v>
      </c>
      <c r="V2037">
        <v>0.8</v>
      </c>
      <c r="W2037" cm="1">
        <f t="array" ref="W2037">_xlfn.IFS(OR(X2037="N/A",X2037="NA"),0,OR(X2037="R64",X2037="R68"),1,X2037="R32",2,X2037="S16",3,X2037="E8",4,X2037="F4",5,X2037="2ND",6,X2037="Champions",7)</f>
        <v>2</v>
      </c>
      <c r="X2037" t="s">
        <v>420</v>
      </c>
      <c r="Y2037">
        <v>11</v>
      </c>
      <c r="Z2037">
        <v>2015</v>
      </c>
    </row>
    <row r="2038" spans="1:26" x14ac:dyDescent="0.3">
      <c r="A2038" t="s">
        <v>98</v>
      </c>
      <c r="B2038" t="s">
        <v>45</v>
      </c>
      <c r="C2038">
        <v>36</v>
      </c>
      <c r="D2038">
        <v>28</v>
      </c>
      <c r="E2038" s="1">
        <f t="shared" si="31"/>
        <v>0.77777777777777779</v>
      </c>
      <c r="F2038">
        <v>114.2</v>
      </c>
      <c r="G2038">
        <v>97.6</v>
      </c>
      <c r="H2038">
        <v>0.86</v>
      </c>
      <c r="I2038">
        <v>51.2</v>
      </c>
      <c r="J2038">
        <v>48.1</v>
      </c>
      <c r="K2038">
        <v>14.3</v>
      </c>
      <c r="L2038">
        <v>16.100000000000001</v>
      </c>
      <c r="M2038">
        <v>28.3</v>
      </c>
      <c r="N2038">
        <v>25.8</v>
      </c>
      <c r="O2038">
        <v>37.4</v>
      </c>
      <c r="P2038">
        <v>25</v>
      </c>
      <c r="Q2038">
        <v>52.3</v>
      </c>
      <c r="R2038">
        <v>49.2</v>
      </c>
      <c r="S2038">
        <v>32.700000000000003</v>
      </c>
      <c r="T2038">
        <v>31.1</v>
      </c>
      <c r="U2038">
        <v>70.900000000000006</v>
      </c>
      <c r="V2038">
        <v>3.4</v>
      </c>
      <c r="W2038" cm="1">
        <f t="array" ref="W2038">_xlfn.IFS(OR(X2038="N/A",X2038="NA"),0,OR(X2038="R64",X2038="R68"),1,X2038="R32",2,X2038="S16",3,X2038="E8",4,X2038="F4",5,X2038="2ND",6,X2038="Champions",7)</f>
        <v>2</v>
      </c>
      <c r="X2038" t="s">
        <v>420</v>
      </c>
      <c r="Y2038">
        <v>8</v>
      </c>
      <c r="Z2038">
        <v>2016</v>
      </c>
    </row>
    <row r="2039" spans="1:26" x14ac:dyDescent="0.3">
      <c r="A2039" t="s">
        <v>102</v>
      </c>
      <c r="B2039" t="s">
        <v>45</v>
      </c>
      <c r="C2039">
        <v>36</v>
      </c>
      <c r="D2039">
        <v>25</v>
      </c>
      <c r="E2039" s="1">
        <f t="shared" si="31"/>
        <v>0.69444444444444442</v>
      </c>
      <c r="F2039">
        <v>112.1</v>
      </c>
      <c r="G2039">
        <v>94.2</v>
      </c>
      <c r="H2039">
        <v>0.88109999999999999</v>
      </c>
      <c r="I2039">
        <v>51</v>
      </c>
      <c r="J2039">
        <v>49.2</v>
      </c>
      <c r="K2039">
        <v>16.3</v>
      </c>
      <c r="L2039">
        <v>21.4</v>
      </c>
      <c r="M2039">
        <v>33.200000000000003</v>
      </c>
      <c r="N2039">
        <v>27.7</v>
      </c>
      <c r="O2039">
        <v>32.200000000000003</v>
      </c>
      <c r="P2039">
        <v>36.799999999999997</v>
      </c>
      <c r="Q2039">
        <v>50.1</v>
      </c>
      <c r="R2039">
        <v>48.6</v>
      </c>
      <c r="S2039">
        <v>35.200000000000003</v>
      </c>
      <c r="T2039">
        <v>33.700000000000003</v>
      </c>
      <c r="U2039">
        <v>70.3</v>
      </c>
      <c r="V2039">
        <v>-0.1</v>
      </c>
      <c r="W2039" cm="1">
        <f t="array" ref="W2039">_xlfn.IFS(OR(X2039="N/A",X2039="NA"),0,OR(X2039="R64",X2039="R68"),1,X2039="R32",2,X2039="S16",3,X2039="E8",4,X2039="F4",5,X2039="2ND",6,X2039="Champions",7)</f>
        <v>2</v>
      </c>
      <c r="X2039" t="s">
        <v>420</v>
      </c>
      <c r="Y2039">
        <v>10</v>
      </c>
      <c r="Z2039">
        <v>2016</v>
      </c>
    </row>
    <row r="2040" spans="1:26" x14ac:dyDescent="0.3">
      <c r="A2040" t="s">
        <v>96</v>
      </c>
      <c r="B2040" t="s">
        <v>45</v>
      </c>
      <c r="C2040">
        <v>35</v>
      </c>
      <c r="D2040">
        <v>25</v>
      </c>
      <c r="E2040" s="1">
        <f t="shared" si="31"/>
        <v>0.7142857142857143</v>
      </c>
      <c r="F2040">
        <v>111.1</v>
      </c>
      <c r="G2040">
        <v>94.1</v>
      </c>
      <c r="H2040">
        <v>0.87170000000000003</v>
      </c>
      <c r="I2040">
        <v>50.8</v>
      </c>
      <c r="J2040">
        <v>45</v>
      </c>
      <c r="K2040">
        <v>16.399999999999999</v>
      </c>
      <c r="L2040">
        <v>19.399999999999999</v>
      </c>
      <c r="M2040">
        <v>32.799999999999997</v>
      </c>
      <c r="N2040">
        <v>29.7</v>
      </c>
      <c r="O2040">
        <v>39.200000000000003</v>
      </c>
      <c r="P2040">
        <v>45</v>
      </c>
      <c r="Q2040">
        <v>51.2</v>
      </c>
      <c r="R2040">
        <v>45.4</v>
      </c>
      <c r="S2040">
        <v>33.299999999999997</v>
      </c>
      <c r="T2040">
        <v>29.5</v>
      </c>
      <c r="U2040">
        <v>67.7</v>
      </c>
      <c r="V2040">
        <v>0.4</v>
      </c>
      <c r="W2040" cm="1">
        <f t="array" ref="W2040">_xlfn.IFS(OR(X2040="N/A",X2040="NA"),0,OR(X2040="R64",X2040="R68"),1,X2040="R32",2,X2040="S16",3,X2040="E8",4,X2040="F4",5,X2040="2ND",6,X2040="Champions",7)</f>
        <v>2</v>
      </c>
      <c r="X2040" t="s">
        <v>420</v>
      </c>
      <c r="Y2040">
        <v>11</v>
      </c>
      <c r="Z2040">
        <v>2017</v>
      </c>
    </row>
    <row r="2041" spans="1:26" x14ac:dyDescent="0.3">
      <c r="A2041" t="s">
        <v>96</v>
      </c>
      <c r="B2041" t="s">
        <v>45</v>
      </c>
      <c r="C2041">
        <v>34</v>
      </c>
      <c r="D2041">
        <v>26</v>
      </c>
      <c r="E2041" s="1">
        <f t="shared" si="31"/>
        <v>0.76470588235294112</v>
      </c>
      <c r="F2041">
        <v>109.7</v>
      </c>
      <c r="G2041">
        <v>97.3</v>
      </c>
      <c r="H2041">
        <v>0.79879999999999995</v>
      </c>
      <c r="I2041">
        <v>51.1</v>
      </c>
      <c r="J2041">
        <v>50.4</v>
      </c>
      <c r="K2041">
        <v>15.3</v>
      </c>
      <c r="L2041">
        <v>22.6</v>
      </c>
      <c r="M2041">
        <v>31</v>
      </c>
      <c r="N2041">
        <v>28.2</v>
      </c>
      <c r="O2041">
        <v>30.1</v>
      </c>
      <c r="P2041">
        <v>40.6</v>
      </c>
      <c r="Q2041">
        <v>50.4</v>
      </c>
      <c r="R2041">
        <v>50.6</v>
      </c>
      <c r="S2041">
        <v>35.200000000000003</v>
      </c>
      <c r="T2041">
        <v>33.200000000000003</v>
      </c>
      <c r="U2041">
        <v>69.599999999999994</v>
      </c>
      <c r="V2041">
        <v>1.6</v>
      </c>
      <c r="W2041" cm="1">
        <f t="array" ref="W2041">_xlfn.IFS(OR(X2041="N/A",X2041="NA"),0,OR(X2041="R64",X2041="R68"),1,X2041="R32",2,X2041="S16",3,X2041="E8",4,X2041="F4",5,X2041="2ND",6,X2041="Champions",7)</f>
        <v>2</v>
      </c>
      <c r="X2041" t="s">
        <v>420</v>
      </c>
      <c r="Y2041">
        <v>7</v>
      </c>
      <c r="Z2041">
        <v>2018</v>
      </c>
    </row>
    <row r="2042" spans="1:26" x14ac:dyDescent="0.3">
      <c r="A2042" t="s">
        <v>44</v>
      </c>
      <c r="B2042" t="s">
        <v>26</v>
      </c>
      <c r="C2042">
        <v>34</v>
      </c>
      <c r="D2042">
        <v>30</v>
      </c>
      <c r="E2042" s="1">
        <f t="shared" si="31"/>
        <v>0.88235294117647056</v>
      </c>
      <c r="F2042">
        <v>112.1</v>
      </c>
      <c r="G2042">
        <v>84.1</v>
      </c>
      <c r="H2042">
        <v>0.96479999999999999</v>
      </c>
      <c r="I2042">
        <v>50.6</v>
      </c>
      <c r="J2042">
        <v>42.3</v>
      </c>
      <c r="K2042">
        <v>15.7</v>
      </c>
      <c r="L2042">
        <v>17.899999999999999</v>
      </c>
      <c r="M2042">
        <v>34.299999999999997</v>
      </c>
      <c r="N2042">
        <v>24.2</v>
      </c>
      <c r="O2042">
        <v>34.9</v>
      </c>
      <c r="P2042">
        <v>28.6</v>
      </c>
      <c r="Q2042">
        <v>49.7</v>
      </c>
      <c r="R2042">
        <v>40.1</v>
      </c>
      <c r="S2042">
        <v>35.200000000000003</v>
      </c>
      <c r="T2042">
        <v>30.8</v>
      </c>
      <c r="U2042">
        <v>58.4</v>
      </c>
      <c r="V2042">
        <v>10</v>
      </c>
      <c r="W2042" cm="1">
        <f t="array" ref="W2042">_xlfn.IFS(OR(X2042="N/A",X2042="NA"),0,OR(X2042="R64",X2042="R68"),1,X2042="R32",2,X2042="S16",3,X2042="E8",4,X2042="F4",5,X2042="2ND",6,X2042="Champions",7)</f>
        <v>2</v>
      </c>
      <c r="X2042" t="s">
        <v>420</v>
      </c>
      <c r="Y2042">
        <v>2</v>
      </c>
      <c r="Z2042">
        <v>2015</v>
      </c>
    </row>
    <row r="2043" spans="1:26" x14ac:dyDescent="0.3">
      <c r="A2043" t="s">
        <v>41</v>
      </c>
      <c r="B2043" t="s">
        <v>26</v>
      </c>
      <c r="C2043">
        <v>37</v>
      </c>
      <c r="D2043">
        <v>28</v>
      </c>
      <c r="E2043" s="1">
        <f t="shared" si="31"/>
        <v>0.7567567567567568</v>
      </c>
      <c r="F2043">
        <v>122.1</v>
      </c>
      <c r="G2043">
        <v>95.6</v>
      </c>
      <c r="H2043">
        <v>0.94359999999999999</v>
      </c>
      <c r="I2043">
        <v>54.8</v>
      </c>
      <c r="J2043">
        <v>47.4</v>
      </c>
      <c r="K2043">
        <v>16.3</v>
      </c>
      <c r="L2043">
        <v>17.3</v>
      </c>
      <c r="M2043">
        <v>31.7</v>
      </c>
      <c r="N2043">
        <v>29.8</v>
      </c>
      <c r="O2043">
        <v>39.299999999999997</v>
      </c>
      <c r="P2043">
        <v>31.2</v>
      </c>
      <c r="Q2043">
        <v>53.5</v>
      </c>
      <c r="R2043">
        <v>48.9</v>
      </c>
      <c r="S2043">
        <v>37.9</v>
      </c>
      <c r="T2043">
        <v>29.3</v>
      </c>
      <c r="U2043">
        <v>69.7</v>
      </c>
      <c r="V2043">
        <v>8.6</v>
      </c>
      <c r="W2043" cm="1">
        <f t="array" ref="W2043">_xlfn.IFS(OR(X2043="N/A",X2043="NA"),0,OR(X2043="R64",X2043="R68"),1,X2043="R32",2,X2043="S16",3,X2043="E8",4,X2043="F4",5,X2043="2ND",6,X2043="Champions",7)</f>
        <v>2</v>
      </c>
      <c r="X2043" t="s">
        <v>420</v>
      </c>
      <c r="Y2043">
        <v>2</v>
      </c>
      <c r="Z2043">
        <v>2017</v>
      </c>
    </row>
    <row r="2044" spans="1:26" x14ac:dyDescent="0.3">
      <c r="A2044" t="s">
        <v>60</v>
      </c>
      <c r="B2044" t="s">
        <v>26</v>
      </c>
      <c r="C2044">
        <v>35</v>
      </c>
      <c r="D2044">
        <v>26</v>
      </c>
      <c r="E2044" s="1">
        <f t="shared" si="31"/>
        <v>0.74285714285714288</v>
      </c>
      <c r="F2044">
        <v>115.4</v>
      </c>
      <c r="G2044">
        <v>95.2</v>
      </c>
      <c r="H2044">
        <v>0.90139999999999998</v>
      </c>
      <c r="I2044">
        <v>53.7</v>
      </c>
      <c r="J2044">
        <v>47.9</v>
      </c>
      <c r="K2044">
        <v>16.399999999999999</v>
      </c>
      <c r="L2044">
        <v>19.5</v>
      </c>
      <c r="M2044">
        <v>33.799999999999997</v>
      </c>
      <c r="N2044">
        <v>29.8</v>
      </c>
      <c r="O2044">
        <v>38.4</v>
      </c>
      <c r="P2044">
        <v>37.299999999999997</v>
      </c>
      <c r="Q2044">
        <v>54.4</v>
      </c>
      <c r="R2044">
        <v>45.4</v>
      </c>
      <c r="S2044">
        <v>34.700000000000003</v>
      </c>
      <c r="T2044">
        <v>34.9</v>
      </c>
      <c r="U2044">
        <v>72.8</v>
      </c>
      <c r="V2044">
        <v>5.9</v>
      </c>
      <c r="W2044" cm="1">
        <f t="array" ref="W2044">_xlfn.IFS(OR(X2044="N/A",X2044="NA"),0,OR(X2044="R64",X2044="R68"),1,X2044="R32",2,X2044="S16",3,X2044="E8",4,X2044="F4",5,X2044="2ND",6,X2044="Champions",7)</f>
        <v>2</v>
      </c>
      <c r="X2044" t="s">
        <v>420</v>
      </c>
      <c r="Y2044">
        <v>3</v>
      </c>
      <c r="Z2044">
        <v>2017</v>
      </c>
    </row>
    <row r="2045" spans="1:26" x14ac:dyDescent="0.3">
      <c r="A2045" t="s">
        <v>52</v>
      </c>
      <c r="B2045" t="s">
        <v>26</v>
      </c>
      <c r="C2045">
        <v>34</v>
      </c>
      <c r="D2045">
        <v>25</v>
      </c>
      <c r="E2045" s="1">
        <f t="shared" si="31"/>
        <v>0.73529411764705888</v>
      </c>
      <c r="F2045">
        <v>117.6</v>
      </c>
      <c r="G2045">
        <v>91.5</v>
      </c>
      <c r="H2045">
        <v>0.94689999999999996</v>
      </c>
      <c r="I2045">
        <v>51.4</v>
      </c>
      <c r="J2045">
        <v>45.7</v>
      </c>
      <c r="K2045">
        <v>16</v>
      </c>
      <c r="L2045">
        <v>19.600000000000001</v>
      </c>
      <c r="M2045">
        <v>36.700000000000003</v>
      </c>
      <c r="N2045">
        <v>28.5</v>
      </c>
      <c r="O2045">
        <v>34</v>
      </c>
      <c r="P2045">
        <v>38.799999999999997</v>
      </c>
      <c r="Q2045">
        <v>50.5</v>
      </c>
      <c r="R2045">
        <v>44.8</v>
      </c>
      <c r="S2045">
        <v>35.5</v>
      </c>
      <c r="T2045">
        <v>31.6</v>
      </c>
      <c r="U2045">
        <v>69.400000000000006</v>
      </c>
      <c r="V2045">
        <v>6.9</v>
      </c>
      <c r="W2045" cm="1">
        <f t="array" ref="W2045">_xlfn.IFS(OR(X2045="N/A",X2045="NA"),0,OR(X2045="R64",X2045="R68"),1,X2045="R32",2,X2045="S16",3,X2045="E8",4,X2045="F4",5,X2045="2ND",6,X2045="Champions",7)</f>
        <v>2</v>
      </c>
      <c r="X2045" t="s">
        <v>420</v>
      </c>
      <c r="Y2045">
        <v>2</v>
      </c>
      <c r="Z2045">
        <v>2017</v>
      </c>
    </row>
    <row r="2046" spans="1:26" x14ac:dyDescent="0.3">
      <c r="A2046" t="s">
        <v>56</v>
      </c>
      <c r="B2046" t="s">
        <v>26</v>
      </c>
      <c r="C2046">
        <v>36</v>
      </c>
      <c r="D2046">
        <v>26</v>
      </c>
      <c r="E2046" s="1">
        <f t="shared" si="31"/>
        <v>0.72222222222222221</v>
      </c>
      <c r="F2046">
        <v>119.3</v>
      </c>
      <c r="G2046">
        <v>96.4</v>
      </c>
      <c r="H2046">
        <v>0.92049999999999998</v>
      </c>
      <c r="I2046">
        <v>53.6</v>
      </c>
      <c r="J2046">
        <v>49.1</v>
      </c>
      <c r="K2046">
        <v>14</v>
      </c>
      <c r="L2046">
        <v>18.7</v>
      </c>
      <c r="M2046">
        <v>27.3</v>
      </c>
      <c r="N2046">
        <v>30.8</v>
      </c>
      <c r="O2046">
        <v>28.6</v>
      </c>
      <c r="P2046">
        <v>26.7</v>
      </c>
      <c r="Q2046">
        <v>50.9</v>
      </c>
      <c r="R2046">
        <v>48.2</v>
      </c>
      <c r="S2046">
        <v>38.4</v>
      </c>
      <c r="T2046">
        <v>33.799999999999997</v>
      </c>
      <c r="U2046">
        <v>68.3</v>
      </c>
      <c r="V2046">
        <v>5.9</v>
      </c>
      <c r="W2046" cm="1">
        <f t="array" ref="W2046">_xlfn.IFS(OR(X2046="N/A",X2046="NA"),0,OR(X2046="R64",X2046="R68"),1,X2046="R32",2,X2046="S16",3,X2046="E8",4,X2046="F4",5,X2046="2ND",6,X2046="Champions",7)</f>
        <v>2</v>
      </c>
      <c r="X2046" t="s">
        <v>420</v>
      </c>
      <c r="Y2046">
        <v>5</v>
      </c>
      <c r="Z2046">
        <v>2017</v>
      </c>
    </row>
    <row r="2047" spans="1:26" x14ac:dyDescent="0.3">
      <c r="A2047" t="s">
        <v>44</v>
      </c>
      <c r="B2047" t="s">
        <v>26</v>
      </c>
      <c r="C2047">
        <v>34</v>
      </c>
      <c r="D2047">
        <v>23</v>
      </c>
      <c r="E2047" s="1">
        <f t="shared" si="31"/>
        <v>0.67647058823529416</v>
      </c>
      <c r="F2047">
        <v>111.8</v>
      </c>
      <c r="G2047">
        <v>86.9</v>
      </c>
      <c r="H2047">
        <v>0.94769999999999999</v>
      </c>
      <c r="I2047">
        <v>52.4</v>
      </c>
      <c r="J2047">
        <v>46.1</v>
      </c>
      <c r="K2047">
        <v>15.6</v>
      </c>
      <c r="L2047">
        <v>20.7</v>
      </c>
      <c r="M2047">
        <v>28.3</v>
      </c>
      <c r="N2047">
        <v>24.5</v>
      </c>
      <c r="O2047">
        <v>26</v>
      </c>
      <c r="P2047">
        <v>33.799999999999997</v>
      </c>
      <c r="Q2047">
        <v>49.7</v>
      </c>
      <c r="R2047">
        <v>45.1</v>
      </c>
      <c r="S2047">
        <v>38.5</v>
      </c>
      <c r="T2047">
        <v>31.7</v>
      </c>
      <c r="U2047">
        <v>60.3</v>
      </c>
      <c r="V2047">
        <v>5</v>
      </c>
      <c r="W2047" cm="1">
        <f t="array" ref="W2047">_xlfn.IFS(OR(X2047="N/A",X2047="NA"),0,OR(X2047="R64",X2047="R68"),1,X2047="R32",2,X2047="S16",3,X2047="E8",4,X2047="F4",5,X2047="2ND",6,X2047="Champions",7)</f>
        <v>2</v>
      </c>
      <c r="X2047" t="s">
        <v>420</v>
      </c>
      <c r="Y2047">
        <v>5</v>
      </c>
      <c r="Z2047">
        <v>2017</v>
      </c>
    </row>
    <row r="2048" spans="1:26" x14ac:dyDescent="0.3">
      <c r="A2048" t="s">
        <v>27</v>
      </c>
      <c r="B2048" t="s">
        <v>26</v>
      </c>
      <c r="C2048">
        <v>37</v>
      </c>
      <c r="D2048">
        <v>26</v>
      </c>
      <c r="E2048" s="1">
        <f t="shared" si="31"/>
        <v>0.70270270270270274</v>
      </c>
      <c r="F2048">
        <v>120.7</v>
      </c>
      <c r="G2048">
        <v>97.1</v>
      </c>
      <c r="H2048">
        <v>0.92420000000000002</v>
      </c>
      <c r="I2048">
        <v>52</v>
      </c>
      <c r="J2048">
        <v>50.1</v>
      </c>
      <c r="K2048">
        <v>16.7</v>
      </c>
      <c r="L2048">
        <v>16.3</v>
      </c>
      <c r="M2048">
        <v>37.4</v>
      </c>
      <c r="N2048">
        <v>25.5</v>
      </c>
      <c r="O2048">
        <v>28</v>
      </c>
      <c r="P2048">
        <v>26</v>
      </c>
      <c r="Q2048">
        <v>51</v>
      </c>
      <c r="R2048">
        <v>45.3</v>
      </c>
      <c r="S2048">
        <v>35.9</v>
      </c>
      <c r="T2048">
        <v>38</v>
      </c>
      <c r="U2048">
        <v>72.599999999999994</v>
      </c>
      <c r="V2048">
        <v>7.1</v>
      </c>
      <c r="W2048" cm="1">
        <f t="array" ref="W2048">_xlfn.IFS(OR(X2048="N/A",X2048="NA"),0,OR(X2048="R64",X2048="R68"),1,X2048="R32",2,X2048="S16",3,X2048="E8",4,X2048="F4",5,X2048="2ND",6,X2048="Champions",7)</f>
        <v>2</v>
      </c>
      <c r="X2048" t="s">
        <v>420</v>
      </c>
      <c r="Y2048">
        <v>2</v>
      </c>
      <c r="Z2048">
        <v>2018</v>
      </c>
    </row>
    <row r="2049" spans="1:26" x14ac:dyDescent="0.3">
      <c r="A2049" t="s">
        <v>118</v>
      </c>
      <c r="B2049" t="s">
        <v>112</v>
      </c>
      <c r="C2049">
        <v>33</v>
      </c>
      <c r="D2049">
        <v>25</v>
      </c>
      <c r="E2049" s="1">
        <f t="shared" si="31"/>
        <v>0.75757575757575757</v>
      </c>
      <c r="F2049">
        <v>102.1</v>
      </c>
      <c r="G2049">
        <v>102.2</v>
      </c>
      <c r="H2049">
        <v>0.49630000000000002</v>
      </c>
      <c r="I2049">
        <v>52.2</v>
      </c>
      <c r="J2049">
        <v>51.6</v>
      </c>
      <c r="K2049">
        <v>17.2</v>
      </c>
      <c r="L2049">
        <v>20.7</v>
      </c>
      <c r="M2049">
        <v>25.9</v>
      </c>
      <c r="N2049">
        <v>28.3</v>
      </c>
      <c r="O2049">
        <v>30.2</v>
      </c>
      <c r="P2049">
        <v>30.8</v>
      </c>
      <c r="Q2049">
        <v>48.1</v>
      </c>
      <c r="R2049">
        <v>51</v>
      </c>
      <c r="S2049">
        <v>38.200000000000003</v>
      </c>
      <c r="T2049">
        <v>35</v>
      </c>
      <c r="U2049">
        <v>69.3</v>
      </c>
      <c r="V2049">
        <v>-4.9000000000000004</v>
      </c>
      <c r="W2049" cm="1">
        <f t="array" ref="W2049">_xlfn.IFS(OR(X2049="N/A",X2049="NA"),0,OR(X2049="R64",X2049="R68"),1,X2049="R32",2,X2049="S16",3,X2049="E8",4,X2049="F4",5,X2049="2ND",6,X2049="Champions",7)</f>
        <v>2</v>
      </c>
      <c r="X2049" t="s">
        <v>420</v>
      </c>
      <c r="Y2049">
        <v>16</v>
      </c>
      <c r="Z2049">
        <v>2018</v>
      </c>
    </row>
    <row r="2050" spans="1:26" x14ac:dyDescent="0.3">
      <c r="A2050" t="s">
        <v>421</v>
      </c>
      <c r="B2050" t="s">
        <v>50</v>
      </c>
      <c r="C2050">
        <v>34</v>
      </c>
      <c r="D2050">
        <v>23</v>
      </c>
      <c r="E2050" s="1">
        <f t="shared" si="31"/>
        <v>0.67647058823529416</v>
      </c>
      <c r="F2050">
        <v>106.5</v>
      </c>
      <c r="G2050">
        <v>92.3</v>
      </c>
      <c r="H2050">
        <v>0.83799999999999997</v>
      </c>
      <c r="I2050">
        <v>49.5</v>
      </c>
      <c r="J2050">
        <v>44.1</v>
      </c>
      <c r="K2050">
        <v>21</v>
      </c>
      <c r="L2050">
        <v>19.899999999999999</v>
      </c>
      <c r="M2050">
        <v>37.299999999999997</v>
      </c>
      <c r="N2050">
        <v>32.299999999999997</v>
      </c>
      <c r="O2050">
        <v>37.1</v>
      </c>
      <c r="P2050">
        <v>26.1</v>
      </c>
      <c r="Q2050">
        <v>49.6</v>
      </c>
      <c r="R2050">
        <v>42.2</v>
      </c>
      <c r="S2050">
        <v>32.9</v>
      </c>
      <c r="T2050">
        <v>31.9</v>
      </c>
      <c r="U2050">
        <v>60.3</v>
      </c>
      <c r="V2050">
        <v>-1.3</v>
      </c>
      <c r="W2050" cm="1">
        <f t="array" ref="W2050">_xlfn.IFS(OR(X2050="N/A",X2050="NA"),0,OR(X2050="R64",X2050="R68"),1,X2050="R32",2,X2050="S16",3,X2050="E8",4,X2050="F4",5,X2050="2ND",6,X2050="Champions",7)</f>
        <v>2</v>
      </c>
      <c r="X2050" t="s">
        <v>420</v>
      </c>
      <c r="Y2050">
        <v>8</v>
      </c>
      <c r="Z2050">
        <v>2015</v>
      </c>
    </row>
    <row r="2051" spans="1:26" x14ac:dyDescent="0.3">
      <c r="A2051" t="s">
        <v>49</v>
      </c>
      <c r="B2051" t="s">
        <v>50</v>
      </c>
      <c r="C2051">
        <v>36</v>
      </c>
      <c r="D2051">
        <v>25</v>
      </c>
      <c r="E2051" s="1">
        <f t="shared" ref="E2051:E2114" si="32">D2051/C2051</f>
        <v>0.69444444444444442</v>
      </c>
      <c r="F2051">
        <v>110.5</v>
      </c>
      <c r="G2051">
        <v>93.4</v>
      </c>
      <c r="H2051">
        <v>0.87319999999999998</v>
      </c>
      <c r="I2051">
        <v>51.5</v>
      </c>
      <c r="J2051">
        <v>44.5</v>
      </c>
      <c r="K2051">
        <v>16.3</v>
      </c>
      <c r="L2051">
        <v>18.2</v>
      </c>
      <c r="M2051">
        <v>28.6</v>
      </c>
      <c r="N2051">
        <v>29.1</v>
      </c>
      <c r="O2051">
        <v>29.6</v>
      </c>
      <c r="P2051">
        <v>35.4</v>
      </c>
      <c r="Q2051">
        <v>49.9</v>
      </c>
      <c r="R2051">
        <v>42</v>
      </c>
      <c r="S2051">
        <v>36.5</v>
      </c>
      <c r="T2051">
        <v>32.6</v>
      </c>
      <c r="U2051">
        <v>66.900000000000006</v>
      </c>
      <c r="V2051">
        <v>1.2</v>
      </c>
      <c r="W2051" cm="1">
        <f t="array" ref="W2051">_xlfn.IFS(OR(X2051="N/A",X2051="NA"),0,OR(X2051="R64",X2051="R68"),1,X2051="R32",2,X2051="S16",3,X2051="E8",4,X2051="F4",5,X2051="2ND",6,X2051="Champions",7)</f>
        <v>2</v>
      </c>
      <c r="X2051" t="s">
        <v>420</v>
      </c>
      <c r="Y2051">
        <v>9</v>
      </c>
      <c r="Z2051">
        <v>2016</v>
      </c>
    </row>
    <row r="2052" spans="1:26" x14ac:dyDescent="0.3">
      <c r="A2052" t="s">
        <v>421</v>
      </c>
      <c r="B2052" t="s">
        <v>50</v>
      </c>
      <c r="C2052">
        <v>36</v>
      </c>
      <c r="D2052">
        <v>30</v>
      </c>
      <c r="E2052" s="1">
        <f t="shared" si="32"/>
        <v>0.83333333333333337</v>
      </c>
      <c r="F2052">
        <v>115.2</v>
      </c>
      <c r="G2052">
        <v>92.1</v>
      </c>
      <c r="H2052">
        <v>0.92920000000000003</v>
      </c>
      <c r="I2052">
        <v>52</v>
      </c>
      <c r="J2052">
        <v>45.2</v>
      </c>
      <c r="K2052">
        <v>15.3</v>
      </c>
      <c r="L2052">
        <v>20.2</v>
      </c>
      <c r="M2052">
        <v>35.5</v>
      </c>
      <c r="N2052">
        <v>29.4</v>
      </c>
      <c r="O2052">
        <v>32.5</v>
      </c>
      <c r="P2052">
        <v>29.1</v>
      </c>
      <c r="Q2052">
        <v>52.1</v>
      </c>
      <c r="R2052">
        <v>41.4</v>
      </c>
      <c r="S2052">
        <v>34.5</v>
      </c>
      <c r="T2052">
        <v>34.4</v>
      </c>
      <c r="U2052">
        <v>65.400000000000006</v>
      </c>
      <c r="V2052">
        <v>5.6</v>
      </c>
      <c r="W2052" cm="1">
        <f t="array" ref="W2052">_xlfn.IFS(OR(X2052="N/A",X2052="NA"),0,OR(X2052="R64",X2052="R68"),1,X2052="R32",2,X2052="S16",3,X2052="E8",4,X2052="F4",5,X2052="2ND",6,X2052="Champions",7)</f>
        <v>2</v>
      </c>
      <c r="X2052" t="s">
        <v>420</v>
      </c>
      <c r="Y2052">
        <v>6</v>
      </c>
      <c r="Z2052">
        <v>2017</v>
      </c>
    </row>
    <row r="2053" spans="1:26" x14ac:dyDescent="0.3">
      <c r="A2053" t="s">
        <v>421</v>
      </c>
      <c r="B2053" t="s">
        <v>50</v>
      </c>
      <c r="C2053">
        <v>36</v>
      </c>
      <c r="D2053">
        <v>31</v>
      </c>
      <c r="E2053" s="1">
        <f t="shared" si="32"/>
        <v>0.86111111111111116</v>
      </c>
      <c r="F2053">
        <v>111.6</v>
      </c>
      <c r="G2053">
        <v>87.7</v>
      </c>
      <c r="H2053">
        <v>0.94169999999999998</v>
      </c>
      <c r="I2053">
        <v>51.2</v>
      </c>
      <c r="J2053">
        <v>43.3</v>
      </c>
      <c r="K2053">
        <v>17</v>
      </c>
      <c r="L2053">
        <v>21.6</v>
      </c>
      <c r="M2053">
        <v>38.5</v>
      </c>
      <c r="N2053">
        <v>28.2</v>
      </c>
      <c r="O2053">
        <v>36</v>
      </c>
      <c r="P2053">
        <v>26.8</v>
      </c>
      <c r="Q2053">
        <v>50.2</v>
      </c>
      <c r="R2053">
        <v>41.4</v>
      </c>
      <c r="S2053">
        <v>35.299999999999997</v>
      </c>
      <c r="T2053">
        <v>30.9</v>
      </c>
      <c r="U2053">
        <v>66.2</v>
      </c>
      <c r="V2053">
        <v>5.9</v>
      </c>
      <c r="W2053" cm="1">
        <f t="array" ref="W2053">_xlfn.IFS(OR(X2053="N/A",X2053="NA"),0,OR(X2053="R64",X2053="R68"),1,X2053="R32",2,X2053="S16",3,X2053="E8",4,X2053="F4",5,X2053="2ND",6,X2053="Champions",7)</f>
        <v>2</v>
      </c>
      <c r="X2053" t="s">
        <v>420</v>
      </c>
      <c r="Y2053">
        <v>2</v>
      </c>
      <c r="Z2053">
        <v>2018</v>
      </c>
    </row>
    <row r="2054" spans="1:26" x14ac:dyDescent="0.3">
      <c r="A2054" t="s">
        <v>122</v>
      </c>
      <c r="B2054" t="s">
        <v>50</v>
      </c>
      <c r="C2054">
        <v>35</v>
      </c>
      <c r="D2054">
        <v>27</v>
      </c>
      <c r="E2054" s="1">
        <f t="shared" si="32"/>
        <v>0.77142857142857146</v>
      </c>
      <c r="F2054">
        <v>114.8</v>
      </c>
      <c r="G2054">
        <v>93.9</v>
      </c>
      <c r="H2054">
        <v>0.90969999999999995</v>
      </c>
      <c r="I2054">
        <v>53.3</v>
      </c>
      <c r="J2054">
        <v>45.5</v>
      </c>
      <c r="K2054">
        <v>17.5</v>
      </c>
      <c r="L2054">
        <v>19.100000000000001</v>
      </c>
      <c r="M2054">
        <v>33.799999999999997</v>
      </c>
      <c r="N2054">
        <v>25.8</v>
      </c>
      <c r="O2054">
        <v>32.6</v>
      </c>
      <c r="P2054">
        <v>41.6</v>
      </c>
      <c r="Q2054">
        <v>50.5</v>
      </c>
      <c r="R2054">
        <v>43.8</v>
      </c>
      <c r="S2054">
        <v>38.700000000000003</v>
      </c>
      <c r="T2054">
        <v>32.299999999999997</v>
      </c>
      <c r="U2054">
        <v>69.400000000000006</v>
      </c>
      <c r="V2054">
        <v>2.4</v>
      </c>
      <c r="W2054" cm="1">
        <f t="array" ref="W2054">_xlfn.IFS(OR(X2054="N/A",X2054="NA"),0,OR(X2054="R64",X2054="R68"),1,X2054="R32",2,X2054="S16",3,X2054="E8",4,X2054="F4",5,X2054="2ND",6,X2054="Champions",7)</f>
        <v>2</v>
      </c>
      <c r="X2054" t="s">
        <v>420</v>
      </c>
      <c r="Y2054">
        <v>6</v>
      </c>
      <c r="Z2054">
        <v>2018</v>
      </c>
    </row>
    <row r="2055" spans="1:26" x14ac:dyDescent="0.3">
      <c r="A2055" t="s">
        <v>128</v>
      </c>
      <c r="B2055" t="s">
        <v>50</v>
      </c>
      <c r="C2055">
        <v>33</v>
      </c>
      <c r="D2055">
        <v>24</v>
      </c>
      <c r="E2055" s="1">
        <f t="shared" si="32"/>
        <v>0.72727272727272729</v>
      </c>
      <c r="F2055">
        <v>112.7</v>
      </c>
      <c r="G2055">
        <v>93.3</v>
      </c>
      <c r="H2055">
        <v>0.89800000000000002</v>
      </c>
      <c r="I2055">
        <v>52.9</v>
      </c>
      <c r="J2055">
        <v>45.4</v>
      </c>
      <c r="K2055">
        <v>17.600000000000001</v>
      </c>
      <c r="L2055">
        <v>18</v>
      </c>
      <c r="M2055">
        <v>29.5</v>
      </c>
      <c r="N2055">
        <v>29.6</v>
      </c>
      <c r="O2055">
        <v>45.3</v>
      </c>
      <c r="P2055">
        <v>29.2</v>
      </c>
      <c r="Q2055">
        <v>52</v>
      </c>
      <c r="R2055">
        <v>44.5</v>
      </c>
      <c r="S2055">
        <v>36.5</v>
      </c>
      <c r="T2055">
        <v>31.3</v>
      </c>
      <c r="U2055">
        <v>66.400000000000006</v>
      </c>
      <c r="V2055">
        <v>2</v>
      </c>
      <c r="W2055" cm="1">
        <f t="array" ref="W2055">_xlfn.IFS(OR(X2055="N/A",X2055="NA"),0,OR(X2055="R64",X2055="R68"),1,X2055="R32",2,X2055="S16",3,X2055="E8",4,X2055="F4",5,X2055="2ND",6,X2055="Champions",7)</f>
        <v>2</v>
      </c>
      <c r="X2055" t="s">
        <v>420</v>
      </c>
      <c r="Y2055">
        <v>9</v>
      </c>
      <c r="Z2055">
        <v>2019</v>
      </c>
    </row>
    <row r="2056" spans="1:26" x14ac:dyDescent="0.3">
      <c r="A2056" t="s">
        <v>148</v>
      </c>
      <c r="B2056" t="s">
        <v>31</v>
      </c>
      <c r="C2056">
        <v>34</v>
      </c>
      <c r="D2056">
        <v>22</v>
      </c>
      <c r="E2056" s="1">
        <f t="shared" si="32"/>
        <v>0.6470588235294118</v>
      </c>
      <c r="F2056">
        <v>114</v>
      </c>
      <c r="G2056">
        <v>92</v>
      </c>
      <c r="H2056">
        <v>0.92110000000000003</v>
      </c>
      <c r="I2056">
        <v>48.1</v>
      </c>
      <c r="J2056">
        <v>45.6</v>
      </c>
      <c r="K2056">
        <v>17.100000000000001</v>
      </c>
      <c r="L2056">
        <v>18.899999999999999</v>
      </c>
      <c r="M2056">
        <v>35.6</v>
      </c>
      <c r="N2056">
        <v>30.3</v>
      </c>
      <c r="O2056">
        <v>38</v>
      </c>
      <c r="P2056">
        <v>29.1</v>
      </c>
      <c r="Q2056">
        <v>47.3</v>
      </c>
      <c r="R2056">
        <v>43.7</v>
      </c>
      <c r="S2056">
        <v>33.299999999999997</v>
      </c>
      <c r="T2056">
        <v>32.6</v>
      </c>
      <c r="U2056">
        <v>64.599999999999994</v>
      </c>
      <c r="V2056">
        <v>2.1</v>
      </c>
      <c r="W2056" cm="1">
        <f t="array" ref="W2056">_xlfn.IFS(OR(X2056="N/A",X2056="NA"),0,OR(X2056="R64",X2056="R68"),1,X2056="R32",2,X2056="S16",3,X2056="E8",4,X2056="F4",5,X2056="2ND",6,X2056="Champions",7)</f>
        <v>2</v>
      </c>
      <c r="X2056" t="s">
        <v>420</v>
      </c>
      <c r="Y2056">
        <v>7</v>
      </c>
      <c r="Z2056">
        <v>2015</v>
      </c>
    </row>
    <row r="2057" spans="1:26" x14ac:dyDescent="0.3">
      <c r="A2057" t="s">
        <v>149</v>
      </c>
      <c r="B2057" t="s">
        <v>31</v>
      </c>
      <c r="C2057">
        <v>35</v>
      </c>
      <c r="D2057">
        <v>28</v>
      </c>
      <c r="E2057" s="1">
        <f t="shared" si="32"/>
        <v>0.8</v>
      </c>
      <c r="F2057">
        <v>110.2</v>
      </c>
      <c r="G2057">
        <v>94</v>
      </c>
      <c r="H2057">
        <v>0.8619</v>
      </c>
      <c r="I2057">
        <v>51.2</v>
      </c>
      <c r="J2057">
        <v>45.5</v>
      </c>
      <c r="K2057">
        <v>18.899999999999999</v>
      </c>
      <c r="L2057">
        <v>17.2</v>
      </c>
      <c r="M2057">
        <v>28.9</v>
      </c>
      <c r="N2057">
        <v>30.5</v>
      </c>
      <c r="O2057">
        <v>44.5</v>
      </c>
      <c r="P2057">
        <v>28.1</v>
      </c>
      <c r="Q2057">
        <v>48</v>
      </c>
      <c r="R2057">
        <v>44.1</v>
      </c>
      <c r="S2057">
        <v>37.6</v>
      </c>
      <c r="T2057">
        <v>31.8</v>
      </c>
      <c r="U2057">
        <v>64.5</v>
      </c>
      <c r="V2057">
        <v>6.9</v>
      </c>
      <c r="W2057" cm="1">
        <f t="array" ref="W2057">_xlfn.IFS(OR(X2057="N/A",X2057="NA"),0,OR(X2057="R64",X2057="R68"),1,X2057="R32",2,X2057="S16",3,X2057="E8",4,X2057="F4",5,X2057="2ND",6,X2057="Champions",7)</f>
        <v>2</v>
      </c>
      <c r="X2057" t="s">
        <v>420</v>
      </c>
      <c r="Y2057">
        <v>4</v>
      </c>
      <c r="Z2057">
        <v>2015</v>
      </c>
    </row>
    <row r="2058" spans="1:26" x14ac:dyDescent="0.3">
      <c r="A2058" t="s">
        <v>80</v>
      </c>
      <c r="B2058" t="s">
        <v>31</v>
      </c>
      <c r="C2058">
        <v>35</v>
      </c>
      <c r="D2058">
        <v>24</v>
      </c>
      <c r="E2058" s="1">
        <f t="shared" si="32"/>
        <v>0.68571428571428572</v>
      </c>
      <c r="F2058">
        <v>113.9</v>
      </c>
      <c r="G2058">
        <v>93.1</v>
      </c>
      <c r="H2058">
        <v>0.91039999999999999</v>
      </c>
      <c r="I2058">
        <v>54.2</v>
      </c>
      <c r="J2058">
        <v>46.4</v>
      </c>
      <c r="K2058">
        <v>17</v>
      </c>
      <c r="L2058">
        <v>21.6</v>
      </c>
      <c r="M2058">
        <v>33.5</v>
      </c>
      <c r="N2058">
        <v>32</v>
      </c>
      <c r="O2058">
        <v>34.700000000000003</v>
      </c>
      <c r="P2058">
        <v>27.8</v>
      </c>
      <c r="Q2058">
        <v>53.6</v>
      </c>
      <c r="R2058">
        <v>45.2</v>
      </c>
      <c r="S2058">
        <v>37</v>
      </c>
      <c r="T2058">
        <v>32.200000000000003</v>
      </c>
      <c r="U2058">
        <v>66.3</v>
      </c>
      <c r="V2058">
        <v>2.5</v>
      </c>
      <c r="W2058" cm="1">
        <f t="array" ref="W2058">_xlfn.IFS(OR(X2058="N/A",X2058="NA"),0,OR(X2058="R64",X2058="R68"),1,X2058="R32",2,X2058="S16",3,X2058="E8",4,X2058="F4",5,X2058="2ND",6,X2058="Champions",7)</f>
        <v>2</v>
      </c>
      <c r="X2058" t="s">
        <v>420</v>
      </c>
      <c r="Y2058">
        <v>10</v>
      </c>
      <c r="Z2058">
        <v>2015</v>
      </c>
    </row>
    <row r="2059" spans="1:26" x14ac:dyDescent="0.3">
      <c r="A2059" t="s">
        <v>148</v>
      </c>
      <c r="B2059" t="s">
        <v>31</v>
      </c>
      <c r="C2059">
        <v>33</v>
      </c>
      <c r="D2059">
        <v>22</v>
      </c>
      <c r="E2059" s="1">
        <f t="shared" si="32"/>
        <v>0.66666666666666663</v>
      </c>
      <c r="F2059">
        <v>114.4</v>
      </c>
      <c r="G2059">
        <v>95.8</v>
      </c>
      <c r="H2059">
        <v>0.88529999999999998</v>
      </c>
      <c r="I2059">
        <v>51.3</v>
      </c>
      <c r="J2059">
        <v>48</v>
      </c>
      <c r="K2059">
        <v>14.8</v>
      </c>
      <c r="L2059">
        <v>18.8</v>
      </c>
      <c r="M2059">
        <v>31.9</v>
      </c>
      <c r="N2059">
        <v>31.3</v>
      </c>
      <c r="O2059">
        <v>33</v>
      </c>
      <c r="P2059">
        <v>25</v>
      </c>
      <c r="Q2059">
        <v>48.7</v>
      </c>
      <c r="R2059">
        <v>48.7</v>
      </c>
      <c r="S2059">
        <v>37.4</v>
      </c>
      <c r="T2059">
        <v>31.3</v>
      </c>
      <c r="U2059">
        <v>69.8</v>
      </c>
      <c r="V2059">
        <v>2</v>
      </c>
      <c r="W2059" cm="1">
        <f t="array" ref="W2059">_xlfn.IFS(OR(X2059="N/A",X2059="NA"),0,OR(X2059="R64",X2059="R68"),1,X2059="R32",2,X2059="S16",3,X2059="E8",4,X2059="F4",5,X2059="2ND",6,X2059="Champions",7)</f>
        <v>2</v>
      </c>
      <c r="X2059" t="s">
        <v>420</v>
      </c>
      <c r="Y2059">
        <v>7</v>
      </c>
      <c r="Z2059">
        <v>2016</v>
      </c>
    </row>
    <row r="2060" spans="1:26" x14ac:dyDescent="0.3">
      <c r="A2060" t="s">
        <v>78</v>
      </c>
      <c r="B2060" t="s">
        <v>31</v>
      </c>
      <c r="C2060">
        <v>35</v>
      </c>
      <c r="D2060">
        <v>20</v>
      </c>
      <c r="E2060" s="1">
        <f t="shared" si="32"/>
        <v>0.5714285714285714</v>
      </c>
      <c r="F2060">
        <v>111.6</v>
      </c>
      <c r="G2060">
        <v>94.9</v>
      </c>
      <c r="H2060">
        <v>0.86609999999999998</v>
      </c>
      <c r="I2060">
        <v>54</v>
      </c>
      <c r="J2060">
        <v>46.7</v>
      </c>
      <c r="K2060">
        <v>20.5</v>
      </c>
      <c r="L2060">
        <v>15.9</v>
      </c>
      <c r="M2060">
        <v>29.2</v>
      </c>
      <c r="N2060">
        <v>27.3</v>
      </c>
      <c r="O2060">
        <v>33.5</v>
      </c>
      <c r="P2060">
        <v>34.700000000000003</v>
      </c>
      <c r="Q2060">
        <v>52.9</v>
      </c>
      <c r="R2060">
        <v>44.1</v>
      </c>
      <c r="S2060">
        <v>37.299999999999997</v>
      </c>
      <c r="T2060">
        <v>34.6</v>
      </c>
      <c r="U2060">
        <v>68.099999999999994</v>
      </c>
      <c r="V2060">
        <v>0.4</v>
      </c>
      <c r="W2060" cm="1">
        <f t="array" ref="W2060">_xlfn.IFS(OR(X2060="N/A",X2060="NA"),0,OR(X2060="R64",X2060="R68"),1,X2060="R32",2,X2060="S16",3,X2060="E8",4,X2060="F4",5,X2060="2ND",6,X2060="Champions",7)</f>
        <v>2</v>
      </c>
      <c r="X2060" t="s">
        <v>420</v>
      </c>
      <c r="Y2060">
        <v>9</v>
      </c>
      <c r="Z2060">
        <v>2017</v>
      </c>
    </row>
    <row r="2061" spans="1:26" x14ac:dyDescent="0.3">
      <c r="A2061" t="s">
        <v>144</v>
      </c>
      <c r="B2061" t="s">
        <v>31</v>
      </c>
      <c r="C2061">
        <v>36</v>
      </c>
      <c r="D2061">
        <v>24</v>
      </c>
      <c r="E2061" s="1">
        <f t="shared" si="32"/>
        <v>0.66666666666666663</v>
      </c>
      <c r="F2061">
        <v>111.2</v>
      </c>
      <c r="G2061">
        <v>95.2</v>
      </c>
      <c r="H2061">
        <v>0.85640000000000005</v>
      </c>
      <c r="I2061">
        <v>49.7</v>
      </c>
      <c r="J2061">
        <v>46.1</v>
      </c>
      <c r="K2061">
        <v>16</v>
      </c>
      <c r="L2061">
        <v>17.899999999999999</v>
      </c>
      <c r="M2061">
        <v>30.8</v>
      </c>
      <c r="N2061">
        <v>30.6</v>
      </c>
      <c r="O2061">
        <v>30.5</v>
      </c>
      <c r="P2061">
        <v>36.1</v>
      </c>
      <c r="Q2061">
        <v>48.8</v>
      </c>
      <c r="R2061">
        <v>44</v>
      </c>
      <c r="S2061">
        <v>34.200000000000003</v>
      </c>
      <c r="T2061">
        <v>33.299999999999997</v>
      </c>
      <c r="U2061">
        <v>66.900000000000006</v>
      </c>
      <c r="V2061">
        <v>2</v>
      </c>
      <c r="W2061" cm="1">
        <f t="array" ref="W2061">_xlfn.IFS(OR(X2061="N/A",X2061="NA"),0,OR(X2061="R64",X2061="R68"),1,X2061="R32",2,X2061="S16",3,X2061="E8",4,X2061="F4",5,X2061="2ND",6,X2061="Champions",7)</f>
        <v>2</v>
      </c>
      <c r="X2061" t="s">
        <v>420</v>
      </c>
      <c r="Y2061">
        <v>8</v>
      </c>
      <c r="Z2061">
        <v>2017</v>
      </c>
    </row>
    <row r="2062" spans="1:26" x14ac:dyDescent="0.3">
      <c r="A2062" t="s">
        <v>78</v>
      </c>
      <c r="B2062" t="s">
        <v>31</v>
      </c>
      <c r="C2062">
        <v>35</v>
      </c>
      <c r="D2062">
        <v>30</v>
      </c>
      <c r="E2062" s="1">
        <f t="shared" si="32"/>
        <v>0.8571428571428571</v>
      </c>
      <c r="F2062">
        <v>118.9</v>
      </c>
      <c r="G2062">
        <v>94.3</v>
      </c>
      <c r="H2062">
        <v>0.93469999999999998</v>
      </c>
      <c r="I2062">
        <v>56.9</v>
      </c>
      <c r="J2062">
        <v>42.7</v>
      </c>
      <c r="K2062">
        <v>19.2</v>
      </c>
      <c r="L2062">
        <v>14.6</v>
      </c>
      <c r="M2062">
        <v>37</v>
      </c>
      <c r="N2062">
        <v>26.6</v>
      </c>
      <c r="O2062">
        <v>35.9</v>
      </c>
      <c r="P2062">
        <v>30.7</v>
      </c>
      <c r="Q2062">
        <v>55.2</v>
      </c>
      <c r="R2062">
        <v>38.4</v>
      </c>
      <c r="S2062">
        <v>40.1</v>
      </c>
      <c r="T2062">
        <v>33.700000000000003</v>
      </c>
      <c r="U2062">
        <v>68</v>
      </c>
      <c r="V2062">
        <v>8</v>
      </c>
      <c r="W2062" cm="1">
        <f t="array" ref="W2062">_xlfn.IFS(OR(X2062="N/A",X2062="NA"),0,OR(X2062="R64",X2062="R68"),1,X2062="R32",2,X2062="S16",3,X2062="E8",4,X2062="F4",5,X2062="2ND",6,X2062="Champions",7)</f>
        <v>2</v>
      </c>
      <c r="X2062" t="s">
        <v>420</v>
      </c>
      <c r="Y2062">
        <v>3</v>
      </c>
      <c r="Z2062">
        <v>2018</v>
      </c>
    </row>
    <row r="2063" spans="1:26" x14ac:dyDescent="0.3">
      <c r="A2063" t="s">
        <v>80</v>
      </c>
      <c r="B2063" t="s">
        <v>31</v>
      </c>
      <c r="C2063">
        <v>34</v>
      </c>
      <c r="D2063">
        <v>25</v>
      </c>
      <c r="E2063" s="1">
        <f t="shared" si="32"/>
        <v>0.73529411764705888</v>
      </c>
      <c r="F2063">
        <v>116</v>
      </c>
      <c r="G2063">
        <v>94.3</v>
      </c>
      <c r="H2063">
        <v>0.91539999999999999</v>
      </c>
      <c r="I2063">
        <v>54.1</v>
      </c>
      <c r="J2063">
        <v>48.7</v>
      </c>
      <c r="K2063">
        <v>17.100000000000001</v>
      </c>
      <c r="L2063">
        <v>17.899999999999999</v>
      </c>
      <c r="M2063">
        <v>30.2</v>
      </c>
      <c r="N2063">
        <v>25.2</v>
      </c>
      <c r="O2063">
        <v>31.1</v>
      </c>
      <c r="P2063">
        <v>29.5</v>
      </c>
      <c r="Q2063">
        <v>54.7</v>
      </c>
      <c r="R2063">
        <v>46.1</v>
      </c>
      <c r="S2063">
        <v>35.299999999999997</v>
      </c>
      <c r="T2063">
        <v>35.1</v>
      </c>
      <c r="U2063">
        <v>68.2</v>
      </c>
      <c r="V2063">
        <v>4.5</v>
      </c>
      <c r="W2063" cm="1">
        <f t="array" ref="W2063">_xlfn.IFS(OR(X2063="N/A",X2063="NA"),0,OR(X2063="R64",X2063="R68"),1,X2063="R32",2,X2063="S16",3,X2063="E8",4,X2063="F4",5,X2063="2ND",6,X2063="Champions",7)</f>
        <v>2</v>
      </c>
      <c r="X2063" t="s">
        <v>420</v>
      </c>
      <c r="Y2063">
        <v>5</v>
      </c>
      <c r="Z2063">
        <v>2018</v>
      </c>
    </row>
    <row r="2064" spans="1:26" x14ac:dyDescent="0.3">
      <c r="A2064" t="s">
        <v>148</v>
      </c>
      <c r="B2064" t="s">
        <v>31</v>
      </c>
      <c r="C2064">
        <v>35</v>
      </c>
      <c r="D2064">
        <v>23</v>
      </c>
      <c r="E2064" s="1">
        <f t="shared" si="32"/>
        <v>0.65714285714285714</v>
      </c>
      <c r="F2064">
        <v>116.1</v>
      </c>
      <c r="G2064">
        <v>100.6</v>
      </c>
      <c r="H2064">
        <v>0.83850000000000002</v>
      </c>
      <c r="I2064">
        <v>52.7</v>
      </c>
      <c r="J2064">
        <v>51.5</v>
      </c>
      <c r="K2064">
        <v>17.2</v>
      </c>
      <c r="L2064">
        <v>18.399999999999999</v>
      </c>
      <c r="M2064">
        <v>29.8</v>
      </c>
      <c r="N2064">
        <v>29.4</v>
      </c>
      <c r="O2064">
        <v>42.3</v>
      </c>
      <c r="P2064">
        <v>28.8</v>
      </c>
      <c r="Q2064">
        <v>51.4</v>
      </c>
      <c r="R2064">
        <v>53.5</v>
      </c>
      <c r="S2064">
        <v>36.4</v>
      </c>
      <c r="T2064">
        <v>32.4</v>
      </c>
      <c r="U2064">
        <v>70.900000000000006</v>
      </c>
      <c r="V2064">
        <v>3.2</v>
      </c>
      <c r="W2064" cm="1">
        <f t="array" ref="W2064">_xlfn.IFS(OR(X2064="N/A",X2064="NA"),0,OR(X2064="R64",X2064="R68"),1,X2064="R32",2,X2064="S16",3,X2064="E8",4,X2064="F4",5,X2064="2ND",6,X2064="Champions",7)</f>
        <v>2</v>
      </c>
      <c r="X2064" t="s">
        <v>420</v>
      </c>
      <c r="Y2064">
        <v>10</v>
      </c>
      <c r="Z2064">
        <v>2019</v>
      </c>
    </row>
    <row r="2065" spans="1:26" x14ac:dyDescent="0.3">
      <c r="A2065" t="s">
        <v>149</v>
      </c>
      <c r="B2065" t="s">
        <v>31</v>
      </c>
      <c r="C2065">
        <v>34</v>
      </c>
      <c r="D2065">
        <v>23</v>
      </c>
      <c r="E2065" s="1">
        <f t="shared" si="32"/>
        <v>0.67647058823529416</v>
      </c>
      <c r="F2065">
        <v>111.6</v>
      </c>
      <c r="G2065">
        <v>93.3</v>
      </c>
      <c r="H2065">
        <v>0.88749999999999996</v>
      </c>
      <c r="I2065">
        <v>51.4</v>
      </c>
      <c r="J2065">
        <v>45.9</v>
      </c>
      <c r="K2065">
        <v>19.399999999999999</v>
      </c>
      <c r="L2065">
        <v>14.1</v>
      </c>
      <c r="M2065">
        <v>34.1</v>
      </c>
      <c r="N2065">
        <v>24.8</v>
      </c>
      <c r="O2065">
        <v>32.799999999999997</v>
      </c>
      <c r="P2065">
        <v>26.6</v>
      </c>
      <c r="Q2065">
        <v>50.8</v>
      </c>
      <c r="R2065">
        <v>44.7</v>
      </c>
      <c r="S2065">
        <v>34.9</v>
      </c>
      <c r="T2065">
        <v>31.9</v>
      </c>
      <c r="U2065">
        <v>67.7</v>
      </c>
      <c r="V2065">
        <v>4.2</v>
      </c>
      <c r="W2065" cm="1">
        <f t="array" ref="W2065">_xlfn.IFS(OR(X2065="N/A",X2065="NA"),0,OR(X2065="R64",X2065="R68"),1,X2065="R32",2,X2065="S16",3,X2065="E8",4,X2065="F4",5,X2065="2ND",6,X2065="Champions",7)</f>
        <v>2</v>
      </c>
      <c r="X2065" t="s">
        <v>420</v>
      </c>
      <c r="Y2065">
        <v>6</v>
      </c>
      <c r="Z2065">
        <v>2019</v>
      </c>
    </row>
    <row r="2066" spans="1:26" x14ac:dyDescent="0.3">
      <c r="A2066" t="s">
        <v>142</v>
      </c>
      <c r="B2066" t="s">
        <v>31</v>
      </c>
      <c r="C2066">
        <v>36</v>
      </c>
      <c r="D2066">
        <v>22</v>
      </c>
      <c r="E2066" s="1">
        <f t="shared" si="32"/>
        <v>0.61111111111111116</v>
      </c>
      <c r="F2066">
        <v>110.4</v>
      </c>
      <c r="G2066">
        <v>96.3</v>
      </c>
      <c r="H2066">
        <v>0.82840000000000003</v>
      </c>
      <c r="I2066">
        <v>48.2</v>
      </c>
      <c r="J2066">
        <v>49.5</v>
      </c>
      <c r="K2066">
        <v>17.100000000000001</v>
      </c>
      <c r="L2066">
        <v>16.899999999999999</v>
      </c>
      <c r="M2066">
        <v>31.4</v>
      </c>
      <c r="N2066">
        <v>28.4</v>
      </c>
      <c r="O2066">
        <v>41.6</v>
      </c>
      <c r="P2066">
        <v>28.2</v>
      </c>
      <c r="Q2066">
        <v>48.5</v>
      </c>
      <c r="R2066">
        <v>48.7</v>
      </c>
      <c r="S2066">
        <v>31.7</v>
      </c>
      <c r="T2066">
        <v>34</v>
      </c>
      <c r="U2066">
        <v>68.8</v>
      </c>
      <c r="V2066">
        <v>2.7</v>
      </c>
      <c r="W2066" cm="1">
        <f t="array" ref="W2066">_xlfn.IFS(OR(X2066="N/A",X2066="NA"),0,OR(X2066="R64",X2066="R68"),1,X2066="R32",2,X2066="S16",3,X2066="E8",4,X2066="F4",5,X2066="2ND",6,X2066="Champions",7)</f>
        <v>2</v>
      </c>
      <c r="X2066" t="s">
        <v>420</v>
      </c>
      <c r="Y2066">
        <v>10</v>
      </c>
      <c r="Z2066">
        <v>2019</v>
      </c>
    </row>
    <row r="2067" spans="1:26" x14ac:dyDescent="0.3">
      <c r="A2067" t="s">
        <v>80</v>
      </c>
      <c r="B2067" t="s">
        <v>31</v>
      </c>
      <c r="C2067">
        <v>35</v>
      </c>
      <c r="D2067">
        <v>20</v>
      </c>
      <c r="E2067" s="1">
        <f t="shared" si="32"/>
        <v>0.5714285714285714</v>
      </c>
      <c r="F2067">
        <v>107.8</v>
      </c>
      <c r="G2067">
        <v>93.8</v>
      </c>
      <c r="H2067">
        <v>0.83289999999999997</v>
      </c>
      <c r="I2067">
        <v>50.3</v>
      </c>
      <c r="J2067">
        <v>48.3</v>
      </c>
      <c r="K2067">
        <v>18.7</v>
      </c>
      <c r="L2067">
        <v>18.2</v>
      </c>
      <c r="M2067">
        <v>27.6</v>
      </c>
      <c r="N2067">
        <v>25.9</v>
      </c>
      <c r="O2067">
        <v>33.700000000000003</v>
      </c>
      <c r="P2067">
        <v>31.8</v>
      </c>
      <c r="Q2067">
        <v>49.7</v>
      </c>
      <c r="R2067">
        <v>47.9</v>
      </c>
      <c r="S2067">
        <v>34.1</v>
      </c>
      <c r="T2067">
        <v>32.700000000000003</v>
      </c>
      <c r="U2067">
        <v>67.2</v>
      </c>
      <c r="V2067">
        <v>0.9</v>
      </c>
      <c r="W2067" cm="1">
        <f t="array" ref="W2067">_xlfn.IFS(OR(X2067="N/A",X2067="NA"),0,OR(X2067="R64",X2067="R68"),1,X2067="R32",2,X2067="S16",3,X2067="E8",4,X2067="F4",5,X2067="2ND",6,X2067="Champions",7)</f>
        <v>2</v>
      </c>
      <c r="X2067" t="s">
        <v>420</v>
      </c>
      <c r="Y2067">
        <v>11</v>
      </c>
      <c r="Z2067">
        <v>2019</v>
      </c>
    </row>
    <row r="2068" spans="1:26" x14ac:dyDescent="0.3">
      <c r="A2068" t="s">
        <v>65</v>
      </c>
      <c r="B2068" t="s">
        <v>35</v>
      </c>
      <c r="C2068">
        <v>36</v>
      </c>
      <c r="D2068">
        <v>27</v>
      </c>
      <c r="E2068" s="1">
        <f t="shared" si="32"/>
        <v>0.75</v>
      </c>
      <c r="F2068">
        <v>113.6</v>
      </c>
      <c r="G2068">
        <v>90.6</v>
      </c>
      <c r="H2068">
        <v>0.93079999999999996</v>
      </c>
      <c r="I2068">
        <v>49.4</v>
      </c>
      <c r="J2068">
        <v>44.6</v>
      </c>
      <c r="K2068">
        <v>19.2</v>
      </c>
      <c r="L2068">
        <v>17.5</v>
      </c>
      <c r="M2068">
        <v>34.9</v>
      </c>
      <c r="N2068">
        <v>31.6</v>
      </c>
      <c r="O2068">
        <v>42.6</v>
      </c>
      <c r="P2068">
        <v>33.799999999999997</v>
      </c>
      <c r="Q2068">
        <v>46.4</v>
      </c>
      <c r="R2068">
        <v>43.4</v>
      </c>
      <c r="S2068">
        <v>37.9</v>
      </c>
      <c r="T2068">
        <v>31.5</v>
      </c>
      <c r="U2068">
        <v>67.2</v>
      </c>
      <c r="V2068">
        <v>9</v>
      </c>
      <c r="W2068" cm="1">
        <f t="array" ref="W2068">_xlfn.IFS(OR(X2068="N/A",X2068="NA"),0,OR(X2068="R64",X2068="R68"),1,X2068="R32",2,X2068="S16",3,X2068="E8",4,X2068="F4",5,X2068="2ND",6,X2068="Champions",7)</f>
        <v>2</v>
      </c>
      <c r="X2068" t="s">
        <v>420</v>
      </c>
      <c r="Y2068">
        <v>2</v>
      </c>
      <c r="Z2068">
        <v>2015</v>
      </c>
    </row>
    <row r="2069" spans="1:26" x14ac:dyDescent="0.3">
      <c r="A2069" t="s">
        <v>154</v>
      </c>
      <c r="B2069" t="s">
        <v>35</v>
      </c>
      <c r="C2069">
        <v>35</v>
      </c>
      <c r="D2069">
        <v>24</v>
      </c>
      <c r="E2069" s="1">
        <f t="shared" si="32"/>
        <v>0.68571428571428572</v>
      </c>
      <c r="F2069">
        <v>120</v>
      </c>
      <c r="G2069">
        <v>96.2</v>
      </c>
      <c r="H2069">
        <v>0.92649999999999999</v>
      </c>
      <c r="I2069">
        <v>55</v>
      </c>
      <c r="J2069">
        <v>49</v>
      </c>
      <c r="K2069">
        <v>14.1</v>
      </c>
      <c r="L2069">
        <v>19.5</v>
      </c>
      <c r="M2069">
        <v>25.7</v>
      </c>
      <c r="N2069">
        <v>31.6</v>
      </c>
      <c r="O2069">
        <v>27.6</v>
      </c>
      <c r="P2069">
        <v>25.6</v>
      </c>
      <c r="Q2069">
        <v>51.8</v>
      </c>
      <c r="R2069">
        <v>47.5</v>
      </c>
      <c r="S2069">
        <v>40</v>
      </c>
      <c r="T2069">
        <v>34.6</v>
      </c>
      <c r="U2069">
        <v>69.599999999999994</v>
      </c>
      <c r="V2069">
        <v>6.5</v>
      </c>
      <c r="W2069" cm="1">
        <f t="array" ref="W2069">_xlfn.IFS(OR(X2069="N/A",X2069="NA"),0,OR(X2069="R64",X2069="R68"),1,X2069="R32",2,X2069="S16",3,X2069="E8",4,X2069="F4",5,X2069="2ND",6,X2069="Champions",7)</f>
        <v>2</v>
      </c>
      <c r="X2069" t="s">
        <v>420</v>
      </c>
      <c r="Y2069">
        <v>5</v>
      </c>
      <c r="Z2069">
        <v>2017</v>
      </c>
    </row>
    <row r="2070" spans="1:26" x14ac:dyDescent="0.3">
      <c r="A2070" t="s">
        <v>153</v>
      </c>
      <c r="B2070" t="s">
        <v>35</v>
      </c>
      <c r="C2070">
        <v>34</v>
      </c>
      <c r="D2070">
        <v>20</v>
      </c>
      <c r="E2070" s="1">
        <f t="shared" si="32"/>
        <v>0.58823529411764708</v>
      </c>
      <c r="F2070">
        <v>114.6</v>
      </c>
      <c r="G2070">
        <v>99.2</v>
      </c>
      <c r="H2070">
        <v>0.84</v>
      </c>
      <c r="I2070">
        <v>51.2</v>
      </c>
      <c r="J2070">
        <v>49.1</v>
      </c>
      <c r="K2070">
        <v>19.7</v>
      </c>
      <c r="L2070">
        <v>18.600000000000001</v>
      </c>
      <c r="M2070">
        <v>37.9</v>
      </c>
      <c r="N2070">
        <v>29.4</v>
      </c>
      <c r="O2070">
        <v>32.299999999999997</v>
      </c>
      <c r="P2070">
        <v>36.5</v>
      </c>
      <c r="Q2070">
        <v>51.2</v>
      </c>
      <c r="R2070">
        <v>47.5</v>
      </c>
      <c r="S2070">
        <v>34.1</v>
      </c>
      <c r="T2070">
        <v>34.5</v>
      </c>
      <c r="U2070">
        <v>66.599999999999994</v>
      </c>
      <c r="V2070">
        <v>0.9</v>
      </c>
      <c r="W2070" cm="1">
        <f t="array" ref="W2070">_xlfn.IFS(OR(X2070="N/A",X2070="NA"),0,OR(X2070="R64",X2070="R68"),1,X2070="R32",2,X2070="S16",3,X2070="E8",4,X2070="F4",5,X2070="2ND",6,X2070="Champions",7)</f>
        <v>2</v>
      </c>
      <c r="X2070" t="s">
        <v>420</v>
      </c>
      <c r="Y2070">
        <v>9</v>
      </c>
      <c r="Z2070">
        <v>2019</v>
      </c>
    </row>
    <row r="2071" spans="1:26" x14ac:dyDescent="0.3">
      <c r="A2071" t="s">
        <v>65</v>
      </c>
      <c r="B2071" t="s">
        <v>35</v>
      </c>
      <c r="C2071">
        <v>36</v>
      </c>
      <c r="D2071">
        <v>26</v>
      </c>
      <c r="E2071" s="1">
        <f t="shared" si="32"/>
        <v>0.72222222222222221</v>
      </c>
      <c r="F2071">
        <v>112.9</v>
      </c>
      <c r="G2071">
        <v>92.4</v>
      </c>
      <c r="H2071">
        <v>0.90920000000000001</v>
      </c>
      <c r="I2071">
        <v>52.6</v>
      </c>
      <c r="J2071">
        <v>47.8</v>
      </c>
      <c r="K2071">
        <v>18.8</v>
      </c>
      <c r="L2071">
        <v>18.2</v>
      </c>
      <c r="M2071">
        <v>30.1</v>
      </c>
      <c r="N2071">
        <v>27.9</v>
      </c>
      <c r="O2071">
        <v>32.5</v>
      </c>
      <c r="P2071">
        <v>27.8</v>
      </c>
      <c r="Q2071">
        <v>52.6</v>
      </c>
      <c r="R2071">
        <v>46</v>
      </c>
      <c r="S2071">
        <v>35</v>
      </c>
      <c r="T2071">
        <v>33.6</v>
      </c>
      <c r="U2071">
        <v>71.5</v>
      </c>
      <c r="V2071">
        <v>8.3000000000000007</v>
      </c>
      <c r="W2071" cm="1">
        <f t="array" ref="W2071">_xlfn.IFS(OR(X2071="N/A",X2071="NA"),0,OR(X2071="R64",X2071="R68"),1,X2071="R32",2,X2071="S16",3,X2071="E8",4,X2071="F4",5,X2071="2ND",6,X2071="Champions",7)</f>
        <v>2</v>
      </c>
      <c r="X2071" t="s">
        <v>420</v>
      </c>
      <c r="Y2071">
        <v>4</v>
      </c>
      <c r="Z2071">
        <v>2019</v>
      </c>
    </row>
    <row r="2072" spans="1:26" x14ac:dyDescent="0.3">
      <c r="A2072" t="s">
        <v>84</v>
      </c>
      <c r="B2072" t="s">
        <v>35</v>
      </c>
      <c r="C2072">
        <v>34</v>
      </c>
      <c r="D2072">
        <v>20</v>
      </c>
      <c r="E2072" s="1">
        <f t="shared" si="32"/>
        <v>0.58823529411764708</v>
      </c>
      <c r="F2072">
        <v>110.5</v>
      </c>
      <c r="G2072">
        <v>93.1</v>
      </c>
      <c r="H2072">
        <v>0.878</v>
      </c>
      <c r="I2072">
        <v>50.4</v>
      </c>
      <c r="J2072">
        <v>47.5</v>
      </c>
      <c r="K2072">
        <v>17</v>
      </c>
      <c r="L2072">
        <v>17.3</v>
      </c>
      <c r="M2072">
        <v>25.8</v>
      </c>
      <c r="N2072">
        <v>27.8</v>
      </c>
      <c r="O2072">
        <v>31.3</v>
      </c>
      <c r="P2072">
        <v>23.1</v>
      </c>
      <c r="Q2072">
        <v>49.7</v>
      </c>
      <c r="R2072">
        <v>45.8</v>
      </c>
      <c r="S2072">
        <v>34.6</v>
      </c>
      <c r="T2072">
        <v>33.299999999999997</v>
      </c>
      <c r="U2072">
        <v>70.3</v>
      </c>
      <c r="V2072">
        <v>2.5</v>
      </c>
      <c r="W2072" cm="1">
        <f t="array" ref="W2072">_xlfn.IFS(OR(X2072="N/A",X2072="NA"),0,OR(X2072="R64",X2072="R68"),1,X2072="R32",2,X2072="S16",3,X2072="E8",4,X2072="F4",5,X2072="2ND",6,X2072="Champions",7)</f>
        <v>2</v>
      </c>
      <c r="X2072" t="s">
        <v>420</v>
      </c>
      <c r="Y2072">
        <v>9</v>
      </c>
      <c r="Z2072">
        <v>2019</v>
      </c>
    </row>
    <row r="2073" spans="1:26" x14ac:dyDescent="0.3">
      <c r="A2073" t="s">
        <v>161</v>
      </c>
      <c r="B2073" t="s">
        <v>33</v>
      </c>
      <c r="C2073">
        <v>34</v>
      </c>
      <c r="D2073">
        <v>23</v>
      </c>
      <c r="E2073" s="1">
        <f t="shared" si="32"/>
        <v>0.67647058823529416</v>
      </c>
      <c r="F2073">
        <v>108.5</v>
      </c>
      <c r="G2073">
        <v>88.6</v>
      </c>
      <c r="H2073">
        <v>0.91149999999999998</v>
      </c>
      <c r="I2073">
        <v>48.4</v>
      </c>
      <c r="J2073">
        <v>46.7</v>
      </c>
      <c r="K2073">
        <v>17</v>
      </c>
      <c r="L2073">
        <v>19.5</v>
      </c>
      <c r="M2073">
        <v>34.700000000000003</v>
      </c>
      <c r="N2073">
        <v>25.3</v>
      </c>
      <c r="O2073">
        <v>40.799999999999997</v>
      </c>
      <c r="P2073">
        <v>33.4</v>
      </c>
      <c r="Q2073">
        <v>46.3</v>
      </c>
      <c r="R2073">
        <v>47.1</v>
      </c>
      <c r="S2073">
        <v>35.6</v>
      </c>
      <c r="T2073">
        <v>30.7</v>
      </c>
      <c r="U2073">
        <v>63.9</v>
      </c>
      <c r="V2073">
        <v>3.5</v>
      </c>
      <c r="W2073" cm="1">
        <f t="array" ref="W2073">_xlfn.IFS(OR(X2073="N/A",X2073="NA"),0,OR(X2073="R64",X2073="R68"),1,X2073="R32",2,X2073="S16",3,X2073="E8",4,X2073="F4",5,X2073="2ND",6,X2073="Champions",7)</f>
        <v>2</v>
      </c>
      <c r="X2073" t="s">
        <v>420</v>
      </c>
      <c r="Y2073">
        <v>6</v>
      </c>
      <c r="Z2073">
        <v>2015</v>
      </c>
    </row>
    <row r="2074" spans="1:26" x14ac:dyDescent="0.3">
      <c r="A2074" t="s">
        <v>159</v>
      </c>
      <c r="B2074" t="s">
        <v>33</v>
      </c>
      <c r="C2074">
        <v>33</v>
      </c>
      <c r="D2074">
        <v>22</v>
      </c>
      <c r="E2074" s="1">
        <f t="shared" si="32"/>
        <v>0.66666666666666663</v>
      </c>
      <c r="F2074">
        <v>112.6</v>
      </c>
      <c r="G2074">
        <v>93.5</v>
      </c>
      <c r="H2074">
        <v>0.89449999999999996</v>
      </c>
      <c r="I2074">
        <v>51.3</v>
      </c>
      <c r="J2074">
        <v>47.1</v>
      </c>
      <c r="K2074">
        <v>19.2</v>
      </c>
      <c r="L2074">
        <v>20.2</v>
      </c>
      <c r="M2074">
        <v>34.299999999999997</v>
      </c>
      <c r="N2074">
        <v>31</v>
      </c>
      <c r="O2074">
        <v>43.9</v>
      </c>
      <c r="P2074">
        <v>44.1</v>
      </c>
      <c r="Q2074">
        <v>50.5</v>
      </c>
      <c r="R2074">
        <v>43.1</v>
      </c>
      <c r="S2074">
        <v>35.299999999999997</v>
      </c>
      <c r="T2074">
        <v>36.200000000000003</v>
      </c>
      <c r="U2074">
        <v>64.599999999999994</v>
      </c>
      <c r="V2074">
        <v>3.7</v>
      </c>
      <c r="W2074" cm="1">
        <f t="array" ref="W2074">_xlfn.IFS(OR(X2074="N/A",X2074="NA"),0,OR(X2074="R64",X2074="R68"),1,X2074="R32",2,X2074="S16",3,X2074="E8",4,X2074="F4",5,X2074="2ND",6,X2074="Champions",7)</f>
        <v>2</v>
      </c>
      <c r="X2074" t="s">
        <v>420</v>
      </c>
      <c r="Y2074">
        <v>4</v>
      </c>
      <c r="Z2074">
        <v>2015</v>
      </c>
    </row>
    <row r="2075" spans="1:26" x14ac:dyDescent="0.3">
      <c r="A2075" t="s">
        <v>46</v>
      </c>
      <c r="B2075" t="s">
        <v>33</v>
      </c>
      <c r="C2075">
        <v>36</v>
      </c>
      <c r="D2075">
        <v>33</v>
      </c>
      <c r="E2075" s="1">
        <f t="shared" si="32"/>
        <v>0.91666666666666663</v>
      </c>
      <c r="F2075">
        <v>121.9</v>
      </c>
      <c r="G2075">
        <v>91.1</v>
      </c>
      <c r="H2075">
        <v>0.96630000000000005</v>
      </c>
      <c r="I2075">
        <v>55.3</v>
      </c>
      <c r="J2075">
        <v>45.5</v>
      </c>
      <c r="K2075">
        <v>16.3</v>
      </c>
      <c r="L2075">
        <v>21.6</v>
      </c>
      <c r="M2075">
        <v>32.5</v>
      </c>
      <c r="N2075">
        <v>31.2</v>
      </c>
      <c r="O2075">
        <v>41.8</v>
      </c>
      <c r="P2075">
        <v>30.4</v>
      </c>
      <c r="Q2075">
        <v>53</v>
      </c>
      <c r="R2075">
        <v>45.3</v>
      </c>
      <c r="S2075">
        <v>38.9</v>
      </c>
      <c r="T2075">
        <v>30.5</v>
      </c>
      <c r="U2075">
        <v>64.7</v>
      </c>
      <c r="V2075">
        <v>11.3</v>
      </c>
      <c r="W2075" cm="1">
        <f t="array" ref="W2075">_xlfn.IFS(OR(X2075="N/A",X2075="NA"),0,OR(X2075="R64",X2075="R68"),1,X2075="R32",2,X2075="S16",3,X2075="E8",4,X2075="F4",5,X2075="2ND",6,X2075="Champions",7)</f>
        <v>2</v>
      </c>
      <c r="X2075" t="s">
        <v>420</v>
      </c>
      <c r="Y2075">
        <v>1</v>
      </c>
      <c r="Z2075">
        <v>2015</v>
      </c>
    </row>
    <row r="2076" spans="1:26" x14ac:dyDescent="0.3">
      <c r="A2076" t="s">
        <v>161</v>
      </c>
      <c r="B2076" t="s">
        <v>33</v>
      </c>
      <c r="C2076">
        <v>33</v>
      </c>
      <c r="D2076">
        <v>22</v>
      </c>
      <c r="E2076" s="1">
        <f t="shared" si="32"/>
        <v>0.66666666666666663</v>
      </c>
      <c r="F2076">
        <v>118.2</v>
      </c>
      <c r="G2076">
        <v>98.6</v>
      </c>
      <c r="H2076">
        <v>0.88990000000000002</v>
      </c>
      <c r="I2076">
        <v>52.6</v>
      </c>
      <c r="J2076">
        <v>49.7</v>
      </c>
      <c r="K2076">
        <v>14.5</v>
      </c>
      <c r="L2076">
        <v>18.600000000000001</v>
      </c>
      <c r="M2076">
        <v>32.200000000000003</v>
      </c>
      <c r="N2076">
        <v>27.5</v>
      </c>
      <c r="O2076">
        <v>39.299999999999997</v>
      </c>
      <c r="P2076">
        <v>35.799999999999997</v>
      </c>
      <c r="Q2076">
        <v>49.9</v>
      </c>
      <c r="R2076">
        <v>49.1</v>
      </c>
      <c r="S2076">
        <v>39.299999999999997</v>
      </c>
      <c r="T2076">
        <v>33.799999999999997</v>
      </c>
      <c r="U2076">
        <v>69.2</v>
      </c>
      <c r="V2076">
        <v>2</v>
      </c>
      <c r="W2076" cm="1">
        <f t="array" ref="W2076">_xlfn.IFS(OR(X2076="N/A",X2076="NA"),0,OR(X2076="R64",X2076="R68"),1,X2076="R32",2,X2076="S16",3,X2076="E8",4,X2076="F4",5,X2076="2ND",6,X2076="Champions",7)</f>
        <v>2</v>
      </c>
      <c r="X2076" t="s">
        <v>420</v>
      </c>
      <c r="Y2076">
        <v>9</v>
      </c>
      <c r="Z2076">
        <v>2016</v>
      </c>
    </row>
    <row r="2077" spans="1:26" x14ac:dyDescent="0.3">
      <c r="A2077" t="s">
        <v>162</v>
      </c>
      <c r="B2077" t="s">
        <v>33</v>
      </c>
      <c r="C2077">
        <v>35</v>
      </c>
      <c r="D2077">
        <v>24</v>
      </c>
      <c r="E2077" s="1">
        <f t="shared" si="32"/>
        <v>0.68571428571428572</v>
      </c>
      <c r="F2077">
        <v>108.7</v>
      </c>
      <c r="G2077">
        <v>95.4</v>
      </c>
      <c r="H2077">
        <v>0.81930000000000003</v>
      </c>
      <c r="I2077">
        <v>48</v>
      </c>
      <c r="J2077">
        <v>49.3</v>
      </c>
      <c r="K2077">
        <v>16.100000000000001</v>
      </c>
      <c r="L2077">
        <v>20.6</v>
      </c>
      <c r="M2077">
        <v>30.4</v>
      </c>
      <c r="N2077">
        <v>30.3</v>
      </c>
      <c r="O2077">
        <v>37.299999999999997</v>
      </c>
      <c r="P2077">
        <v>28</v>
      </c>
      <c r="Q2077">
        <v>48</v>
      </c>
      <c r="R2077">
        <v>49.8</v>
      </c>
      <c r="S2077">
        <v>32.1</v>
      </c>
      <c r="T2077">
        <v>32.299999999999997</v>
      </c>
      <c r="U2077">
        <v>69.3</v>
      </c>
      <c r="V2077">
        <v>3.4</v>
      </c>
      <c r="W2077" cm="1">
        <f t="array" ref="W2077">_xlfn.IFS(OR(X2077="N/A",X2077="NA"),0,OR(X2077="R64",X2077="R68"),1,X2077="R32",2,X2077="S16",3,X2077="E8",4,X2077="F4",5,X2077="2ND",6,X2077="Champions",7)</f>
        <v>2</v>
      </c>
      <c r="X2077" t="s">
        <v>420</v>
      </c>
      <c r="Y2077">
        <v>9</v>
      </c>
      <c r="Z2077">
        <v>2016</v>
      </c>
    </row>
    <row r="2078" spans="1:26" x14ac:dyDescent="0.3">
      <c r="A2078" t="s">
        <v>70</v>
      </c>
      <c r="B2078" t="s">
        <v>33</v>
      </c>
      <c r="C2078">
        <v>34</v>
      </c>
      <c r="D2078">
        <v>28</v>
      </c>
      <c r="E2078" s="1">
        <f t="shared" si="32"/>
        <v>0.82352941176470584</v>
      </c>
      <c r="F2078">
        <v>117</v>
      </c>
      <c r="G2078">
        <v>94.3</v>
      </c>
      <c r="H2078">
        <v>0.92290000000000005</v>
      </c>
      <c r="I2078">
        <v>51.4</v>
      </c>
      <c r="J2078">
        <v>47.8</v>
      </c>
      <c r="K2078">
        <v>17.399999999999999</v>
      </c>
      <c r="L2078">
        <v>19.3</v>
      </c>
      <c r="M2078">
        <v>35.200000000000003</v>
      </c>
      <c r="N2078">
        <v>26</v>
      </c>
      <c r="O2078">
        <v>41.7</v>
      </c>
      <c r="P2078">
        <v>33.6</v>
      </c>
      <c r="Q2078">
        <v>49.8</v>
      </c>
      <c r="R2078">
        <v>48.6</v>
      </c>
      <c r="S2078">
        <v>36.299999999999997</v>
      </c>
      <c r="T2078">
        <v>31.1</v>
      </c>
      <c r="U2078">
        <v>72.400000000000006</v>
      </c>
      <c r="V2078">
        <v>7.7</v>
      </c>
      <c r="W2078" cm="1">
        <f t="array" ref="W2078">_xlfn.IFS(OR(X2078="N/A",X2078="NA"),0,OR(X2078="R64",X2078="R68"),1,X2078="R32",2,X2078="S16",3,X2078="E8",4,X2078="F4",5,X2078="2ND",6,X2078="Champions",7)</f>
        <v>2</v>
      </c>
      <c r="X2078" t="s">
        <v>420</v>
      </c>
      <c r="Y2078">
        <v>2</v>
      </c>
      <c r="Z2078">
        <v>2016</v>
      </c>
    </row>
    <row r="2079" spans="1:26" x14ac:dyDescent="0.3">
      <c r="A2079" t="s">
        <v>46</v>
      </c>
      <c r="B2079" t="s">
        <v>33</v>
      </c>
      <c r="C2079">
        <v>36</v>
      </c>
      <c r="D2079">
        <v>32</v>
      </c>
      <c r="E2079" s="1">
        <f t="shared" si="32"/>
        <v>0.88888888888888884</v>
      </c>
      <c r="F2079">
        <v>122.2</v>
      </c>
      <c r="G2079">
        <v>92.5</v>
      </c>
      <c r="H2079">
        <v>0.96109999999999995</v>
      </c>
      <c r="I2079">
        <v>57.5</v>
      </c>
      <c r="J2079">
        <v>48.1</v>
      </c>
      <c r="K2079">
        <v>17.100000000000001</v>
      </c>
      <c r="L2079">
        <v>20.100000000000001</v>
      </c>
      <c r="M2079">
        <v>30.2</v>
      </c>
      <c r="N2079">
        <v>27.8</v>
      </c>
      <c r="O2079">
        <v>35</v>
      </c>
      <c r="P2079">
        <v>22.1</v>
      </c>
      <c r="Q2079">
        <v>59.2</v>
      </c>
      <c r="R2079">
        <v>49.1</v>
      </c>
      <c r="S2079">
        <v>36.9</v>
      </c>
      <c r="T2079">
        <v>31.1</v>
      </c>
      <c r="U2079">
        <v>65.599999999999994</v>
      </c>
      <c r="V2079">
        <v>11.1</v>
      </c>
      <c r="W2079" cm="1">
        <f t="array" ref="W2079">_xlfn.IFS(OR(X2079="N/A",X2079="NA"),0,OR(X2079="R64",X2079="R68"),1,X2079="R32",2,X2079="S16",3,X2079="E8",4,X2079="F4",5,X2079="2ND",6,X2079="Champions",7)</f>
        <v>2</v>
      </c>
      <c r="X2079" t="s">
        <v>420</v>
      </c>
      <c r="Y2079">
        <v>1</v>
      </c>
      <c r="Z2079">
        <v>2017</v>
      </c>
    </row>
    <row r="2080" spans="1:26" x14ac:dyDescent="0.3">
      <c r="A2080" t="s">
        <v>161</v>
      </c>
      <c r="B2080" t="s">
        <v>33</v>
      </c>
      <c r="C2080">
        <v>35</v>
      </c>
      <c r="D2080">
        <v>21</v>
      </c>
      <c r="E2080" s="1">
        <f t="shared" si="32"/>
        <v>0.6</v>
      </c>
      <c r="F2080">
        <v>116.1</v>
      </c>
      <c r="G2080">
        <v>95.3</v>
      </c>
      <c r="H2080">
        <v>0.90680000000000005</v>
      </c>
      <c r="I2080">
        <v>54</v>
      </c>
      <c r="J2080">
        <v>51.9</v>
      </c>
      <c r="K2080">
        <v>15.7</v>
      </c>
      <c r="L2080">
        <v>19.5</v>
      </c>
      <c r="M2080">
        <v>27.6</v>
      </c>
      <c r="N2080">
        <v>24.6</v>
      </c>
      <c r="O2080">
        <v>26.1</v>
      </c>
      <c r="P2080">
        <v>35.299999999999997</v>
      </c>
      <c r="Q2080">
        <v>54.3</v>
      </c>
      <c r="R2080">
        <v>49.5</v>
      </c>
      <c r="S2080">
        <v>35.700000000000003</v>
      </c>
      <c r="T2080">
        <v>37.299999999999997</v>
      </c>
      <c r="U2080">
        <v>69.099999999999994</v>
      </c>
      <c r="V2080">
        <v>1.7</v>
      </c>
      <c r="W2080" cm="1">
        <f t="array" ref="W2080">_xlfn.IFS(OR(X2080="N/A",X2080="NA"),0,OR(X2080="R64",X2080="R68"),1,X2080="R32",2,X2080="S16",3,X2080="E8",4,X2080="F4",5,X2080="2ND",6,X2080="Champions",7)</f>
        <v>2</v>
      </c>
      <c r="X2080" t="s">
        <v>420</v>
      </c>
      <c r="Y2080">
        <v>10</v>
      </c>
      <c r="Z2080">
        <v>2018</v>
      </c>
    </row>
    <row r="2081" spans="1:26" x14ac:dyDescent="0.3">
      <c r="A2081" t="s">
        <v>158</v>
      </c>
      <c r="B2081" t="s">
        <v>33</v>
      </c>
      <c r="C2081">
        <v>34</v>
      </c>
      <c r="D2081">
        <v>22</v>
      </c>
      <c r="E2081" s="1">
        <f t="shared" si="32"/>
        <v>0.6470588235294118</v>
      </c>
      <c r="F2081">
        <v>117.8</v>
      </c>
      <c r="G2081">
        <v>98.2</v>
      </c>
      <c r="H2081">
        <v>0.89019999999999999</v>
      </c>
      <c r="I2081">
        <v>52.9</v>
      </c>
      <c r="J2081">
        <v>50.3</v>
      </c>
      <c r="K2081">
        <v>17.8</v>
      </c>
      <c r="L2081">
        <v>17.7</v>
      </c>
      <c r="M2081">
        <v>34.299999999999997</v>
      </c>
      <c r="N2081">
        <v>28.4</v>
      </c>
      <c r="O2081">
        <v>35.200000000000003</v>
      </c>
      <c r="P2081">
        <v>29.8</v>
      </c>
      <c r="Q2081">
        <v>52</v>
      </c>
      <c r="R2081">
        <v>50</v>
      </c>
      <c r="S2081">
        <v>36.5</v>
      </c>
      <c r="T2081">
        <v>33.799999999999997</v>
      </c>
      <c r="U2081">
        <v>70.7</v>
      </c>
      <c r="V2081">
        <v>2.5</v>
      </c>
      <c r="W2081" cm="1">
        <f t="array" ref="W2081">_xlfn.IFS(OR(X2081="N/A",X2081="NA"),0,OR(X2081="R64",X2081="R68"),1,X2081="R32",2,X2081="S16",3,X2081="E8",4,X2081="F4",5,X2081="2ND",6,X2081="Champions",7)</f>
        <v>2</v>
      </c>
      <c r="X2081" t="s">
        <v>420</v>
      </c>
      <c r="Y2081">
        <v>8</v>
      </c>
      <c r="Z2081">
        <v>2018</v>
      </c>
    </row>
    <row r="2082" spans="1:26" x14ac:dyDescent="0.3">
      <c r="A2082" t="s">
        <v>70</v>
      </c>
      <c r="B2082" t="s">
        <v>33</v>
      </c>
      <c r="C2082">
        <v>35</v>
      </c>
      <c r="D2082">
        <v>29</v>
      </c>
      <c r="E2082" s="1">
        <f t="shared" si="32"/>
        <v>0.82857142857142863</v>
      </c>
      <c r="F2082">
        <v>120.9</v>
      </c>
      <c r="G2082">
        <v>97.7</v>
      </c>
      <c r="H2082">
        <v>0.92110000000000003</v>
      </c>
      <c r="I2082">
        <v>55.9</v>
      </c>
      <c r="J2082">
        <v>49.9</v>
      </c>
      <c r="K2082">
        <v>17.2</v>
      </c>
      <c r="L2082">
        <v>15.7</v>
      </c>
      <c r="M2082">
        <v>30.2</v>
      </c>
      <c r="N2082">
        <v>23.1</v>
      </c>
      <c r="O2082">
        <v>41</v>
      </c>
      <c r="P2082">
        <v>25.6</v>
      </c>
      <c r="Q2082">
        <v>55.9</v>
      </c>
      <c r="R2082">
        <v>49.8</v>
      </c>
      <c r="S2082">
        <v>37.200000000000003</v>
      </c>
      <c r="T2082">
        <v>33.4</v>
      </c>
      <c r="U2082">
        <v>71.7</v>
      </c>
      <c r="V2082">
        <v>8.8000000000000007</v>
      </c>
      <c r="W2082" cm="1">
        <f t="array" ref="W2082">_xlfn.IFS(OR(X2082="N/A",X2082="NA"),0,OR(X2082="R64",X2082="R68"),1,X2082="R32",2,X2082="S16",3,X2082="E8",4,X2082="F4",5,X2082="2ND",6,X2082="Champions",7)</f>
        <v>2</v>
      </c>
      <c r="X2082" t="s">
        <v>420</v>
      </c>
      <c r="Y2082">
        <v>1</v>
      </c>
      <c r="Z2082">
        <v>2018</v>
      </c>
    </row>
    <row r="2083" spans="1:26" x14ac:dyDescent="0.3">
      <c r="A2083" t="s">
        <v>46</v>
      </c>
      <c r="B2083" t="s">
        <v>33</v>
      </c>
      <c r="C2083">
        <v>36</v>
      </c>
      <c r="D2083">
        <v>26</v>
      </c>
      <c r="E2083" s="1">
        <f t="shared" si="32"/>
        <v>0.72222222222222221</v>
      </c>
      <c r="F2083">
        <v>114.6</v>
      </c>
      <c r="G2083">
        <v>98.9</v>
      </c>
      <c r="H2083">
        <v>0.8448</v>
      </c>
      <c r="I2083">
        <v>53.2</v>
      </c>
      <c r="J2083">
        <v>50.4</v>
      </c>
      <c r="K2083">
        <v>16.899999999999999</v>
      </c>
      <c r="L2083">
        <v>18</v>
      </c>
      <c r="M2083">
        <v>30.3</v>
      </c>
      <c r="N2083">
        <v>27.7</v>
      </c>
      <c r="O2083">
        <v>34.4</v>
      </c>
      <c r="P2083">
        <v>28.2</v>
      </c>
      <c r="Q2083">
        <v>53.7</v>
      </c>
      <c r="R2083">
        <v>49.7</v>
      </c>
      <c r="S2083">
        <v>35.200000000000003</v>
      </c>
      <c r="T2083">
        <v>34.299999999999997</v>
      </c>
      <c r="U2083">
        <v>65.099999999999994</v>
      </c>
      <c r="V2083">
        <v>3.6</v>
      </c>
      <c r="W2083" cm="1">
        <f t="array" ref="W2083">_xlfn.IFS(OR(X2083="N/A",X2083="NA"),0,OR(X2083="R64",X2083="R68"),1,X2083="R32",2,X2083="S16",3,X2083="E8",4,X2083="F4",5,X2083="2ND",6,X2083="Champions",7)</f>
        <v>2</v>
      </c>
      <c r="X2083" t="s">
        <v>420</v>
      </c>
      <c r="Y2083">
        <v>6</v>
      </c>
      <c r="Z2083">
        <v>2019</v>
      </c>
    </row>
    <row r="2084" spans="1:26" x14ac:dyDescent="0.3">
      <c r="A2084" t="s">
        <v>180</v>
      </c>
      <c r="B2084" t="s">
        <v>74</v>
      </c>
      <c r="C2084">
        <v>33</v>
      </c>
      <c r="D2084">
        <v>29</v>
      </c>
      <c r="E2084" s="1">
        <f t="shared" si="32"/>
        <v>0.87878787878787878</v>
      </c>
      <c r="F2084">
        <v>109.2</v>
      </c>
      <c r="G2084">
        <v>99.6</v>
      </c>
      <c r="H2084">
        <v>0.74280000000000002</v>
      </c>
      <c r="I2084">
        <v>55.9</v>
      </c>
      <c r="J2084">
        <v>48.9</v>
      </c>
      <c r="K2084">
        <v>17.2</v>
      </c>
      <c r="L2084">
        <v>20.5</v>
      </c>
      <c r="M2084">
        <v>25.2</v>
      </c>
      <c r="N2084">
        <v>26.4</v>
      </c>
      <c r="O2084">
        <v>26.7</v>
      </c>
      <c r="P2084">
        <v>32.700000000000003</v>
      </c>
      <c r="Q2084">
        <v>56.4</v>
      </c>
      <c r="R2084">
        <v>48.3</v>
      </c>
      <c r="S2084">
        <v>36.799999999999997</v>
      </c>
      <c r="T2084">
        <v>33.299999999999997</v>
      </c>
      <c r="U2084">
        <v>63.5</v>
      </c>
      <c r="V2084">
        <v>-0.6</v>
      </c>
      <c r="W2084" cm="1">
        <f t="array" ref="W2084">_xlfn.IFS(OR(X2084="N/A",X2084="NA"),0,OR(X2084="R64",X2084="R68"),1,X2084="R32",2,X2084="S16",3,X2084="E8",4,X2084="F4",5,X2084="2ND",6,X2084="Champions",7)</f>
        <v>2</v>
      </c>
      <c r="X2084" t="s">
        <v>420</v>
      </c>
      <c r="Y2084">
        <v>12</v>
      </c>
      <c r="Z2084">
        <v>2019</v>
      </c>
    </row>
    <row r="2085" spans="1:26" x14ac:dyDescent="0.3">
      <c r="A2085" t="s">
        <v>191</v>
      </c>
      <c r="B2085" t="s">
        <v>48</v>
      </c>
      <c r="C2085">
        <v>32</v>
      </c>
      <c r="D2085">
        <v>26</v>
      </c>
      <c r="E2085" s="1">
        <f t="shared" si="32"/>
        <v>0.8125</v>
      </c>
      <c r="F2085">
        <v>106.9</v>
      </c>
      <c r="G2085">
        <v>95</v>
      </c>
      <c r="H2085">
        <v>0.79449999999999998</v>
      </c>
      <c r="I2085">
        <v>51.9</v>
      </c>
      <c r="J2085">
        <v>44.9</v>
      </c>
      <c r="K2085">
        <v>18.100000000000001</v>
      </c>
      <c r="L2085">
        <v>19.8</v>
      </c>
      <c r="M2085">
        <v>30.4</v>
      </c>
      <c r="N2085">
        <v>26.4</v>
      </c>
      <c r="O2085">
        <v>45.4</v>
      </c>
      <c r="P2085">
        <v>40.200000000000003</v>
      </c>
      <c r="Q2085">
        <v>54.1</v>
      </c>
      <c r="R2085">
        <v>44.8</v>
      </c>
      <c r="S2085">
        <v>32.200000000000003</v>
      </c>
      <c r="T2085">
        <v>30</v>
      </c>
      <c r="U2085">
        <v>71.400000000000006</v>
      </c>
      <c r="V2085">
        <v>0.8</v>
      </c>
      <c r="W2085" cm="1">
        <f t="array" ref="W2085">_xlfn.IFS(OR(X2085="N/A",X2085="NA"),0,OR(X2085="R64",X2085="R68"),1,X2085="R32",2,X2085="S16",3,X2085="E8",4,X2085="F4",5,X2085="2ND",6,X2085="Champions",7)</f>
        <v>2</v>
      </c>
      <c r="X2085" t="s">
        <v>420</v>
      </c>
      <c r="Y2085">
        <v>13</v>
      </c>
      <c r="Z2085">
        <v>2016</v>
      </c>
    </row>
    <row r="2086" spans="1:26" x14ac:dyDescent="0.3">
      <c r="A2086" t="s">
        <v>196</v>
      </c>
      <c r="B2086" t="s">
        <v>48</v>
      </c>
      <c r="C2086">
        <v>36</v>
      </c>
      <c r="D2086">
        <v>31</v>
      </c>
      <c r="E2086" s="1">
        <f t="shared" si="32"/>
        <v>0.86111111111111116</v>
      </c>
      <c r="F2086">
        <v>107.2</v>
      </c>
      <c r="G2086">
        <v>97.6</v>
      </c>
      <c r="H2086">
        <v>0.74580000000000002</v>
      </c>
      <c r="I2086">
        <v>51.3</v>
      </c>
      <c r="J2086">
        <v>44.1</v>
      </c>
      <c r="K2086">
        <v>17.5</v>
      </c>
      <c r="L2086">
        <v>16.7</v>
      </c>
      <c r="M2086">
        <v>33.700000000000003</v>
      </c>
      <c r="N2086">
        <v>27</v>
      </c>
      <c r="O2086">
        <v>28.7</v>
      </c>
      <c r="P2086">
        <v>33</v>
      </c>
      <c r="Q2086">
        <v>50.1</v>
      </c>
      <c r="R2086">
        <v>40.700000000000003</v>
      </c>
      <c r="S2086">
        <v>35.9</v>
      </c>
      <c r="T2086">
        <v>33.9</v>
      </c>
      <c r="U2086">
        <v>66.599999999999994</v>
      </c>
      <c r="V2086">
        <v>0.7</v>
      </c>
      <c r="W2086" cm="1">
        <f t="array" ref="W2086">_xlfn.IFS(OR(X2086="N/A",X2086="NA"),0,OR(X2086="R64",X2086="R68"),1,X2086="R32",2,X2086="S16",3,X2086="E8",4,X2086="F4",5,X2086="2ND",6,X2086="Champions",7)</f>
        <v>2</v>
      </c>
      <c r="X2086" t="s">
        <v>420</v>
      </c>
      <c r="Y2086">
        <v>13</v>
      </c>
      <c r="Z2086">
        <v>2019</v>
      </c>
    </row>
    <row r="2087" spans="1:26" x14ac:dyDescent="0.3">
      <c r="A2087" t="s">
        <v>220</v>
      </c>
      <c r="B2087" t="s">
        <v>40</v>
      </c>
      <c r="C2087">
        <v>35</v>
      </c>
      <c r="D2087">
        <v>19</v>
      </c>
      <c r="E2087" s="1">
        <f t="shared" si="32"/>
        <v>0.54285714285714282</v>
      </c>
      <c r="F2087">
        <v>102.7</v>
      </c>
      <c r="G2087">
        <v>100.1</v>
      </c>
      <c r="H2087">
        <v>0.57210000000000005</v>
      </c>
      <c r="I2087">
        <v>47.6</v>
      </c>
      <c r="J2087">
        <v>47.6</v>
      </c>
      <c r="K2087">
        <v>20.100000000000001</v>
      </c>
      <c r="L2087">
        <v>19.7</v>
      </c>
      <c r="M2087">
        <v>34.200000000000003</v>
      </c>
      <c r="N2087">
        <v>33.1</v>
      </c>
      <c r="O2087">
        <v>35.700000000000003</v>
      </c>
      <c r="P2087">
        <v>33.6</v>
      </c>
      <c r="Q2087">
        <v>46.6</v>
      </c>
      <c r="R2087">
        <v>47.4</v>
      </c>
      <c r="S2087">
        <v>33.200000000000003</v>
      </c>
      <c r="T2087">
        <v>31.9</v>
      </c>
      <c r="U2087">
        <v>65.3</v>
      </c>
      <c r="V2087">
        <v>-7.5</v>
      </c>
      <c r="W2087" cm="1">
        <f t="array" ref="W2087">_xlfn.IFS(OR(X2087="N/A",X2087="NA"),0,OR(X2087="R64",X2087="R68"),1,X2087="R32",2,X2087="S16",3,X2087="E8",4,X2087="F4",5,X2087="2ND",6,X2087="Champions",7)</f>
        <v>2</v>
      </c>
      <c r="X2087" t="s">
        <v>420</v>
      </c>
      <c r="Y2087">
        <v>14</v>
      </c>
      <c r="Z2087">
        <v>2015</v>
      </c>
    </row>
    <row r="2088" spans="1:26" x14ac:dyDescent="0.3">
      <c r="A2088" t="s">
        <v>212</v>
      </c>
      <c r="B2088" t="s">
        <v>40</v>
      </c>
      <c r="C2088">
        <v>33</v>
      </c>
      <c r="D2088">
        <v>23</v>
      </c>
      <c r="E2088" s="1">
        <f t="shared" si="32"/>
        <v>0.69696969696969702</v>
      </c>
      <c r="F2088">
        <v>103.9</v>
      </c>
      <c r="G2088">
        <v>99.5</v>
      </c>
      <c r="H2088">
        <v>0.62239999999999995</v>
      </c>
      <c r="I2088">
        <v>51.7</v>
      </c>
      <c r="J2088">
        <v>49.4</v>
      </c>
      <c r="K2088">
        <v>17.100000000000001</v>
      </c>
      <c r="L2088">
        <v>19.399999999999999</v>
      </c>
      <c r="M2088">
        <v>28.7</v>
      </c>
      <c r="N2088">
        <v>25.7</v>
      </c>
      <c r="O2088">
        <v>34.9</v>
      </c>
      <c r="P2088">
        <v>42.4</v>
      </c>
      <c r="Q2088">
        <v>47.8</v>
      </c>
      <c r="R2088">
        <v>48</v>
      </c>
      <c r="S2088">
        <v>39.200000000000003</v>
      </c>
      <c r="T2088">
        <v>34.700000000000003</v>
      </c>
      <c r="U2088">
        <v>68.5</v>
      </c>
      <c r="V2088">
        <v>-3.2</v>
      </c>
      <c r="W2088" cm="1">
        <f t="array" ref="W2088">_xlfn.IFS(OR(X2088="N/A",X2088="NA"),0,OR(X2088="R64",X2088="R68"),1,X2088="R32",2,X2088="S16",3,X2088="E8",4,X2088="F4",5,X2088="2ND",6,X2088="Champions",7)</f>
        <v>2</v>
      </c>
      <c r="X2088" t="s">
        <v>420</v>
      </c>
      <c r="Y2088">
        <v>15</v>
      </c>
      <c r="Z2088">
        <v>2016</v>
      </c>
    </row>
    <row r="2089" spans="1:26" x14ac:dyDescent="0.3">
      <c r="A2089" t="s">
        <v>212</v>
      </c>
      <c r="B2089" t="s">
        <v>40</v>
      </c>
      <c r="C2089">
        <v>35</v>
      </c>
      <c r="D2089">
        <v>31</v>
      </c>
      <c r="E2089" s="1">
        <f t="shared" si="32"/>
        <v>0.88571428571428568</v>
      </c>
      <c r="F2089">
        <v>111.2</v>
      </c>
      <c r="G2089">
        <v>96.6</v>
      </c>
      <c r="H2089">
        <v>0.83389999999999997</v>
      </c>
      <c r="I2089">
        <v>54.1</v>
      </c>
      <c r="J2089">
        <v>47.9</v>
      </c>
      <c r="K2089">
        <v>15.6</v>
      </c>
      <c r="L2089">
        <v>19.8</v>
      </c>
      <c r="M2089">
        <v>30.1</v>
      </c>
      <c r="N2089">
        <v>23.8</v>
      </c>
      <c r="O2089">
        <v>30</v>
      </c>
      <c r="P2089">
        <v>38.200000000000003</v>
      </c>
      <c r="Q2089">
        <v>53.6</v>
      </c>
      <c r="R2089">
        <v>47.1</v>
      </c>
      <c r="S2089">
        <v>36.9</v>
      </c>
      <c r="T2089">
        <v>32.799999999999997</v>
      </c>
      <c r="U2089">
        <v>65.8</v>
      </c>
      <c r="V2089">
        <v>2</v>
      </c>
      <c r="W2089" cm="1">
        <f t="array" ref="W2089">_xlfn.IFS(OR(X2089="N/A",X2089="NA"),0,OR(X2089="R64",X2089="R68"),1,X2089="R32",2,X2089="S16",3,X2089="E8",4,X2089="F4",5,X2089="2ND",6,X2089="Champions",7)</f>
        <v>2</v>
      </c>
      <c r="X2089" t="s">
        <v>420</v>
      </c>
      <c r="Y2089">
        <v>12</v>
      </c>
      <c r="Z2089">
        <v>2017</v>
      </c>
    </row>
    <row r="2090" spans="1:26" x14ac:dyDescent="0.3">
      <c r="A2090" t="s">
        <v>211</v>
      </c>
      <c r="B2090" t="s">
        <v>40</v>
      </c>
      <c r="C2090">
        <v>35</v>
      </c>
      <c r="D2090">
        <v>25</v>
      </c>
      <c r="E2090" s="1">
        <f t="shared" si="32"/>
        <v>0.7142857142857143</v>
      </c>
      <c r="F2090">
        <v>108.8</v>
      </c>
      <c r="G2090">
        <v>102.5</v>
      </c>
      <c r="H2090">
        <v>0.6633</v>
      </c>
      <c r="I2090">
        <v>54.7</v>
      </c>
      <c r="J2090">
        <v>49.9</v>
      </c>
      <c r="K2090">
        <v>17.2</v>
      </c>
      <c r="L2090">
        <v>18.399999999999999</v>
      </c>
      <c r="M2090">
        <v>22.4</v>
      </c>
      <c r="N2090">
        <v>32.299999999999997</v>
      </c>
      <c r="O2090">
        <v>33.1</v>
      </c>
      <c r="P2090">
        <v>28.9</v>
      </c>
      <c r="Q2090">
        <v>55.5</v>
      </c>
      <c r="R2090">
        <v>48.7</v>
      </c>
      <c r="S2090">
        <v>35.9</v>
      </c>
      <c r="T2090">
        <v>35</v>
      </c>
      <c r="U2090">
        <v>75.900000000000006</v>
      </c>
      <c r="V2090">
        <v>-2.5</v>
      </c>
      <c r="W2090" cm="1">
        <f t="array" ref="W2090">_xlfn.IFS(OR(X2090="N/A",X2090="NA"),0,OR(X2090="R64",X2090="R68"),1,X2090="R32",2,X2090="S16",3,X2090="E8",4,X2090="F4",5,X2090="2ND",6,X2090="Champions",7)</f>
        <v>2</v>
      </c>
      <c r="X2090" t="s">
        <v>420</v>
      </c>
      <c r="Y2090">
        <v>13</v>
      </c>
      <c r="Z2090">
        <v>2018</v>
      </c>
    </row>
    <row r="2091" spans="1:26" x14ac:dyDescent="0.3">
      <c r="A2091" t="s">
        <v>238</v>
      </c>
      <c r="B2091" t="s">
        <v>59</v>
      </c>
      <c r="C2091">
        <v>29</v>
      </c>
      <c r="D2091">
        <v>22</v>
      </c>
      <c r="E2091" s="1">
        <f t="shared" si="32"/>
        <v>0.75862068965517238</v>
      </c>
      <c r="F2091">
        <v>109.1</v>
      </c>
      <c r="G2091">
        <v>95.6</v>
      </c>
      <c r="H2091">
        <v>0.82089999999999996</v>
      </c>
      <c r="I2091">
        <v>52.2</v>
      </c>
      <c r="J2091">
        <v>46.7</v>
      </c>
      <c r="K2091">
        <v>19.899999999999999</v>
      </c>
      <c r="L2091">
        <v>17.8</v>
      </c>
      <c r="M2091">
        <v>39.299999999999997</v>
      </c>
      <c r="N2091">
        <v>24.3</v>
      </c>
      <c r="O2091">
        <v>41.7</v>
      </c>
      <c r="P2091">
        <v>33.299999999999997</v>
      </c>
      <c r="Q2091">
        <v>51.4</v>
      </c>
      <c r="R2091">
        <v>45.5</v>
      </c>
      <c r="S2091">
        <v>36</v>
      </c>
      <c r="T2091">
        <v>32.700000000000003</v>
      </c>
      <c r="U2091">
        <v>66.8</v>
      </c>
      <c r="V2091">
        <v>-0.1</v>
      </c>
      <c r="W2091" cm="1">
        <f t="array" ref="W2091">_xlfn.IFS(OR(X2091="N/A",X2091="NA"),0,OR(X2091="R64",X2091="R68"),1,X2091="R32",2,X2091="S16",3,X2091="E8",4,X2091="F4",5,X2091="2ND",6,X2091="Champions",7)</f>
        <v>2</v>
      </c>
      <c r="X2091" t="s">
        <v>420</v>
      </c>
      <c r="Y2091">
        <v>12</v>
      </c>
      <c r="Z2091">
        <v>2016</v>
      </c>
    </row>
    <row r="2092" spans="1:26" x14ac:dyDescent="0.3">
      <c r="A2092" t="s">
        <v>262</v>
      </c>
      <c r="B2092" t="s">
        <v>57</v>
      </c>
      <c r="C2092">
        <v>35</v>
      </c>
      <c r="D2092">
        <v>27</v>
      </c>
      <c r="E2092" s="1">
        <f t="shared" si="32"/>
        <v>0.77142857142857146</v>
      </c>
      <c r="F2092">
        <v>114.5</v>
      </c>
      <c r="G2092">
        <v>102.7</v>
      </c>
      <c r="H2092">
        <v>0.77610000000000001</v>
      </c>
      <c r="I2092">
        <v>54.8</v>
      </c>
      <c r="J2092">
        <v>48.8</v>
      </c>
      <c r="K2092">
        <v>16.5</v>
      </c>
      <c r="L2092">
        <v>18.100000000000001</v>
      </c>
      <c r="M2092">
        <v>31.9</v>
      </c>
      <c r="N2092">
        <v>29.1</v>
      </c>
      <c r="O2092">
        <v>29.9</v>
      </c>
      <c r="P2092">
        <v>39.5</v>
      </c>
      <c r="Q2092">
        <v>54.3</v>
      </c>
      <c r="R2092">
        <v>48.4</v>
      </c>
      <c r="S2092">
        <v>37.1</v>
      </c>
      <c r="T2092">
        <v>33.1</v>
      </c>
      <c r="U2092">
        <v>73.8</v>
      </c>
      <c r="V2092">
        <v>-1.3</v>
      </c>
      <c r="W2092" cm="1">
        <f t="array" ref="W2092">_xlfn.IFS(OR(X2092="N/A",X2092="NA"),0,OR(X2092="R64",X2092="R68"),1,X2092="R32",2,X2092="S16",3,X2092="E8",4,X2092="F4",5,X2092="2ND",6,X2092="Champions",7)</f>
        <v>2</v>
      </c>
      <c r="X2092" t="s">
        <v>420</v>
      </c>
      <c r="Y2092">
        <v>13</v>
      </c>
      <c r="Z2092">
        <v>2018</v>
      </c>
    </row>
    <row r="2093" spans="1:26" x14ac:dyDescent="0.3">
      <c r="A2093" t="s">
        <v>262</v>
      </c>
      <c r="B2093" t="s">
        <v>57</v>
      </c>
      <c r="C2093">
        <v>35</v>
      </c>
      <c r="D2093">
        <v>32</v>
      </c>
      <c r="E2093" s="1">
        <f t="shared" si="32"/>
        <v>0.91428571428571426</v>
      </c>
      <c r="F2093">
        <v>113.6</v>
      </c>
      <c r="G2093">
        <v>95.3</v>
      </c>
      <c r="H2093">
        <v>0.88190000000000002</v>
      </c>
      <c r="I2093">
        <v>53.4</v>
      </c>
      <c r="J2093">
        <v>47.3</v>
      </c>
      <c r="K2093">
        <v>16</v>
      </c>
      <c r="L2093">
        <v>20.3</v>
      </c>
      <c r="M2093">
        <v>31.7</v>
      </c>
      <c r="N2093">
        <v>26.9</v>
      </c>
      <c r="O2093">
        <v>32.700000000000003</v>
      </c>
      <c r="P2093">
        <v>31.9</v>
      </c>
      <c r="Q2093">
        <v>55.7</v>
      </c>
      <c r="R2093">
        <v>49.3</v>
      </c>
      <c r="S2093">
        <v>33.700000000000003</v>
      </c>
      <c r="T2093">
        <v>29.3</v>
      </c>
      <c r="U2093">
        <v>74.900000000000006</v>
      </c>
      <c r="V2093">
        <v>5.5</v>
      </c>
      <c r="W2093" cm="1">
        <f t="array" ref="W2093">_xlfn.IFS(OR(X2093="N/A",X2093="NA"),0,OR(X2093="R64",X2093="R68"),1,X2093="R32",2,X2093="S16",3,X2093="E8",4,X2093="F4",5,X2093="2ND",6,X2093="Champions",7)</f>
        <v>2</v>
      </c>
      <c r="X2093" t="s">
        <v>420</v>
      </c>
      <c r="Y2093">
        <v>6</v>
      </c>
      <c r="Z2093">
        <v>2019</v>
      </c>
    </row>
    <row r="2094" spans="1:26" x14ac:dyDescent="0.3">
      <c r="A2094" t="s">
        <v>282</v>
      </c>
      <c r="B2094" t="s">
        <v>47</v>
      </c>
      <c r="C2094">
        <v>35</v>
      </c>
      <c r="D2094">
        <v>31</v>
      </c>
      <c r="E2094" s="1">
        <f t="shared" si="32"/>
        <v>0.88571428571428568</v>
      </c>
      <c r="F2094">
        <v>115.4</v>
      </c>
      <c r="G2094">
        <v>93</v>
      </c>
      <c r="H2094">
        <v>0.92279999999999995</v>
      </c>
      <c r="I2094">
        <v>55.9</v>
      </c>
      <c r="J2094">
        <v>45.6</v>
      </c>
      <c r="K2094">
        <v>17.8</v>
      </c>
      <c r="L2094">
        <v>19.2</v>
      </c>
      <c r="M2094">
        <v>27</v>
      </c>
      <c r="N2094">
        <v>26.9</v>
      </c>
      <c r="O2094">
        <v>39.799999999999997</v>
      </c>
      <c r="P2094">
        <v>27</v>
      </c>
      <c r="Q2094">
        <v>53.3</v>
      </c>
      <c r="R2094">
        <v>44</v>
      </c>
      <c r="S2094">
        <v>39.799999999999997</v>
      </c>
      <c r="T2094">
        <v>32.1</v>
      </c>
      <c r="U2094">
        <v>58.5</v>
      </c>
      <c r="V2094">
        <v>5.3</v>
      </c>
      <c r="W2094" cm="1">
        <f t="array" ref="W2094">_xlfn.IFS(OR(X2094="N/A",X2094="NA"),0,OR(X2094="R64",X2094="R68"),1,X2094="R32",2,X2094="S16",3,X2094="E8",4,X2094="F4",5,X2094="2ND",6,X2094="Champions",7)</f>
        <v>2</v>
      </c>
      <c r="X2094" t="s">
        <v>420</v>
      </c>
      <c r="Y2094">
        <v>5</v>
      </c>
      <c r="Z2094">
        <v>2015</v>
      </c>
    </row>
    <row r="2095" spans="1:26" x14ac:dyDescent="0.3">
      <c r="A2095" t="s">
        <v>282</v>
      </c>
      <c r="B2095" t="s">
        <v>47</v>
      </c>
      <c r="C2095">
        <v>35</v>
      </c>
      <c r="D2095">
        <v>22</v>
      </c>
      <c r="E2095" s="1">
        <f t="shared" si="32"/>
        <v>0.62857142857142856</v>
      </c>
      <c r="F2095">
        <v>109.7</v>
      </c>
      <c r="G2095">
        <v>96.7</v>
      </c>
      <c r="H2095">
        <v>0.81089999999999995</v>
      </c>
      <c r="I2095">
        <v>53.2</v>
      </c>
      <c r="J2095">
        <v>48.7</v>
      </c>
      <c r="K2095">
        <v>15.2</v>
      </c>
      <c r="L2095">
        <v>18.5</v>
      </c>
      <c r="M2095">
        <v>17.7</v>
      </c>
      <c r="N2095">
        <v>27.4</v>
      </c>
      <c r="O2095">
        <v>34.1</v>
      </c>
      <c r="P2095">
        <v>24.8</v>
      </c>
      <c r="Q2095">
        <v>51.3</v>
      </c>
      <c r="R2095">
        <v>48.9</v>
      </c>
      <c r="S2095">
        <v>37.200000000000003</v>
      </c>
      <c r="T2095">
        <v>32.4</v>
      </c>
      <c r="U2095">
        <v>63.7</v>
      </c>
      <c r="V2095">
        <v>-2.1</v>
      </c>
      <c r="W2095" cm="1">
        <f t="array" ref="W2095">_xlfn.IFS(OR(X2095="N/A",X2095="NA"),0,OR(X2095="R64",X2095="R68"),1,X2095="R32",2,X2095="S16",3,X2095="E8",4,X2095="F4",5,X2095="2ND",6,X2095="Champions",7)</f>
        <v>2</v>
      </c>
      <c r="X2095" t="s">
        <v>420</v>
      </c>
      <c r="Y2095">
        <v>11</v>
      </c>
      <c r="Z2095">
        <v>2016</v>
      </c>
    </row>
    <row r="2096" spans="1:26" x14ac:dyDescent="0.3">
      <c r="A2096" t="s">
        <v>88</v>
      </c>
      <c r="B2096" t="s">
        <v>47</v>
      </c>
      <c r="C2096">
        <v>34</v>
      </c>
      <c r="D2096">
        <v>25</v>
      </c>
      <c r="E2096" s="1">
        <f t="shared" si="32"/>
        <v>0.73529411764705888</v>
      </c>
      <c r="F2096">
        <v>110.3</v>
      </c>
      <c r="G2096">
        <v>87.8</v>
      </c>
      <c r="H2096">
        <v>0.93210000000000004</v>
      </c>
      <c r="I2096">
        <v>48.9</v>
      </c>
      <c r="J2096">
        <v>44.7</v>
      </c>
      <c r="K2096">
        <v>14.7</v>
      </c>
      <c r="L2096">
        <v>23.2</v>
      </c>
      <c r="M2096">
        <v>31.7</v>
      </c>
      <c r="N2096">
        <v>23.6</v>
      </c>
      <c r="O2096">
        <v>37.4</v>
      </c>
      <c r="P2096">
        <v>45.4</v>
      </c>
      <c r="Q2096">
        <v>49.2</v>
      </c>
      <c r="R2096">
        <v>42.1</v>
      </c>
      <c r="S2096">
        <v>32.299999999999997</v>
      </c>
      <c r="T2096">
        <v>32.700000000000003</v>
      </c>
      <c r="U2096">
        <v>66.8</v>
      </c>
      <c r="V2096">
        <v>0.2</v>
      </c>
      <c r="W2096" cm="1">
        <f t="array" ref="W2096">_xlfn.IFS(OR(X2096="N/A",X2096="NA"),0,OR(X2096="R64",X2096="R68"),1,X2096="R32",2,X2096="S16",3,X2096="E8",4,X2096="F4",5,X2096="2ND",6,X2096="Champions",7)</f>
        <v>2</v>
      </c>
      <c r="X2096" t="s">
        <v>420</v>
      </c>
      <c r="Y2096">
        <v>11</v>
      </c>
      <c r="Z2096">
        <v>2016</v>
      </c>
    </row>
    <row r="2097" spans="1:26" x14ac:dyDescent="0.3">
      <c r="A2097" t="s">
        <v>88</v>
      </c>
      <c r="B2097" t="s">
        <v>47</v>
      </c>
      <c r="C2097">
        <v>35</v>
      </c>
      <c r="D2097">
        <v>31</v>
      </c>
      <c r="E2097" s="1">
        <f t="shared" si="32"/>
        <v>0.88571428571428568</v>
      </c>
      <c r="F2097">
        <v>117.2</v>
      </c>
      <c r="G2097">
        <v>92.2</v>
      </c>
      <c r="H2097">
        <v>0.94030000000000002</v>
      </c>
      <c r="I2097">
        <v>54.2</v>
      </c>
      <c r="J2097">
        <v>43.8</v>
      </c>
      <c r="K2097">
        <v>16.2</v>
      </c>
      <c r="L2097">
        <v>19.3</v>
      </c>
      <c r="M2097">
        <v>34.200000000000003</v>
      </c>
      <c r="N2097">
        <v>24.2</v>
      </c>
      <c r="O2097">
        <v>40.4</v>
      </c>
      <c r="P2097">
        <v>35.1</v>
      </c>
      <c r="Q2097">
        <v>50.7</v>
      </c>
      <c r="R2097">
        <v>42</v>
      </c>
      <c r="S2097">
        <v>40.200000000000003</v>
      </c>
      <c r="T2097">
        <v>31.2</v>
      </c>
      <c r="U2097">
        <v>70</v>
      </c>
      <c r="V2097">
        <v>4.0999999999999996</v>
      </c>
      <c r="W2097" cm="1">
        <f t="array" ref="W2097">_xlfn.IFS(OR(X2097="N/A",X2097="NA"),0,OR(X2097="R64",X2097="R68"),1,X2097="R32",2,X2097="S16",3,X2097="E8",4,X2097="F4",5,X2097="2ND",6,X2097="Champions",7)</f>
        <v>2</v>
      </c>
      <c r="X2097" t="s">
        <v>420</v>
      </c>
      <c r="Y2097">
        <v>10</v>
      </c>
      <c r="Z2097">
        <v>2017</v>
      </c>
    </row>
    <row r="2098" spans="1:26" x14ac:dyDescent="0.3">
      <c r="A2098" t="s">
        <v>292</v>
      </c>
      <c r="B2098" t="s">
        <v>55</v>
      </c>
      <c r="C2098">
        <v>35</v>
      </c>
      <c r="D2098">
        <v>26</v>
      </c>
      <c r="E2098" s="1">
        <f t="shared" si="32"/>
        <v>0.74285714285714288</v>
      </c>
      <c r="F2098">
        <v>103.1</v>
      </c>
      <c r="G2098">
        <v>87.5</v>
      </c>
      <c r="H2098">
        <v>0.86909999999999998</v>
      </c>
      <c r="I2098">
        <v>46.6</v>
      </c>
      <c r="J2098">
        <v>43.5</v>
      </c>
      <c r="K2098">
        <v>18.600000000000001</v>
      </c>
      <c r="L2098">
        <v>21.1</v>
      </c>
      <c r="M2098">
        <v>35.700000000000003</v>
      </c>
      <c r="N2098">
        <v>29.7</v>
      </c>
      <c r="O2098">
        <v>36.200000000000003</v>
      </c>
      <c r="P2098">
        <v>25.7</v>
      </c>
      <c r="Q2098">
        <v>45.9</v>
      </c>
      <c r="R2098">
        <v>42.3</v>
      </c>
      <c r="S2098">
        <v>32</v>
      </c>
      <c r="T2098">
        <v>30.6</v>
      </c>
      <c r="U2098">
        <v>61.2</v>
      </c>
      <c r="V2098">
        <v>1.3</v>
      </c>
      <c r="W2098" cm="1">
        <f t="array" ref="W2098">_xlfn.IFS(OR(X2098="N/A",X2098="NA"),0,OR(X2098="R64",X2098="R68"),1,X2098="R32",2,X2098="S16",3,X2098="E8",4,X2098="F4",5,X2098="2ND",6,X2098="Champions",7)</f>
        <v>2</v>
      </c>
      <c r="X2098" t="s">
        <v>420</v>
      </c>
      <c r="Y2098">
        <v>8</v>
      </c>
      <c r="Z2098">
        <v>2015</v>
      </c>
    </row>
    <row r="2099" spans="1:26" x14ac:dyDescent="0.3">
      <c r="A2099" t="s">
        <v>309</v>
      </c>
      <c r="B2099" t="s">
        <v>64</v>
      </c>
      <c r="C2099">
        <v>31</v>
      </c>
      <c r="D2099">
        <v>28</v>
      </c>
      <c r="E2099" s="1">
        <f t="shared" si="32"/>
        <v>0.90322580645161288</v>
      </c>
      <c r="F2099">
        <v>110.4</v>
      </c>
      <c r="G2099">
        <v>98.6</v>
      </c>
      <c r="H2099">
        <v>0.78520000000000001</v>
      </c>
      <c r="I2099">
        <v>54.8</v>
      </c>
      <c r="J2099">
        <v>46.5</v>
      </c>
      <c r="K2099">
        <v>17.2</v>
      </c>
      <c r="L2099">
        <v>19.399999999999999</v>
      </c>
      <c r="M2099">
        <v>32</v>
      </c>
      <c r="N2099">
        <v>30.7</v>
      </c>
      <c r="O2099">
        <v>33.5</v>
      </c>
      <c r="P2099">
        <v>27.4</v>
      </c>
      <c r="Q2099">
        <v>56.2</v>
      </c>
      <c r="R2099">
        <v>48.3</v>
      </c>
      <c r="S2099">
        <v>34.9</v>
      </c>
      <c r="T2099">
        <v>28.9</v>
      </c>
      <c r="U2099">
        <v>70.2</v>
      </c>
      <c r="V2099">
        <v>1.2</v>
      </c>
      <c r="W2099" cm="1">
        <f t="array" ref="W2099">_xlfn.IFS(OR(X2099="N/A",X2099="NA"),0,OR(X2099="R64",X2099="R68"),1,X2099="R32",2,X2099="S16",3,X2099="E8",4,X2099="F4",5,X2099="2ND",6,X2099="Champions",7)</f>
        <v>2</v>
      </c>
      <c r="X2099" t="s">
        <v>420</v>
      </c>
      <c r="Y2099">
        <v>12</v>
      </c>
      <c r="Z2099">
        <v>2019</v>
      </c>
    </row>
    <row r="2100" spans="1:26" x14ac:dyDescent="0.3">
      <c r="A2100" t="s">
        <v>73</v>
      </c>
      <c r="B2100" t="s">
        <v>38</v>
      </c>
      <c r="C2100">
        <v>35</v>
      </c>
      <c r="D2100">
        <v>25</v>
      </c>
      <c r="E2100" s="1">
        <f t="shared" si="32"/>
        <v>0.7142857142857143</v>
      </c>
      <c r="F2100">
        <v>114.3</v>
      </c>
      <c r="G2100">
        <v>99.1</v>
      </c>
      <c r="H2100">
        <v>0.83789999999999998</v>
      </c>
      <c r="I2100">
        <v>52.3</v>
      </c>
      <c r="J2100">
        <v>48</v>
      </c>
      <c r="K2100">
        <v>16.899999999999999</v>
      </c>
      <c r="L2100">
        <v>16.7</v>
      </c>
      <c r="M2100">
        <v>30.2</v>
      </c>
      <c r="N2100">
        <v>31.5</v>
      </c>
      <c r="O2100">
        <v>29.1</v>
      </c>
      <c r="P2100">
        <v>35.4</v>
      </c>
      <c r="Q2100">
        <v>50.8</v>
      </c>
      <c r="R2100">
        <v>47.1</v>
      </c>
      <c r="S2100">
        <v>36.9</v>
      </c>
      <c r="T2100">
        <v>33.200000000000003</v>
      </c>
      <c r="U2100">
        <v>66.900000000000006</v>
      </c>
      <c r="V2100">
        <v>3</v>
      </c>
      <c r="W2100" cm="1">
        <f t="array" ref="W2100">_xlfn.IFS(OR(X2100="N/A",X2100="NA"),0,OR(X2100="R64",X2100="R68"),1,X2100="R32",2,X2100="S16",3,X2100="E8",4,X2100="F4",5,X2100="2ND",6,X2100="Champions",7)</f>
        <v>2</v>
      </c>
      <c r="X2100" t="s">
        <v>420</v>
      </c>
      <c r="Y2100">
        <v>8</v>
      </c>
      <c r="Z2100">
        <v>2015</v>
      </c>
    </row>
    <row r="2101" spans="1:26" x14ac:dyDescent="0.3">
      <c r="A2101" t="s">
        <v>325</v>
      </c>
      <c r="B2101" t="s">
        <v>38</v>
      </c>
      <c r="C2101">
        <v>35</v>
      </c>
      <c r="D2101">
        <v>26</v>
      </c>
      <c r="E2101" s="1">
        <f t="shared" si="32"/>
        <v>0.74285714285714288</v>
      </c>
      <c r="F2101">
        <v>115.8</v>
      </c>
      <c r="G2101">
        <v>97.3</v>
      </c>
      <c r="H2101">
        <v>0.88070000000000004</v>
      </c>
      <c r="I2101">
        <v>55.1</v>
      </c>
      <c r="J2101">
        <v>48</v>
      </c>
      <c r="K2101">
        <v>18.2</v>
      </c>
      <c r="L2101">
        <v>15.3</v>
      </c>
      <c r="M2101">
        <v>29.2</v>
      </c>
      <c r="N2101">
        <v>27.8</v>
      </c>
      <c r="O2101">
        <v>37.9</v>
      </c>
      <c r="P2101">
        <v>23</v>
      </c>
      <c r="Q2101">
        <v>55.5</v>
      </c>
      <c r="R2101">
        <v>44.5</v>
      </c>
      <c r="S2101">
        <v>36.299999999999997</v>
      </c>
      <c r="T2101">
        <v>37.1</v>
      </c>
      <c r="U2101">
        <v>66.900000000000006</v>
      </c>
      <c r="V2101">
        <v>5.6</v>
      </c>
      <c r="W2101" cm="1">
        <f t="array" ref="W2101">_xlfn.IFS(OR(X2101="N/A",X2101="NA"),0,OR(X2101="R64",X2101="R68"),1,X2101="R32",2,X2101="S16",3,X2101="E8",4,X2101="F4",5,X2101="2ND",6,X2101="Champions",7)</f>
        <v>2</v>
      </c>
      <c r="X2101" t="s">
        <v>420</v>
      </c>
      <c r="Y2101">
        <v>3</v>
      </c>
      <c r="Z2101">
        <v>2016</v>
      </c>
    </row>
    <row r="2102" spans="1:26" x14ac:dyDescent="0.3">
      <c r="A2102" t="s">
        <v>321</v>
      </c>
      <c r="B2102" t="s">
        <v>38</v>
      </c>
      <c r="C2102">
        <v>36</v>
      </c>
      <c r="D2102">
        <v>26</v>
      </c>
      <c r="E2102" s="1">
        <f t="shared" si="32"/>
        <v>0.72222222222222221</v>
      </c>
      <c r="F2102">
        <v>113.3</v>
      </c>
      <c r="G2102">
        <v>100.6</v>
      </c>
      <c r="H2102">
        <v>0.79659999999999997</v>
      </c>
      <c r="I2102">
        <v>52.2</v>
      </c>
      <c r="J2102">
        <v>50.1</v>
      </c>
      <c r="K2102">
        <v>15.7</v>
      </c>
      <c r="L2102">
        <v>17.899999999999999</v>
      </c>
      <c r="M2102">
        <v>31</v>
      </c>
      <c r="N2102">
        <v>31.4</v>
      </c>
      <c r="O2102">
        <v>36.799999999999997</v>
      </c>
      <c r="P2102">
        <v>24</v>
      </c>
      <c r="Q2102">
        <v>51</v>
      </c>
      <c r="R2102">
        <v>47.2</v>
      </c>
      <c r="S2102">
        <v>36.200000000000003</v>
      </c>
      <c r="T2102">
        <v>36.799999999999997</v>
      </c>
      <c r="U2102">
        <v>70.099999999999994</v>
      </c>
      <c r="V2102">
        <v>1.3</v>
      </c>
      <c r="W2102" cm="1">
        <f t="array" ref="W2102">_xlfn.IFS(OR(X2102="N/A",X2102="NA"),0,OR(X2102="R64",X2102="R68"),1,X2102="R32",2,X2102="S16",3,X2102="E8",4,X2102="F4",5,X2102="2ND",6,X2102="Champions",7)</f>
        <v>2</v>
      </c>
      <c r="X2102" t="s">
        <v>420</v>
      </c>
      <c r="Y2102">
        <v>11</v>
      </c>
      <c r="Z2102">
        <v>2017</v>
      </c>
    </row>
    <row r="2103" spans="1:26" x14ac:dyDescent="0.3">
      <c r="A2103" t="s">
        <v>322</v>
      </c>
      <c r="B2103" t="s">
        <v>38</v>
      </c>
      <c r="C2103">
        <v>36</v>
      </c>
      <c r="D2103">
        <v>27</v>
      </c>
      <c r="E2103" s="1">
        <f t="shared" si="32"/>
        <v>0.75</v>
      </c>
      <c r="F2103">
        <v>105.6</v>
      </c>
      <c r="G2103">
        <v>93.1</v>
      </c>
      <c r="H2103">
        <v>0.80969999999999998</v>
      </c>
      <c r="I2103">
        <v>52.1</v>
      </c>
      <c r="J2103">
        <v>47.5</v>
      </c>
      <c r="K2103">
        <v>19.8</v>
      </c>
      <c r="L2103">
        <v>24.2</v>
      </c>
      <c r="M2103">
        <v>29.1</v>
      </c>
      <c r="N2103">
        <v>34.9</v>
      </c>
      <c r="O2103">
        <v>34.700000000000003</v>
      </c>
      <c r="P2103">
        <v>34</v>
      </c>
      <c r="Q2103">
        <v>51.9</v>
      </c>
      <c r="R2103">
        <v>46</v>
      </c>
      <c r="S2103">
        <v>35</v>
      </c>
      <c r="T2103">
        <v>33.4</v>
      </c>
      <c r="U2103">
        <v>67.3</v>
      </c>
      <c r="V2103">
        <v>3.1</v>
      </c>
      <c r="W2103" cm="1">
        <f t="array" ref="W2103">_xlfn.IFS(OR(X2103="N/A",X2103="NA"),0,OR(X2103="R64",X2103="R68"),1,X2103="R32",2,X2103="S16",3,X2103="E8",4,X2103="F4",5,X2103="2ND",6,X2103="Champions",7)</f>
        <v>2</v>
      </c>
      <c r="X2103" t="s">
        <v>420</v>
      </c>
      <c r="Y2103">
        <v>9</v>
      </c>
      <c r="Z2103">
        <v>2019</v>
      </c>
    </row>
    <row r="2104" spans="1:26" x14ac:dyDescent="0.3">
      <c r="A2104" t="s">
        <v>346</v>
      </c>
      <c r="B2104" t="s">
        <v>58</v>
      </c>
      <c r="C2104">
        <v>34</v>
      </c>
      <c r="D2104">
        <v>24</v>
      </c>
      <c r="E2104" s="1">
        <f t="shared" si="32"/>
        <v>0.70588235294117652</v>
      </c>
      <c r="F2104">
        <v>109.5</v>
      </c>
      <c r="G2104">
        <v>98</v>
      </c>
      <c r="H2104">
        <v>0.7802</v>
      </c>
      <c r="I2104">
        <v>52</v>
      </c>
      <c r="J2104">
        <v>45.8</v>
      </c>
      <c r="K2104">
        <v>16.3</v>
      </c>
      <c r="L2104">
        <v>23.2</v>
      </c>
      <c r="M2104">
        <v>30</v>
      </c>
      <c r="N2104">
        <v>34.799999999999997</v>
      </c>
      <c r="O2104">
        <v>37.700000000000003</v>
      </c>
      <c r="P2104">
        <v>39.799999999999997</v>
      </c>
      <c r="Q2104">
        <v>53.4</v>
      </c>
      <c r="R2104">
        <v>43.1</v>
      </c>
      <c r="S2104">
        <v>32.200000000000003</v>
      </c>
      <c r="T2104">
        <v>33.1</v>
      </c>
      <c r="U2104">
        <v>63.2</v>
      </c>
      <c r="V2104">
        <v>-3</v>
      </c>
      <c r="W2104" cm="1">
        <f t="array" ref="W2104">_xlfn.IFS(OR(X2104="N/A",X2104="NA"),0,OR(X2104="R64",X2104="R68"),1,X2104="R32",2,X2104="S16",3,X2104="E8",4,X2104="F4",5,X2104="2ND",6,X2104="Champions",7)</f>
        <v>2</v>
      </c>
      <c r="X2104" t="s">
        <v>420</v>
      </c>
      <c r="Y2104">
        <v>14</v>
      </c>
      <c r="Z2104">
        <v>2015</v>
      </c>
    </row>
    <row r="2105" spans="1:26" x14ac:dyDescent="0.3">
      <c r="A2105" t="s">
        <v>337</v>
      </c>
      <c r="B2105" t="s">
        <v>58</v>
      </c>
      <c r="C2105">
        <v>33</v>
      </c>
      <c r="D2105">
        <v>28</v>
      </c>
      <c r="E2105" s="1">
        <f t="shared" si="32"/>
        <v>0.84848484848484851</v>
      </c>
      <c r="F2105">
        <v>107.6</v>
      </c>
      <c r="G2105">
        <v>96.7</v>
      </c>
      <c r="H2105">
        <v>0.7732</v>
      </c>
      <c r="I2105">
        <v>51.9</v>
      </c>
      <c r="J2105">
        <v>45.9</v>
      </c>
      <c r="K2105">
        <v>15.6</v>
      </c>
      <c r="L2105">
        <v>21</v>
      </c>
      <c r="M2105">
        <v>26.7</v>
      </c>
      <c r="N2105">
        <v>29.5</v>
      </c>
      <c r="O2105">
        <v>31.5</v>
      </c>
      <c r="P2105">
        <v>38.299999999999997</v>
      </c>
      <c r="Q2105">
        <v>48.9</v>
      </c>
      <c r="R2105">
        <v>45.7</v>
      </c>
      <c r="S2105">
        <v>38.200000000000003</v>
      </c>
      <c r="T2105">
        <v>30.9</v>
      </c>
      <c r="U2105">
        <v>63.8</v>
      </c>
      <c r="V2105">
        <v>2.1</v>
      </c>
      <c r="W2105" cm="1">
        <f t="array" ref="W2105">_xlfn.IFS(OR(X2105="N/A",X2105="NA"),0,OR(X2105="R64",X2105="R68"),1,X2105="R32",2,X2105="S16",3,X2105="E8",4,X2105="F4",5,X2105="2ND",6,X2105="Champions",7)</f>
        <v>2</v>
      </c>
      <c r="X2105" t="s">
        <v>420</v>
      </c>
      <c r="Y2105">
        <v>12</v>
      </c>
      <c r="Z2105">
        <v>2016</v>
      </c>
    </row>
    <row r="2106" spans="1:26" x14ac:dyDescent="0.3">
      <c r="A2106" t="s">
        <v>357</v>
      </c>
      <c r="B2106" t="s">
        <v>62</v>
      </c>
      <c r="C2106">
        <v>32</v>
      </c>
      <c r="D2106">
        <v>30</v>
      </c>
      <c r="E2106" s="1">
        <f t="shared" si="32"/>
        <v>0.9375</v>
      </c>
      <c r="F2106">
        <v>116.4</v>
      </c>
      <c r="G2106">
        <v>97.1</v>
      </c>
      <c r="H2106">
        <v>0.88919999999999999</v>
      </c>
      <c r="I2106">
        <v>57.5</v>
      </c>
      <c r="J2106">
        <v>49.9</v>
      </c>
      <c r="K2106">
        <v>16.100000000000001</v>
      </c>
      <c r="L2106">
        <v>19.100000000000001</v>
      </c>
      <c r="M2106">
        <v>31.8</v>
      </c>
      <c r="N2106">
        <v>25.2</v>
      </c>
      <c r="O2106">
        <v>27.8</v>
      </c>
      <c r="P2106">
        <v>31.8</v>
      </c>
      <c r="Q2106">
        <v>53.9</v>
      </c>
      <c r="R2106">
        <v>50.6</v>
      </c>
      <c r="S2106">
        <v>41.4</v>
      </c>
      <c r="T2106">
        <v>32.6</v>
      </c>
      <c r="U2106">
        <v>67.099999999999994</v>
      </c>
      <c r="V2106">
        <v>4</v>
      </c>
      <c r="W2106" cm="1">
        <f t="array" ref="W2106">_xlfn.IFS(OR(X2106="N/A",X2106="NA"),0,OR(X2106="R64",X2106="R68"),1,X2106="R32",2,X2106="S16",3,X2106="E8",4,X2106="F4",5,X2106="2ND",6,X2106="Champions",7)</f>
        <v>2</v>
      </c>
      <c r="X2106" t="s">
        <v>420</v>
      </c>
      <c r="Y2106">
        <v>7</v>
      </c>
      <c r="Z2106">
        <v>2019</v>
      </c>
    </row>
    <row r="2107" spans="1:26" x14ac:dyDescent="0.3">
      <c r="A2107" t="s">
        <v>364</v>
      </c>
      <c r="B2107" t="s">
        <v>29</v>
      </c>
      <c r="C2107">
        <v>36</v>
      </c>
      <c r="D2107">
        <v>27</v>
      </c>
      <c r="E2107" s="1">
        <f t="shared" si="32"/>
        <v>0.75</v>
      </c>
      <c r="F2107">
        <v>113.2</v>
      </c>
      <c r="G2107">
        <v>96</v>
      </c>
      <c r="H2107">
        <v>0.86960000000000004</v>
      </c>
      <c r="I2107">
        <v>50</v>
      </c>
      <c r="J2107">
        <v>48.3</v>
      </c>
      <c r="K2107">
        <v>16.899999999999999</v>
      </c>
      <c r="L2107">
        <v>22.3</v>
      </c>
      <c r="M2107">
        <v>35.700000000000003</v>
      </c>
      <c r="N2107">
        <v>34.6</v>
      </c>
      <c r="O2107">
        <v>37.299999999999997</v>
      </c>
      <c r="P2107">
        <v>38.799999999999997</v>
      </c>
      <c r="Q2107">
        <v>48.8</v>
      </c>
      <c r="R2107">
        <v>46.2</v>
      </c>
      <c r="S2107">
        <v>34.9</v>
      </c>
      <c r="T2107">
        <v>35.200000000000003</v>
      </c>
      <c r="U2107">
        <v>69.900000000000006</v>
      </c>
      <c r="V2107">
        <v>3.9</v>
      </c>
      <c r="W2107" cm="1">
        <f t="array" ref="W2107">_xlfn.IFS(OR(X2107="N/A",X2107="NA"),0,OR(X2107="R64",X2107="R68"),1,X2107="R32",2,X2107="S16",3,X2107="E8",4,X2107="F4",5,X2107="2ND",6,X2107="Champions",7)</f>
        <v>2</v>
      </c>
      <c r="X2107" t="s">
        <v>420</v>
      </c>
      <c r="Y2107">
        <v>5</v>
      </c>
      <c r="Z2107">
        <v>2015</v>
      </c>
    </row>
    <row r="2108" spans="1:26" x14ac:dyDescent="0.3">
      <c r="A2108" t="s">
        <v>39</v>
      </c>
      <c r="B2108" t="s">
        <v>29</v>
      </c>
      <c r="C2108">
        <v>36</v>
      </c>
      <c r="D2108">
        <v>27</v>
      </c>
      <c r="E2108" s="1">
        <f t="shared" si="32"/>
        <v>0.75</v>
      </c>
      <c r="F2108">
        <v>123.2</v>
      </c>
      <c r="G2108">
        <v>95.1</v>
      </c>
      <c r="H2108">
        <v>0.95169999999999999</v>
      </c>
      <c r="I2108">
        <v>53.5</v>
      </c>
      <c r="J2108">
        <v>44.5</v>
      </c>
      <c r="K2108">
        <v>16.2</v>
      </c>
      <c r="L2108">
        <v>18</v>
      </c>
      <c r="M2108">
        <v>37.5</v>
      </c>
      <c r="N2108">
        <v>31.9</v>
      </c>
      <c r="O2108">
        <v>37.799999999999997</v>
      </c>
      <c r="P2108">
        <v>40.799999999999997</v>
      </c>
      <c r="Q2108">
        <v>52.9</v>
      </c>
      <c r="R2108">
        <v>42.7</v>
      </c>
      <c r="S2108">
        <v>36.6</v>
      </c>
      <c r="T2108">
        <v>32.6</v>
      </c>
      <c r="U2108">
        <v>68.2</v>
      </c>
      <c r="V2108">
        <v>5</v>
      </c>
      <c r="W2108" cm="1">
        <f t="array" ref="W2108">_xlfn.IFS(OR(X2108="N/A",X2108="NA"),0,OR(X2108="R64",X2108="R68"),1,X2108="R32",2,X2108="S16",3,X2108="E8",4,X2108="F4",5,X2108="2ND",6,X2108="Champions",7)</f>
        <v>2</v>
      </c>
      <c r="X2108" t="s">
        <v>420</v>
      </c>
      <c r="Y2108">
        <v>4</v>
      </c>
      <c r="Z2108">
        <v>2016</v>
      </c>
    </row>
    <row r="2109" spans="1:26" x14ac:dyDescent="0.3">
      <c r="A2109" t="s">
        <v>364</v>
      </c>
      <c r="B2109" t="s">
        <v>29</v>
      </c>
      <c r="C2109">
        <v>36</v>
      </c>
      <c r="D2109">
        <v>26</v>
      </c>
      <c r="E2109" s="1">
        <f t="shared" si="32"/>
        <v>0.72222222222222221</v>
      </c>
      <c r="F2109">
        <v>114.9</v>
      </c>
      <c r="G2109">
        <v>99.8</v>
      </c>
      <c r="H2109">
        <v>0.83389999999999997</v>
      </c>
      <c r="I2109">
        <v>51.4</v>
      </c>
      <c r="J2109">
        <v>47.8</v>
      </c>
      <c r="K2109">
        <v>16.600000000000001</v>
      </c>
      <c r="L2109">
        <v>18.5</v>
      </c>
      <c r="M2109">
        <v>31.9</v>
      </c>
      <c r="N2109">
        <v>34.200000000000003</v>
      </c>
      <c r="O2109">
        <v>38.1</v>
      </c>
      <c r="P2109">
        <v>39.1</v>
      </c>
      <c r="Q2109">
        <v>50</v>
      </c>
      <c r="R2109">
        <v>46.7</v>
      </c>
      <c r="S2109">
        <v>36.5</v>
      </c>
      <c r="T2109">
        <v>33.200000000000003</v>
      </c>
      <c r="U2109">
        <v>71</v>
      </c>
      <c r="V2109">
        <v>3.9</v>
      </c>
      <c r="W2109" cm="1">
        <f t="array" ref="W2109">_xlfn.IFS(OR(X2109="N/A",X2109="NA"),0,OR(X2109="R64",X2109="R68"),1,X2109="R32",2,X2109="S16",3,X2109="E8",4,X2109="F4",5,X2109="2ND",6,X2109="Champions",7)</f>
        <v>2</v>
      </c>
      <c r="X2109" t="s">
        <v>420</v>
      </c>
      <c r="Y2109">
        <v>8</v>
      </c>
      <c r="Z2109">
        <v>2017</v>
      </c>
    </row>
    <row r="2110" spans="1:26" x14ac:dyDescent="0.3">
      <c r="A2110" t="s">
        <v>358</v>
      </c>
      <c r="B2110" t="s">
        <v>29</v>
      </c>
      <c r="C2110">
        <v>36</v>
      </c>
      <c r="D2110">
        <v>20</v>
      </c>
      <c r="E2110" s="1">
        <f t="shared" si="32"/>
        <v>0.55555555555555558</v>
      </c>
      <c r="F2110">
        <v>107.9</v>
      </c>
      <c r="G2110">
        <v>95.3</v>
      </c>
      <c r="H2110">
        <v>0.80740000000000001</v>
      </c>
      <c r="I2110">
        <v>51.9</v>
      </c>
      <c r="J2110">
        <v>47.8</v>
      </c>
      <c r="K2110">
        <v>20.3</v>
      </c>
      <c r="L2110">
        <v>18.7</v>
      </c>
      <c r="M2110">
        <v>29.4</v>
      </c>
      <c r="N2110">
        <v>30.9</v>
      </c>
      <c r="O2110">
        <v>41.9</v>
      </c>
      <c r="P2110">
        <v>36.5</v>
      </c>
      <c r="Q2110">
        <v>53.5</v>
      </c>
      <c r="R2110">
        <v>46.9</v>
      </c>
      <c r="S2110">
        <v>32.6</v>
      </c>
      <c r="T2110">
        <v>32.799999999999997</v>
      </c>
      <c r="U2110">
        <v>69.900000000000006</v>
      </c>
      <c r="V2110">
        <v>-1.1000000000000001</v>
      </c>
      <c r="W2110" cm="1">
        <f t="array" ref="W2110">_xlfn.IFS(OR(X2110="N/A",X2110="NA"),0,OR(X2110="R64",X2110="R68"),1,X2110="R32",2,X2110="S16",3,X2110="E8",4,X2110="F4",5,X2110="2ND",6,X2110="Champions",7)</f>
        <v>2</v>
      </c>
      <c r="X2110" t="s">
        <v>420</v>
      </c>
      <c r="Y2110">
        <v>9</v>
      </c>
      <c r="Z2110">
        <v>2018</v>
      </c>
    </row>
    <row r="2111" spans="1:26" x14ac:dyDescent="0.3">
      <c r="A2111" t="s">
        <v>87</v>
      </c>
      <c r="B2111" t="s">
        <v>29</v>
      </c>
      <c r="C2111">
        <v>34</v>
      </c>
      <c r="D2111">
        <v>26</v>
      </c>
      <c r="E2111" s="1">
        <f t="shared" si="32"/>
        <v>0.76470588235294112</v>
      </c>
      <c r="F2111">
        <v>114</v>
      </c>
      <c r="G2111">
        <v>96.9</v>
      </c>
      <c r="H2111">
        <v>0.86719999999999997</v>
      </c>
      <c r="I2111">
        <v>50.8</v>
      </c>
      <c r="J2111">
        <v>49.7</v>
      </c>
      <c r="K2111">
        <v>16.399999999999999</v>
      </c>
      <c r="L2111">
        <v>20.7</v>
      </c>
      <c r="M2111">
        <v>32.1</v>
      </c>
      <c r="N2111">
        <v>28</v>
      </c>
      <c r="O2111">
        <v>39.799999999999997</v>
      </c>
      <c r="P2111">
        <v>38.1</v>
      </c>
      <c r="Q2111">
        <v>48.7</v>
      </c>
      <c r="R2111">
        <v>47.7</v>
      </c>
      <c r="S2111">
        <v>35.700000000000003</v>
      </c>
      <c r="T2111">
        <v>35.1</v>
      </c>
      <c r="U2111">
        <v>73.8</v>
      </c>
      <c r="V2111">
        <v>4.3</v>
      </c>
      <c r="W2111" cm="1">
        <f t="array" ref="W2111">_xlfn.IFS(OR(X2111="N/A",X2111="NA"),0,OR(X2111="R64",X2111="R68"),1,X2111="R32",2,X2111="S16",3,X2111="E8",4,X2111="F4",5,X2111="2ND",6,X2111="Champions",7)</f>
        <v>2</v>
      </c>
      <c r="X2111" t="s">
        <v>420</v>
      </c>
      <c r="Y2111">
        <v>4</v>
      </c>
      <c r="Z2111">
        <v>2018</v>
      </c>
    </row>
    <row r="2112" spans="1:26" x14ac:dyDescent="0.3">
      <c r="A2112" t="s">
        <v>75</v>
      </c>
      <c r="B2112" t="s">
        <v>29</v>
      </c>
      <c r="C2112">
        <v>34</v>
      </c>
      <c r="D2112">
        <v>21</v>
      </c>
      <c r="E2112" s="1">
        <f t="shared" si="32"/>
        <v>0.61764705882352944</v>
      </c>
      <c r="F2112">
        <v>115.2</v>
      </c>
      <c r="G2112">
        <v>93.9</v>
      </c>
      <c r="H2112">
        <v>0.91320000000000001</v>
      </c>
      <c r="I2112">
        <v>50.8</v>
      </c>
      <c r="J2112">
        <v>48.7</v>
      </c>
      <c r="K2112">
        <v>14.3</v>
      </c>
      <c r="L2112">
        <v>20</v>
      </c>
      <c r="M2112">
        <v>28.7</v>
      </c>
      <c r="N2112">
        <v>30.5</v>
      </c>
      <c r="O2112">
        <v>32.6</v>
      </c>
      <c r="P2112">
        <v>32.4</v>
      </c>
      <c r="Q2112">
        <v>47.6</v>
      </c>
      <c r="R2112">
        <v>46.6</v>
      </c>
      <c r="S2112">
        <v>37</v>
      </c>
      <c r="T2112">
        <v>35.200000000000003</v>
      </c>
      <c r="U2112">
        <v>68.5</v>
      </c>
      <c r="V2112">
        <v>1.4</v>
      </c>
      <c r="W2112" cm="1">
        <f t="array" ref="W2112">_xlfn.IFS(OR(X2112="N/A",X2112="NA"),0,OR(X2112="R64",X2112="R68"),1,X2112="R32",2,X2112="S16",3,X2112="E8",4,X2112="F4",5,X2112="2ND",6,X2112="Champions",7)</f>
        <v>2</v>
      </c>
      <c r="X2112" t="s">
        <v>420</v>
      </c>
      <c r="Y2112">
        <v>6</v>
      </c>
      <c r="Z2112">
        <v>2018</v>
      </c>
    </row>
    <row r="2113" spans="1:26" x14ac:dyDescent="0.3">
      <c r="A2113" t="s">
        <v>361</v>
      </c>
      <c r="B2113" t="s">
        <v>29</v>
      </c>
      <c r="C2113">
        <v>35</v>
      </c>
      <c r="D2113">
        <v>26</v>
      </c>
      <c r="E2113" s="1">
        <f t="shared" si="32"/>
        <v>0.74285714285714288</v>
      </c>
      <c r="F2113">
        <v>114.2</v>
      </c>
      <c r="G2113">
        <v>92</v>
      </c>
      <c r="H2113">
        <v>0.92249999999999999</v>
      </c>
      <c r="I2113">
        <v>50.8</v>
      </c>
      <c r="J2113">
        <v>46.7</v>
      </c>
      <c r="K2113">
        <v>17.899999999999999</v>
      </c>
      <c r="L2113">
        <v>20.399999999999999</v>
      </c>
      <c r="M2113">
        <v>33.4</v>
      </c>
      <c r="N2113">
        <v>31.1</v>
      </c>
      <c r="O2113">
        <v>35.5</v>
      </c>
      <c r="P2113">
        <v>37.6</v>
      </c>
      <c r="Q2113">
        <v>47.3</v>
      </c>
      <c r="R2113">
        <v>46.1</v>
      </c>
      <c r="S2113">
        <v>38</v>
      </c>
      <c r="T2113">
        <v>31.8</v>
      </c>
      <c r="U2113">
        <v>67.099999999999994</v>
      </c>
      <c r="V2113">
        <v>6.4</v>
      </c>
      <c r="W2113" cm="1">
        <f t="array" ref="W2113">_xlfn.IFS(OR(X2113="N/A",X2113="NA"),0,OR(X2113="R64",X2113="R68"),1,X2113="R32",2,X2113="S16",3,X2113="E8",4,X2113="F4",5,X2113="2ND",6,X2113="Champions",7)</f>
        <v>2</v>
      </c>
      <c r="X2113" t="s">
        <v>420</v>
      </c>
      <c r="Y2113">
        <v>3</v>
      </c>
      <c r="Z2113">
        <v>2018</v>
      </c>
    </row>
    <row r="2114" spans="1:26" x14ac:dyDescent="0.3">
      <c r="A2114" t="s">
        <v>75</v>
      </c>
      <c r="B2114" t="s">
        <v>29</v>
      </c>
      <c r="C2114">
        <v>36</v>
      </c>
      <c r="D2114">
        <v>20</v>
      </c>
      <c r="E2114" s="1">
        <f t="shared" si="32"/>
        <v>0.55555555555555558</v>
      </c>
      <c r="F2114">
        <v>110.3</v>
      </c>
      <c r="G2114">
        <v>91.6</v>
      </c>
      <c r="H2114">
        <v>0.89470000000000005</v>
      </c>
      <c r="I2114">
        <v>49.8</v>
      </c>
      <c r="J2114">
        <v>48.1</v>
      </c>
      <c r="K2114">
        <v>17.899999999999999</v>
      </c>
      <c r="L2114">
        <v>22.4</v>
      </c>
      <c r="M2114">
        <v>30.6</v>
      </c>
      <c r="N2114">
        <v>32.200000000000003</v>
      </c>
      <c r="O2114">
        <v>29.9</v>
      </c>
      <c r="P2114">
        <v>33.6</v>
      </c>
      <c r="Q2114">
        <v>49.5</v>
      </c>
      <c r="R2114">
        <v>48.5</v>
      </c>
      <c r="S2114">
        <v>33.4</v>
      </c>
      <c r="T2114">
        <v>31.6</v>
      </c>
      <c r="U2114">
        <v>64.3</v>
      </c>
      <c r="V2114">
        <v>0.7</v>
      </c>
      <c r="W2114" cm="1">
        <f t="array" ref="W2114">_xlfn.IFS(OR(X2114="N/A",X2114="NA"),0,OR(X2114="R64",X2114="R68"),1,X2114="R32",2,X2114="S16",3,X2114="E8",4,X2114="F4",5,X2114="2ND",6,X2114="Champions",7)</f>
        <v>2</v>
      </c>
      <c r="X2114" t="s">
        <v>420</v>
      </c>
      <c r="Y2114">
        <v>10</v>
      </c>
      <c r="Z2114">
        <v>2019</v>
      </c>
    </row>
    <row r="2115" spans="1:26" x14ac:dyDescent="0.3">
      <c r="A2115" t="s">
        <v>380</v>
      </c>
      <c r="B2115" t="s">
        <v>61</v>
      </c>
      <c r="C2115">
        <v>30</v>
      </c>
      <c r="D2115">
        <v>24</v>
      </c>
      <c r="E2115" s="1">
        <f t="shared" ref="E2115:E2178" si="33">D2115/C2115</f>
        <v>0.8</v>
      </c>
      <c r="F2115">
        <v>110.3</v>
      </c>
      <c r="G2115">
        <v>96.5</v>
      </c>
      <c r="H2115">
        <v>0.82350000000000001</v>
      </c>
      <c r="I2115">
        <v>54.8</v>
      </c>
      <c r="J2115">
        <v>49.5</v>
      </c>
      <c r="K2115">
        <v>17.7</v>
      </c>
      <c r="L2115">
        <v>25.9</v>
      </c>
      <c r="M2115">
        <v>33.5</v>
      </c>
      <c r="N2115">
        <v>30.7</v>
      </c>
      <c r="O2115">
        <v>34.299999999999997</v>
      </c>
      <c r="P2115">
        <v>40.200000000000003</v>
      </c>
      <c r="Q2115">
        <v>54.5</v>
      </c>
      <c r="R2115">
        <v>49.7</v>
      </c>
      <c r="S2115">
        <v>36.9</v>
      </c>
      <c r="T2115">
        <v>32.799999999999997</v>
      </c>
      <c r="U2115">
        <v>68.2</v>
      </c>
      <c r="V2115">
        <v>-1.2</v>
      </c>
      <c r="W2115" cm="1">
        <f t="array" ref="W2115">_xlfn.IFS(OR(X2115="N/A",X2115="NA"),0,OR(X2115="R64",X2115="R68"),1,X2115="R32",2,X2115="S16",3,X2115="E8",4,X2115="F4",5,X2115="2ND",6,X2115="Champions",7)</f>
        <v>2</v>
      </c>
      <c r="X2115" t="s">
        <v>420</v>
      </c>
      <c r="Y2115">
        <v>14</v>
      </c>
      <c r="Z2115">
        <v>2016</v>
      </c>
    </row>
    <row r="2116" spans="1:26" x14ac:dyDescent="0.3">
      <c r="A2116" t="s">
        <v>413</v>
      </c>
      <c r="B2116" t="s">
        <v>37</v>
      </c>
      <c r="C2116">
        <v>34</v>
      </c>
      <c r="D2116">
        <v>29</v>
      </c>
      <c r="E2116" s="1">
        <f t="shared" si="33"/>
        <v>0.8529411764705882</v>
      </c>
      <c r="F2116">
        <v>118</v>
      </c>
      <c r="G2116">
        <v>93.8</v>
      </c>
      <c r="H2116">
        <v>0.93340000000000001</v>
      </c>
      <c r="I2116">
        <v>57.8</v>
      </c>
      <c r="J2116">
        <v>45.3</v>
      </c>
      <c r="K2116">
        <v>17.5</v>
      </c>
      <c r="L2116">
        <v>15.3</v>
      </c>
      <c r="M2116">
        <v>33.1</v>
      </c>
      <c r="N2116">
        <v>21.9</v>
      </c>
      <c r="O2116">
        <v>27.8</v>
      </c>
      <c r="P2116">
        <v>26.6</v>
      </c>
      <c r="Q2116">
        <v>56.9</v>
      </c>
      <c r="R2116">
        <v>45.4</v>
      </c>
      <c r="S2116">
        <v>39.4</v>
      </c>
      <c r="T2116">
        <v>30</v>
      </c>
      <c r="U2116">
        <v>61.2</v>
      </c>
      <c r="V2116">
        <v>3.9</v>
      </c>
      <c r="W2116" cm="1">
        <f t="array" ref="W2116">_xlfn.IFS(OR(X2116="N/A",X2116="NA"),0,OR(X2116="R64",X2116="R68"),1,X2116="R32",2,X2116="S16",3,X2116="E8",4,X2116="F4",5,X2116="2ND",6,X2116="Champions",7)</f>
        <v>2</v>
      </c>
      <c r="X2116" t="s">
        <v>420</v>
      </c>
      <c r="Y2116">
        <v>7</v>
      </c>
      <c r="Z2116">
        <v>2017</v>
      </c>
    </row>
    <row r="2117" spans="1:26" x14ac:dyDescent="0.3">
      <c r="A2117" t="s">
        <v>88</v>
      </c>
      <c r="B2117" t="s">
        <v>47</v>
      </c>
      <c r="C2117">
        <v>35</v>
      </c>
      <c r="D2117">
        <v>34</v>
      </c>
      <c r="E2117" s="1">
        <f t="shared" si="33"/>
        <v>0.97142857142857142</v>
      </c>
      <c r="F2117">
        <v>116.4</v>
      </c>
      <c r="G2117">
        <v>93</v>
      </c>
      <c r="H2117">
        <v>0.92949999999999999</v>
      </c>
      <c r="I2117">
        <v>52.4</v>
      </c>
      <c r="J2117">
        <v>44.7</v>
      </c>
      <c r="K2117">
        <v>16.2</v>
      </c>
      <c r="L2117">
        <v>18.2</v>
      </c>
      <c r="M2117">
        <v>35</v>
      </c>
      <c r="N2117">
        <v>26.2</v>
      </c>
      <c r="O2117">
        <v>46.9</v>
      </c>
      <c r="P2117">
        <v>35.700000000000003</v>
      </c>
      <c r="Q2117">
        <v>52.3</v>
      </c>
      <c r="R2117">
        <v>43.6</v>
      </c>
      <c r="S2117">
        <v>35</v>
      </c>
      <c r="T2117">
        <v>31.1</v>
      </c>
      <c r="U2117">
        <v>65.099999999999994</v>
      </c>
      <c r="V2117">
        <v>8.1</v>
      </c>
      <c r="W2117" cm="1">
        <f t="array" ref="W2117">_xlfn.IFS(OR(X2117="N/A",X2117="NA"),0,OR(X2117="R64",X2117="R68"),1,X2117="R32",2,X2117="S16",3,X2117="E8",4,X2117="F4",5,X2117="2ND",6,X2117="Champions",7)</f>
        <v>2</v>
      </c>
      <c r="X2117" t="s">
        <v>420</v>
      </c>
      <c r="Y2117">
        <v>1</v>
      </c>
      <c r="Z2117">
        <v>2014</v>
      </c>
    </row>
    <row r="2118" spans="1:26" x14ac:dyDescent="0.3">
      <c r="A2118" t="s">
        <v>65</v>
      </c>
      <c r="B2118" t="s">
        <v>35</v>
      </c>
      <c r="C2118">
        <v>35</v>
      </c>
      <c r="D2118">
        <v>25</v>
      </c>
      <c r="E2118" s="1">
        <f t="shared" si="33"/>
        <v>0.7142857142857143</v>
      </c>
      <c r="F2118">
        <v>119.2</v>
      </c>
      <c r="G2118">
        <v>95.6</v>
      </c>
      <c r="H2118">
        <v>0.92700000000000005</v>
      </c>
      <c r="I2118">
        <v>54.2</v>
      </c>
      <c r="J2118">
        <v>47.1</v>
      </c>
      <c r="K2118">
        <v>19.100000000000001</v>
      </c>
      <c r="L2118">
        <v>16.399999999999999</v>
      </c>
      <c r="M2118">
        <v>37.299999999999997</v>
      </c>
      <c r="N2118">
        <v>28.8</v>
      </c>
      <c r="O2118">
        <v>48.3</v>
      </c>
      <c r="P2118">
        <v>45.5</v>
      </c>
      <c r="Q2118">
        <v>55.5</v>
      </c>
      <c r="R2118">
        <v>44.3</v>
      </c>
      <c r="S2118">
        <v>34</v>
      </c>
      <c r="T2118">
        <v>35.5</v>
      </c>
      <c r="U2118">
        <v>68.2</v>
      </c>
      <c r="V2118">
        <v>6.9</v>
      </c>
      <c r="W2118" cm="1">
        <f t="array" ref="W2118">_xlfn.IFS(OR(X2118="N/A",X2118="NA"),0,OR(X2118="R64",X2118="R68"),1,X2118="R32",2,X2118="S16",3,X2118="E8",4,X2118="F4",5,X2118="2ND",6,X2118="Champions",7)</f>
        <v>2</v>
      </c>
      <c r="X2118" t="s">
        <v>420</v>
      </c>
      <c r="Y2118">
        <v>2</v>
      </c>
      <c r="Z2118">
        <v>2014</v>
      </c>
    </row>
    <row r="2119" spans="1:26" x14ac:dyDescent="0.3">
      <c r="A2119" t="s">
        <v>46</v>
      </c>
      <c r="B2119" t="s">
        <v>33</v>
      </c>
      <c r="C2119">
        <v>34</v>
      </c>
      <c r="D2119">
        <v>29</v>
      </c>
      <c r="E2119" s="1">
        <f t="shared" si="33"/>
        <v>0.8529411764705882</v>
      </c>
      <c r="F2119">
        <v>115.2</v>
      </c>
      <c r="G2119">
        <v>92.5</v>
      </c>
      <c r="H2119">
        <v>0.92600000000000005</v>
      </c>
      <c r="I2119">
        <v>53.6</v>
      </c>
      <c r="J2119">
        <v>46.3</v>
      </c>
      <c r="K2119">
        <v>17.3</v>
      </c>
      <c r="L2119">
        <v>20</v>
      </c>
      <c r="M2119">
        <v>32.6</v>
      </c>
      <c r="N2119">
        <v>28.7</v>
      </c>
      <c r="O2119">
        <v>44.5</v>
      </c>
      <c r="P2119">
        <v>38.6</v>
      </c>
      <c r="Q2119">
        <v>53.8</v>
      </c>
      <c r="R2119">
        <v>43</v>
      </c>
      <c r="S2119">
        <v>35.6</v>
      </c>
      <c r="T2119">
        <v>35.299999999999997</v>
      </c>
      <c r="U2119">
        <v>67.599999999999994</v>
      </c>
      <c r="V2119">
        <v>8.3000000000000007</v>
      </c>
      <c r="W2119" cm="1">
        <f t="array" ref="W2119">_xlfn.IFS(OR(X2119="N/A",X2119="NA"),0,OR(X2119="R64",X2119="R68"),1,X2119="R32",2,X2119="S16",3,X2119="E8",4,X2119="F4",5,X2119="2ND",6,X2119="Champions",7)</f>
        <v>2</v>
      </c>
      <c r="X2119" t="s">
        <v>420</v>
      </c>
      <c r="Y2119">
        <v>2</v>
      </c>
      <c r="Z2119">
        <v>2014</v>
      </c>
    </row>
    <row r="2120" spans="1:26" x14ac:dyDescent="0.3">
      <c r="A2120" t="s">
        <v>156</v>
      </c>
      <c r="B2120" t="s">
        <v>33</v>
      </c>
      <c r="C2120">
        <v>35</v>
      </c>
      <c r="D2120">
        <v>27</v>
      </c>
      <c r="E2120" s="1">
        <f t="shared" si="33"/>
        <v>0.77142857142857146</v>
      </c>
      <c r="F2120">
        <v>125.2</v>
      </c>
      <c r="G2120">
        <v>101.9</v>
      </c>
      <c r="H2120">
        <v>0.91439999999999999</v>
      </c>
      <c r="I2120">
        <v>58.9</v>
      </c>
      <c r="J2120">
        <v>48.5</v>
      </c>
      <c r="K2120">
        <v>15</v>
      </c>
      <c r="L2120">
        <v>14.8</v>
      </c>
      <c r="M2120">
        <v>27.7</v>
      </c>
      <c r="N2120">
        <v>27.8</v>
      </c>
      <c r="O2120">
        <v>33.9</v>
      </c>
      <c r="P2120">
        <v>33</v>
      </c>
      <c r="Q2120">
        <v>56.3</v>
      </c>
      <c r="R2120">
        <v>47</v>
      </c>
      <c r="S2120">
        <v>41.4</v>
      </c>
      <c r="T2120">
        <v>34.200000000000003</v>
      </c>
      <c r="U2120">
        <v>65.400000000000006</v>
      </c>
      <c r="V2120">
        <v>5.6</v>
      </c>
      <c r="W2120" cm="1">
        <f t="array" ref="W2120">_xlfn.IFS(OR(X2120="N/A",X2120="NA"),0,OR(X2120="R64",X2120="R68"),1,X2120="R32",2,X2120="S16",3,X2120="E8",4,X2120="F4",5,X2120="2ND",6,X2120="Champions",7)</f>
        <v>2</v>
      </c>
      <c r="X2120" t="s">
        <v>420</v>
      </c>
      <c r="Y2120">
        <v>3</v>
      </c>
      <c r="Z2120">
        <v>2014</v>
      </c>
    </row>
    <row r="2121" spans="1:26" x14ac:dyDescent="0.3">
      <c r="A2121" t="s">
        <v>82</v>
      </c>
      <c r="B2121" t="s">
        <v>26</v>
      </c>
      <c r="C2121">
        <v>34</v>
      </c>
      <c r="D2121">
        <v>28</v>
      </c>
      <c r="E2121" s="1">
        <f t="shared" si="33"/>
        <v>0.82352941176470584</v>
      </c>
      <c r="F2121">
        <v>114.2</v>
      </c>
      <c r="G2121">
        <v>92.8</v>
      </c>
      <c r="H2121">
        <v>0.91559999999999997</v>
      </c>
      <c r="I2121">
        <v>48.2</v>
      </c>
      <c r="J2121">
        <v>48</v>
      </c>
      <c r="K2121">
        <v>14.8</v>
      </c>
      <c r="L2121">
        <v>21.9</v>
      </c>
      <c r="M2121">
        <v>38.1</v>
      </c>
      <c r="N2121">
        <v>31.5</v>
      </c>
      <c r="O2121">
        <v>38.200000000000003</v>
      </c>
      <c r="P2121">
        <v>36.700000000000003</v>
      </c>
      <c r="Q2121">
        <v>47.7</v>
      </c>
      <c r="R2121">
        <v>45.5</v>
      </c>
      <c r="S2121">
        <v>33.1</v>
      </c>
      <c r="T2121">
        <v>34.5</v>
      </c>
      <c r="U2121">
        <v>61.5</v>
      </c>
      <c r="V2121">
        <v>7.9</v>
      </c>
      <c r="W2121" cm="1">
        <f t="array" ref="W2121">_xlfn.IFS(OR(X2121="N/A",X2121="NA"),0,OR(X2121="R64",X2121="R68"),1,X2121="R32",2,X2121="S16",3,X2121="E8",4,X2121="F4",5,X2121="2ND",6,X2121="Champions",7)</f>
        <v>2</v>
      </c>
      <c r="X2121" t="s">
        <v>420</v>
      </c>
      <c r="Y2121">
        <v>3</v>
      </c>
      <c r="Z2121">
        <v>2014</v>
      </c>
    </row>
    <row r="2122" spans="1:26" x14ac:dyDescent="0.3">
      <c r="A2122" t="s">
        <v>99</v>
      </c>
      <c r="B2122" t="s">
        <v>45</v>
      </c>
      <c r="C2122">
        <v>33</v>
      </c>
      <c r="D2122">
        <v>26</v>
      </c>
      <c r="E2122" s="1">
        <f t="shared" si="33"/>
        <v>0.78787878787878785</v>
      </c>
      <c r="F2122">
        <v>104.9</v>
      </c>
      <c r="G2122">
        <v>90.4</v>
      </c>
      <c r="H2122">
        <v>0.84770000000000001</v>
      </c>
      <c r="I2122">
        <v>49.6</v>
      </c>
      <c r="J2122">
        <v>44.4</v>
      </c>
      <c r="K2122">
        <v>18.600000000000001</v>
      </c>
      <c r="L2122">
        <v>21</v>
      </c>
      <c r="M2122">
        <v>28.8</v>
      </c>
      <c r="N2122">
        <v>29</v>
      </c>
      <c r="O2122">
        <v>40.299999999999997</v>
      </c>
      <c r="P2122">
        <v>35.6</v>
      </c>
      <c r="Q2122">
        <v>50.5</v>
      </c>
      <c r="R2122">
        <v>44.4</v>
      </c>
      <c r="S2122">
        <v>31.7</v>
      </c>
      <c r="T2122">
        <v>29.6</v>
      </c>
      <c r="U2122">
        <v>67.5</v>
      </c>
      <c r="V2122">
        <v>3.8</v>
      </c>
      <c r="W2122" cm="1">
        <f t="array" ref="W2122">_xlfn.IFS(OR(X2122="N/A",X2122="NA"),0,OR(X2122="R64",X2122="R68"),1,X2122="R32",2,X2122="S16",3,X2122="E8",4,X2122="F4",5,X2122="2ND",6,X2122="Champions",7)</f>
        <v>2</v>
      </c>
      <c r="X2122" t="s">
        <v>420</v>
      </c>
      <c r="Y2122">
        <v>5</v>
      </c>
      <c r="Z2122">
        <v>2014</v>
      </c>
    </row>
    <row r="2123" spans="1:26" x14ac:dyDescent="0.3">
      <c r="A2123" t="s">
        <v>27</v>
      </c>
      <c r="B2123" t="s">
        <v>26</v>
      </c>
      <c r="C2123">
        <v>34</v>
      </c>
      <c r="D2123">
        <v>24</v>
      </c>
      <c r="E2123" s="1">
        <f t="shared" si="33"/>
        <v>0.70588235294117652</v>
      </c>
      <c r="F2123">
        <v>113.4</v>
      </c>
      <c r="G2123">
        <v>94.7</v>
      </c>
      <c r="H2123">
        <v>0.88829999999999998</v>
      </c>
      <c r="I2123">
        <v>49.9</v>
      </c>
      <c r="J2123">
        <v>47</v>
      </c>
      <c r="K2123">
        <v>16.899999999999999</v>
      </c>
      <c r="L2123">
        <v>19.3</v>
      </c>
      <c r="M2123">
        <v>38.1</v>
      </c>
      <c r="N2123">
        <v>31.3</v>
      </c>
      <c r="O2123">
        <v>42.9</v>
      </c>
      <c r="P2123">
        <v>41.4</v>
      </c>
      <c r="Q2123">
        <v>49.7</v>
      </c>
      <c r="R2123">
        <v>46.7</v>
      </c>
      <c r="S2123">
        <v>33.6</v>
      </c>
      <c r="T2123">
        <v>31.7</v>
      </c>
      <c r="U2123">
        <v>70.8</v>
      </c>
      <c r="V2123">
        <v>4.2</v>
      </c>
      <c r="W2123" cm="1">
        <f t="array" ref="W2123">_xlfn.IFS(OR(X2123="N/A",X2123="NA"),0,OR(X2123="R64",X2123="R68"),1,X2123="R32",2,X2123="S16",3,X2123="E8",4,X2123="F4",5,X2123="2ND",6,X2123="Champions",7)</f>
        <v>2</v>
      </c>
      <c r="X2123" t="s">
        <v>420</v>
      </c>
      <c r="Y2123">
        <v>6</v>
      </c>
      <c r="Z2123">
        <v>2014</v>
      </c>
    </row>
    <row r="2124" spans="1:26" x14ac:dyDescent="0.3">
      <c r="A2124" t="s">
        <v>73</v>
      </c>
      <c r="B2124" t="s">
        <v>38</v>
      </c>
      <c r="C2124">
        <v>34</v>
      </c>
      <c r="D2124">
        <v>24</v>
      </c>
      <c r="E2124" s="1">
        <f t="shared" si="33"/>
        <v>0.70588235294117652</v>
      </c>
      <c r="F2124">
        <v>118.1</v>
      </c>
      <c r="G2124">
        <v>100</v>
      </c>
      <c r="H2124">
        <v>0.872</v>
      </c>
      <c r="I2124">
        <v>53.5</v>
      </c>
      <c r="J2124">
        <v>49.1</v>
      </c>
      <c r="K2124">
        <v>16.100000000000001</v>
      </c>
      <c r="L2124">
        <v>18.899999999999999</v>
      </c>
      <c r="M2124">
        <v>32.200000000000003</v>
      </c>
      <c r="N2124">
        <v>31.9</v>
      </c>
      <c r="O2124">
        <v>43.8</v>
      </c>
      <c r="P2124">
        <v>47.8</v>
      </c>
      <c r="Q2124">
        <v>51</v>
      </c>
      <c r="R2124">
        <v>49.4</v>
      </c>
      <c r="S2124">
        <v>38.9</v>
      </c>
      <c r="T2124">
        <v>32.4</v>
      </c>
      <c r="U2124">
        <v>69.3</v>
      </c>
      <c r="V2124">
        <v>2.6</v>
      </c>
      <c r="W2124" cm="1">
        <f t="array" ref="W2124">_xlfn.IFS(OR(X2124="N/A",X2124="NA"),0,OR(X2124="R64",X2124="R68"),1,X2124="R32",2,X2124="S16",3,X2124="E8",4,X2124="F4",5,X2124="2ND",6,X2124="Champions",7)</f>
        <v>2</v>
      </c>
      <c r="X2124" t="s">
        <v>420</v>
      </c>
      <c r="Y2124">
        <v>7</v>
      </c>
      <c r="Z2124">
        <v>2014</v>
      </c>
    </row>
    <row r="2125" spans="1:26" x14ac:dyDescent="0.3">
      <c r="A2125" t="s">
        <v>152</v>
      </c>
      <c r="B2125" t="s">
        <v>35</v>
      </c>
      <c r="C2125">
        <v>35</v>
      </c>
      <c r="D2125">
        <v>24</v>
      </c>
      <c r="E2125" s="1">
        <f t="shared" si="33"/>
        <v>0.68571428571428572</v>
      </c>
      <c r="F2125">
        <v>112.4</v>
      </c>
      <c r="G2125">
        <v>96.7</v>
      </c>
      <c r="H2125">
        <v>0.85070000000000001</v>
      </c>
      <c r="I2125">
        <v>47.4</v>
      </c>
      <c r="J2125">
        <v>46.5</v>
      </c>
      <c r="K2125">
        <v>17.5</v>
      </c>
      <c r="L2125">
        <v>16.3</v>
      </c>
      <c r="M2125">
        <v>39.6</v>
      </c>
      <c r="N2125">
        <v>30.2</v>
      </c>
      <c r="O2125">
        <v>43.4</v>
      </c>
      <c r="P2125">
        <v>41</v>
      </c>
      <c r="Q2125">
        <v>46.9</v>
      </c>
      <c r="R2125">
        <v>42.9</v>
      </c>
      <c r="S2125">
        <v>32.700000000000003</v>
      </c>
      <c r="T2125">
        <v>35.200000000000003</v>
      </c>
      <c r="U2125">
        <v>68.7</v>
      </c>
      <c r="V2125">
        <v>3.6</v>
      </c>
      <c r="W2125" cm="1">
        <f t="array" ref="W2125">_xlfn.IFS(OR(X2125="N/A",X2125="NA"),0,OR(X2125="R64",X2125="R68"),1,X2125="R32",2,X2125="S16",3,X2125="E8",4,X2125="F4",5,X2125="2ND",6,X2125="Champions",7)</f>
        <v>2</v>
      </c>
      <c r="X2125" t="s">
        <v>420</v>
      </c>
      <c r="Y2125">
        <v>7</v>
      </c>
      <c r="Z2125">
        <v>2014</v>
      </c>
    </row>
    <row r="2126" spans="1:26" x14ac:dyDescent="0.3">
      <c r="A2126" t="s">
        <v>36</v>
      </c>
      <c r="B2126" t="s">
        <v>37</v>
      </c>
      <c r="C2126">
        <v>35</v>
      </c>
      <c r="D2126">
        <v>28</v>
      </c>
      <c r="E2126" s="1">
        <f t="shared" si="33"/>
        <v>0.8</v>
      </c>
      <c r="F2126">
        <v>113.6</v>
      </c>
      <c r="G2126">
        <v>93.3</v>
      </c>
      <c r="H2126">
        <v>0.90639999999999998</v>
      </c>
      <c r="I2126">
        <v>55.2</v>
      </c>
      <c r="J2126">
        <v>44.6</v>
      </c>
      <c r="K2126">
        <v>17.399999999999999</v>
      </c>
      <c r="L2126">
        <v>17.399999999999999</v>
      </c>
      <c r="M2126">
        <v>30.6</v>
      </c>
      <c r="N2126">
        <v>29.5</v>
      </c>
      <c r="O2126">
        <v>41.2</v>
      </c>
      <c r="P2126">
        <v>38.6</v>
      </c>
      <c r="Q2126">
        <v>53.6</v>
      </c>
      <c r="R2126">
        <v>43.3</v>
      </c>
      <c r="S2126">
        <v>39</v>
      </c>
      <c r="T2126">
        <v>31.8</v>
      </c>
      <c r="U2126">
        <v>66.5</v>
      </c>
      <c r="V2126">
        <v>4</v>
      </c>
      <c r="W2126" cm="1">
        <f t="array" ref="W2126">_xlfn.IFS(OR(X2126="N/A",X2126="NA"),0,OR(X2126="R64",X2126="R68"),1,X2126="R32",2,X2126="S16",3,X2126="E8",4,X2126="F4",5,X2126="2ND",6,X2126="Champions",7)</f>
        <v>2</v>
      </c>
      <c r="X2126" t="s">
        <v>420</v>
      </c>
      <c r="Y2126">
        <v>8</v>
      </c>
      <c r="Z2126">
        <v>2014</v>
      </c>
    </row>
    <row r="2127" spans="1:26" x14ac:dyDescent="0.3">
      <c r="A2127" t="s">
        <v>123</v>
      </c>
      <c r="B2127" t="s">
        <v>50</v>
      </c>
      <c r="C2127">
        <v>33</v>
      </c>
      <c r="D2127">
        <v>23</v>
      </c>
      <c r="E2127" s="1">
        <f t="shared" si="33"/>
        <v>0.69696969696969702</v>
      </c>
      <c r="F2127">
        <v>112.6</v>
      </c>
      <c r="G2127">
        <v>97</v>
      </c>
      <c r="H2127">
        <v>0.84789999999999999</v>
      </c>
      <c r="I2127">
        <v>51.9</v>
      </c>
      <c r="J2127">
        <v>48.4</v>
      </c>
      <c r="K2127">
        <v>18.600000000000001</v>
      </c>
      <c r="L2127">
        <v>20.3</v>
      </c>
      <c r="M2127">
        <v>35.799999999999997</v>
      </c>
      <c r="N2127">
        <v>33.299999999999997</v>
      </c>
      <c r="O2127">
        <v>39.5</v>
      </c>
      <c r="P2127">
        <v>33.799999999999997</v>
      </c>
      <c r="Q2127">
        <v>52.7</v>
      </c>
      <c r="R2127">
        <v>49.2</v>
      </c>
      <c r="S2127">
        <v>33</v>
      </c>
      <c r="T2127">
        <v>31</v>
      </c>
      <c r="U2127">
        <v>69.5</v>
      </c>
      <c r="V2127">
        <v>2.8</v>
      </c>
      <c r="W2127" cm="1">
        <f t="array" ref="W2127">_xlfn.IFS(OR(X2127="N/A",X2127="NA"),0,OR(X2127="R64",X2127="R68"),1,X2127="R32",2,X2127="S16",3,X2127="E8",4,X2127="F4",5,X2127="2ND",6,X2127="Champions",7)</f>
        <v>2</v>
      </c>
      <c r="X2127" t="s">
        <v>420</v>
      </c>
      <c r="Y2127">
        <v>8</v>
      </c>
      <c r="Z2127">
        <v>2014</v>
      </c>
    </row>
    <row r="2128" spans="1:26" x14ac:dyDescent="0.3">
      <c r="A2128" t="s">
        <v>107</v>
      </c>
      <c r="B2128" t="s">
        <v>26</v>
      </c>
      <c r="C2128">
        <v>36</v>
      </c>
      <c r="D2128">
        <v>26</v>
      </c>
      <c r="E2128" s="1">
        <f t="shared" si="33"/>
        <v>0.72222222222222221</v>
      </c>
      <c r="F2128">
        <v>117.1</v>
      </c>
      <c r="G2128">
        <v>94</v>
      </c>
      <c r="H2128">
        <v>0.92610000000000003</v>
      </c>
      <c r="I2128">
        <v>50.7</v>
      </c>
      <c r="J2128">
        <v>46.7</v>
      </c>
      <c r="K2128">
        <v>16.3</v>
      </c>
      <c r="L2128">
        <v>19.2</v>
      </c>
      <c r="M2128">
        <v>37.200000000000003</v>
      </c>
      <c r="N2128">
        <v>29</v>
      </c>
      <c r="O2128">
        <v>44.3</v>
      </c>
      <c r="P2128">
        <v>36.4</v>
      </c>
      <c r="Q2128">
        <v>50.1</v>
      </c>
      <c r="R2128">
        <v>45.5</v>
      </c>
      <c r="S2128">
        <v>35.1</v>
      </c>
      <c r="T2128">
        <v>32.6</v>
      </c>
      <c r="U2128">
        <v>63.8</v>
      </c>
      <c r="V2128">
        <v>4.0999999999999996</v>
      </c>
      <c r="W2128" cm="1">
        <f t="array" ref="W2128">_xlfn.IFS(OR(X2128="N/A",X2128="NA"),0,OR(X2128="R64",X2128="R68"),1,X2128="R32",2,X2128="S16",3,X2128="E8",4,X2128="F4",5,X2128="2ND",6,X2128="Champions",7)</f>
        <v>2</v>
      </c>
      <c r="X2128" t="s">
        <v>420</v>
      </c>
      <c r="Y2128">
        <v>9</v>
      </c>
      <c r="Z2128">
        <v>2014</v>
      </c>
    </row>
    <row r="2129" spans="1:26" x14ac:dyDescent="0.3">
      <c r="A2129" t="s">
        <v>239</v>
      </c>
      <c r="B2129" t="s">
        <v>59</v>
      </c>
      <c r="C2129">
        <v>31</v>
      </c>
      <c r="D2129">
        <v>26</v>
      </c>
      <c r="E2129" s="1">
        <f t="shared" si="33"/>
        <v>0.83870967741935487</v>
      </c>
      <c r="F2129">
        <v>111.9</v>
      </c>
      <c r="G2129">
        <v>95.2</v>
      </c>
      <c r="H2129">
        <v>0.86409999999999998</v>
      </c>
      <c r="I2129">
        <v>52.1</v>
      </c>
      <c r="J2129">
        <v>46.2</v>
      </c>
      <c r="K2129">
        <v>17.600000000000001</v>
      </c>
      <c r="L2129">
        <v>21.1</v>
      </c>
      <c r="M2129">
        <v>32.299999999999997</v>
      </c>
      <c r="N2129">
        <v>29.3</v>
      </c>
      <c r="O2129">
        <v>48.4</v>
      </c>
      <c r="P2129">
        <v>36.299999999999997</v>
      </c>
      <c r="Q2129">
        <v>49.7</v>
      </c>
      <c r="R2129">
        <v>44.9</v>
      </c>
      <c r="S2129">
        <v>38.6</v>
      </c>
      <c r="T2129">
        <v>32.700000000000003</v>
      </c>
      <c r="U2129">
        <v>65.5</v>
      </c>
      <c r="V2129">
        <v>2.2000000000000002</v>
      </c>
      <c r="W2129" cm="1">
        <f t="array" ref="W2129">_xlfn.IFS(OR(X2129="N/A",X2129="NA"),0,OR(X2129="R64",X2129="R68"),1,X2129="R32",2,X2129="S16",3,X2129="E8",4,X2129="F4",5,X2129="2ND",6,X2129="Champions",7)</f>
        <v>2</v>
      </c>
      <c r="X2129" t="s">
        <v>420</v>
      </c>
      <c r="Y2129">
        <v>12</v>
      </c>
      <c r="Z2129">
        <v>2014</v>
      </c>
    </row>
    <row r="2130" spans="1:26" x14ac:dyDescent="0.3">
      <c r="A2130" t="s">
        <v>388</v>
      </c>
      <c r="B2130" t="s">
        <v>72</v>
      </c>
      <c r="C2130">
        <v>30</v>
      </c>
      <c r="D2130">
        <v>23</v>
      </c>
      <c r="E2130" s="1">
        <f t="shared" si="33"/>
        <v>0.76666666666666672</v>
      </c>
      <c r="F2130">
        <v>113.9</v>
      </c>
      <c r="G2130">
        <v>103</v>
      </c>
      <c r="H2130">
        <v>0.76129999999999998</v>
      </c>
      <c r="I2130">
        <v>54.5</v>
      </c>
      <c r="J2130">
        <v>49.8</v>
      </c>
      <c r="K2130">
        <v>15.6</v>
      </c>
      <c r="L2130">
        <v>17.100000000000001</v>
      </c>
      <c r="M2130">
        <v>30.6</v>
      </c>
      <c r="N2130">
        <v>27.9</v>
      </c>
      <c r="O2130">
        <v>41.6</v>
      </c>
      <c r="P2130">
        <v>40.200000000000003</v>
      </c>
      <c r="Q2130">
        <v>55.4</v>
      </c>
      <c r="R2130">
        <v>46.1</v>
      </c>
      <c r="S2130">
        <v>34.700000000000003</v>
      </c>
      <c r="T2130">
        <v>37.799999999999997</v>
      </c>
      <c r="U2130">
        <v>64</v>
      </c>
      <c r="V2130">
        <v>0.2</v>
      </c>
      <c r="W2130" cm="1">
        <f t="array" ref="W2130">_xlfn.IFS(OR(X2130="N/A",X2130="NA"),0,OR(X2130="R64",X2130="R68"),1,X2130="R32",2,X2130="S16",3,X2130="E8",4,X2130="F4",5,X2130="2ND",6,X2130="Champions",7)</f>
        <v>2</v>
      </c>
      <c r="X2130" t="s">
        <v>420</v>
      </c>
      <c r="Y2130">
        <v>12</v>
      </c>
      <c r="Z2130">
        <v>2014</v>
      </c>
    </row>
    <row r="2131" spans="1:26" x14ac:dyDescent="0.3">
      <c r="A2131" t="s">
        <v>380</v>
      </c>
      <c r="B2131" t="s">
        <v>61</v>
      </c>
      <c r="C2131">
        <v>33</v>
      </c>
      <c r="D2131">
        <v>30</v>
      </c>
      <c r="E2131" s="1">
        <f t="shared" si="33"/>
        <v>0.90909090909090906</v>
      </c>
      <c r="F2131">
        <v>112</v>
      </c>
      <c r="G2131">
        <v>101.6</v>
      </c>
      <c r="H2131">
        <v>0.75270000000000004</v>
      </c>
      <c r="I2131">
        <v>52.3</v>
      </c>
      <c r="J2131">
        <v>50.5</v>
      </c>
      <c r="K2131">
        <v>16.899999999999999</v>
      </c>
      <c r="L2131">
        <v>23.6</v>
      </c>
      <c r="M2131">
        <v>38.200000000000003</v>
      </c>
      <c r="N2131">
        <v>28.9</v>
      </c>
      <c r="O2131">
        <v>39.9</v>
      </c>
      <c r="P2131">
        <v>50.7</v>
      </c>
      <c r="Q2131">
        <v>52.3</v>
      </c>
      <c r="R2131">
        <v>50</v>
      </c>
      <c r="S2131">
        <v>34.9</v>
      </c>
      <c r="T2131">
        <v>34.700000000000003</v>
      </c>
      <c r="U2131">
        <v>63.5</v>
      </c>
      <c r="V2131">
        <v>1.7</v>
      </c>
      <c r="W2131" cm="1">
        <f t="array" ref="W2131">_xlfn.IFS(OR(X2131="N/A",X2131="NA"),0,OR(X2131="R64",X2131="R68"),1,X2131="R32",2,X2131="S16",3,X2131="E8",4,X2131="F4",5,X2131="2ND",6,X2131="Champions",7)</f>
        <v>2</v>
      </c>
      <c r="X2131" t="s">
        <v>420</v>
      </c>
      <c r="Y2131">
        <v>12</v>
      </c>
      <c r="Z2131">
        <v>2014</v>
      </c>
    </row>
    <row r="2132" spans="1:26" x14ac:dyDescent="0.3">
      <c r="A2132" t="s">
        <v>351</v>
      </c>
      <c r="B2132" t="s">
        <v>131</v>
      </c>
      <c r="C2132">
        <v>33</v>
      </c>
      <c r="D2132">
        <v>24</v>
      </c>
      <c r="E2132" s="1">
        <f t="shared" si="33"/>
        <v>0.72727272727272729</v>
      </c>
      <c r="F2132">
        <v>109.6</v>
      </c>
      <c r="G2132">
        <v>101.8</v>
      </c>
      <c r="H2132">
        <v>0.69930000000000003</v>
      </c>
      <c r="I2132">
        <v>54</v>
      </c>
      <c r="J2132">
        <v>46.8</v>
      </c>
      <c r="K2132">
        <v>17.5</v>
      </c>
      <c r="L2132">
        <v>19</v>
      </c>
      <c r="M2132">
        <v>32</v>
      </c>
      <c r="N2132">
        <v>31.1</v>
      </c>
      <c r="O2132">
        <v>37.299999999999997</v>
      </c>
      <c r="P2132">
        <v>41</v>
      </c>
      <c r="Q2132">
        <v>51.6</v>
      </c>
      <c r="R2132">
        <v>46.9</v>
      </c>
      <c r="S2132">
        <v>38.799999999999997</v>
      </c>
      <c r="T2132">
        <v>31</v>
      </c>
      <c r="U2132">
        <v>65.2</v>
      </c>
      <c r="V2132">
        <v>-2.8</v>
      </c>
      <c r="W2132" cm="1">
        <f t="array" ref="W2132">_xlfn.IFS(OR(X2132="N/A",X2132="NA"),0,OR(X2132="R64",X2132="R68"),1,X2132="R32",2,X2132="S16",3,X2132="E8",4,X2132="F4",5,X2132="2ND",6,X2132="Champions",7)</f>
        <v>2</v>
      </c>
      <c r="X2132" t="s">
        <v>420</v>
      </c>
      <c r="Y2132">
        <v>14</v>
      </c>
      <c r="Z2132">
        <v>2014</v>
      </c>
    </row>
    <row r="2133" spans="1:26" x14ac:dyDescent="0.3">
      <c r="A2133" t="s">
        <v>36</v>
      </c>
      <c r="B2133" t="s">
        <v>37</v>
      </c>
      <c r="C2133">
        <v>34</v>
      </c>
      <c r="D2133">
        <v>31</v>
      </c>
      <c r="E2133" s="1">
        <f t="shared" si="33"/>
        <v>0.91176470588235292</v>
      </c>
      <c r="F2133">
        <v>118.9</v>
      </c>
      <c r="G2133">
        <v>90.2</v>
      </c>
      <c r="H2133">
        <v>0.95989999999999998</v>
      </c>
      <c r="I2133">
        <v>54.9</v>
      </c>
      <c r="J2133">
        <v>44.9</v>
      </c>
      <c r="K2133">
        <v>17.2</v>
      </c>
      <c r="L2133">
        <v>20.8</v>
      </c>
      <c r="M2133">
        <v>37.799999999999997</v>
      </c>
      <c r="N2133">
        <v>29.8</v>
      </c>
      <c r="O2133">
        <v>40.799999999999997</v>
      </c>
      <c r="P2133">
        <v>29.9</v>
      </c>
      <c r="Q2133">
        <v>55</v>
      </c>
      <c r="R2133">
        <v>42.1</v>
      </c>
      <c r="S2133">
        <v>36.5</v>
      </c>
      <c r="T2133">
        <v>32.9</v>
      </c>
      <c r="U2133">
        <v>65.099999999999994</v>
      </c>
      <c r="V2133">
        <v>7.6</v>
      </c>
      <c r="W2133" cm="1">
        <f t="array" ref="W2133">_xlfn.IFS(OR(X2133="N/A",X2133="NA"),0,OR(X2133="R64",X2133="R68"),1,X2133="R32",2,X2133="S16",3,X2133="E8",4,X2133="F4",5,X2133="2ND",6,X2133="Champions",7)</f>
        <v>2</v>
      </c>
      <c r="X2133" t="s">
        <v>420</v>
      </c>
      <c r="Y2133">
        <v>1</v>
      </c>
      <c r="Z2133">
        <v>2013</v>
      </c>
    </row>
    <row r="2134" spans="1:26" x14ac:dyDescent="0.3">
      <c r="A2134" t="s">
        <v>99</v>
      </c>
      <c r="B2134" t="s">
        <v>45</v>
      </c>
      <c r="C2134">
        <v>35</v>
      </c>
      <c r="D2134">
        <v>28</v>
      </c>
      <c r="E2134" s="1">
        <f t="shared" si="33"/>
        <v>0.8</v>
      </c>
      <c r="F2134">
        <v>108</v>
      </c>
      <c r="G2134">
        <v>87.5</v>
      </c>
      <c r="H2134">
        <v>0.91810000000000003</v>
      </c>
      <c r="I2134">
        <v>50.4</v>
      </c>
      <c r="J2134">
        <v>45.5</v>
      </c>
      <c r="K2134">
        <v>17.600000000000001</v>
      </c>
      <c r="L2134">
        <v>23.6</v>
      </c>
      <c r="M2134">
        <v>27.9</v>
      </c>
      <c r="N2134">
        <v>29.1</v>
      </c>
      <c r="O2134">
        <v>44</v>
      </c>
      <c r="P2134">
        <v>35</v>
      </c>
      <c r="Q2134">
        <v>50</v>
      </c>
      <c r="R2134">
        <v>44.1</v>
      </c>
      <c r="S2134">
        <v>34</v>
      </c>
      <c r="T2134">
        <v>33.1</v>
      </c>
      <c r="U2134">
        <v>64.7</v>
      </c>
      <c r="V2134">
        <v>3.8</v>
      </c>
      <c r="W2134" cm="1">
        <f t="array" ref="W2134">_xlfn.IFS(OR(X2134="N/A",X2134="NA"),0,OR(X2134="R64",X2134="R68"),1,X2134="R32",2,X2134="S16",3,X2134="E8",4,X2134="F4",5,X2134="2ND",6,X2134="Champions",7)</f>
        <v>2</v>
      </c>
      <c r="X2134" t="s">
        <v>420</v>
      </c>
      <c r="Y2134">
        <v>4</v>
      </c>
      <c r="Z2134">
        <v>2013</v>
      </c>
    </row>
    <row r="2135" spans="1:26" x14ac:dyDescent="0.3">
      <c r="A2135" t="s">
        <v>102</v>
      </c>
      <c r="B2135" t="s">
        <v>45</v>
      </c>
      <c r="C2135">
        <v>36</v>
      </c>
      <c r="D2135">
        <v>27</v>
      </c>
      <c r="E2135" s="1">
        <f t="shared" si="33"/>
        <v>0.75</v>
      </c>
      <c r="F2135">
        <v>113.8</v>
      </c>
      <c r="G2135">
        <v>92.1</v>
      </c>
      <c r="H2135">
        <v>0.91949999999999998</v>
      </c>
      <c r="I2135">
        <v>51.3</v>
      </c>
      <c r="J2135">
        <v>49.9</v>
      </c>
      <c r="K2135">
        <v>16.899999999999999</v>
      </c>
      <c r="L2135">
        <v>28.5</v>
      </c>
      <c r="M2135">
        <v>36.6</v>
      </c>
      <c r="N2135">
        <v>34.700000000000003</v>
      </c>
      <c r="O2135">
        <v>29.8</v>
      </c>
      <c r="P2135">
        <v>40.299999999999997</v>
      </c>
      <c r="Q2135">
        <v>50.5</v>
      </c>
      <c r="R2135">
        <v>50.1</v>
      </c>
      <c r="S2135">
        <v>35.1</v>
      </c>
      <c r="T2135">
        <v>32.9</v>
      </c>
      <c r="U2135">
        <v>68.099999999999994</v>
      </c>
      <c r="V2135">
        <v>2.6</v>
      </c>
      <c r="W2135" cm="1">
        <f t="array" ref="W2135">_xlfn.IFS(OR(X2135="N/A",X2135="NA"),0,OR(X2135="R64",X2135="R68"),1,X2135="R32",2,X2135="S16",3,X2135="E8",4,X2135="F4",5,X2135="2ND",6,X2135="Champions",7)</f>
        <v>2</v>
      </c>
      <c r="X2135" t="s">
        <v>420</v>
      </c>
      <c r="Y2135">
        <v>5</v>
      </c>
      <c r="Z2135">
        <v>2013</v>
      </c>
    </row>
    <row r="2136" spans="1:26" x14ac:dyDescent="0.3">
      <c r="A2136" t="s">
        <v>161</v>
      </c>
      <c r="B2136" t="s">
        <v>45</v>
      </c>
      <c r="C2136">
        <v>35</v>
      </c>
      <c r="D2136">
        <v>26</v>
      </c>
      <c r="E2136" s="1">
        <f t="shared" si="33"/>
        <v>0.74285714285714288</v>
      </c>
      <c r="F2136">
        <v>109.2</v>
      </c>
      <c r="G2136">
        <v>93</v>
      </c>
      <c r="H2136">
        <v>0.86240000000000006</v>
      </c>
      <c r="I2136">
        <v>50.7</v>
      </c>
      <c r="J2136">
        <v>46.7</v>
      </c>
      <c r="K2136">
        <v>20.2</v>
      </c>
      <c r="L2136">
        <v>17.399999999999999</v>
      </c>
      <c r="M2136">
        <v>35.9</v>
      </c>
      <c r="N2136">
        <v>26.3</v>
      </c>
      <c r="O2136">
        <v>38.4</v>
      </c>
      <c r="P2136">
        <v>36.1</v>
      </c>
      <c r="Q2136">
        <v>50.2</v>
      </c>
      <c r="R2136">
        <v>45.3</v>
      </c>
      <c r="S2136">
        <v>34.299999999999997</v>
      </c>
      <c r="T2136">
        <v>33.200000000000003</v>
      </c>
      <c r="U2136">
        <v>64.7</v>
      </c>
      <c r="V2136">
        <v>4.7</v>
      </c>
      <c r="W2136" cm="1">
        <f t="array" ref="W2136">_xlfn.IFS(OR(X2136="N/A",X2136="NA"),0,OR(X2136="R64",X2136="R68"),1,X2136="R32",2,X2136="S16",3,X2136="E8",4,X2136="F4",5,X2136="2ND",6,X2136="Champions",7)</f>
        <v>2</v>
      </c>
      <c r="X2136" t="s">
        <v>420</v>
      </c>
      <c r="Y2136">
        <v>6</v>
      </c>
      <c r="Z2136">
        <v>2013</v>
      </c>
    </row>
    <row r="2137" spans="1:26" x14ac:dyDescent="0.3">
      <c r="A2137" t="s">
        <v>123</v>
      </c>
      <c r="B2137" t="s">
        <v>40</v>
      </c>
      <c r="C2137">
        <v>36</v>
      </c>
      <c r="D2137">
        <v>31</v>
      </c>
      <c r="E2137" s="1">
        <f t="shared" si="33"/>
        <v>0.86111111111111116</v>
      </c>
      <c r="F2137">
        <v>106.1</v>
      </c>
      <c r="G2137">
        <v>90.2</v>
      </c>
      <c r="H2137">
        <v>0.86719999999999997</v>
      </c>
      <c r="I2137">
        <v>52.4</v>
      </c>
      <c r="J2137">
        <v>45.5</v>
      </c>
      <c r="K2137">
        <v>20.7</v>
      </c>
      <c r="L2137">
        <v>22.1</v>
      </c>
      <c r="M2137">
        <v>35.6</v>
      </c>
      <c r="N2137">
        <v>31.1</v>
      </c>
      <c r="O2137">
        <v>37.200000000000003</v>
      </c>
      <c r="P2137">
        <v>34.9</v>
      </c>
      <c r="Q2137">
        <v>51.1</v>
      </c>
      <c r="R2137">
        <v>43.8</v>
      </c>
      <c r="S2137">
        <v>37.200000000000003</v>
      </c>
      <c r="T2137">
        <v>33</v>
      </c>
      <c r="U2137">
        <v>69.3</v>
      </c>
      <c r="V2137">
        <v>4.5</v>
      </c>
      <c r="W2137" cm="1">
        <f t="array" ref="W2137">_xlfn.IFS(OR(X2137="N/A",X2137="NA"),0,OR(X2137="R64",X2137="R68"),1,X2137="R32",2,X2137="S16",3,X2137="E8",4,X2137="F4",5,X2137="2ND",6,X2137="Champions",7)</f>
        <v>2</v>
      </c>
      <c r="X2137" t="s">
        <v>420</v>
      </c>
      <c r="Y2137">
        <v>6</v>
      </c>
      <c r="Z2137">
        <v>2013</v>
      </c>
    </row>
    <row r="2138" spans="1:26" x14ac:dyDescent="0.3">
      <c r="A2138" t="s">
        <v>292</v>
      </c>
      <c r="B2138" t="s">
        <v>55</v>
      </c>
      <c r="C2138">
        <v>32</v>
      </c>
      <c r="D2138">
        <v>21</v>
      </c>
      <c r="E2138" s="1">
        <f t="shared" si="33"/>
        <v>0.65625</v>
      </c>
      <c r="F2138">
        <v>106</v>
      </c>
      <c r="G2138">
        <v>89.5</v>
      </c>
      <c r="H2138">
        <v>0.87519999999999998</v>
      </c>
      <c r="I2138">
        <v>48.5</v>
      </c>
      <c r="J2138">
        <v>44.7</v>
      </c>
      <c r="K2138">
        <v>18.100000000000001</v>
      </c>
      <c r="L2138">
        <v>18.2</v>
      </c>
      <c r="M2138">
        <v>31.8</v>
      </c>
      <c r="N2138">
        <v>27.9</v>
      </c>
      <c r="O2138">
        <v>35.299999999999997</v>
      </c>
      <c r="P2138">
        <v>28.9</v>
      </c>
      <c r="Q2138">
        <v>48.3</v>
      </c>
      <c r="R2138">
        <v>43.3</v>
      </c>
      <c r="S2138">
        <v>32.700000000000003</v>
      </c>
      <c r="T2138">
        <v>31.8</v>
      </c>
      <c r="U2138">
        <v>66.8</v>
      </c>
      <c r="V2138">
        <v>0.4</v>
      </c>
      <c r="W2138" cm="1">
        <f t="array" ref="W2138">_xlfn.IFS(OR(X2138="N/A",X2138="NA"),0,OR(X2138="R64",X2138="R68"),1,X2138="R32",2,X2138="S16",3,X2138="E8",4,X2138="F4",5,X2138="2ND",6,X2138="Champions",7)</f>
        <v>2</v>
      </c>
      <c r="X2138" t="s">
        <v>420</v>
      </c>
      <c r="Y2138">
        <v>7</v>
      </c>
      <c r="Z2138">
        <v>2013</v>
      </c>
    </row>
    <row r="2139" spans="1:26" x14ac:dyDescent="0.3">
      <c r="A2139" t="s">
        <v>141</v>
      </c>
      <c r="B2139" t="s">
        <v>31</v>
      </c>
      <c r="C2139">
        <v>34</v>
      </c>
      <c r="D2139">
        <v>21</v>
      </c>
      <c r="E2139" s="1">
        <f t="shared" si="33"/>
        <v>0.61764705882352944</v>
      </c>
      <c r="F2139">
        <v>109.8</v>
      </c>
      <c r="G2139">
        <v>92.7</v>
      </c>
      <c r="H2139">
        <v>0.87490000000000001</v>
      </c>
      <c r="I2139">
        <v>47.5</v>
      </c>
      <c r="J2139">
        <v>48.7</v>
      </c>
      <c r="K2139">
        <v>17.600000000000001</v>
      </c>
      <c r="L2139">
        <v>21.7</v>
      </c>
      <c r="M2139">
        <v>33.6</v>
      </c>
      <c r="N2139">
        <v>33</v>
      </c>
      <c r="O2139">
        <v>31</v>
      </c>
      <c r="P2139">
        <v>36</v>
      </c>
      <c r="Q2139">
        <v>47.4</v>
      </c>
      <c r="R2139">
        <v>47.4</v>
      </c>
      <c r="S2139">
        <v>31.7</v>
      </c>
      <c r="T2139">
        <v>34.1</v>
      </c>
      <c r="U2139">
        <v>66.099999999999994</v>
      </c>
      <c r="V2139">
        <v>2.4</v>
      </c>
      <c r="W2139" cm="1">
        <f t="array" ref="W2139">_xlfn.IFS(OR(X2139="N/A",X2139="NA"),0,OR(X2139="R64",X2139="R68"),1,X2139="R32",2,X2139="S16",3,X2139="E8",4,X2139="F4",5,X2139="2ND",6,X2139="Champions",7)</f>
        <v>2</v>
      </c>
      <c r="X2139" t="s">
        <v>420</v>
      </c>
      <c r="Y2139">
        <v>7</v>
      </c>
      <c r="Z2139">
        <v>2013</v>
      </c>
    </row>
    <row r="2140" spans="1:26" x14ac:dyDescent="0.3">
      <c r="A2140" t="s">
        <v>156</v>
      </c>
      <c r="B2140" t="s">
        <v>47</v>
      </c>
      <c r="C2140">
        <v>36</v>
      </c>
      <c r="D2140">
        <v>28</v>
      </c>
      <c r="E2140" s="1">
        <f t="shared" si="33"/>
        <v>0.77777777777777779</v>
      </c>
      <c r="F2140">
        <v>116.4</v>
      </c>
      <c r="G2140">
        <v>95</v>
      </c>
      <c r="H2140">
        <v>0.91169999999999995</v>
      </c>
      <c r="I2140">
        <v>58.2</v>
      </c>
      <c r="J2140">
        <v>45.9</v>
      </c>
      <c r="K2140">
        <v>18.899999999999999</v>
      </c>
      <c r="L2140">
        <v>16.100000000000001</v>
      </c>
      <c r="M2140">
        <v>28.8</v>
      </c>
      <c r="N2140">
        <v>27.2</v>
      </c>
      <c r="O2140">
        <v>34.200000000000003</v>
      </c>
      <c r="P2140">
        <v>26.1</v>
      </c>
      <c r="Q2140">
        <v>55.7</v>
      </c>
      <c r="R2140">
        <v>45.5</v>
      </c>
      <c r="S2140">
        <v>41.4</v>
      </c>
      <c r="T2140">
        <v>31.2</v>
      </c>
      <c r="U2140">
        <v>65.2</v>
      </c>
      <c r="V2140">
        <v>3.5</v>
      </c>
      <c r="W2140" cm="1">
        <f t="array" ref="W2140">_xlfn.IFS(OR(X2140="N/A",X2140="NA"),0,OR(X2140="R64",X2140="R68"),1,X2140="R32",2,X2140="S16",3,X2140="E8",4,X2140="F4",5,X2140="2ND",6,X2140="Champions",7)</f>
        <v>2</v>
      </c>
      <c r="X2140" t="s">
        <v>420</v>
      </c>
      <c r="Y2140">
        <v>7</v>
      </c>
      <c r="Z2140">
        <v>2013</v>
      </c>
    </row>
    <row r="2141" spans="1:26" x14ac:dyDescent="0.3">
      <c r="A2141" t="s">
        <v>284</v>
      </c>
      <c r="B2141" t="s">
        <v>55</v>
      </c>
      <c r="C2141">
        <v>33</v>
      </c>
      <c r="D2141">
        <v>24</v>
      </c>
      <c r="E2141" s="1">
        <f t="shared" si="33"/>
        <v>0.72727272727272729</v>
      </c>
      <c r="F2141">
        <v>116.6</v>
      </c>
      <c r="G2141">
        <v>98.4</v>
      </c>
      <c r="H2141">
        <v>0.87590000000000001</v>
      </c>
      <c r="I2141">
        <v>49.2</v>
      </c>
      <c r="J2141">
        <v>48.6</v>
      </c>
      <c r="K2141">
        <v>17.2</v>
      </c>
      <c r="L2141">
        <v>16.5</v>
      </c>
      <c r="M2141">
        <v>41.4</v>
      </c>
      <c r="N2141">
        <v>23.2</v>
      </c>
      <c r="O2141">
        <v>44.1</v>
      </c>
      <c r="P2141">
        <v>36.4</v>
      </c>
      <c r="Q2141">
        <v>48.4</v>
      </c>
      <c r="R2141">
        <v>47.1</v>
      </c>
      <c r="S2141">
        <v>34.1</v>
      </c>
      <c r="T2141">
        <v>34.1</v>
      </c>
      <c r="U2141">
        <v>64.8</v>
      </c>
      <c r="V2141">
        <v>1.9</v>
      </c>
      <c r="W2141" cm="1">
        <f t="array" ref="W2141">_xlfn.IFS(OR(X2141="N/A",X2141="NA"),0,OR(X2141="R64",X2141="R68"),1,X2141="R32",2,X2141="S16",3,X2141="E8",4,X2141="F4",5,X2141="2ND",6,X2141="Champions",7)</f>
        <v>2</v>
      </c>
      <c r="X2141" t="s">
        <v>420</v>
      </c>
      <c r="Y2141">
        <v>8</v>
      </c>
      <c r="Z2141">
        <v>2013</v>
      </c>
    </row>
    <row r="2142" spans="1:26" x14ac:dyDescent="0.3">
      <c r="A2142" t="s">
        <v>27</v>
      </c>
      <c r="B2142" t="s">
        <v>26</v>
      </c>
      <c r="C2142">
        <v>35</v>
      </c>
      <c r="D2142">
        <v>24</v>
      </c>
      <c r="E2142" s="1">
        <f t="shared" si="33"/>
        <v>0.68571428571428572</v>
      </c>
      <c r="F2142">
        <v>111.6</v>
      </c>
      <c r="G2142">
        <v>93</v>
      </c>
      <c r="H2142">
        <v>0.89019999999999999</v>
      </c>
      <c r="I2142">
        <v>49.3</v>
      </c>
      <c r="J2142">
        <v>48</v>
      </c>
      <c r="K2142">
        <v>17.2</v>
      </c>
      <c r="L2142">
        <v>21.5</v>
      </c>
      <c r="M2142">
        <v>34.6</v>
      </c>
      <c r="N2142">
        <v>31.6</v>
      </c>
      <c r="O2142">
        <v>28.2</v>
      </c>
      <c r="P2142">
        <v>27.1</v>
      </c>
      <c r="Q2142">
        <v>46.3</v>
      </c>
      <c r="R2142">
        <v>46.3</v>
      </c>
      <c r="S2142">
        <v>37.200000000000003</v>
      </c>
      <c r="T2142">
        <v>34.4</v>
      </c>
      <c r="U2142">
        <v>71.400000000000006</v>
      </c>
      <c r="V2142">
        <v>2.5</v>
      </c>
      <c r="W2142" cm="1">
        <f t="array" ref="W2142">_xlfn.IFS(OR(X2142="N/A",X2142="NA"),0,OR(X2142="R64",X2142="R68"),1,X2142="R32",2,X2142="S16",3,X2142="E8",4,X2142="F4",5,X2142="2ND",6,X2142="Champions",7)</f>
        <v>2</v>
      </c>
      <c r="X2142" t="s">
        <v>420</v>
      </c>
      <c r="Y2142">
        <v>8</v>
      </c>
      <c r="Z2142">
        <v>2013</v>
      </c>
    </row>
    <row r="2143" spans="1:26" x14ac:dyDescent="0.3">
      <c r="A2143" t="s">
        <v>125</v>
      </c>
      <c r="B2143" t="s">
        <v>45</v>
      </c>
      <c r="C2143">
        <v>34</v>
      </c>
      <c r="D2143">
        <v>24</v>
      </c>
      <c r="E2143" s="1">
        <f t="shared" si="33"/>
        <v>0.70588235294117652</v>
      </c>
      <c r="F2143">
        <v>110.7</v>
      </c>
      <c r="G2143">
        <v>96.9</v>
      </c>
      <c r="H2143">
        <v>0.82199999999999995</v>
      </c>
      <c r="I2143">
        <v>49</v>
      </c>
      <c r="J2143">
        <v>49</v>
      </c>
      <c r="K2143">
        <v>15.9</v>
      </c>
      <c r="L2143">
        <v>20.100000000000001</v>
      </c>
      <c r="M2143">
        <v>30.8</v>
      </c>
      <c r="N2143">
        <v>31.4</v>
      </c>
      <c r="O2143">
        <v>35.6</v>
      </c>
      <c r="P2143">
        <v>34.1</v>
      </c>
      <c r="Q2143">
        <v>48.8</v>
      </c>
      <c r="R2143">
        <v>47.3</v>
      </c>
      <c r="S2143">
        <v>32.799999999999997</v>
      </c>
      <c r="T2143">
        <v>35.299999999999997</v>
      </c>
      <c r="U2143">
        <v>66.8</v>
      </c>
      <c r="V2143">
        <v>1.5</v>
      </c>
      <c r="W2143" cm="1">
        <f t="array" ref="W2143">_xlfn.IFS(OR(X2143="N/A",X2143="NA"),0,OR(X2143="R64",X2143="R68"),1,X2143="R32",2,X2143="S16",3,X2143="E8",4,X2143="F4",5,X2143="2ND",6,X2143="Champions",7)</f>
        <v>2</v>
      </c>
      <c r="X2143" t="s">
        <v>420</v>
      </c>
      <c r="Y2143">
        <v>9</v>
      </c>
      <c r="Z2143">
        <v>2013</v>
      </c>
    </row>
    <row r="2144" spans="1:26" x14ac:dyDescent="0.3">
      <c r="A2144" t="s">
        <v>154</v>
      </c>
      <c r="B2144" t="s">
        <v>35</v>
      </c>
      <c r="C2144">
        <v>35</v>
      </c>
      <c r="D2144">
        <v>23</v>
      </c>
      <c r="E2144" s="1">
        <f t="shared" si="33"/>
        <v>0.65714285714285714</v>
      </c>
      <c r="F2144">
        <v>117.2</v>
      </c>
      <c r="G2144">
        <v>98.3</v>
      </c>
      <c r="H2144">
        <v>0.88280000000000003</v>
      </c>
      <c r="I2144">
        <v>53.8</v>
      </c>
      <c r="J2144">
        <v>48</v>
      </c>
      <c r="K2144">
        <v>18.5</v>
      </c>
      <c r="L2144">
        <v>18.600000000000001</v>
      </c>
      <c r="M2144">
        <v>34.200000000000003</v>
      </c>
      <c r="N2144">
        <v>28.5</v>
      </c>
      <c r="O2144">
        <v>33</v>
      </c>
      <c r="P2144">
        <v>32.700000000000003</v>
      </c>
      <c r="Q2144">
        <v>51.9</v>
      </c>
      <c r="R2144">
        <v>48.8</v>
      </c>
      <c r="S2144">
        <v>37.4</v>
      </c>
      <c r="T2144">
        <v>31.1</v>
      </c>
      <c r="U2144">
        <v>69.599999999999994</v>
      </c>
      <c r="V2144">
        <v>0.7</v>
      </c>
      <c r="W2144" cm="1">
        <f t="array" ref="W2144">_xlfn.IFS(OR(X2144="N/A",X2144="NA"),0,OR(X2144="R64",X2144="R68"),1,X2144="R32",2,X2144="S16",3,X2144="E8",4,X2144="F4",5,X2144="2ND",6,X2144="Champions",7)</f>
        <v>2</v>
      </c>
      <c r="X2144" t="s">
        <v>420</v>
      </c>
      <c r="Y2144">
        <v>10</v>
      </c>
      <c r="Z2144">
        <v>2013</v>
      </c>
    </row>
    <row r="2145" spans="1:26" x14ac:dyDescent="0.3">
      <c r="A2145" t="s">
        <v>142</v>
      </c>
      <c r="B2145" t="s">
        <v>31</v>
      </c>
      <c r="C2145">
        <v>34</v>
      </c>
      <c r="D2145">
        <v>21</v>
      </c>
      <c r="E2145" s="1">
        <f t="shared" si="33"/>
        <v>0.61764705882352944</v>
      </c>
      <c r="F2145">
        <v>112.6</v>
      </c>
      <c r="G2145">
        <v>92.5</v>
      </c>
      <c r="H2145">
        <v>0.90500000000000003</v>
      </c>
      <c r="I2145">
        <v>49.3</v>
      </c>
      <c r="J2145">
        <v>45.6</v>
      </c>
      <c r="K2145">
        <v>21.6</v>
      </c>
      <c r="L2145">
        <v>20.2</v>
      </c>
      <c r="M2145">
        <v>43.6</v>
      </c>
      <c r="N2145">
        <v>33.200000000000003</v>
      </c>
      <c r="O2145">
        <v>41.6</v>
      </c>
      <c r="P2145">
        <v>36.700000000000003</v>
      </c>
      <c r="Q2145">
        <v>48.8</v>
      </c>
      <c r="R2145">
        <v>42.8</v>
      </c>
      <c r="S2145">
        <v>33.700000000000003</v>
      </c>
      <c r="T2145">
        <v>33.9</v>
      </c>
      <c r="U2145">
        <v>64.099999999999994</v>
      </c>
      <c r="V2145">
        <v>2.1</v>
      </c>
      <c r="W2145" cm="1">
        <f t="array" ref="W2145">_xlfn.IFS(OR(X2145="N/A",X2145="NA"),0,OR(X2145="R64",X2145="R68"),1,X2145="R32",2,X2145="S16",3,X2145="E8",4,X2145="F4",5,X2145="2ND",6,X2145="Champions",7)</f>
        <v>2</v>
      </c>
      <c r="X2145" t="s">
        <v>420</v>
      </c>
      <c r="Y2145">
        <v>11</v>
      </c>
      <c r="Z2145">
        <v>2013</v>
      </c>
    </row>
    <row r="2146" spans="1:26" x14ac:dyDescent="0.3">
      <c r="A2146" t="s">
        <v>317</v>
      </c>
      <c r="B2146" t="s">
        <v>38</v>
      </c>
      <c r="C2146">
        <v>33</v>
      </c>
      <c r="D2146">
        <v>21</v>
      </c>
      <c r="E2146" s="1">
        <f t="shared" si="33"/>
        <v>0.63636363636363635</v>
      </c>
      <c r="F2146">
        <v>105.4</v>
      </c>
      <c r="G2146">
        <v>92.3</v>
      </c>
      <c r="H2146">
        <v>0.82110000000000005</v>
      </c>
      <c r="I2146">
        <v>48</v>
      </c>
      <c r="J2146">
        <v>44.3</v>
      </c>
      <c r="K2146">
        <v>18.899999999999999</v>
      </c>
      <c r="L2146">
        <v>16.8</v>
      </c>
      <c r="M2146">
        <v>32.5</v>
      </c>
      <c r="N2146">
        <v>30.7</v>
      </c>
      <c r="O2146">
        <v>31.2</v>
      </c>
      <c r="P2146">
        <v>32.5</v>
      </c>
      <c r="Q2146">
        <v>48.8</v>
      </c>
      <c r="R2146">
        <v>41.7</v>
      </c>
      <c r="S2146">
        <v>30.2</v>
      </c>
      <c r="T2146">
        <v>33.6</v>
      </c>
      <c r="U2146">
        <v>66.5</v>
      </c>
      <c r="V2146">
        <v>0.5</v>
      </c>
      <c r="W2146" cm="1">
        <f t="array" ref="W2146">_xlfn.IFS(OR(X2146="N/A",X2146="NA"),0,OR(X2146="R64",X2146="R68"),1,X2146="R32",2,X2146="S16",3,X2146="E8",4,X2146="F4",5,X2146="2ND",6,X2146="Champions",7)</f>
        <v>2</v>
      </c>
      <c r="X2146" t="s">
        <v>420</v>
      </c>
      <c r="Y2146">
        <v>12</v>
      </c>
      <c r="Z2146">
        <v>2013</v>
      </c>
    </row>
    <row r="2147" spans="1:26" x14ac:dyDescent="0.3">
      <c r="A2147" t="s">
        <v>367</v>
      </c>
      <c r="B2147" t="s">
        <v>29</v>
      </c>
      <c r="C2147">
        <v>36</v>
      </c>
      <c r="D2147">
        <v>27</v>
      </c>
      <c r="E2147" s="1">
        <f t="shared" si="33"/>
        <v>0.75</v>
      </c>
      <c r="F2147">
        <v>110</v>
      </c>
      <c r="G2147">
        <v>95.6</v>
      </c>
      <c r="H2147">
        <v>0.83399999999999996</v>
      </c>
      <c r="I2147">
        <v>49.1</v>
      </c>
      <c r="J2147">
        <v>46.4</v>
      </c>
      <c r="K2147">
        <v>15.9</v>
      </c>
      <c r="L2147">
        <v>21.5</v>
      </c>
      <c r="M2147">
        <v>34.1</v>
      </c>
      <c r="N2147">
        <v>31.8</v>
      </c>
      <c r="O2147">
        <v>38.799999999999997</v>
      </c>
      <c r="P2147">
        <v>31.1</v>
      </c>
      <c r="Q2147">
        <v>49.4</v>
      </c>
      <c r="R2147">
        <v>46.2</v>
      </c>
      <c r="S2147">
        <v>32.4</v>
      </c>
      <c r="T2147">
        <v>31.3</v>
      </c>
      <c r="U2147">
        <v>70.900000000000006</v>
      </c>
      <c r="V2147">
        <v>1.6</v>
      </c>
      <c r="W2147" cm="1">
        <f t="array" ref="W2147">_xlfn.IFS(OR(X2147="N/A",X2147="NA"),0,OR(X2147="R64",X2147="R68"),1,X2147="R32",2,X2147="S16",3,X2147="E8",4,X2147="F4",5,X2147="2ND",6,X2147="Champions",7)</f>
        <v>2</v>
      </c>
      <c r="X2147" t="s">
        <v>420</v>
      </c>
      <c r="Y2147">
        <v>12</v>
      </c>
      <c r="Z2147">
        <v>2013</v>
      </c>
    </row>
    <row r="2148" spans="1:26" x14ac:dyDescent="0.3">
      <c r="A2148" t="s">
        <v>239</v>
      </c>
      <c r="B2148" t="s">
        <v>59</v>
      </c>
      <c r="C2148">
        <v>29</v>
      </c>
      <c r="D2148">
        <v>19</v>
      </c>
      <c r="E2148" s="1">
        <f t="shared" si="33"/>
        <v>0.65517241379310343</v>
      </c>
      <c r="F2148">
        <v>104.9</v>
      </c>
      <c r="G2148">
        <v>99.9</v>
      </c>
      <c r="H2148">
        <v>0.63619999999999999</v>
      </c>
      <c r="I2148">
        <v>54.3</v>
      </c>
      <c r="J2148">
        <v>49.2</v>
      </c>
      <c r="K2148">
        <v>20.8</v>
      </c>
      <c r="L2148">
        <v>20.9</v>
      </c>
      <c r="M2148">
        <v>25.6</v>
      </c>
      <c r="N2148">
        <v>31.4</v>
      </c>
      <c r="O2148">
        <v>49.6</v>
      </c>
      <c r="P2148">
        <v>31.2</v>
      </c>
      <c r="Q2148">
        <v>51.5</v>
      </c>
      <c r="R2148">
        <v>48.9</v>
      </c>
      <c r="S2148">
        <v>39.799999999999997</v>
      </c>
      <c r="T2148">
        <v>33.299999999999997</v>
      </c>
      <c r="U2148">
        <v>64.7</v>
      </c>
      <c r="V2148">
        <v>-2.6</v>
      </c>
      <c r="W2148" cm="1">
        <f t="array" ref="W2148">_xlfn.IFS(OR(X2148="N/A",X2148="NA"),0,OR(X2148="R64",X2148="R68"),1,X2148="R32",2,X2148="S16",3,X2148="E8",4,X2148="F4",5,X2148="2ND",6,X2148="Champions",7)</f>
        <v>2</v>
      </c>
      <c r="X2148" t="s">
        <v>420</v>
      </c>
      <c r="Y2148">
        <v>14</v>
      </c>
      <c r="Z2148">
        <v>2013</v>
      </c>
    </row>
    <row r="2149" spans="1:26" x14ac:dyDescent="0.3">
      <c r="A2149" t="s">
        <v>101</v>
      </c>
      <c r="B2149" t="s">
        <v>45</v>
      </c>
      <c r="C2149">
        <v>31</v>
      </c>
      <c r="D2149">
        <v>23</v>
      </c>
      <c r="E2149" s="1">
        <f t="shared" si="33"/>
        <v>0.74193548387096775</v>
      </c>
      <c r="F2149">
        <v>118.3</v>
      </c>
      <c r="G2149">
        <v>102.2</v>
      </c>
      <c r="H2149">
        <v>0.84350000000000003</v>
      </c>
      <c r="I2149">
        <v>55.4</v>
      </c>
      <c r="J2149">
        <v>49.3</v>
      </c>
      <c r="K2149">
        <v>14.1</v>
      </c>
      <c r="L2149">
        <v>17</v>
      </c>
      <c r="M2149">
        <v>29.6</v>
      </c>
      <c r="N2149">
        <v>30.4</v>
      </c>
      <c r="O2149">
        <v>28.5</v>
      </c>
      <c r="P2149">
        <v>34.6</v>
      </c>
      <c r="Q2149">
        <v>53.1</v>
      </c>
      <c r="R2149">
        <v>51.4</v>
      </c>
      <c r="S2149">
        <v>38.700000000000003</v>
      </c>
      <c r="T2149">
        <v>30</v>
      </c>
      <c r="U2149">
        <v>67.2</v>
      </c>
      <c r="V2149">
        <v>1.7</v>
      </c>
      <c r="W2149" cm="1">
        <f t="array" ref="W2149">_xlfn.IFS(OR(X2149="N/A",X2149="NA"),0,OR(X2149="R64",X2149="R68"),1,X2149="R32",2,X2149="S16",3,X2149="E8",4,X2149="F4",5,X2149="2ND",6,X2149="Champions",7)</f>
        <v>1</v>
      </c>
      <c r="X2149" t="s">
        <v>422</v>
      </c>
      <c r="Y2149">
        <v>10</v>
      </c>
      <c r="Z2149">
        <v>2015</v>
      </c>
    </row>
    <row r="2150" spans="1:26" x14ac:dyDescent="0.3">
      <c r="A2150" t="s">
        <v>102</v>
      </c>
      <c r="B2150" t="s">
        <v>45</v>
      </c>
      <c r="C2150">
        <v>36</v>
      </c>
      <c r="D2150">
        <v>26</v>
      </c>
      <c r="E2150" s="1">
        <f t="shared" si="33"/>
        <v>0.72222222222222221</v>
      </c>
      <c r="F2150">
        <v>108.4</v>
      </c>
      <c r="G2150">
        <v>94</v>
      </c>
      <c r="H2150">
        <v>0.83730000000000004</v>
      </c>
      <c r="I2150">
        <v>48.7</v>
      </c>
      <c r="J2150">
        <v>49.5</v>
      </c>
      <c r="K2150">
        <v>15.7</v>
      </c>
      <c r="L2150">
        <v>23.5</v>
      </c>
      <c r="M2150">
        <v>31.8</v>
      </c>
      <c r="N2150">
        <v>30.6</v>
      </c>
      <c r="O2150">
        <v>37.299999999999997</v>
      </c>
      <c r="P2150">
        <v>37.799999999999997</v>
      </c>
      <c r="Q2150">
        <v>46.9</v>
      </c>
      <c r="R2150">
        <v>48.3</v>
      </c>
      <c r="S2150">
        <v>34.299999999999997</v>
      </c>
      <c r="T2150">
        <v>34.5</v>
      </c>
      <c r="U2150">
        <v>67.2</v>
      </c>
      <c r="V2150">
        <v>3</v>
      </c>
      <c r="W2150" cm="1">
        <f t="array" ref="W2150">_xlfn.IFS(OR(X2150="N/A",X2150="NA"),0,OR(X2150="R64",X2150="R68"),1,X2150="R32",2,X2150="S16",3,X2150="E8",4,X2150="F4",5,X2150="2ND",6,X2150="Champions",7)</f>
        <v>1</v>
      </c>
      <c r="X2150" t="s">
        <v>422</v>
      </c>
      <c r="Y2150">
        <v>7</v>
      </c>
      <c r="Z2150">
        <v>2015</v>
      </c>
    </row>
    <row r="2151" spans="1:26" x14ac:dyDescent="0.3">
      <c r="A2151" t="s">
        <v>79</v>
      </c>
      <c r="B2151" t="s">
        <v>45</v>
      </c>
      <c r="C2151">
        <v>33</v>
      </c>
      <c r="D2151">
        <v>25</v>
      </c>
      <c r="E2151" s="1">
        <f t="shared" si="33"/>
        <v>0.75757575757575757</v>
      </c>
      <c r="F2151">
        <v>105.5</v>
      </c>
      <c r="G2151">
        <v>92.6</v>
      </c>
      <c r="H2151">
        <v>0.81840000000000002</v>
      </c>
      <c r="I2151">
        <v>51.6</v>
      </c>
      <c r="J2151">
        <v>46.9</v>
      </c>
      <c r="K2151">
        <v>18.600000000000001</v>
      </c>
      <c r="L2151">
        <v>18</v>
      </c>
      <c r="M2151">
        <v>28.7</v>
      </c>
      <c r="N2151">
        <v>24.2</v>
      </c>
      <c r="O2151">
        <v>40.799999999999997</v>
      </c>
      <c r="P2151">
        <v>32.799999999999997</v>
      </c>
      <c r="Q2151">
        <v>51.5</v>
      </c>
      <c r="R2151">
        <v>43.7</v>
      </c>
      <c r="S2151">
        <v>34.4</v>
      </c>
      <c r="T2151">
        <v>34.9</v>
      </c>
      <c r="U2151">
        <v>68.5</v>
      </c>
      <c r="V2151">
        <v>2.4</v>
      </c>
      <c r="W2151" cm="1">
        <f t="array" ref="W2151">_xlfn.IFS(OR(X2151="N/A",X2151="NA"),0,OR(X2151="R64",X2151="R68"),1,X2151="R32",2,X2151="S16",3,X2151="E8",4,X2151="F4",5,X2151="2ND",6,X2151="Champions",7)</f>
        <v>1</v>
      </c>
      <c r="X2151" t="s">
        <v>422</v>
      </c>
      <c r="Y2151">
        <v>7</v>
      </c>
      <c r="Z2151">
        <v>2016</v>
      </c>
    </row>
    <row r="2152" spans="1:26" x14ac:dyDescent="0.3">
      <c r="A2152" t="s">
        <v>79</v>
      </c>
      <c r="B2152" t="s">
        <v>45</v>
      </c>
      <c r="C2152">
        <v>31</v>
      </c>
      <c r="D2152">
        <v>24</v>
      </c>
      <c r="E2152" s="1">
        <f t="shared" si="33"/>
        <v>0.77419354838709675</v>
      </c>
      <c r="F2152">
        <v>111.6</v>
      </c>
      <c r="G2152">
        <v>97</v>
      </c>
      <c r="H2152">
        <v>0.83330000000000004</v>
      </c>
      <c r="I2152">
        <v>53.6</v>
      </c>
      <c r="J2152">
        <v>47.7</v>
      </c>
      <c r="K2152">
        <v>16.899999999999999</v>
      </c>
      <c r="L2152">
        <v>20.9</v>
      </c>
      <c r="M2152">
        <v>25.6</v>
      </c>
      <c r="N2152">
        <v>27.4</v>
      </c>
      <c r="O2152">
        <v>43.4</v>
      </c>
      <c r="P2152">
        <v>35.200000000000003</v>
      </c>
      <c r="Q2152">
        <v>51</v>
      </c>
      <c r="R2152">
        <v>47.2</v>
      </c>
      <c r="S2152">
        <v>38.4</v>
      </c>
      <c r="T2152">
        <v>32.299999999999997</v>
      </c>
      <c r="U2152">
        <v>69.599999999999994</v>
      </c>
      <c r="V2152">
        <v>1.5</v>
      </c>
      <c r="W2152" cm="1">
        <f t="array" ref="W2152">_xlfn.IFS(OR(X2152="N/A",X2152="NA"),0,OR(X2152="R64",X2152="R68"),1,X2152="R32",2,X2152="S16",3,X2152="E8",4,X2152="F4",5,X2152="2ND",6,X2152="Champions",7)</f>
        <v>1</v>
      </c>
      <c r="X2152" t="s">
        <v>422</v>
      </c>
      <c r="Y2152">
        <v>7</v>
      </c>
      <c r="Z2152">
        <v>2017</v>
      </c>
    </row>
    <row r="2153" spans="1:26" x14ac:dyDescent="0.3">
      <c r="A2153" t="s">
        <v>102</v>
      </c>
      <c r="B2153" t="s">
        <v>45</v>
      </c>
      <c r="C2153">
        <v>35</v>
      </c>
      <c r="D2153">
        <v>26</v>
      </c>
      <c r="E2153" s="1">
        <f t="shared" si="33"/>
        <v>0.74285714285714288</v>
      </c>
      <c r="F2153">
        <v>108.1</v>
      </c>
      <c r="G2153">
        <v>95.9</v>
      </c>
      <c r="H2153">
        <v>0.79879999999999995</v>
      </c>
      <c r="I2153">
        <v>51</v>
      </c>
      <c r="J2153">
        <v>47.5</v>
      </c>
      <c r="K2153">
        <v>17.8</v>
      </c>
      <c r="L2153">
        <v>21</v>
      </c>
      <c r="M2153">
        <v>31.3</v>
      </c>
      <c r="N2153">
        <v>27.5</v>
      </c>
      <c r="O2153">
        <v>36.4</v>
      </c>
      <c r="P2153">
        <v>40.9</v>
      </c>
      <c r="Q2153">
        <v>51.5</v>
      </c>
      <c r="R2153">
        <v>46</v>
      </c>
      <c r="S2153">
        <v>33.1</v>
      </c>
      <c r="T2153">
        <v>33.799999999999997</v>
      </c>
      <c r="U2153">
        <v>70.099999999999994</v>
      </c>
      <c r="V2153">
        <v>1.3</v>
      </c>
      <c r="W2153" cm="1">
        <f t="array" ref="W2153">_xlfn.IFS(OR(X2153="N/A",X2153="NA"),0,OR(X2153="R64",X2153="R68"),1,X2153="R32",2,X2153="S16",3,X2153="E8",4,X2153="F4",5,X2153="2ND",6,X2153="Champions",7)</f>
        <v>1</v>
      </c>
      <c r="X2153" t="s">
        <v>422</v>
      </c>
      <c r="Y2153">
        <v>10</v>
      </c>
      <c r="Z2153">
        <v>2017</v>
      </c>
    </row>
    <row r="2154" spans="1:26" x14ac:dyDescent="0.3">
      <c r="A2154" t="s">
        <v>101</v>
      </c>
      <c r="B2154" t="s">
        <v>45</v>
      </c>
      <c r="C2154">
        <v>33</v>
      </c>
      <c r="D2154">
        <v>21</v>
      </c>
      <c r="E2154" s="1">
        <f t="shared" si="33"/>
        <v>0.63636363636363635</v>
      </c>
      <c r="F2154">
        <v>117</v>
      </c>
      <c r="G2154">
        <v>102.3</v>
      </c>
      <c r="H2154">
        <v>0.82299999999999995</v>
      </c>
      <c r="I2154">
        <v>57.4</v>
      </c>
      <c r="J2154">
        <v>51.2</v>
      </c>
      <c r="K2154">
        <v>14.5</v>
      </c>
      <c r="L2154">
        <v>16.2</v>
      </c>
      <c r="M2154">
        <v>22.6</v>
      </c>
      <c r="N2154">
        <v>23.4</v>
      </c>
      <c r="O2154">
        <v>24.6</v>
      </c>
      <c r="P2154">
        <v>29.6</v>
      </c>
      <c r="Q2154">
        <v>56.5</v>
      </c>
      <c r="R2154">
        <v>50.3</v>
      </c>
      <c r="S2154">
        <v>38.9</v>
      </c>
      <c r="T2154">
        <v>35</v>
      </c>
      <c r="U2154">
        <v>65.5</v>
      </c>
      <c r="V2154">
        <v>-2.9</v>
      </c>
      <c r="W2154" cm="1">
        <f t="array" ref="W2154">_xlfn.IFS(OR(X2154="N/A",X2154="NA"),0,OR(X2154="R64",X2154="R68"),1,X2154="R32",2,X2154="S16",3,X2154="E8",4,X2154="F4",5,X2154="2ND",6,X2154="Champions",7)</f>
        <v>1</v>
      </c>
      <c r="X2154" t="s">
        <v>422</v>
      </c>
      <c r="Y2154">
        <v>12</v>
      </c>
      <c r="Z2154">
        <v>2018</v>
      </c>
    </row>
    <row r="2155" spans="1:26" x14ac:dyDescent="0.3">
      <c r="A2155" t="s">
        <v>100</v>
      </c>
      <c r="B2155" t="s">
        <v>45</v>
      </c>
      <c r="C2155">
        <v>34</v>
      </c>
      <c r="D2155">
        <v>26</v>
      </c>
      <c r="E2155" s="1">
        <f t="shared" si="33"/>
        <v>0.76470588235294112</v>
      </c>
      <c r="F2155">
        <v>109.6</v>
      </c>
      <c r="G2155">
        <v>99.7</v>
      </c>
      <c r="H2155">
        <v>0.74850000000000005</v>
      </c>
      <c r="I2155">
        <v>51.6</v>
      </c>
      <c r="J2155">
        <v>49</v>
      </c>
      <c r="K2155">
        <v>16.3</v>
      </c>
      <c r="L2155">
        <v>20.399999999999999</v>
      </c>
      <c r="M2155">
        <v>29.3</v>
      </c>
      <c r="N2155">
        <v>29.1</v>
      </c>
      <c r="O2155">
        <v>40.5</v>
      </c>
      <c r="P2155">
        <v>38.4</v>
      </c>
      <c r="Q2155">
        <v>48.5</v>
      </c>
      <c r="R2155">
        <v>49.7</v>
      </c>
      <c r="S2155">
        <v>38.6</v>
      </c>
      <c r="T2155">
        <v>32</v>
      </c>
      <c r="U2155">
        <v>70.400000000000006</v>
      </c>
      <c r="V2155">
        <v>1.4</v>
      </c>
      <c r="W2155" cm="1">
        <f t="array" ref="W2155">_xlfn.IFS(OR(X2155="N/A",X2155="NA"),0,OR(X2155="R64",X2155="R68"),1,X2155="R32",2,X2155="S16",3,X2155="E8",4,X2155="F4",5,X2155="2ND",6,X2155="Champions",7)</f>
        <v>1</v>
      </c>
      <c r="X2155" t="s">
        <v>422</v>
      </c>
      <c r="Y2155">
        <v>11</v>
      </c>
      <c r="Z2155">
        <v>2018</v>
      </c>
    </row>
    <row r="2156" spans="1:26" x14ac:dyDescent="0.3">
      <c r="A2156" t="s">
        <v>99</v>
      </c>
      <c r="B2156" t="s">
        <v>45</v>
      </c>
      <c r="C2156">
        <v>36</v>
      </c>
      <c r="D2156">
        <v>23</v>
      </c>
      <c r="E2156" s="1">
        <f t="shared" si="33"/>
        <v>0.63888888888888884</v>
      </c>
      <c r="F2156">
        <v>101.3</v>
      </c>
      <c r="G2156">
        <v>95.7</v>
      </c>
      <c r="H2156">
        <v>0.65990000000000004</v>
      </c>
      <c r="I2156">
        <v>46.7</v>
      </c>
      <c r="J2156">
        <v>46.9</v>
      </c>
      <c r="K2156">
        <v>19.3</v>
      </c>
      <c r="L2156">
        <v>19.399999999999999</v>
      </c>
      <c r="M2156">
        <v>36</v>
      </c>
      <c r="N2156">
        <v>25.1</v>
      </c>
      <c r="O2156">
        <v>39.4</v>
      </c>
      <c r="P2156">
        <v>33.5</v>
      </c>
      <c r="Q2156">
        <v>47.2</v>
      </c>
      <c r="R2156">
        <v>46.7</v>
      </c>
      <c r="S2156">
        <v>30.4</v>
      </c>
      <c r="T2156">
        <v>31.4</v>
      </c>
      <c r="U2156">
        <v>67.7</v>
      </c>
      <c r="V2156">
        <v>-3.2</v>
      </c>
      <c r="W2156" cm="1">
        <f t="array" ref="W2156">_xlfn.IFS(OR(X2156="N/A",X2156="NA"),0,OR(X2156="R64",X2156="R68"),1,X2156="R32",2,X2156="S16",3,X2156="E8",4,X2156="F4",5,X2156="2ND",6,X2156="Champions",7)</f>
        <v>1</v>
      </c>
      <c r="X2156" t="s">
        <v>422</v>
      </c>
      <c r="Y2156">
        <v>13</v>
      </c>
      <c r="Z2156">
        <v>2019</v>
      </c>
    </row>
    <row r="2157" spans="1:26" x14ac:dyDescent="0.3">
      <c r="A2157" t="s">
        <v>102</v>
      </c>
      <c r="B2157" t="s">
        <v>45</v>
      </c>
      <c r="C2157">
        <v>33</v>
      </c>
      <c r="D2157">
        <v>25</v>
      </c>
      <c r="E2157" s="1">
        <f t="shared" si="33"/>
        <v>0.75757575757575757</v>
      </c>
      <c r="F2157">
        <v>104.6</v>
      </c>
      <c r="G2157">
        <v>87.6</v>
      </c>
      <c r="H2157">
        <v>0.88380000000000003</v>
      </c>
      <c r="I2157">
        <v>50.1</v>
      </c>
      <c r="J2157">
        <v>43.5</v>
      </c>
      <c r="K2157">
        <v>20</v>
      </c>
      <c r="L2157">
        <v>23.4</v>
      </c>
      <c r="M2157">
        <v>31</v>
      </c>
      <c r="N2157">
        <v>30.6</v>
      </c>
      <c r="O2157">
        <v>35.700000000000003</v>
      </c>
      <c r="P2157">
        <v>36.6</v>
      </c>
      <c r="Q2157">
        <v>53.1</v>
      </c>
      <c r="R2157">
        <v>43.8</v>
      </c>
      <c r="S2157">
        <v>30.5</v>
      </c>
      <c r="T2157">
        <v>28.5</v>
      </c>
      <c r="U2157">
        <v>69.7</v>
      </c>
      <c r="V2157">
        <v>1.1000000000000001</v>
      </c>
      <c r="W2157" cm="1">
        <f t="array" ref="W2157">_xlfn.IFS(OR(X2157="N/A",X2157="NA"),0,OR(X2157="R64",X2157="R68"),1,X2157="R32",2,X2157="S16",3,X2157="E8",4,X2157="F4",5,X2157="2ND",6,X2157="Champions",7)</f>
        <v>1</v>
      </c>
      <c r="X2157" t="s">
        <v>422</v>
      </c>
      <c r="Y2157">
        <v>8</v>
      </c>
      <c r="Z2157">
        <v>2019</v>
      </c>
    </row>
    <row r="2158" spans="1:26" x14ac:dyDescent="0.3">
      <c r="A2158" t="s">
        <v>107</v>
      </c>
      <c r="B2158" t="s">
        <v>26</v>
      </c>
      <c r="C2158">
        <v>32</v>
      </c>
      <c r="D2158">
        <v>20</v>
      </c>
      <c r="E2158" s="1">
        <f t="shared" si="33"/>
        <v>0.625</v>
      </c>
      <c r="F2158">
        <v>113.9</v>
      </c>
      <c r="G2158">
        <v>96.9</v>
      </c>
      <c r="H2158">
        <v>0.8659</v>
      </c>
      <c r="I2158">
        <v>51.1</v>
      </c>
      <c r="J2158">
        <v>50</v>
      </c>
      <c r="K2158">
        <v>17.5</v>
      </c>
      <c r="L2158">
        <v>16.899999999999999</v>
      </c>
      <c r="M2158">
        <v>36.9</v>
      </c>
      <c r="N2158">
        <v>27.5</v>
      </c>
      <c r="O2158">
        <v>36.1</v>
      </c>
      <c r="P2158">
        <v>32.4</v>
      </c>
      <c r="Q2158">
        <v>50.4</v>
      </c>
      <c r="R2158">
        <v>48.4</v>
      </c>
      <c r="S2158">
        <v>35</v>
      </c>
      <c r="T2158">
        <v>35.4</v>
      </c>
      <c r="U2158">
        <v>66.3</v>
      </c>
      <c r="V2158">
        <v>1.8</v>
      </c>
      <c r="W2158" cm="1">
        <f t="array" ref="W2158">_xlfn.IFS(OR(X2158="N/A",X2158="NA"),0,OR(X2158="R64",X2158="R68"),1,X2158="R32",2,X2158="S16",3,X2158="E8",4,X2158="F4",5,X2158="2ND",6,X2158="Champions",7)</f>
        <v>1</v>
      </c>
      <c r="X2158" t="s">
        <v>422</v>
      </c>
      <c r="Y2158">
        <v>10</v>
      </c>
      <c r="Z2158">
        <v>2016</v>
      </c>
    </row>
    <row r="2159" spans="1:26" x14ac:dyDescent="0.3">
      <c r="A2159" t="s">
        <v>106</v>
      </c>
      <c r="B2159" t="s">
        <v>26</v>
      </c>
      <c r="C2159">
        <v>33</v>
      </c>
      <c r="D2159">
        <v>21</v>
      </c>
      <c r="E2159" s="1">
        <f t="shared" si="33"/>
        <v>0.63636363636363635</v>
      </c>
      <c r="F2159">
        <v>110.8</v>
      </c>
      <c r="G2159">
        <v>93.1</v>
      </c>
      <c r="H2159">
        <v>0.88039999999999996</v>
      </c>
      <c r="I2159">
        <v>51</v>
      </c>
      <c r="J2159">
        <v>47.6</v>
      </c>
      <c r="K2159">
        <v>19.5</v>
      </c>
      <c r="L2159">
        <v>18.3</v>
      </c>
      <c r="M2159">
        <v>33.4</v>
      </c>
      <c r="N2159">
        <v>28.2</v>
      </c>
      <c r="O2159">
        <v>34.299999999999997</v>
      </c>
      <c r="P2159">
        <v>28.7</v>
      </c>
      <c r="Q2159">
        <v>49.8</v>
      </c>
      <c r="R2159">
        <v>46.6</v>
      </c>
      <c r="S2159">
        <v>35.6</v>
      </c>
      <c r="T2159">
        <v>33</v>
      </c>
      <c r="U2159">
        <v>64.599999999999994</v>
      </c>
      <c r="V2159">
        <v>2.9</v>
      </c>
      <c r="W2159" cm="1">
        <f t="array" ref="W2159">_xlfn.IFS(OR(X2159="N/A",X2159="NA"),0,OR(X2159="R64",X2159="R68"),1,X2159="R32",2,X2159="S16",3,X2159="E8",4,X2159="F4",5,X2159="2ND",6,X2159="Champions",7)</f>
        <v>1</v>
      </c>
      <c r="X2159" t="s">
        <v>422</v>
      </c>
      <c r="Y2159">
        <v>8</v>
      </c>
      <c r="Z2159">
        <v>2017</v>
      </c>
    </row>
    <row r="2160" spans="1:26" x14ac:dyDescent="0.3">
      <c r="A2160" t="s">
        <v>108</v>
      </c>
      <c r="B2160" t="s">
        <v>26</v>
      </c>
      <c r="C2160">
        <v>33</v>
      </c>
      <c r="D2160">
        <v>22</v>
      </c>
      <c r="E2160" s="1">
        <f t="shared" si="33"/>
        <v>0.66666666666666663</v>
      </c>
      <c r="F2160">
        <v>118.4</v>
      </c>
      <c r="G2160">
        <v>102.5</v>
      </c>
      <c r="H2160">
        <v>0.84009999999999996</v>
      </c>
      <c r="I2160">
        <v>56.9</v>
      </c>
      <c r="J2160">
        <v>51</v>
      </c>
      <c r="K2160">
        <v>17.2</v>
      </c>
      <c r="L2160">
        <v>16.5</v>
      </c>
      <c r="M2160">
        <v>23.4</v>
      </c>
      <c r="N2160">
        <v>30.5</v>
      </c>
      <c r="O2160">
        <v>40.9</v>
      </c>
      <c r="P2160">
        <v>27.3</v>
      </c>
      <c r="Q2160">
        <v>54.6</v>
      </c>
      <c r="R2160">
        <v>49</v>
      </c>
      <c r="S2160">
        <v>40.299999999999997</v>
      </c>
      <c r="T2160">
        <v>36.299999999999997</v>
      </c>
      <c r="U2160">
        <v>70</v>
      </c>
      <c r="V2160">
        <v>3.3</v>
      </c>
      <c r="W2160" cm="1">
        <f t="array" ref="W2160">_xlfn.IFS(OR(X2160="N/A",X2160="NA"),0,OR(X2160="R64",X2160="R68"),1,X2160="R32",2,X2160="S16",3,X2160="E8",4,X2160="F4",5,X2160="2ND",6,X2160="Champions",7)</f>
        <v>1</v>
      </c>
      <c r="X2160" t="s">
        <v>422</v>
      </c>
      <c r="Y2160">
        <v>9</v>
      </c>
      <c r="Z2160">
        <v>2017</v>
      </c>
    </row>
    <row r="2161" spans="1:26" x14ac:dyDescent="0.3">
      <c r="A2161" t="s">
        <v>106</v>
      </c>
      <c r="B2161" t="s">
        <v>26</v>
      </c>
      <c r="C2161">
        <v>32</v>
      </c>
      <c r="D2161">
        <v>22</v>
      </c>
      <c r="E2161" s="1">
        <f t="shared" si="33"/>
        <v>0.6875</v>
      </c>
      <c r="F2161">
        <v>113.3</v>
      </c>
      <c r="G2161">
        <v>96.6</v>
      </c>
      <c r="H2161">
        <v>0.86229999999999996</v>
      </c>
      <c r="I2161">
        <v>53.1</v>
      </c>
      <c r="J2161">
        <v>49</v>
      </c>
      <c r="K2161">
        <v>16.8</v>
      </c>
      <c r="L2161">
        <v>18.8</v>
      </c>
      <c r="M2161">
        <v>29.1</v>
      </c>
      <c r="N2161">
        <v>28.2</v>
      </c>
      <c r="O2161">
        <v>29.1</v>
      </c>
      <c r="P2161">
        <v>28.1</v>
      </c>
      <c r="Q2161">
        <v>52.2</v>
      </c>
      <c r="R2161">
        <v>48.8</v>
      </c>
      <c r="S2161">
        <v>36.4</v>
      </c>
      <c r="T2161">
        <v>32.799999999999997</v>
      </c>
      <c r="U2161">
        <v>68.2</v>
      </c>
      <c r="V2161">
        <v>2.7</v>
      </c>
      <c r="W2161" cm="1">
        <f t="array" ref="W2161">_xlfn.IFS(OR(X2161="N/A",X2161="NA"),0,OR(X2161="R64",X2161="R68"),1,X2161="R32",2,X2161="S16",3,X2161="E8",4,X2161="F4",5,X2161="2ND",6,X2161="Champions",7)</f>
        <v>1</v>
      </c>
      <c r="X2161" t="s">
        <v>422</v>
      </c>
      <c r="Y2161">
        <v>6</v>
      </c>
      <c r="Z2161">
        <v>2018</v>
      </c>
    </row>
    <row r="2162" spans="1:26" x14ac:dyDescent="0.3">
      <c r="A2162" t="s">
        <v>110</v>
      </c>
      <c r="B2162" t="s">
        <v>26</v>
      </c>
      <c r="C2162">
        <v>33</v>
      </c>
      <c r="D2162">
        <v>21</v>
      </c>
      <c r="E2162" s="1">
        <f t="shared" si="33"/>
        <v>0.63636363636363635</v>
      </c>
      <c r="F2162">
        <v>115.6</v>
      </c>
      <c r="G2162">
        <v>101.3</v>
      </c>
      <c r="H2162">
        <v>0.82099999999999995</v>
      </c>
      <c r="I2162">
        <v>53.4</v>
      </c>
      <c r="J2162">
        <v>51.6</v>
      </c>
      <c r="K2162">
        <v>16.8</v>
      </c>
      <c r="L2162">
        <v>20.399999999999999</v>
      </c>
      <c r="M2162">
        <v>33.4</v>
      </c>
      <c r="N2162">
        <v>32</v>
      </c>
      <c r="O2162">
        <v>34.200000000000003</v>
      </c>
      <c r="P2162">
        <v>33.700000000000003</v>
      </c>
      <c r="Q2162">
        <v>52.1</v>
      </c>
      <c r="R2162">
        <v>53.6</v>
      </c>
      <c r="S2162">
        <v>37.200000000000003</v>
      </c>
      <c r="T2162">
        <v>31.6</v>
      </c>
      <c r="U2162">
        <v>72.8</v>
      </c>
      <c r="V2162">
        <v>0.9</v>
      </c>
      <c r="W2162" cm="1">
        <f t="array" ref="W2162">_xlfn.IFS(OR(X2162="N/A",X2162="NA"),0,OR(X2162="R64",X2162="R68"),1,X2162="R32",2,X2162="S16",3,X2162="E8",4,X2162="F4",5,X2162="2ND",6,X2162="Champions",7)</f>
        <v>1</v>
      </c>
      <c r="X2162" t="s">
        <v>422</v>
      </c>
      <c r="Y2162">
        <v>9</v>
      </c>
      <c r="Z2162">
        <v>2018</v>
      </c>
    </row>
    <row r="2163" spans="1:26" x14ac:dyDescent="0.3">
      <c r="A2163" t="s">
        <v>44</v>
      </c>
      <c r="B2163" t="s">
        <v>26</v>
      </c>
      <c r="C2163">
        <v>34</v>
      </c>
      <c r="D2163">
        <v>31</v>
      </c>
      <c r="E2163" s="1">
        <f t="shared" si="33"/>
        <v>0.91176470588235292</v>
      </c>
      <c r="F2163">
        <v>114.6</v>
      </c>
      <c r="G2163">
        <v>86.7</v>
      </c>
      <c r="H2163">
        <v>0.96120000000000005</v>
      </c>
      <c r="I2163">
        <v>52.7</v>
      </c>
      <c r="J2163">
        <v>44.3</v>
      </c>
      <c r="K2163">
        <v>14</v>
      </c>
      <c r="L2163">
        <v>20.9</v>
      </c>
      <c r="M2163">
        <v>27</v>
      </c>
      <c r="N2163">
        <v>25.6</v>
      </c>
      <c r="O2163">
        <v>24.5</v>
      </c>
      <c r="P2163">
        <v>26.2</v>
      </c>
      <c r="Q2163">
        <v>50.1</v>
      </c>
      <c r="R2163">
        <v>42.8</v>
      </c>
      <c r="S2163">
        <v>38.299999999999997</v>
      </c>
      <c r="T2163">
        <v>31</v>
      </c>
      <c r="U2163">
        <v>60.5</v>
      </c>
      <c r="V2163">
        <v>11.3</v>
      </c>
      <c r="W2163" cm="1">
        <f t="array" ref="W2163">_xlfn.IFS(OR(X2163="N/A",X2163="NA"),0,OR(X2163="R64",X2163="R68"),1,X2163="R32",2,X2163="S16",3,X2163="E8",4,X2163="F4",5,X2163="2ND",6,X2163="Champions",7)</f>
        <v>1</v>
      </c>
      <c r="X2163" t="s">
        <v>422</v>
      </c>
      <c r="Y2163">
        <v>1</v>
      </c>
      <c r="Z2163">
        <v>2018</v>
      </c>
    </row>
    <row r="2164" spans="1:26" x14ac:dyDescent="0.3">
      <c r="A2164" t="s">
        <v>108</v>
      </c>
      <c r="B2164" t="s">
        <v>26</v>
      </c>
      <c r="C2164">
        <v>33</v>
      </c>
      <c r="D2164">
        <v>21</v>
      </c>
      <c r="E2164" s="1">
        <f t="shared" si="33"/>
        <v>0.63636363636363635</v>
      </c>
      <c r="F2164">
        <v>115.2</v>
      </c>
      <c r="G2164">
        <v>98.6</v>
      </c>
      <c r="H2164">
        <v>0.8579</v>
      </c>
      <c r="I2164">
        <v>57.7</v>
      </c>
      <c r="J2164">
        <v>50.4</v>
      </c>
      <c r="K2164">
        <v>17</v>
      </c>
      <c r="L2164">
        <v>18.600000000000001</v>
      </c>
      <c r="M2164">
        <v>23.9</v>
      </c>
      <c r="N2164">
        <v>29.4</v>
      </c>
      <c r="O2164">
        <v>36.5</v>
      </c>
      <c r="P2164">
        <v>29.4</v>
      </c>
      <c r="Q2164">
        <v>57.3</v>
      </c>
      <c r="R2164">
        <v>49.2</v>
      </c>
      <c r="S2164">
        <v>38.799999999999997</v>
      </c>
      <c r="T2164">
        <v>34.700000000000003</v>
      </c>
      <c r="U2164">
        <v>70.2</v>
      </c>
      <c r="V2164">
        <v>1.3</v>
      </c>
      <c r="W2164" cm="1">
        <f t="array" ref="W2164">_xlfn.IFS(OR(X2164="N/A",X2164="NA"),0,OR(X2164="R64",X2164="R68"),1,X2164="R32",2,X2164="S16",3,X2164="E8",4,X2164="F4",5,X2164="2ND",6,X2164="Champions",7)</f>
        <v>1</v>
      </c>
      <c r="X2164" t="s">
        <v>422</v>
      </c>
      <c r="Y2164">
        <v>8</v>
      </c>
      <c r="Z2164">
        <v>2018</v>
      </c>
    </row>
    <row r="2165" spans="1:26" x14ac:dyDescent="0.3">
      <c r="A2165" t="s">
        <v>52</v>
      </c>
      <c r="B2165" t="s">
        <v>26</v>
      </c>
      <c r="C2165">
        <v>34</v>
      </c>
      <c r="D2165">
        <v>20</v>
      </c>
      <c r="E2165" s="1">
        <f t="shared" si="33"/>
        <v>0.58823529411764708</v>
      </c>
      <c r="F2165">
        <v>112.9</v>
      </c>
      <c r="G2165">
        <v>93.1</v>
      </c>
      <c r="H2165">
        <v>0.90229999999999999</v>
      </c>
      <c r="I2165">
        <v>50.9</v>
      </c>
      <c r="J2165">
        <v>46.7</v>
      </c>
      <c r="K2165">
        <v>17.5</v>
      </c>
      <c r="L2165">
        <v>16.100000000000001</v>
      </c>
      <c r="M2165">
        <v>29.1</v>
      </c>
      <c r="N2165">
        <v>25.9</v>
      </c>
      <c r="O2165">
        <v>34.9</v>
      </c>
      <c r="P2165">
        <v>32</v>
      </c>
      <c r="Q2165">
        <v>50.6</v>
      </c>
      <c r="R2165">
        <v>46</v>
      </c>
      <c r="S2165">
        <v>34.200000000000003</v>
      </c>
      <c r="T2165">
        <v>32</v>
      </c>
      <c r="U2165">
        <v>68.599999999999994</v>
      </c>
      <c r="V2165">
        <v>2.2999999999999998</v>
      </c>
      <c r="W2165" cm="1">
        <f t="array" ref="W2165">_xlfn.IFS(OR(X2165="N/A",X2165="NA"),0,OR(X2165="R64",X2165="R68"),1,X2165="R32",2,X2165="S16",3,X2165="E8",4,X2165="F4",5,X2165="2ND",6,X2165="Champions",7)</f>
        <v>1</v>
      </c>
      <c r="X2165" t="s">
        <v>422</v>
      </c>
      <c r="Y2165">
        <v>7</v>
      </c>
      <c r="Z2165">
        <v>2019</v>
      </c>
    </row>
    <row r="2166" spans="1:26" x14ac:dyDescent="0.3">
      <c r="A2166" t="s">
        <v>82</v>
      </c>
      <c r="B2166" t="s">
        <v>26</v>
      </c>
      <c r="C2166">
        <v>34</v>
      </c>
      <c r="D2166">
        <v>20</v>
      </c>
      <c r="E2166" s="1">
        <f t="shared" si="33"/>
        <v>0.58823529411764708</v>
      </c>
      <c r="F2166">
        <v>110.5</v>
      </c>
      <c r="G2166">
        <v>94.2</v>
      </c>
      <c r="H2166">
        <v>0.86219999999999997</v>
      </c>
      <c r="I2166">
        <v>49.6</v>
      </c>
      <c r="J2166">
        <v>48.1</v>
      </c>
      <c r="K2166">
        <v>18.5</v>
      </c>
      <c r="L2166">
        <v>23.1</v>
      </c>
      <c r="M2166">
        <v>30.2</v>
      </c>
      <c r="N2166">
        <v>33.4</v>
      </c>
      <c r="O2166">
        <v>36.799999999999997</v>
      </c>
      <c r="P2166">
        <v>34.299999999999997</v>
      </c>
      <c r="Q2166">
        <v>49.3</v>
      </c>
      <c r="R2166">
        <v>46.9</v>
      </c>
      <c r="S2166">
        <v>33.299999999999997</v>
      </c>
      <c r="T2166">
        <v>32.9</v>
      </c>
      <c r="U2166">
        <v>67.3</v>
      </c>
      <c r="V2166">
        <v>0.4</v>
      </c>
      <c r="W2166" cm="1">
        <f t="array" ref="W2166">_xlfn.IFS(OR(X2166="N/A",X2166="NA"),0,OR(X2166="R64",X2166="R68"),1,X2166="R32",2,X2166="S16",3,X2166="E8",4,X2166="F4",5,X2166="2ND",6,X2166="Champions",7)</f>
        <v>1</v>
      </c>
      <c r="X2166" t="s">
        <v>422</v>
      </c>
      <c r="Y2166">
        <v>8</v>
      </c>
      <c r="Z2166">
        <v>2019</v>
      </c>
    </row>
    <row r="2167" spans="1:26" x14ac:dyDescent="0.3">
      <c r="A2167" t="s">
        <v>120</v>
      </c>
      <c r="B2167" t="s">
        <v>112</v>
      </c>
      <c r="C2167">
        <v>33</v>
      </c>
      <c r="D2167">
        <v>24</v>
      </c>
      <c r="E2167" s="1">
        <f t="shared" si="33"/>
        <v>0.72727272727272729</v>
      </c>
      <c r="F2167">
        <v>104.9</v>
      </c>
      <c r="G2167">
        <v>102.2</v>
      </c>
      <c r="H2167">
        <v>0.57489999999999997</v>
      </c>
      <c r="I2167">
        <v>49.9</v>
      </c>
      <c r="J2167">
        <v>49.6</v>
      </c>
      <c r="K2167">
        <v>18.8</v>
      </c>
      <c r="L2167">
        <v>20.100000000000001</v>
      </c>
      <c r="M2167">
        <v>32.6</v>
      </c>
      <c r="N2167">
        <v>26</v>
      </c>
      <c r="O2167">
        <v>39</v>
      </c>
      <c r="P2167">
        <v>30.4</v>
      </c>
      <c r="Q2167">
        <v>47.9</v>
      </c>
      <c r="R2167">
        <v>46.2</v>
      </c>
      <c r="S2167">
        <v>35.799999999999997</v>
      </c>
      <c r="T2167">
        <v>36.200000000000003</v>
      </c>
      <c r="U2167">
        <v>61.3</v>
      </c>
      <c r="V2167">
        <v>-3.3</v>
      </c>
      <c r="W2167" cm="1">
        <f t="array" ref="W2167">_xlfn.IFS(OR(X2167="N/A",X2167="NA"),0,OR(X2167="R64",X2167="R68"),1,X2167="R32",2,X2167="S16",3,X2167="E8",4,X2167="F4",5,X2167="2ND",6,X2167="Champions",7)</f>
        <v>1</v>
      </c>
      <c r="X2167" t="s">
        <v>422</v>
      </c>
      <c r="Y2167">
        <v>14</v>
      </c>
      <c r="Z2167">
        <v>2015</v>
      </c>
    </row>
    <row r="2168" spans="1:26" x14ac:dyDescent="0.3">
      <c r="A2168" t="s">
        <v>116</v>
      </c>
      <c r="B2168" t="s">
        <v>112</v>
      </c>
      <c r="C2168">
        <v>31</v>
      </c>
      <c r="D2168">
        <v>24</v>
      </c>
      <c r="E2168" s="1">
        <f t="shared" si="33"/>
        <v>0.77419354838709675</v>
      </c>
      <c r="F2168">
        <v>104.6</v>
      </c>
      <c r="G2168">
        <v>99.2</v>
      </c>
      <c r="H2168">
        <v>0.64800000000000002</v>
      </c>
      <c r="I2168">
        <v>52.2</v>
      </c>
      <c r="J2168">
        <v>47.6</v>
      </c>
      <c r="K2168">
        <v>17.3</v>
      </c>
      <c r="L2168">
        <v>18.399999999999999</v>
      </c>
      <c r="M2168">
        <v>34.799999999999997</v>
      </c>
      <c r="N2168">
        <v>26</v>
      </c>
      <c r="O2168">
        <v>32.200000000000003</v>
      </c>
      <c r="P2168">
        <v>27.6</v>
      </c>
      <c r="Q2168">
        <v>50.7</v>
      </c>
      <c r="R2168">
        <v>45.8</v>
      </c>
      <c r="S2168">
        <v>37.200000000000003</v>
      </c>
      <c r="T2168">
        <v>34.1</v>
      </c>
      <c r="U2168">
        <v>67.8</v>
      </c>
      <c r="V2168">
        <v>-1.1000000000000001</v>
      </c>
      <c r="W2168" cm="1">
        <f t="array" ref="W2168">_xlfn.IFS(OR(X2168="N/A",X2168="NA"),0,OR(X2168="R64",X2168="R68"),1,X2168="R32",2,X2168="S16",3,X2168="E8",4,X2168="F4",5,X2168="2ND",6,X2168="Champions",7)</f>
        <v>1</v>
      </c>
      <c r="X2168" t="s">
        <v>422</v>
      </c>
      <c r="Y2168">
        <v>13</v>
      </c>
      <c r="Z2168">
        <v>2016</v>
      </c>
    </row>
    <row r="2169" spans="1:26" x14ac:dyDescent="0.3">
      <c r="A2169" t="s">
        <v>119</v>
      </c>
      <c r="B2169" t="s">
        <v>112</v>
      </c>
      <c r="C2169">
        <v>34</v>
      </c>
      <c r="D2169">
        <v>29</v>
      </c>
      <c r="E2169" s="1">
        <f t="shared" si="33"/>
        <v>0.8529411764705882</v>
      </c>
      <c r="F2169">
        <v>110</v>
      </c>
      <c r="G2169">
        <v>98.2</v>
      </c>
      <c r="H2169">
        <v>0.78639999999999999</v>
      </c>
      <c r="I2169">
        <v>55.3</v>
      </c>
      <c r="J2169">
        <v>48.6</v>
      </c>
      <c r="K2169">
        <v>17</v>
      </c>
      <c r="L2169">
        <v>19.600000000000001</v>
      </c>
      <c r="M2169">
        <v>29.8</v>
      </c>
      <c r="N2169">
        <v>27.1</v>
      </c>
      <c r="O2169">
        <v>34.299999999999997</v>
      </c>
      <c r="P2169">
        <v>26.5</v>
      </c>
      <c r="Q2169">
        <v>55.5</v>
      </c>
      <c r="R2169">
        <v>46.9</v>
      </c>
      <c r="S2169">
        <v>36.700000000000003</v>
      </c>
      <c r="T2169">
        <v>34.9</v>
      </c>
      <c r="U2169">
        <v>65.8</v>
      </c>
      <c r="V2169">
        <v>0.7</v>
      </c>
      <c r="W2169" cm="1">
        <f t="array" ref="W2169">_xlfn.IFS(OR(X2169="N/A",X2169="NA"),0,OR(X2169="R64",X2169="R68"),1,X2169="R32",2,X2169="S16",3,X2169="E8",4,X2169="F4",5,X2169="2ND",6,X2169="Champions",7)</f>
        <v>1</v>
      </c>
      <c r="X2169" t="s">
        <v>422</v>
      </c>
      <c r="Y2169">
        <v>13</v>
      </c>
      <c r="Z2169">
        <v>2017</v>
      </c>
    </row>
    <row r="2170" spans="1:26" x14ac:dyDescent="0.3">
      <c r="A2170" t="s">
        <v>119</v>
      </c>
      <c r="B2170" t="s">
        <v>112</v>
      </c>
      <c r="C2170">
        <v>33</v>
      </c>
      <c r="D2170">
        <v>27</v>
      </c>
      <c r="E2170" s="1">
        <f t="shared" si="33"/>
        <v>0.81818181818181823</v>
      </c>
      <c r="F2170">
        <v>107</v>
      </c>
      <c r="G2170">
        <v>98.1</v>
      </c>
      <c r="H2170">
        <v>0.73240000000000005</v>
      </c>
      <c r="I2170">
        <v>52.6</v>
      </c>
      <c r="J2170">
        <v>48.7</v>
      </c>
      <c r="K2170">
        <v>16.8</v>
      </c>
      <c r="L2170">
        <v>19.100000000000001</v>
      </c>
      <c r="M2170">
        <v>27.3</v>
      </c>
      <c r="N2170">
        <v>22.2</v>
      </c>
      <c r="O2170">
        <v>35.9</v>
      </c>
      <c r="P2170">
        <v>27.5</v>
      </c>
      <c r="Q2170">
        <v>51.6</v>
      </c>
      <c r="R2170">
        <v>46.3</v>
      </c>
      <c r="S2170">
        <v>35.9</v>
      </c>
      <c r="T2170">
        <v>35.1</v>
      </c>
      <c r="U2170">
        <v>66.7</v>
      </c>
      <c r="V2170">
        <v>-1</v>
      </c>
      <c r="W2170" cm="1">
        <f t="array" ref="W2170">_xlfn.IFS(OR(X2170="N/A",X2170="NA"),0,OR(X2170="R64",X2170="R68"),1,X2170="R32",2,X2170="S16",3,X2170="E8",4,X2170="F4",5,X2170="2ND",6,X2170="Champions",7)</f>
        <v>1</v>
      </c>
      <c r="X2170" t="s">
        <v>422</v>
      </c>
      <c r="Y2170">
        <v>13</v>
      </c>
      <c r="Z2170">
        <v>2019</v>
      </c>
    </row>
    <row r="2171" spans="1:26" x14ac:dyDescent="0.3">
      <c r="A2171" t="s">
        <v>129</v>
      </c>
      <c r="B2171" t="s">
        <v>50</v>
      </c>
      <c r="C2171">
        <v>33</v>
      </c>
      <c r="D2171">
        <v>26</v>
      </c>
      <c r="E2171" s="1">
        <f t="shared" si="33"/>
        <v>0.78787878787878785</v>
      </c>
      <c r="F2171">
        <v>111.1</v>
      </c>
      <c r="G2171">
        <v>94.6</v>
      </c>
      <c r="H2171">
        <v>0.86350000000000005</v>
      </c>
      <c r="I2171">
        <v>52.1</v>
      </c>
      <c r="J2171">
        <v>45.7</v>
      </c>
      <c r="K2171">
        <v>19.5</v>
      </c>
      <c r="L2171">
        <v>20.3</v>
      </c>
      <c r="M2171">
        <v>36.6</v>
      </c>
      <c r="N2171">
        <v>29.2</v>
      </c>
      <c r="O2171">
        <v>43.8</v>
      </c>
      <c r="P2171">
        <v>31.2</v>
      </c>
      <c r="Q2171">
        <v>51.3</v>
      </c>
      <c r="R2171">
        <v>42.9</v>
      </c>
      <c r="S2171">
        <v>36.299999999999997</v>
      </c>
      <c r="T2171">
        <v>32.700000000000003</v>
      </c>
      <c r="U2171">
        <v>63.6</v>
      </c>
      <c r="V2171">
        <v>3.1</v>
      </c>
      <c r="W2171" cm="1">
        <f t="array" ref="W2171">_xlfn.IFS(OR(X2171="N/A",X2171="NA"),0,OR(X2171="R64",X2171="R68"),1,X2171="R32",2,X2171="S16",3,X2171="E8",4,X2171="F4",5,X2171="2ND",6,X2171="Champions",7)</f>
        <v>1</v>
      </c>
      <c r="X2171" t="s">
        <v>422</v>
      </c>
      <c r="Y2171">
        <v>6</v>
      </c>
      <c r="Z2171">
        <v>2015</v>
      </c>
    </row>
    <row r="2172" spans="1:26" x14ac:dyDescent="0.3">
      <c r="A2172" t="s">
        <v>421</v>
      </c>
      <c r="B2172" t="s">
        <v>50</v>
      </c>
      <c r="C2172">
        <v>33</v>
      </c>
      <c r="D2172">
        <v>22</v>
      </c>
      <c r="E2172" s="1">
        <f t="shared" si="33"/>
        <v>0.66666666666666663</v>
      </c>
      <c r="F2172">
        <v>110</v>
      </c>
      <c r="G2172">
        <v>93.5</v>
      </c>
      <c r="H2172">
        <v>0.86599999999999999</v>
      </c>
      <c r="I2172">
        <v>49.3</v>
      </c>
      <c r="J2172">
        <v>45.6</v>
      </c>
      <c r="K2172">
        <v>16.3</v>
      </c>
      <c r="L2172">
        <v>20.3</v>
      </c>
      <c r="M2172">
        <v>36.700000000000003</v>
      </c>
      <c r="N2172">
        <v>30.6</v>
      </c>
      <c r="O2172">
        <v>33.200000000000003</v>
      </c>
      <c r="P2172">
        <v>27</v>
      </c>
      <c r="Q2172">
        <v>47.7</v>
      </c>
      <c r="R2172">
        <v>41.3</v>
      </c>
      <c r="S2172">
        <v>34.799999999999997</v>
      </c>
      <c r="T2172">
        <v>35.700000000000003</v>
      </c>
      <c r="U2172">
        <v>66</v>
      </c>
      <c r="V2172">
        <v>0.3</v>
      </c>
      <c r="W2172" cm="1">
        <f t="array" ref="W2172">_xlfn.IFS(OR(X2172="N/A",X2172="NA"),0,OR(X2172="R64",X2172="R68"),1,X2172="R32",2,X2172="S16",3,X2172="E8",4,X2172="F4",5,X2172="2ND",6,X2172="Champions",7)</f>
        <v>1</v>
      </c>
      <c r="X2172" t="s">
        <v>422</v>
      </c>
      <c r="Y2172">
        <v>9</v>
      </c>
      <c r="Z2172">
        <v>2016</v>
      </c>
    </row>
    <row r="2173" spans="1:26" x14ac:dyDescent="0.3">
      <c r="A2173" t="s">
        <v>125</v>
      </c>
      <c r="B2173" t="s">
        <v>50</v>
      </c>
      <c r="C2173">
        <v>33</v>
      </c>
      <c r="D2173">
        <v>21</v>
      </c>
      <c r="E2173" s="1">
        <f t="shared" si="33"/>
        <v>0.63636363636363635</v>
      </c>
      <c r="F2173">
        <v>106.3</v>
      </c>
      <c r="G2173">
        <v>97.4</v>
      </c>
      <c r="H2173">
        <v>0.73180000000000001</v>
      </c>
      <c r="I2173">
        <v>47</v>
      </c>
      <c r="J2173">
        <v>46.4</v>
      </c>
      <c r="K2173">
        <v>13.8</v>
      </c>
      <c r="L2173">
        <v>16.2</v>
      </c>
      <c r="M2173">
        <v>29.1</v>
      </c>
      <c r="N2173">
        <v>29.7</v>
      </c>
      <c r="O2173">
        <v>26.6</v>
      </c>
      <c r="P2173">
        <v>28.7</v>
      </c>
      <c r="Q2173">
        <v>44.9</v>
      </c>
      <c r="R2173">
        <v>46.3</v>
      </c>
      <c r="S2173">
        <v>33.700000000000003</v>
      </c>
      <c r="T2173">
        <v>31.2</v>
      </c>
      <c r="U2173">
        <v>66.5</v>
      </c>
      <c r="V2173">
        <v>-0.1</v>
      </c>
      <c r="W2173" cm="1">
        <f t="array" ref="W2173">_xlfn.IFS(OR(X2173="N/A",X2173="NA"),0,OR(X2173="R64",X2173="R68"),1,X2173="R32",2,X2173="S16",3,X2173="E8",4,X2173="F4",5,X2173="2ND",6,X2173="Champions",7)</f>
        <v>1</v>
      </c>
      <c r="X2173" t="s">
        <v>422</v>
      </c>
      <c r="Y2173">
        <v>10</v>
      </c>
      <c r="Z2173">
        <v>2016</v>
      </c>
    </row>
    <row r="2174" spans="1:26" x14ac:dyDescent="0.3">
      <c r="A2174" t="s">
        <v>129</v>
      </c>
      <c r="B2174" t="s">
        <v>50</v>
      </c>
      <c r="C2174">
        <v>35</v>
      </c>
      <c r="D2174">
        <v>30</v>
      </c>
      <c r="E2174" s="1">
        <f t="shared" si="33"/>
        <v>0.8571428571428571</v>
      </c>
      <c r="F2174">
        <v>120</v>
      </c>
      <c r="G2174">
        <v>94.1</v>
      </c>
      <c r="H2174">
        <v>0.94259999999999999</v>
      </c>
      <c r="I2174">
        <v>54.6</v>
      </c>
      <c r="J2174">
        <v>46</v>
      </c>
      <c r="K2174">
        <v>16.899999999999999</v>
      </c>
      <c r="L2174">
        <v>18.3</v>
      </c>
      <c r="M2174">
        <v>37.200000000000003</v>
      </c>
      <c r="N2174">
        <v>26.4</v>
      </c>
      <c r="O2174">
        <v>36</v>
      </c>
      <c r="P2174">
        <v>24.6</v>
      </c>
      <c r="Q2174">
        <v>51</v>
      </c>
      <c r="R2174">
        <v>44.1</v>
      </c>
      <c r="S2174">
        <v>40.6</v>
      </c>
      <c r="T2174">
        <v>32.1</v>
      </c>
      <c r="U2174">
        <v>64.8</v>
      </c>
      <c r="V2174">
        <v>6.4</v>
      </c>
      <c r="W2174" cm="1">
        <f t="array" ref="W2174">_xlfn.IFS(OR(X2174="N/A",X2174="NA"),0,OR(X2174="R64",X2174="R68"),1,X2174="R32",2,X2174="S16",3,X2174="E8",4,X2174="F4",5,X2174="2ND",6,X2174="Champions",7)</f>
        <v>1</v>
      </c>
      <c r="X2174" t="s">
        <v>422</v>
      </c>
      <c r="Y2174">
        <v>6</v>
      </c>
      <c r="Z2174">
        <v>2017</v>
      </c>
    </row>
    <row r="2175" spans="1:26" x14ac:dyDescent="0.3">
      <c r="A2175" t="s">
        <v>88</v>
      </c>
      <c r="B2175" t="s">
        <v>50</v>
      </c>
      <c r="C2175">
        <v>33</v>
      </c>
      <c r="D2175">
        <v>25</v>
      </c>
      <c r="E2175" s="1">
        <f t="shared" si="33"/>
        <v>0.75757575757575757</v>
      </c>
      <c r="F2175">
        <v>120.9</v>
      </c>
      <c r="G2175">
        <v>102.7</v>
      </c>
      <c r="H2175">
        <v>0.86709999999999998</v>
      </c>
      <c r="I2175">
        <v>55.1</v>
      </c>
      <c r="J2175">
        <v>49.4</v>
      </c>
      <c r="K2175">
        <v>16.5</v>
      </c>
      <c r="L2175">
        <v>16.3</v>
      </c>
      <c r="M2175">
        <v>35.4</v>
      </c>
      <c r="N2175">
        <v>22.6</v>
      </c>
      <c r="O2175">
        <v>34.799999999999997</v>
      </c>
      <c r="P2175">
        <v>33.200000000000003</v>
      </c>
      <c r="Q2175">
        <v>53.8</v>
      </c>
      <c r="R2175">
        <v>46</v>
      </c>
      <c r="S2175">
        <v>38.1</v>
      </c>
      <c r="T2175">
        <v>36.299999999999997</v>
      </c>
      <c r="U2175">
        <v>70.099999999999994</v>
      </c>
      <c r="V2175">
        <v>3.4</v>
      </c>
      <c r="W2175" cm="1">
        <f t="array" ref="W2175">_xlfn.IFS(OR(X2175="N/A",X2175="NA"),0,OR(X2175="R64",X2175="R68"),1,X2175="R32",2,X2175="S16",3,X2175="E8",4,X2175="F4",5,X2175="2ND",6,X2175="Champions",7)</f>
        <v>1</v>
      </c>
      <c r="X2175" t="s">
        <v>422</v>
      </c>
      <c r="Y2175">
        <v>4</v>
      </c>
      <c r="Z2175">
        <v>2018</v>
      </c>
    </row>
    <row r="2176" spans="1:26" x14ac:dyDescent="0.3">
      <c r="A2176" t="s">
        <v>421</v>
      </c>
      <c r="B2176" t="s">
        <v>50</v>
      </c>
      <c r="C2176">
        <v>35</v>
      </c>
      <c r="D2176">
        <v>28</v>
      </c>
      <c r="E2176" s="1">
        <f t="shared" si="33"/>
        <v>0.8</v>
      </c>
      <c r="F2176">
        <v>112.3</v>
      </c>
      <c r="G2176">
        <v>93.8</v>
      </c>
      <c r="H2176">
        <v>0.8871</v>
      </c>
      <c r="I2176">
        <v>49</v>
      </c>
      <c r="J2176">
        <v>48.6</v>
      </c>
      <c r="K2176">
        <v>16</v>
      </c>
      <c r="L2176">
        <v>20.9</v>
      </c>
      <c r="M2176">
        <v>37.4</v>
      </c>
      <c r="N2176">
        <v>29.3</v>
      </c>
      <c r="O2176">
        <v>37.6</v>
      </c>
      <c r="P2176">
        <v>30.5</v>
      </c>
      <c r="Q2176">
        <v>47.6</v>
      </c>
      <c r="R2176">
        <v>45.1</v>
      </c>
      <c r="S2176">
        <v>34.5</v>
      </c>
      <c r="T2176">
        <v>35.5</v>
      </c>
      <c r="U2176">
        <v>65</v>
      </c>
      <c r="V2176">
        <v>5.8</v>
      </c>
      <c r="W2176" cm="1">
        <f t="array" ref="W2176">_xlfn.IFS(OR(X2176="N/A",X2176="NA"),0,OR(X2176="R64",X2176="R68"),1,X2176="R32",2,X2176="S16",3,X2176="E8",4,X2176="F4",5,X2176="2ND",6,X2176="Champions",7)</f>
        <v>1</v>
      </c>
      <c r="X2176" t="s">
        <v>422</v>
      </c>
      <c r="Y2176">
        <v>7</v>
      </c>
      <c r="Z2176">
        <v>2019</v>
      </c>
    </row>
    <row r="2177" spans="1:26" x14ac:dyDescent="0.3">
      <c r="A2177" t="s">
        <v>130</v>
      </c>
      <c r="B2177" t="s">
        <v>131</v>
      </c>
      <c r="C2177">
        <v>31</v>
      </c>
      <c r="D2177">
        <v>17</v>
      </c>
      <c r="E2177" s="1">
        <f t="shared" si="33"/>
        <v>0.54838709677419351</v>
      </c>
      <c r="F2177">
        <v>102.9</v>
      </c>
      <c r="G2177">
        <v>102.4</v>
      </c>
      <c r="H2177">
        <v>0.51359999999999995</v>
      </c>
      <c r="I2177">
        <v>51.5</v>
      </c>
      <c r="J2177">
        <v>47.7</v>
      </c>
      <c r="K2177">
        <v>17.2</v>
      </c>
      <c r="L2177">
        <v>15.9</v>
      </c>
      <c r="M2177">
        <v>31.7</v>
      </c>
      <c r="N2177">
        <v>27.5</v>
      </c>
      <c r="O2177">
        <v>37.299999999999997</v>
      </c>
      <c r="P2177">
        <v>35.299999999999997</v>
      </c>
      <c r="Q2177">
        <v>51.5</v>
      </c>
      <c r="R2177">
        <v>48.3</v>
      </c>
      <c r="S2177">
        <v>34.200000000000003</v>
      </c>
      <c r="T2177">
        <v>31.2</v>
      </c>
      <c r="U2177">
        <v>68</v>
      </c>
      <c r="V2177">
        <v>-8.4</v>
      </c>
      <c r="W2177" cm="1">
        <f t="array" ref="W2177">_xlfn.IFS(OR(X2177="N/A",X2177="NA"),0,OR(X2177="R64",X2177="R68"),1,X2177="R32",2,X2177="S16",3,X2177="E8",4,X2177="F4",5,X2177="2ND",6,X2177="Champions",7)</f>
        <v>1</v>
      </c>
      <c r="X2177" t="s">
        <v>422</v>
      </c>
      <c r="Y2177">
        <v>16</v>
      </c>
      <c r="Z2177">
        <v>2016</v>
      </c>
    </row>
    <row r="2178" spans="1:26" x14ac:dyDescent="0.3">
      <c r="A2178" t="s">
        <v>130</v>
      </c>
      <c r="B2178" t="s">
        <v>131</v>
      </c>
      <c r="C2178">
        <v>31</v>
      </c>
      <c r="D2178">
        <v>26</v>
      </c>
      <c r="E2178" s="1">
        <f t="shared" si="33"/>
        <v>0.83870967741935487</v>
      </c>
      <c r="F2178">
        <v>107.8</v>
      </c>
      <c r="G2178">
        <v>103.4</v>
      </c>
      <c r="H2178">
        <v>0.6169</v>
      </c>
      <c r="I2178">
        <v>53.9</v>
      </c>
      <c r="J2178">
        <v>49.3</v>
      </c>
      <c r="K2178">
        <v>17.899999999999999</v>
      </c>
      <c r="L2178">
        <v>17.399999999999999</v>
      </c>
      <c r="M2178">
        <v>33.799999999999997</v>
      </c>
      <c r="N2178">
        <v>29.6</v>
      </c>
      <c r="O2178">
        <v>33.799999999999997</v>
      </c>
      <c r="P2178">
        <v>35.9</v>
      </c>
      <c r="Q2178">
        <v>55.4</v>
      </c>
      <c r="R2178">
        <v>51</v>
      </c>
      <c r="S2178">
        <v>33.700000000000003</v>
      </c>
      <c r="T2178">
        <v>31</v>
      </c>
      <c r="U2178">
        <v>67.2</v>
      </c>
      <c r="V2178">
        <v>-1.7</v>
      </c>
      <c r="W2178" cm="1">
        <f t="array" ref="W2178">_xlfn.IFS(OR(X2178="N/A",X2178="NA"),0,OR(X2178="R64",X2178="R68"),1,X2178="R32",2,X2178="S16",3,X2178="E8",4,X2178="F4",5,X2178="2ND",6,X2178="Champions",7)</f>
        <v>1</v>
      </c>
      <c r="X2178" t="s">
        <v>422</v>
      </c>
      <c r="Y2178">
        <v>14</v>
      </c>
      <c r="Z2178">
        <v>2017</v>
      </c>
    </row>
    <row r="2179" spans="1:26" x14ac:dyDescent="0.3">
      <c r="A2179" t="s">
        <v>134</v>
      </c>
      <c r="B2179" t="s">
        <v>131</v>
      </c>
      <c r="C2179">
        <v>30</v>
      </c>
      <c r="D2179">
        <v>23</v>
      </c>
      <c r="E2179" s="1">
        <f t="shared" ref="E2179:E2242" si="34">D2179/C2179</f>
        <v>0.76666666666666672</v>
      </c>
      <c r="F2179">
        <v>103.2</v>
      </c>
      <c r="G2179">
        <v>101.8</v>
      </c>
      <c r="H2179">
        <v>0.53749999999999998</v>
      </c>
      <c r="I2179">
        <v>51.5</v>
      </c>
      <c r="J2179">
        <v>52</v>
      </c>
      <c r="K2179">
        <v>20</v>
      </c>
      <c r="L2179">
        <v>19.899999999999999</v>
      </c>
      <c r="M2179">
        <v>27.4</v>
      </c>
      <c r="N2179">
        <v>24.3</v>
      </c>
      <c r="O2179">
        <v>40.6</v>
      </c>
      <c r="P2179">
        <v>38.4</v>
      </c>
      <c r="Q2179">
        <v>53.2</v>
      </c>
      <c r="R2179">
        <v>52.8</v>
      </c>
      <c r="S2179">
        <v>32.700000000000003</v>
      </c>
      <c r="T2179">
        <v>33.799999999999997</v>
      </c>
      <c r="U2179">
        <v>75.900000000000006</v>
      </c>
      <c r="V2179">
        <v>-3.2</v>
      </c>
      <c r="W2179" cm="1">
        <f t="array" ref="W2179">_xlfn.IFS(OR(X2179="N/A",X2179="NA"),0,OR(X2179="R64",X2179="R68"),1,X2179="R32",2,X2179="S16",3,X2179="E8",4,X2179="F4",5,X2179="2ND",6,X2179="Champions",7)</f>
        <v>1</v>
      </c>
      <c r="X2179" t="s">
        <v>422</v>
      </c>
      <c r="Y2179">
        <v>15</v>
      </c>
      <c r="Z2179">
        <v>2018</v>
      </c>
    </row>
    <row r="2180" spans="1:26" x14ac:dyDescent="0.3">
      <c r="A2180" t="s">
        <v>147</v>
      </c>
      <c r="B2180" t="s">
        <v>31</v>
      </c>
      <c r="C2180">
        <v>34</v>
      </c>
      <c r="D2180">
        <v>20</v>
      </c>
      <c r="E2180" s="1">
        <f t="shared" si="34"/>
        <v>0.58823529411764708</v>
      </c>
      <c r="F2180">
        <v>119.5</v>
      </c>
      <c r="G2180">
        <v>103</v>
      </c>
      <c r="H2180">
        <v>0.84730000000000005</v>
      </c>
      <c r="I2180">
        <v>54.4</v>
      </c>
      <c r="J2180">
        <v>50.3</v>
      </c>
      <c r="K2180">
        <v>17.2</v>
      </c>
      <c r="L2180">
        <v>15.9</v>
      </c>
      <c r="M2180">
        <v>35.299999999999997</v>
      </c>
      <c r="N2180">
        <v>31.5</v>
      </c>
      <c r="O2180">
        <v>32.700000000000003</v>
      </c>
      <c r="P2180">
        <v>32.799999999999997</v>
      </c>
      <c r="Q2180">
        <v>50.2</v>
      </c>
      <c r="R2180">
        <v>50.9</v>
      </c>
      <c r="S2180">
        <v>40.6</v>
      </c>
      <c r="T2180">
        <v>32.5</v>
      </c>
      <c r="U2180">
        <v>67.2</v>
      </c>
      <c r="V2180">
        <v>-0.3</v>
      </c>
      <c r="W2180" cm="1">
        <f t="array" ref="W2180">_xlfn.IFS(OR(X2180="N/A",X2180="NA"),0,OR(X2180="R64",X2180="R68"),1,X2180="R32",2,X2180="S16",3,X2180="E8",4,X2180="F4",5,X2180="2ND",6,X2180="Champions",7)</f>
        <v>1</v>
      </c>
      <c r="X2180" t="s">
        <v>422</v>
      </c>
      <c r="Y2180">
        <v>10</v>
      </c>
      <c r="Z2180">
        <v>2015</v>
      </c>
    </row>
    <row r="2181" spans="1:26" x14ac:dyDescent="0.3">
      <c r="A2181" t="s">
        <v>63</v>
      </c>
      <c r="B2181" t="s">
        <v>31</v>
      </c>
      <c r="C2181">
        <v>34</v>
      </c>
      <c r="D2181">
        <v>21</v>
      </c>
      <c r="E2181" s="1">
        <f t="shared" si="34"/>
        <v>0.61764705882352944</v>
      </c>
      <c r="F2181">
        <v>110.5</v>
      </c>
      <c r="G2181">
        <v>93.9</v>
      </c>
      <c r="H2181">
        <v>0.86539999999999995</v>
      </c>
      <c r="I2181">
        <v>50.3</v>
      </c>
      <c r="J2181">
        <v>45.4</v>
      </c>
      <c r="K2181">
        <v>19.899999999999999</v>
      </c>
      <c r="L2181">
        <v>17.600000000000001</v>
      </c>
      <c r="M2181">
        <v>36.5</v>
      </c>
      <c r="N2181">
        <v>30.9</v>
      </c>
      <c r="O2181">
        <v>41.7</v>
      </c>
      <c r="P2181">
        <v>38.4</v>
      </c>
      <c r="Q2181">
        <v>50.9</v>
      </c>
      <c r="R2181">
        <v>42.3</v>
      </c>
      <c r="S2181">
        <v>32.700000000000003</v>
      </c>
      <c r="T2181">
        <v>35.1</v>
      </c>
      <c r="U2181">
        <v>65</v>
      </c>
      <c r="V2181">
        <v>1</v>
      </c>
      <c r="W2181" cm="1">
        <f t="array" ref="W2181">_xlfn.IFS(OR(X2181="N/A",X2181="NA"),0,OR(X2181="R64",X2181="R68"),1,X2181="R32",2,X2181="S16",3,X2181="E8",4,X2181="F4",5,X2181="2ND",6,X2181="Champions",7)</f>
        <v>1</v>
      </c>
      <c r="X2181" t="s">
        <v>422</v>
      </c>
      <c r="Y2181">
        <v>9</v>
      </c>
      <c r="Z2181">
        <v>2015</v>
      </c>
    </row>
    <row r="2182" spans="1:26" x14ac:dyDescent="0.3">
      <c r="A2182" t="s">
        <v>32</v>
      </c>
      <c r="B2182" t="s">
        <v>31</v>
      </c>
      <c r="C2182">
        <v>35</v>
      </c>
      <c r="D2182">
        <v>22</v>
      </c>
      <c r="E2182" s="1">
        <f t="shared" si="34"/>
        <v>0.62857142857142856</v>
      </c>
      <c r="F2182">
        <v>113.4</v>
      </c>
      <c r="G2182">
        <v>99.4</v>
      </c>
      <c r="H2182">
        <v>0.82</v>
      </c>
      <c r="I2182">
        <v>54.5</v>
      </c>
      <c r="J2182">
        <v>51.4</v>
      </c>
      <c r="K2182">
        <v>14.5</v>
      </c>
      <c r="L2182">
        <v>17.899999999999999</v>
      </c>
      <c r="M2182">
        <v>24.8</v>
      </c>
      <c r="N2182">
        <v>26.4</v>
      </c>
      <c r="O2182">
        <v>27.8</v>
      </c>
      <c r="P2182">
        <v>27</v>
      </c>
      <c r="Q2182">
        <v>52.6</v>
      </c>
      <c r="R2182">
        <v>51.1</v>
      </c>
      <c r="S2182">
        <v>38</v>
      </c>
      <c r="T2182">
        <v>34.700000000000003</v>
      </c>
      <c r="U2182">
        <v>66.3</v>
      </c>
      <c r="V2182">
        <v>0.8</v>
      </c>
      <c r="W2182" cm="1">
        <f t="array" ref="W2182">_xlfn.IFS(OR(X2182="N/A",X2182="NA"),0,OR(X2182="R64",X2182="R68"),1,X2182="R32",2,X2182="S16",3,X2182="E8",4,X2182="F4",5,X2182="2ND",6,X2182="Champions",7)</f>
        <v>1</v>
      </c>
      <c r="X2182" t="s">
        <v>422</v>
      </c>
      <c r="Y2182">
        <v>11</v>
      </c>
      <c r="Z2182">
        <v>2016</v>
      </c>
    </row>
    <row r="2183" spans="1:26" x14ac:dyDescent="0.3">
      <c r="A2183" t="s">
        <v>78</v>
      </c>
      <c r="B2183" t="s">
        <v>31</v>
      </c>
      <c r="C2183">
        <v>35</v>
      </c>
      <c r="D2183">
        <v>29</v>
      </c>
      <c r="E2183" s="1">
        <f t="shared" si="34"/>
        <v>0.82857142857142863</v>
      </c>
      <c r="F2183">
        <v>122.5</v>
      </c>
      <c r="G2183">
        <v>96</v>
      </c>
      <c r="H2183">
        <v>0.94279999999999997</v>
      </c>
      <c r="I2183">
        <v>56.3</v>
      </c>
      <c r="J2183">
        <v>43.3</v>
      </c>
      <c r="K2183">
        <v>17.600000000000001</v>
      </c>
      <c r="L2183">
        <v>14.2</v>
      </c>
      <c r="M2183">
        <v>37.1</v>
      </c>
      <c r="N2183">
        <v>24.3</v>
      </c>
      <c r="O2183">
        <v>30</v>
      </c>
      <c r="P2183">
        <v>34.1</v>
      </c>
      <c r="Q2183">
        <v>51.4</v>
      </c>
      <c r="R2183">
        <v>41.7</v>
      </c>
      <c r="S2183">
        <v>43.4</v>
      </c>
      <c r="T2183">
        <v>31</v>
      </c>
      <c r="U2183">
        <v>67.599999999999994</v>
      </c>
      <c r="V2183">
        <v>7.2</v>
      </c>
      <c r="W2183" cm="1">
        <f t="array" ref="W2183">_xlfn.IFS(OR(X2183="N/A",X2183="NA"),0,OR(X2183="R64",X2183="R68"),1,X2183="R32",2,X2183="S16",3,X2183="E8",4,X2183="F4",5,X2183="2ND",6,X2183="Champions",7)</f>
        <v>1</v>
      </c>
      <c r="X2183" t="s">
        <v>422</v>
      </c>
      <c r="Y2183">
        <v>2</v>
      </c>
      <c r="Z2183">
        <v>2016</v>
      </c>
    </row>
    <row r="2184" spans="1:26" x14ac:dyDescent="0.3">
      <c r="A2184" t="s">
        <v>63</v>
      </c>
      <c r="B2184" t="s">
        <v>31</v>
      </c>
      <c r="C2184">
        <v>35</v>
      </c>
      <c r="D2184">
        <v>26</v>
      </c>
      <c r="E2184" s="1">
        <f t="shared" si="34"/>
        <v>0.74285714285714288</v>
      </c>
      <c r="F2184">
        <v>117.2</v>
      </c>
      <c r="G2184">
        <v>93.4</v>
      </c>
      <c r="H2184">
        <v>0.93159999999999998</v>
      </c>
      <c r="I2184">
        <v>53.6</v>
      </c>
      <c r="J2184">
        <v>44.3</v>
      </c>
      <c r="K2184">
        <v>17.7</v>
      </c>
      <c r="L2184">
        <v>13.7</v>
      </c>
      <c r="M2184">
        <v>35</v>
      </c>
      <c r="N2184">
        <v>23.4</v>
      </c>
      <c r="O2184">
        <v>35.4</v>
      </c>
      <c r="P2184">
        <v>28.1</v>
      </c>
      <c r="Q2184">
        <v>52.8</v>
      </c>
      <c r="R2184">
        <v>42.9</v>
      </c>
      <c r="S2184">
        <v>36.700000000000003</v>
      </c>
      <c r="T2184">
        <v>31.4</v>
      </c>
      <c r="U2184">
        <v>68.900000000000006</v>
      </c>
      <c r="V2184">
        <v>4.4000000000000004</v>
      </c>
      <c r="W2184" cm="1">
        <f t="array" ref="W2184">_xlfn.IFS(OR(X2184="N/A",X2184="NA"),0,OR(X2184="R64",X2184="R68"),1,X2184="R32",2,X2184="S16",3,X2184="E8",4,X2184="F4",5,X2184="2ND",6,X2184="Champions",7)</f>
        <v>1</v>
      </c>
      <c r="X2184" t="s">
        <v>422</v>
      </c>
      <c r="Y2184">
        <v>5</v>
      </c>
      <c r="Z2184">
        <v>2016</v>
      </c>
    </row>
    <row r="2185" spans="1:26" x14ac:dyDescent="0.3">
      <c r="A2185" t="s">
        <v>149</v>
      </c>
      <c r="B2185" t="s">
        <v>31</v>
      </c>
      <c r="C2185">
        <v>32</v>
      </c>
      <c r="D2185">
        <v>24</v>
      </c>
      <c r="E2185" s="1">
        <f t="shared" si="34"/>
        <v>0.75</v>
      </c>
      <c r="F2185">
        <v>113.4</v>
      </c>
      <c r="G2185">
        <v>97.9</v>
      </c>
      <c r="H2185">
        <v>0.8448</v>
      </c>
      <c r="I2185">
        <v>52.4</v>
      </c>
      <c r="J2185">
        <v>47.5</v>
      </c>
      <c r="K2185">
        <v>19</v>
      </c>
      <c r="L2185">
        <v>18</v>
      </c>
      <c r="M2185">
        <v>30.4</v>
      </c>
      <c r="N2185">
        <v>32.299999999999997</v>
      </c>
      <c r="O2185">
        <v>38.5</v>
      </c>
      <c r="P2185">
        <v>32.6</v>
      </c>
      <c r="Q2185">
        <v>51</v>
      </c>
      <c r="R2185">
        <v>45.6</v>
      </c>
      <c r="S2185">
        <v>36.299999999999997</v>
      </c>
      <c r="T2185">
        <v>34.200000000000003</v>
      </c>
      <c r="U2185">
        <v>68.599999999999994</v>
      </c>
      <c r="V2185">
        <v>3.7</v>
      </c>
      <c r="W2185" cm="1">
        <f t="array" ref="W2185">_xlfn.IFS(OR(X2185="N/A",X2185="NA"),0,OR(X2185="R64",X2185="R68"),1,X2185="R32",2,X2185="S16",3,X2185="E8",4,X2185="F4",5,X2185="2ND",6,X2185="Champions",7)</f>
        <v>1</v>
      </c>
      <c r="X2185" t="s">
        <v>422</v>
      </c>
      <c r="Y2185">
        <v>6</v>
      </c>
      <c r="Z2185">
        <v>2017</v>
      </c>
    </row>
    <row r="2186" spans="1:26" x14ac:dyDescent="0.3">
      <c r="A2186" t="s">
        <v>142</v>
      </c>
      <c r="B2186" t="s">
        <v>31</v>
      </c>
      <c r="C2186">
        <v>34</v>
      </c>
      <c r="D2186">
        <v>24</v>
      </c>
      <c r="E2186" s="1">
        <f t="shared" si="34"/>
        <v>0.70588235294117652</v>
      </c>
      <c r="F2186">
        <v>109.3</v>
      </c>
      <c r="G2186">
        <v>92.9</v>
      </c>
      <c r="H2186">
        <v>0.86650000000000005</v>
      </c>
      <c r="I2186">
        <v>48.7</v>
      </c>
      <c r="J2186">
        <v>45.1</v>
      </c>
      <c r="K2186">
        <v>16.100000000000001</v>
      </c>
      <c r="L2186">
        <v>17.600000000000001</v>
      </c>
      <c r="M2186">
        <v>29.7</v>
      </c>
      <c r="N2186">
        <v>30.2</v>
      </c>
      <c r="O2186">
        <v>39.6</v>
      </c>
      <c r="P2186">
        <v>29.2</v>
      </c>
      <c r="Q2186">
        <v>47.5</v>
      </c>
      <c r="R2186">
        <v>44.5</v>
      </c>
      <c r="S2186">
        <v>34.299999999999997</v>
      </c>
      <c r="T2186">
        <v>30.9</v>
      </c>
      <c r="U2186">
        <v>70.900000000000006</v>
      </c>
      <c r="V2186">
        <v>3.7</v>
      </c>
      <c r="W2186" cm="1">
        <f t="array" ref="W2186">_xlfn.IFS(OR(X2186="N/A",X2186="NA"),0,OR(X2186="R64",X2186="R68"),1,X2186="R32",2,X2186="S16",3,X2186="E8",4,X2186="F4",5,X2186="2ND",6,X2186="Champions",7)</f>
        <v>1</v>
      </c>
      <c r="X2186" t="s">
        <v>422</v>
      </c>
      <c r="Y2186">
        <v>5</v>
      </c>
      <c r="Z2186">
        <v>2017</v>
      </c>
    </row>
    <row r="2187" spans="1:26" x14ac:dyDescent="0.3">
      <c r="A2187" t="s">
        <v>30</v>
      </c>
      <c r="B2187" t="s">
        <v>31</v>
      </c>
      <c r="C2187">
        <v>34</v>
      </c>
      <c r="D2187">
        <v>23</v>
      </c>
      <c r="E2187" s="1">
        <f t="shared" si="34"/>
        <v>0.67647058823529416</v>
      </c>
      <c r="F2187">
        <v>108.2</v>
      </c>
      <c r="G2187">
        <v>88.6</v>
      </c>
      <c r="H2187">
        <v>0.90890000000000004</v>
      </c>
      <c r="I2187">
        <v>51.1</v>
      </c>
      <c r="J2187">
        <v>45.2</v>
      </c>
      <c r="K2187">
        <v>14.6</v>
      </c>
      <c r="L2187">
        <v>17.2</v>
      </c>
      <c r="M2187">
        <v>24.5</v>
      </c>
      <c r="N2187">
        <v>26.5</v>
      </c>
      <c r="O2187">
        <v>27.3</v>
      </c>
      <c r="P2187">
        <v>25.8</v>
      </c>
      <c r="Q2187">
        <v>49.7</v>
      </c>
      <c r="R2187">
        <v>44.1</v>
      </c>
      <c r="S2187">
        <v>35.9</v>
      </c>
      <c r="T2187">
        <v>31.5</v>
      </c>
      <c r="U2187">
        <v>65</v>
      </c>
      <c r="V2187">
        <v>6.3</v>
      </c>
      <c r="W2187" cm="1">
        <f t="array" ref="W2187">_xlfn.IFS(OR(X2187="N/A",X2187="NA"),0,OR(X2187="R64",X2187="R68"),1,X2187="R32",2,X2187="S16",3,X2187="E8",4,X2187="F4",5,X2187="2ND",6,X2187="Champions",7)</f>
        <v>1</v>
      </c>
      <c r="X2187" t="s">
        <v>422</v>
      </c>
      <c r="Y2187">
        <v>5</v>
      </c>
      <c r="Z2187">
        <v>2019</v>
      </c>
    </row>
    <row r="2188" spans="1:26" x14ac:dyDescent="0.3">
      <c r="A2188" t="s">
        <v>153</v>
      </c>
      <c r="B2188" t="s">
        <v>35</v>
      </c>
      <c r="C2188">
        <v>33</v>
      </c>
      <c r="D2188">
        <v>23</v>
      </c>
      <c r="E2188" s="1">
        <f t="shared" si="34"/>
        <v>0.69696969696969702</v>
      </c>
      <c r="F2188">
        <v>116.3</v>
      </c>
      <c r="G2188">
        <v>92.7</v>
      </c>
      <c r="H2188">
        <v>0.93159999999999998</v>
      </c>
      <c r="I2188">
        <v>49.8</v>
      </c>
      <c r="J2188">
        <v>45.8</v>
      </c>
      <c r="K2188">
        <v>20.100000000000001</v>
      </c>
      <c r="L2188">
        <v>19.3</v>
      </c>
      <c r="M2188">
        <v>41.9</v>
      </c>
      <c r="N2188">
        <v>31.5</v>
      </c>
      <c r="O2188">
        <v>38.6</v>
      </c>
      <c r="P2188">
        <v>32.1</v>
      </c>
      <c r="Q2188">
        <v>46.1</v>
      </c>
      <c r="R2188">
        <v>46.4</v>
      </c>
      <c r="S2188">
        <v>38.200000000000003</v>
      </c>
      <c r="T2188">
        <v>29.8</v>
      </c>
      <c r="U2188">
        <v>62.1</v>
      </c>
      <c r="V2188">
        <v>5</v>
      </c>
      <c r="W2188" cm="1">
        <f t="array" ref="W2188">_xlfn.IFS(OR(X2188="N/A",X2188="NA"),0,OR(X2188="R64",X2188="R68"),1,X2188="R32",2,X2188="S16",3,X2188="E8",4,X2188="F4",5,X2188="2ND",6,X2188="Champions",7)</f>
        <v>1</v>
      </c>
      <c r="X2188" t="s">
        <v>422</v>
      </c>
      <c r="Y2188">
        <v>3</v>
      </c>
      <c r="Z2188">
        <v>2015</v>
      </c>
    </row>
    <row r="2189" spans="1:26" x14ac:dyDescent="0.3">
      <c r="A2189" t="s">
        <v>154</v>
      </c>
      <c r="B2189" t="s">
        <v>35</v>
      </c>
      <c r="C2189">
        <v>34</v>
      </c>
      <c r="D2189">
        <v>25</v>
      </c>
      <c r="E2189" s="1">
        <f t="shared" si="34"/>
        <v>0.73529411764705888</v>
      </c>
      <c r="F2189">
        <v>116.9</v>
      </c>
      <c r="G2189">
        <v>95.6</v>
      </c>
      <c r="H2189">
        <v>0.9103</v>
      </c>
      <c r="I2189">
        <v>54.3</v>
      </c>
      <c r="J2189">
        <v>47.6</v>
      </c>
      <c r="K2189">
        <v>15.8</v>
      </c>
      <c r="L2189">
        <v>18.5</v>
      </c>
      <c r="M2189">
        <v>28.3</v>
      </c>
      <c r="N2189">
        <v>29.6</v>
      </c>
      <c r="O2189">
        <v>36.5</v>
      </c>
      <c r="P2189">
        <v>24</v>
      </c>
      <c r="Q2189">
        <v>54.3</v>
      </c>
      <c r="R2189">
        <v>45.2</v>
      </c>
      <c r="S2189">
        <v>36.200000000000003</v>
      </c>
      <c r="T2189">
        <v>34.700000000000003</v>
      </c>
      <c r="U2189">
        <v>69.8</v>
      </c>
      <c r="V2189">
        <v>7</v>
      </c>
      <c r="W2189" cm="1">
        <f t="array" ref="W2189">_xlfn.IFS(OR(X2189="N/A",X2189="NA"),0,OR(X2189="R64",X2189="R68"),1,X2189="R32",2,X2189="S16",3,X2189="E8",4,X2189="F4",5,X2189="2ND",6,X2189="Champions",7)</f>
        <v>1</v>
      </c>
      <c r="X2189" t="s">
        <v>422</v>
      </c>
      <c r="Y2189">
        <v>3</v>
      </c>
      <c r="Z2189">
        <v>2015</v>
      </c>
    </row>
    <row r="2190" spans="1:26" x14ac:dyDescent="0.3">
      <c r="A2190" t="s">
        <v>151</v>
      </c>
      <c r="B2190" t="s">
        <v>35</v>
      </c>
      <c r="C2190">
        <v>31</v>
      </c>
      <c r="D2190">
        <v>17</v>
      </c>
      <c r="E2190" s="1">
        <f t="shared" si="34"/>
        <v>0.54838709677419351</v>
      </c>
      <c r="F2190">
        <v>110.7</v>
      </c>
      <c r="G2190">
        <v>95.4</v>
      </c>
      <c r="H2190">
        <v>0.84689999999999999</v>
      </c>
      <c r="I2190">
        <v>50.2</v>
      </c>
      <c r="J2190">
        <v>46.5</v>
      </c>
      <c r="K2190">
        <v>18.5</v>
      </c>
      <c r="L2190">
        <v>21.1</v>
      </c>
      <c r="M2190">
        <v>26.9</v>
      </c>
      <c r="N2190">
        <v>32.6</v>
      </c>
      <c r="O2190">
        <v>39</v>
      </c>
      <c r="P2190">
        <v>42.1</v>
      </c>
      <c r="Q2190">
        <v>49.2</v>
      </c>
      <c r="R2190">
        <v>44.1</v>
      </c>
      <c r="S2190">
        <v>34.6</v>
      </c>
      <c r="T2190">
        <v>34.4</v>
      </c>
      <c r="U2190">
        <v>64</v>
      </c>
      <c r="V2190">
        <v>0.2</v>
      </c>
      <c r="W2190" cm="1">
        <f t="array" ref="W2190">_xlfn.IFS(OR(X2190="N/A",X2190="NA"),0,OR(X2190="R64",X2190="R68"),1,X2190="R32",2,X2190="S16",3,X2190="E8",4,X2190="F4",5,X2190="2ND",6,X2190="Champions",7)</f>
        <v>1</v>
      </c>
      <c r="X2190" t="s">
        <v>422</v>
      </c>
      <c r="Y2190">
        <v>9</v>
      </c>
      <c r="Z2190">
        <v>2015</v>
      </c>
    </row>
    <row r="2191" spans="1:26" x14ac:dyDescent="0.3">
      <c r="A2191" t="s">
        <v>152</v>
      </c>
      <c r="B2191" t="s">
        <v>35</v>
      </c>
      <c r="C2191">
        <v>34</v>
      </c>
      <c r="D2191">
        <v>20</v>
      </c>
      <c r="E2191" s="1">
        <f t="shared" si="34"/>
        <v>0.58823529411764708</v>
      </c>
      <c r="F2191">
        <v>110.3</v>
      </c>
      <c r="G2191">
        <v>90.7</v>
      </c>
      <c r="H2191">
        <v>0.90480000000000005</v>
      </c>
      <c r="I2191">
        <v>49.1</v>
      </c>
      <c r="J2191">
        <v>42.1</v>
      </c>
      <c r="K2191">
        <v>20.100000000000001</v>
      </c>
      <c r="L2191">
        <v>14</v>
      </c>
      <c r="M2191">
        <v>37.9</v>
      </c>
      <c r="N2191">
        <v>28.6</v>
      </c>
      <c r="O2191">
        <v>36.6</v>
      </c>
      <c r="P2191">
        <v>34.799999999999997</v>
      </c>
      <c r="Q2191">
        <v>48.3</v>
      </c>
      <c r="R2191">
        <v>37.700000000000003</v>
      </c>
      <c r="S2191">
        <v>33.799999999999997</v>
      </c>
      <c r="T2191">
        <v>34.700000000000003</v>
      </c>
      <c r="U2191">
        <v>62.8</v>
      </c>
      <c r="V2191">
        <v>0.9</v>
      </c>
      <c r="W2191" cm="1">
        <f t="array" ref="W2191">_xlfn.IFS(OR(X2191="N/A",X2191="NA"),0,OR(X2191="R64",X2191="R68"),1,X2191="R32",2,X2191="S16",3,X2191="E8",4,X2191="F4",5,X2191="2ND",6,X2191="Champions",7)</f>
        <v>1</v>
      </c>
      <c r="X2191" t="s">
        <v>422</v>
      </c>
      <c r="Y2191">
        <v>11</v>
      </c>
      <c r="Z2191">
        <v>2015</v>
      </c>
    </row>
    <row r="2192" spans="1:26" x14ac:dyDescent="0.3">
      <c r="A2192" t="s">
        <v>153</v>
      </c>
      <c r="B2192" t="s">
        <v>35</v>
      </c>
      <c r="C2192">
        <v>33</v>
      </c>
      <c r="D2192">
        <v>21</v>
      </c>
      <c r="E2192" s="1">
        <f t="shared" si="34"/>
        <v>0.63636363636363635</v>
      </c>
      <c r="F2192">
        <v>119.3</v>
      </c>
      <c r="G2192">
        <v>99.2</v>
      </c>
      <c r="H2192">
        <v>0.89239999999999997</v>
      </c>
      <c r="I2192">
        <v>51.6</v>
      </c>
      <c r="J2192">
        <v>51.2</v>
      </c>
      <c r="K2192">
        <v>18.600000000000001</v>
      </c>
      <c r="L2192">
        <v>19.8</v>
      </c>
      <c r="M2192">
        <v>40</v>
      </c>
      <c r="N2192">
        <v>28.8</v>
      </c>
      <c r="O2192">
        <v>38.6</v>
      </c>
      <c r="P2192">
        <v>38.6</v>
      </c>
      <c r="Q2192">
        <v>49.8</v>
      </c>
      <c r="R2192">
        <v>49.1</v>
      </c>
      <c r="S2192">
        <v>37.4</v>
      </c>
      <c r="T2192">
        <v>36.9</v>
      </c>
      <c r="U2192">
        <v>67.400000000000006</v>
      </c>
      <c r="V2192">
        <v>3.5</v>
      </c>
      <c r="W2192" cm="1">
        <f t="array" ref="W2192">_xlfn.IFS(OR(X2192="N/A",X2192="NA"),0,OR(X2192="R64",X2192="R68"),1,X2192="R32",2,X2192="S16",3,X2192="E8",4,X2192="F4",5,X2192="2ND",6,X2192="Champions",7)</f>
        <v>1</v>
      </c>
      <c r="X2192" t="s">
        <v>422</v>
      </c>
      <c r="Y2192">
        <v>5</v>
      </c>
      <c r="Z2192">
        <v>2016</v>
      </c>
    </row>
    <row r="2193" spans="1:26" x14ac:dyDescent="0.3">
      <c r="A2193" t="s">
        <v>152</v>
      </c>
      <c r="B2193" t="s">
        <v>35</v>
      </c>
      <c r="C2193">
        <v>33</v>
      </c>
      <c r="D2193">
        <v>20</v>
      </c>
      <c r="E2193" s="1">
        <f t="shared" si="34"/>
        <v>0.60606060606060608</v>
      </c>
      <c r="F2193">
        <v>112.2</v>
      </c>
      <c r="G2193">
        <v>95.6</v>
      </c>
      <c r="H2193">
        <v>0.86270000000000002</v>
      </c>
      <c r="I2193">
        <v>49.4</v>
      </c>
      <c r="J2193">
        <v>47.7</v>
      </c>
      <c r="K2193">
        <v>15.4</v>
      </c>
      <c r="L2193">
        <v>18.5</v>
      </c>
      <c r="M2193">
        <v>30.7</v>
      </c>
      <c r="N2193">
        <v>32</v>
      </c>
      <c r="O2193">
        <v>39.5</v>
      </c>
      <c r="P2193">
        <v>38.4</v>
      </c>
      <c r="Q2193">
        <v>48.5</v>
      </c>
      <c r="R2193">
        <v>45.8</v>
      </c>
      <c r="S2193">
        <v>34.1</v>
      </c>
      <c r="T2193">
        <v>34.5</v>
      </c>
      <c r="U2193">
        <v>66.3</v>
      </c>
      <c r="V2193">
        <v>3.2</v>
      </c>
      <c r="W2193" cm="1">
        <f t="array" ref="W2193">_xlfn.IFS(OR(X2193="N/A",X2193="NA"),0,OR(X2193="R64",X2193="R68"),1,X2193="R32",2,X2193="S16",3,X2193="E8",4,X2193="F4",5,X2193="2ND",6,X2193="Champions",7)</f>
        <v>1</v>
      </c>
      <c r="X2193" t="s">
        <v>422</v>
      </c>
      <c r="Y2193">
        <v>6</v>
      </c>
      <c r="Z2193">
        <v>2016</v>
      </c>
    </row>
    <row r="2194" spans="1:26" x14ac:dyDescent="0.3">
      <c r="A2194" t="s">
        <v>34</v>
      </c>
      <c r="B2194" t="s">
        <v>35</v>
      </c>
      <c r="C2194">
        <v>32</v>
      </c>
      <c r="D2194">
        <v>19</v>
      </c>
      <c r="E2194" s="1">
        <f t="shared" si="34"/>
        <v>0.59375</v>
      </c>
      <c r="F2194">
        <v>113.1</v>
      </c>
      <c r="G2194">
        <v>98.9</v>
      </c>
      <c r="H2194">
        <v>0.82269999999999999</v>
      </c>
      <c r="I2194">
        <v>50</v>
      </c>
      <c r="J2194">
        <v>49.6</v>
      </c>
      <c r="K2194">
        <v>17.8</v>
      </c>
      <c r="L2194">
        <v>19</v>
      </c>
      <c r="M2194">
        <v>31.3</v>
      </c>
      <c r="N2194">
        <v>32.299999999999997</v>
      </c>
      <c r="O2194">
        <v>42.2</v>
      </c>
      <c r="P2194">
        <v>32.9</v>
      </c>
      <c r="Q2194">
        <v>49.2</v>
      </c>
      <c r="R2194">
        <v>47.2</v>
      </c>
      <c r="S2194">
        <v>34.6</v>
      </c>
      <c r="T2194">
        <v>35.6</v>
      </c>
      <c r="U2194">
        <v>67.2</v>
      </c>
      <c r="V2194">
        <v>1.3</v>
      </c>
      <c r="W2194" cm="1">
        <f t="array" ref="W2194">_xlfn.IFS(OR(X2194="N/A",X2194="NA"),0,OR(X2194="R64",X2194="R68"),1,X2194="R32",2,X2194="S16",3,X2194="E8",4,X2194="F4",5,X2194="2ND",6,X2194="Champions",7)</f>
        <v>1</v>
      </c>
      <c r="X2194" t="s">
        <v>422</v>
      </c>
      <c r="Y2194">
        <v>8</v>
      </c>
      <c r="Z2194">
        <v>2016</v>
      </c>
    </row>
    <row r="2195" spans="1:26" x14ac:dyDescent="0.3">
      <c r="A2195" t="s">
        <v>155</v>
      </c>
      <c r="B2195" t="s">
        <v>35</v>
      </c>
      <c r="C2195">
        <v>35</v>
      </c>
      <c r="D2195">
        <v>26</v>
      </c>
      <c r="E2195" s="1">
        <f t="shared" si="34"/>
        <v>0.74285714285714288</v>
      </c>
      <c r="F2195">
        <v>114.8</v>
      </c>
      <c r="G2195">
        <v>90.4</v>
      </c>
      <c r="H2195">
        <v>0.93959999999999999</v>
      </c>
      <c r="I2195">
        <v>49.8</v>
      </c>
      <c r="J2195">
        <v>48.4</v>
      </c>
      <c r="K2195">
        <v>20</v>
      </c>
      <c r="L2195">
        <v>25</v>
      </c>
      <c r="M2195">
        <v>42</v>
      </c>
      <c r="N2195">
        <v>27.1</v>
      </c>
      <c r="O2195">
        <v>46.2</v>
      </c>
      <c r="P2195">
        <v>55.3</v>
      </c>
      <c r="Q2195">
        <v>50.3</v>
      </c>
      <c r="R2195">
        <v>47.7</v>
      </c>
      <c r="S2195">
        <v>32.5</v>
      </c>
      <c r="T2195">
        <v>33.1</v>
      </c>
      <c r="U2195">
        <v>70.900000000000006</v>
      </c>
      <c r="V2195">
        <v>7.4</v>
      </c>
      <c r="W2195" cm="1">
        <f t="array" ref="W2195">_xlfn.IFS(OR(X2195="N/A",X2195="NA"),0,OR(X2195="R64",X2195="R68"),1,X2195="R32",2,X2195="S16",3,X2195="E8",4,X2195="F4",5,X2195="2ND",6,X2195="Champions",7)</f>
        <v>1</v>
      </c>
      <c r="X2195" t="s">
        <v>422</v>
      </c>
      <c r="Y2195">
        <v>3</v>
      </c>
      <c r="Z2195">
        <v>2016</v>
      </c>
    </row>
    <row r="2196" spans="1:26" x14ac:dyDescent="0.3">
      <c r="A2196" t="s">
        <v>68</v>
      </c>
      <c r="B2196" t="s">
        <v>35</v>
      </c>
      <c r="C2196">
        <v>35</v>
      </c>
      <c r="D2196">
        <v>21</v>
      </c>
      <c r="E2196" s="1">
        <f t="shared" si="34"/>
        <v>0.6</v>
      </c>
      <c r="F2196">
        <v>112.2</v>
      </c>
      <c r="G2196">
        <v>94.2</v>
      </c>
      <c r="H2196">
        <v>0.88180000000000003</v>
      </c>
      <c r="I2196">
        <v>52.7</v>
      </c>
      <c r="J2196">
        <v>49.6</v>
      </c>
      <c r="K2196">
        <v>19.100000000000001</v>
      </c>
      <c r="L2196">
        <v>22.1</v>
      </c>
      <c r="M2196">
        <v>29.5</v>
      </c>
      <c r="N2196">
        <v>32.299999999999997</v>
      </c>
      <c r="O2196">
        <v>41.1</v>
      </c>
      <c r="P2196">
        <v>33.4</v>
      </c>
      <c r="Q2196">
        <v>51.8</v>
      </c>
      <c r="R2196">
        <v>45.5</v>
      </c>
      <c r="S2196">
        <v>36.200000000000003</v>
      </c>
      <c r="T2196">
        <v>38.200000000000003</v>
      </c>
      <c r="U2196">
        <v>67.2</v>
      </c>
      <c r="V2196">
        <v>1.7</v>
      </c>
      <c r="W2196" cm="1">
        <f t="array" ref="W2196">_xlfn.IFS(OR(X2196="N/A",X2196="NA"),0,OR(X2196="R64",X2196="R68"),1,X2196="R32",2,X2196="S16",3,X2196="E8",4,X2196="F4",5,X2196="2ND",6,X2196="Champions",7)</f>
        <v>1</v>
      </c>
      <c r="X2196" t="s">
        <v>422</v>
      </c>
      <c r="Y2196">
        <v>11</v>
      </c>
      <c r="Z2196">
        <v>2017</v>
      </c>
    </row>
    <row r="2197" spans="1:26" x14ac:dyDescent="0.3">
      <c r="A2197" t="s">
        <v>151</v>
      </c>
      <c r="B2197" t="s">
        <v>35</v>
      </c>
      <c r="C2197">
        <v>32</v>
      </c>
      <c r="D2197">
        <v>20</v>
      </c>
      <c r="E2197" s="1">
        <f t="shared" si="34"/>
        <v>0.625</v>
      </c>
      <c r="F2197">
        <v>126.8</v>
      </c>
      <c r="G2197">
        <v>102.3</v>
      </c>
      <c r="H2197">
        <v>0.92210000000000003</v>
      </c>
      <c r="I2197">
        <v>54</v>
      </c>
      <c r="J2197">
        <v>53.2</v>
      </c>
      <c r="K2197">
        <v>18.2</v>
      </c>
      <c r="L2197">
        <v>20.3</v>
      </c>
      <c r="M2197">
        <v>38.299999999999997</v>
      </c>
      <c r="N2197">
        <v>31.9</v>
      </c>
      <c r="O2197">
        <v>37.4</v>
      </c>
      <c r="P2197">
        <v>45.4</v>
      </c>
      <c r="Q2197">
        <v>50.4</v>
      </c>
      <c r="R2197">
        <v>52.4</v>
      </c>
      <c r="S2197">
        <v>40.299999999999997</v>
      </c>
      <c r="T2197">
        <v>36.4</v>
      </c>
      <c r="U2197">
        <v>72.900000000000006</v>
      </c>
      <c r="V2197">
        <v>3.3</v>
      </c>
      <c r="W2197" cm="1">
        <f t="array" ref="W2197">_xlfn.IFS(OR(X2197="N/A",X2197="NA"),0,OR(X2197="R64",X2197="R68"),1,X2197="R32",2,X2197="S16",3,X2197="E8",4,X2197="F4",5,X2197="2ND",6,X2197="Champions",7)</f>
        <v>1</v>
      </c>
      <c r="X2197" t="s">
        <v>422</v>
      </c>
      <c r="Y2197">
        <v>10</v>
      </c>
      <c r="Z2197">
        <v>2017</v>
      </c>
    </row>
    <row r="2198" spans="1:26" x14ac:dyDescent="0.3">
      <c r="A2198" t="s">
        <v>84</v>
      </c>
      <c r="B2198" t="s">
        <v>35</v>
      </c>
      <c r="C2198">
        <v>32</v>
      </c>
      <c r="D2198">
        <v>18</v>
      </c>
      <c r="E2198" s="1">
        <f t="shared" si="34"/>
        <v>0.5625</v>
      </c>
      <c r="F2198">
        <v>114.6</v>
      </c>
      <c r="G2198">
        <v>99.5</v>
      </c>
      <c r="H2198">
        <v>0.83499999999999996</v>
      </c>
      <c r="I2198">
        <v>53.5</v>
      </c>
      <c r="J2198">
        <v>51</v>
      </c>
      <c r="K2198">
        <v>17.3</v>
      </c>
      <c r="L2198">
        <v>16.8</v>
      </c>
      <c r="M2198">
        <v>28.4</v>
      </c>
      <c r="N2198">
        <v>30</v>
      </c>
      <c r="O2198">
        <v>33.200000000000003</v>
      </c>
      <c r="P2198">
        <v>25.6</v>
      </c>
      <c r="Q2198">
        <v>53.3</v>
      </c>
      <c r="R2198">
        <v>49.1</v>
      </c>
      <c r="S2198">
        <v>35.9</v>
      </c>
      <c r="T2198">
        <v>36.200000000000003</v>
      </c>
      <c r="U2198">
        <v>76.7</v>
      </c>
      <c r="V2198">
        <v>1.1000000000000001</v>
      </c>
      <c r="W2198" cm="1">
        <f t="array" ref="W2198">_xlfn.IFS(OR(X2198="N/A",X2198="NA"),0,OR(X2198="R64",X2198="R68"),1,X2198="R32",2,X2198="S16",3,X2198="E8",4,X2198="F4",5,X2198="2ND",6,X2198="Champions",7)</f>
        <v>1</v>
      </c>
      <c r="X2198" t="s">
        <v>422</v>
      </c>
      <c r="Y2198">
        <v>10</v>
      </c>
      <c r="Z2198">
        <v>2018</v>
      </c>
    </row>
    <row r="2199" spans="1:26" x14ac:dyDescent="0.3">
      <c r="A2199" t="s">
        <v>150</v>
      </c>
      <c r="B2199" t="s">
        <v>35</v>
      </c>
      <c r="C2199">
        <v>33</v>
      </c>
      <c r="D2199">
        <v>21</v>
      </c>
      <c r="E2199" s="1">
        <f t="shared" si="34"/>
        <v>0.63636363636363635</v>
      </c>
      <c r="F2199">
        <v>119.5</v>
      </c>
      <c r="G2199">
        <v>100.5</v>
      </c>
      <c r="H2199">
        <v>0.88039999999999996</v>
      </c>
      <c r="I2199">
        <v>56.5</v>
      </c>
      <c r="J2199">
        <v>52.3</v>
      </c>
      <c r="K2199">
        <v>17.8</v>
      </c>
      <c r="L2199">
        <v>17.399999999999999</v>
      </c>
      <c r="M2199">
        <v>34.200000000000003</v>
      </c>
      <c r="N2199">
        <v>26.1</v>
      </c>
      <c r="O2199">
        <v>34.1</v>
      </c>
      <c r="P2199">
        <v>30.5</v>
      </c>
      <c r="Q2199">
        <v>55.1</v>
      </c>
      <c r="R2199">
        <v>50.1</v>
      </c>
      <c r="S2199">
        <v>39.4</v>
      </c>
      <c r="T2199">
        <v>37.6</v>
      </c>
      <c r="U2199">
        <v>70</v>
      </c>
      <c r="V2199">
        <v>2.2000000000000002</v>
      </c>
      <c r="W2199" cm="1">
        <f t="array" ref="W2199">_xlfn.IFS(OR(X2199="N/A",X2199="NA"),0,OR(X2199="R64",X2199="R68"),1,X2199="R32",2,X2199="S16",3,X2199="E8",4,X2199="F4",5,X2199="2ND",6,X2199="Champions",7)</f>
        <v>1</v>
      </c>
      <c r="X2199" t="s">
        <v>422</v>
      </c>
      <c r="Y2199">
        <v>6</v>
      </c>
      <c r="Z2199">
        <v>2018</v>
      </c>
    </row>
    <row r="2200" spans="1:26" x14ac:dyDescent="0.3">
      <c r="A2200" t="s">
        <v>152</v>
      </c>
      <c r="B2200" t="s">
        <v>35</v>
      </c>
      <c r="C2200">
        <v>34</v>
      </c>
      <c r="D2200">
        <v>19</v>
      </c>
      <c r="E2200" s="1">
        <f t="shared" si="34"/>
        <v>0.55882352941176472</v>
      </c>
      <c r="F2200">
        <v>109.3</v>
      </c>
      <c r="G2200">
        <v>93.7</v>
      </c>
      <c r="H2200">
        <v>0.85470000000000002</v>
      </c>
      <c r="I2200">
        <v>50</v>
      </c>
      <c r="J2200">
        <v>48.3</v>
      </c>
      <c r="K2200">
        <v>17</v>
      </c>
      <c r="L2200">
        <v>18</v>
      </c>
      <c r="M2200">
        <v>29.4</v>
      </c>
      <c r="N2200">
        <v>29.1</v>
      </c>
      <c r="O2200">
        <v>33</v>
      </c>
      <c r="P2200">
        <v>26.2</v>
      </c>
      <c r="Q2200">
        <v>51.2</v>
      </c>
      <c r="R2200">
        <v>47.5</v>
      </c>
      <c r="S2200">
        <v>32</v>
      </c>
      <c r="T2200">
        <v>33.200000000000003</v>
      </c>
      <c r="U2200">
        <v>66.599999999999994</v>
      </c>
      <c r="V2200">
        <v>1.4</v>
      </c>
      <c r="W2200" cm="1">
        <f t="array" ref="W2200">_xlfn.IFS(OR(X2200="N/A",X2200="NA"),0,OR(X2200="R64",X2200="R68"),1,X2200="R32",2,X2200="S16",3,X2200="E8",4,X2200="F4",5,X2200="2ND",6,X2200="Champions",7)</f>
        <v>1</v>
      </c>
      <c r="X2200" t="s">
        <v>422</v>
      </c>
      <c r="Y2200">
        <v>10</v>
      </c>
      <c r="Z2200">
        <v>2018</v>
      </c>
    </row>
    <row r="2201" spans="1:26" x14ac:dyDescent="0.3">
      <c r="A2201" t="s">
        <v>154</v>
      </c>
      <c r="B2201" t="s">
        <v>35</v>
      </c>
      <c r="C2201">
        <v>35</v>
      </c>
      <c r="D2201">
        <v>23</v>
      </c>
      <c r="E2201" s="1">
        <f t="shared" si="34"/>
        <v>0.65714285714285714</v>
      </c>
      <c r="F2201">
        <v>118.4</v>
      </c>
      <c r="G2201">
        <v>96.6</v>
      </c>
      <c r="H2201">
        <v>0.91200000000000003</v>
      </c>
      <c r="I2201">
        <v>54.7</v>
      </c>
      <c r="J2201">
        <v>48.4</v>
      </c>
      <c r="K2201">
        <v>16.3</v>
      </c>
      <c r="L2201">
        <v>18.8</v>
      </c>
      <c r="M2201">
        <v>28.3</v>
      </c>
      <c r="N2201">
        <v>30.1</v>
      </c>
      <c r="O2201">
        <v>30</v>
      </c>
      <c r="P2201">
        <v>23.6</v>
      </c>
      <c r="Q2201">
        <v>55</v>
      </c>
      <c r="R2201">
        <v>47.1</v>
      </c>
      <c r="S2201">
        <v>36.200000000000003</v>
      </c>
      <c r="T2201">
        <v>33.6</v>
      </c>
      <c r="U2201">
        <v>69.099999999999994</v>
      </c>
      <c r="V2201">
        <v>4.3</v>
      </c>
      <c r="W2201" cm="1">
        <f t="array" ref="W2201">_xlfn.IFS(OR(X2201="N/A",X2201="NA"),0,OR(X2201="R64",X2201="R68"),1,X2201="R32",2,X2201="S16",3,X2201="E8",4,X2201="F4",5,X2201="2ND",6,X2201="Champions",7)</f>
        <v>1</v>
      </c>
      <c r="X2201" t="s">
        <v>422</v>
      </c>
      <c r="Y2201">
        <v>6</v>
      </c>
      <c r="Z2201">
        <v>2019</v>
      </c>
    </row>
    <row r="2202" spans="1:26" x14ac:dyDescent="0.3">
      <c r="A2202" t="s">
        <v>68</v>
      </c>
      <c r="B2202" t="s">
        <v>35</v>
      </c>
      <c r="C2202">
        <v>34</v>
      </c>
      <c r="D2202">
        <v>25</v>
      </c>
      <c r="E2202" s="1">
        <f t="shared" si="34"/>
        <v>0.73529411764705888</v>
      </c>
      <c r="F2202">
        <v>108</v>
      </c>
      <c r="G2202">
        <v>87.8</v>
      </c>
      <c r="H2202">
        <v>0.91510000000000002</v>
      </c>
      <c r="I2202">
        <v>49.4</v>
      </c>
      <c r="J2202">
        <v>48.2</v>
      </c>
      <c r="K2202">
        <v>17.399999999999999</v>
      </c>
      <c r="L2202">
        <v>22.8</v>
      </c>
      <c r="M2202">
        <v>28.3</v>
      </c>
      <c r="N2202">
        <v>25.7</v>
      </c>
      <c r="O2202">
        <v>30.6</v>
      </c>
      <c r="P2202">
        <v>30.7</v>
      </c>
      <c r="Q2202">
        <v>48.9</v>
      </c>
      <c r="R2202">
        <v>49</v>
      </c>
      <c r="S2202">
        <v>33.4</v>
      </c>
      <c r="T2202">
        <v>31.4</v>
      </c>
      <c r="U2202">
        <v>64.900000000000006</v>
      </c>
      <c r="V2202">
        <v>6.5</v>
      </c>
      <c r="W2202" cm="1">
        <f t="array" ref="W2202">_xlfn.IFS(OR(X2202="N/A",X2202="NA"),0,OR(X2202="R64",X2202="R68"),1,X2202="R32",2,X2202="S16",3,X2202="E8",4,X2202="F4",5,X2202="2ND",6,X2202="Champions",7)</f>
        <v>1</v>
      </c>
      <c r="X2202" t="s">
        <v>422</v>
      </c>
      <c r="Y2202">
        <v>4</v>
      </c>
      <c r="Z2202">
        <v>2019</v>
      </c>
    </row>
    <row r="2203" spans="1:26" x14ac:dyDescent="0.3">
      <c r="A2203" t="s">
        <v>162</v>
      </c>
      <c r="B2203" t="s">
        <v>33</v>
      </c>
      <c r="C2203">
        <v>34</v>
      </c>
      <c r="D2203">
        <v>22</v>
      </c>
      <c r="E2203" s="1">
        <f t="shared" si="34"/>
        <v>0.6470588235294118</v>
      </c>
      <c r="F2203">
        <v>111.6</v>
      </c>
      <c r="G2203">
        <v>93.7</v>
      </c>
      <c r="H2203">
        <v>0.8821</v>
      </c>
      <c r="I2203">
        <v>48.4</v>
      </c>
      <c r="J2203">
        <v>48.2</v>
      </c>
      <c r="K2203">
        <v>18.100000000000001</v>
      </c>
      <c r="L2203">
        <v>19.7</v>
      </c>
      <c r="M2203">
        <v>35.200000000000003</v>
      </c>
      <c r="N2203">
        <v>29</v>
      </c>
      <c r="O2203">
        <v>40.700000000000003</v>
      </c>
      <c r="P2203">
        <v>39.299999999999997</v>
      </c>
      <c r="Q2203">
        <v>48.9</v>
      </c>
      <c r="R2203">
        <v>47.1</v>
      </c>
      <c r="S2203">
        <v>31.3</v>
      </c>
      <c r="T2203">
        <v>33.299999999999997</v>
      </c>
      <c r="U2203">
        <v>65.7</v>
      </c>
      <c r="V2203">
        <v>3.7</v>
      </c>
      <c r="W2203" cm="1">
        <f t="array" ref="W2203">_xlfn.IFS(OR(X2203="N/A",X2203="NA"),0,OR(X2203="R64",X2203="R68"),1,X2203="R32",2,X2203="S16",3,X2203="E8",4,X2203="F4",5,X2203="2ND",6,X2203="Champions",7)</f>
        <v>1</v>
      </c>
      <c r="X2203" t="s">
        <v>422</v>
      </c>
      <c r="Y2203">
        <v>6</v>
      </c>
      <c r="Z2203">
        <v>2015</v>
      </c>
    </row>
    <row r="2204" spans="1:26" x14ac:dyDescent="0.3">
      <c r="A2204" t="s">
        <v>160</v>
      </c>
      <c r="B2204" t="s">
        <v>33</v>
      </c>
      <c r="C2204">
        <v>32</v>
      </c>
      <c r="D2204">
        <v>20</v>
      </c>
      <c r="E2204" s="1">
        <f t="shared" si="34"/>
        <v>0.625</v>
      </c>
      <c r="F2204">
        <v>110.6</v>
      </c>
      <c r="G2204">
        <v>94.7</v>
      </c>
      <c r="H2204">
        <v>0.8569</v>
      </c>
      <c r="I2204">
        <v>49.3</v>
      </c>
      <c r="J2204">
        <v>46.4</v>
      </c>
      <c r="K2204">
        <v>15.7</v>
      </c>
      <c r="L2204">
        <v>19.5</v>
      </c>
      <c r="M2204">
        <v>27.6</v>
      </c>
      <c r="N2204">
        <v>35.4</v>
      </c>
      <c r="O2204">
        <v>35.700000000000003</v>
      </c>
      <c r="P2204">
        <v>33.299999999999997</v>
      </c>
      <c r="Q2204">
        <v>48.2</v>
      </c>
      <c r="R2204">
        <v>44.9</v>
      </c>
      <c r="S2204">
        <v>34.5</v>
      </c>
      <c r="T2204">
        <v>32.6</v>
      </c>
      <c r="U2204">
        <v>67</v>
      </c>
      <c r="V2204">
        <v>2.2999999999999998</v>
      </c>
      <c r="W2204" cm="1">
        <f t="array" ref="W2204">_xlfn.IFS(OR(X2204="N/A",X2204="NA"),0,OR(X2204="R64",X2204="R68"),1,X2204="R32",2,X2204="S16",3,X2204="E8",4,X2204="F4",5,X2204="2ND",6,X2204="Champions",7)</f>
        <v>1</v>
      </c>
      <c r="X2204" t="s">
        <v>422</v>
      </c>
      <c r="Y2204">
        <v>9</v>
      </c>
      <c r="Z2204">
        <v>2015</v>
      </c>
    </row>
    <row r="2205" spans="1:26" x14ac:dyDescent="0.3">
      <c r="A2205" t="s">
        <v>158</v>
      </c>
      <c r="B2205" t="s">
        <v>33</v>
      </c>
      <c r="C2205">
        <v>34</v>
      </c>
      <c r="D2205">
        <v>25</v>
      </c>
      <c r="E2205" s="1">
        <f t="shared" si="34"/>
        <v>0.73529411764705888</v>
      </c>
      <c r="F2205">
        <v>110.8</v>
      </c>
      <c r="G2205">
        <v>91.4</v>
      </c>
      <c r="H2205">
        <v>0.90139999999999998</v>
      </c>
      <c r="I2205">
        <v>49.8</v>
      </c>
      <c r="J2205">
        <v>45.4</v>
      </c>
      <c r="K2205">
        <v>19.399999999999999</v>
      </c>
      <c r="L2205">
        <v>19.5</v>
      </c>
      <c r="M2205">
        <v>34.700000000000003</v>
      </c>
      <c r="N2205">
        <v>30.8</v>
      </c>
      <c r="O2205">
        <v>40.4</v>
      </c>
      <c r="P2205">
        <v>33.799999999999997</v>
      </c>
      <c r="Q2205">
        <v>48.8</v>
      </c>
      <c r="R2205">
        <v>44.3</v>
      </c>
      <c r="S2205">
        <v>34.700000000000003</v>
      </c>
      <c r="T2205">
        <v>31.7</v>
      </c>
      <c r="U2205">
        <v>70.400000000000006</v>
      </c>
      <c r="V2205">
        <v>5.3</v>
      </c>
      <c r="W2205" cm="1">
        <f t="array" ref="W2205">_xlfn.IFS(OR(X2205="N/A",X2205="NA"),0,OR(X2205="R64",X2205="R68"),1,X2205="R32",2,X2205="S16",3,X2205="E8",4,X2205="F4",5,X2205="2ND",6,X2205="Champions",7)</f>
        <v>1</v>
      </c>
      <c r="X2205" t="s">
        <v>422</v>
      </c>
      <c r="Y2205">
        <v>6</v>
      </c>
      <c r="Z2205">
        <v>2016</v>
      </c>
    </row>
    <row r="2206" spans="1:26" x14ac:dyDescent="0.3">
      <c r="A2206" t="s">
        <v>156</v>
      </c>
      <c r="B2206" t="s">
        <v>33</v>
      </c>
      <c r="C2206">
        <v>34</v>
      </c>
      <c r="D2206">
        <v>25</v>
      </c>
      <c r="E2206" s="1">
        <f t="shared" si="34"/>
        <v>0.73529411764705888</v>
      </c>
      <c r="F2206">
        <v>114.5</v>
      </c>
      <c r="G2206">
        <v>95.2</v>
      </c>
      <c r="H2206">
        <v>0.8931</v>
      </c>
      <c r="I2206">
        <v>57.6</v>
      </c>
      <c r="J2206">
        <v>49.9</v>
      </c>
      <c r="K2206">
        <v>17.100000000000001</v>
      </c>
      <c r="L2206">
        <v>19.3</v>
      </c>
      <c r="M2206">
        <v>24.2</v>
      </c>
      <c r="N2206">
        <v>29.6</v>
      </c>
      <c r="O2206">
        <v>27.9</v>
      </c>
      <c r="P2206">
        <v>29.3</v>
      </c>
      <c r="Q2206">
        <v>56.4</v>
      </c>
      <c r="R2206">
        <v>50.2</v>
      </c>
      <c r="S2206">
        <v>39.799999999999997</v>
      </c>
      <c r="T2206">
        <v>33</v>
      </c>
      <c r="U2206">
        <v>72.7</v>
      </c>
      <c r="V2206">
        <v>4.3</v>
      </c>
      <c r="W2206" cm="1">
        <f t="array" ref="W2206">_xlfn.IFS(OR(X2206="N/A",X2206="NA"),0,OR(X2206="R64",X2206="R68"),1,X2206="R32",2,X2206="S16",3,X2206="E8",4,X2206="F4",5,X2206="2ND",6,X2206="Champions",7)</f>
        <v>1</v>
      </c>
      <c r="X2206" t="s">
        <v>422</v>
      </c>
      <c r="Y2206">
        <v>6</v>
      </c>
      <c r="Z2206">
        <v>2017</v>
      </c>
    </row>
    <row r="2207" spans="1:26" x14ac:dyDescent="0.3">
      <c r="A2207" t="s">
        <v>81</v>
      </c>
      <c r="B2207" t="s">
        <v>33</v>
      </c>
      <c r="C2207">
        <v>32</v>
      </c>
      <c r="D2207">
        <v>19</v>
      </c>
      <c r="E2207" s="1">
        <f t="shared" si="34"/>
        <v>0.59375</v>
      </c>
      <c r="F2207">
        <v>121.8</v>
      </c>
      <c r="G2207">
        <v>101.8</v>
      </c>
      <c r="H2207">
        <v>0.8881</v>
      </c>
      <c r="I2207">
        <v>57.5</v>
      </c>
      <c r="J2207">
        <v>52.2</v>
      </c>
      <c r="K2207">
        <v>17.3</v>
      </c>
      <c r="L2207">
        <v>18.3</v>
      </c>
      <c r="M2207">
        <v>27.1</v>
      </c>
      <c r="N2207">
        <v>29.2</v>
      </c>
      <c r="O2207">
        <v>31</v>
      </c>
      <c r="P2207">
        <v>35.700000000000003</v>
      </c>
      <c r="Q2207">
        <v>52.7</v>
      </c>
      <c r="R2207">
        <v>50.6</v>
      </c>
      <c r="S2207">
        <v>42.9</v>
      </c>
      <c r="T2207">
        <v>36.799999999999997</v>
      </c>
      <c r="U2207">
        <v>71.5</v>
      </c>
      <c r="V2207">
        <v>0.6</v>
      </c>
      <c r="W2207" cm="1">
        <f t="array" ref="W2207">_xlfn.IFS(OR(X2207="N/A",X2207="NA"),0,OR(X2207="R64",X2207="R68"),1,X2207="R32",2,X2207="S16",3,X2207="E8",4,X2207="F4",5,X2207="2ND",6,X2207="Champions",7)</f>
        <v>1</v>
      </c>
      <c r="X2207" t="s">
        <v>422</v>
      </c>
      <c r="Y2207">
        <v>10</v>
      </c>
      <c r="Z2207">
        <v>2017</v>
      </c>
    </row>
    <row r="2208" spans="1:26" x14ac:dyDescent="0.3">
      <c r="A2208" t="s">
        <v>158</v>
      </c>
      <c r="B2208" t="s">
        <v>33</v>
      </c>
      <c r="C2208">
        <v>33</v>
      </c>
      <c r="D2208">
        <v>21</v>
      </c>
      <c r="E2208" s="1">
        <f t="shared" si="34"/>
        <v>0.63636363636363635</v>
      </c>
      <c r="F2208">
        <v>108.9</v>
      </c>
      <c r="G2208">
        <v>95.6</v>
      </c>
      <c r="H2208">
        <v>0.81779999999999997</v>
      </c>
      <c r="I2208">
        <v>49.9</v>
      </c>
      <c r="J2208">
        <v>49</v>
      </c>
      <c r="K2208">
        <v>19.5</v>
      </c>
      <c r="L2208">
        <v>17.5</v>
      </c>
      <c r="M2208">
        <v>35.700000000000003</v>
      </c>
      <c r="N2208">
        <v>25.4</v>
      </c>
      <c r="O2208">
        <v>37.6</v>
      </c>
      <c r="P2208">
        <v>36.1</v>
      </c>
      <c r="Q2208">
        <v>49.6</v>
      </c>
      <c r="R2208">
        <v>48</v>
      </c>
      <c r="S2208">
        <v>33.799999999999997</v>
      </c>
      <c r="T2208">
        <v>34.1</v>
      </c>
      <c r="U2208">
        <v>68.900000000000006</v>
      </c>
      <c r="V2208">
        <v>2.7</v>
      </c>
      <c r="W2208" cm="1">
        <f t="array" ref="W2208">_xlfn.IFS(OR(X2208="N/A",X2208="NA"),0,OR(X2208="R64",X2208="R68"),1,X2208="R32",2,X2208="S16",3,X2208="E8",4,X2208="F4",5,X2208="2ND",6,X2208="Champions",7)</f>
        <v>1</v>
      </c>
      <c r="X2208" t="s">
        <v>422</v>
      </c>
      <c r="Y2208">
        <v>9</v>
      </c>
      <c r="Z2208">
        <v>2017</v>
      </c>
    </row>
    <row r="2209" spans="1:26" x14ac:dyDescent="0.3">
      <c r="A2209" t="s">
        <v>156</v>
      </c>
      <c r="B2209" t="s">
        <v>33</v>
      </c>
      <c r="C2209">
        <v>32</v>
      </c>
      <c r="D2209">
        <v>21</v>
      </c>
      <c r="E2209" s="1">
        <f t="shared" si="34"/>
        <v>0.65625</v>
      </c>
      <c r="F2209">
        <v>116.2</v>
      </c>
      <c r="G2209">
        <v>97.4</v>
      </c>
      <c r="H2209">
        <v>0.88360000000000005</v>
      </c>
      <c r="I2209">
        <v>57.4</v>
      </c>
      <c r="J2209">
        <v>50.1</v>
      </c>
      <c r="K2209">
        <v>15.6</v>
      </c>
      <c r="L2209">
        <v>15.8</v>
      </c>
      <c r="M2209">
        <v>22.5</v>
      </c>
      <c r="N2209">
        <v>24.6</v>
      </c>
      <c r="O2209">
        <v>26.5</v>
      </c>
      <c r="P2209">
        <v>24.8</v>
      </c>
      <c r="Q2209">
        <v>58.7</v>
      </c>
      <c r="R2209">
        <v>50</v>
      </c>
      <c r="S2209">
        <v>37.200000000000003</v>
      </c>
      <c r="T2209">
        <v>33.6</v>
      </c>
      <c r="U2209">
        <v>72.3</v>
      </c>
      <c r="V2209">
        <v>2</v>
      </c>
      <c r="W2209" cm="1">
        <f t="array" ref="W2209">_xlfn.IFS(OR(X2209="N/A",X2209="NA"),0,OR(X2209="R64",X2209="R68"),1,X2209="R32",2,X2209="S16",3,X2209="E8",4,X2209="F4",5,X2209="2ND",6,X2209="Champions",7)</f>
        <v>1</v>
      </c>
      <c r="X2209" t="s">
        <v>422</v>
      </c>
      <c r="Y2209">
        <v>8</v>
      </c>
      <c r="Z2209">
        <v>2018</v>
      </c>
    </row>
    <row r="2210" spans="1:26" x14ac:dyDescent="0.3">
      <c r="A2210" t="s">
        <v>162</v>
      </c>
      <c r="B2210" t="s">
        <v>33</v>
      </c>
      <c r="C2210">
        <v>35</v>
      </c>
      <c r="D2210">
        <v>21</v>
      </c>
      <c r="E2210" s="1">
        <f t="shared" si="34"/>
        <v>0.6</v>
      </c>
      <c r="F2210">
        <v>108.4</v>
      </c>
      <c r="G2210">
        <v>95.9</v>
      </c>
      <c r="H2210">
        <v>0.80269999999999997</v>
      </c>
      <c r="I2210">
        <v>49.6</v>
      </c>
      <c r="J2210">
        <v>50.3</v>
      </c>
      <c r="K2210">
        <v>17.399999999999999</v>
      </c>
      <c r="L2210">
        <v>19</v>
      </c>
      <c r="M2210">
        <v>28.9</v>
      </c>
      <c r="N2210">
        <v>29</v>
      </c>
      <c r="O2210">
        <v>38.6</v>
      </c>
      <c r="P2210">
        <v>31.8</v>
      </c>
      <c r="Q2210">
        <v>49.5</v>
      </c>
      <c r="R2210">
        <v>51.5</v>
      </c>
      <c r="S2210">
        <v>33.200000000000003</v>
      </c>
      <c r="T2210">
        <v>32.200000000000003</v>
      </c>
      <c r="U2210">
        <v>68.3</v>
      </c>
      <c r="V2210">
        <v>1.9</v>
      </c>
      <c r="W2210" cm="1">
        <f t="array" ref="W2210">_xlfn.IFS(OR(X2210="N/A",X2210="NA"),0,OR(X2210="R64",X2210="R68"),1,X2210="R32",2,X2210="S16",3,X2210="E8",4,X2210="F4",5,X2210="2ND",6,X2210="Champions",7)</f>
        <v>1</v>
      </c>
      <c r="X2210" t="s">
        <v>422</v>
      </c>
      <c r="Y2210">
        <v>10</v>
      </c>
      <c r="Z2210">
        <v>2018</v>
      </c>
    </row>
    <row r="2211" spans="1:26" x14ac:dyDescent="0.3">
      <c r="A2211" t="s">
        <v>81</v>
      </c>
      <c r="B2211" t="s">
        <v>33</v>
      </c>
      <c r="C2211">
        <v>34</v>
      </c>
      <c r="D2211">
        <v>24</v>
      </c>
      <c r="E2211" s="1">
        <f t="shared" si="34"/>
        <v>0.70588235294117652</v>
      </c>
      <c r="F2211">
        <v>111.7</v>
      </c>
      <c r="G2211">
        <v>95.9</v>
      </c>
      <c r="H2211">
        <v>0.85240000000000005</v>
      </c>
      <c r="I2211">
        <v>53.5</v>
      </c>
      <c r="J2211">
        <v>46.3</v>
      </c>
      <c r="K2211">
        <v>19.399999999999999</v>
      </c>
      <c r="L2211">
        <v>16.600000000000001</v>
      </c>
      <c r="M2211">
        <v>29.4</v>
      </c>
      <c r="N2211">
        <v>26.1</v>
      </c>
      <c r="O2211">
        <v>35.1</v>
      </c>
      <c r="P2211">
        <v>35.9</v>
      </c>
      <c r="Q2211">
        <v>50</v>
      </c>
      <c r="R2211">
        <v>45.1</v>
      </c>
      <c r="S2211">
        <v>38.799999999999997</v>
      </c>
      <c r="T2211">
        <v>32.4</v>
      </c>
      <c r="U2211">
        <v>70.5</v>
      </c>
      <c r="V2211">
        <v>2.7</v>
      </c>
      <c r="W2211" cm="1">
        <f t="array" ref="W2211">_xlfn.IFS(OR(X2211="N/A",X2211="NA"),0,OR(X2211="R64",X2211="R68"),1,X2211="R32",2,X2211="S16",3,X2211="E8",4,X2211="F4",5,X2211="2ND",6,X2211="Champions",7)</f>
        <v>1</v>
      </c>
      <c r="X2211" t="s">
        <v>422</v>
      </c>
      <c r="Y2211">
        <v>5</v>
      </c>
      <c r="Z2211">
        <v>2019</v>
      </c>
    </row>
    <row r="2212" spans="1:26" x14ac:dyDescent="0.3">
      <c r="A2212" t="s">
        <v>158</v>
      </c>
      <c r="B2212" t="s">
        <v>33</v>
      </c>
      <c r="C2212">
        <v>34</v>
      </c>
      <c r="D2212">
        <v>20</v>
      </c>
      <c r="E2212" s="1">
        <f t="shared" si="34"/>
        <v>0.58823529411764708</v>
      </c>
      <c r="F2212">
        <v>107.9</v>
      </c>
      <c r="G2212">
        <v>96.9</v>
      </c>
      <c r="H2212">
        <v>0.77490000000000003</v>
      </c>
      <c r="I2212">
        <v>49.9</v>
      </c>
      <c r="J2212">
        <v>49.6</v>
      </c>
      <c r="K2212">
        <v>17.5</v>
      </c>
      <c r="L2212">
        <v>19.8</v>
      </c>
      <c r="M2212">
        <v>29.5</v>
      </c>
      <c r="N2212">
        <v>29.2</v>
      </c>
      <c r="O2212">
        <v>34.5</v>
      </c>
      <c r="P2212">
        <v>32.799999999999997</v>
      </c>
      <c r="Q2212">
        <v>50.6</v>
      </c>
      <c r="R2212">
        <v>48.7</v>
      </c>
      <c r="S2212">
        <v>32.4</v>
      </c>
      <c r="T2212">
        <v>34</v>
      </c>
      <c r="U2212">
        <v>70.400000000000006</v>
      </c>
      <c r="V2212">
        <v>-0.4</v>
      </c>
      <c r="W2212" cm="1">
        <f t="array" ref="W2212">_xlfn.IFS(OR(X2212="N/A",X2212="NA"),0,OR(X2212="R64",X2212="R68"),1,X2212="R32",2,X2212="S16",3,X2212="E8",4,X2212="F4",5,X2212="2ND",6,X2212="Champions",7)</f>
        <v>1</v>
      </c>
      <c r="X2212" t="s">
        <v>422</v>
      </c>
      <c r="Y2212">
        <v>10</v>
      </c>
      <c r="Z2212">
        <v>2019</v>
      </c>
    </row>
    <row r="2213" spans="1:26" x14ac:dyDescent="0.3">
      <c r="A2213" t="s">
        <v>175</v>
      </c>
      <c r="B2213" t="s">
        <v>164</v>
      </c>
      <c r="C2213">
        <v>32</v>
      </c>
      <c r="D2213">
        <v>23</v>
      </c>
      <c r="E2213" s="1">
        <f t="shared" si="34"/>
        <v>0.71875</v>
      </c>
      <c r="F2213">
        <v>110.1</v>
      </c>
      <c r="G2213">
        <v>107.6</v>
      </c>
      <c r="H2213">
        <v>0.56479999999999997</v>
      </c>
      <c r="I2213">
        <v>55.1</v>
      </c>
      <c r="J2213">
        <v>52.3</v>
      </c>
      <c r="K2213">
        <v>15.9</v>
      </c>
      <c r="L2213">
        <v>17.8</v>
      </c>
      <c r="M2213">
        <v>29.3</v>
      </c>
      <c r="N2213">
        <v>30.7</v>
      </c>
      <c r="O2213">
        <v>35.200000000000003</v>
      </c>
      <c r="P2213">
        <v>36</v>
      </c>
      <c r="Q2213">
        <v>52.2</v>
      </c>
      <c r="R2213">
        <v>49.2</v>
      </c>
      <c r="S2213">
        <v>39.299999999999997</v>
      </c>
      <c r="T2213">
        <v>38.700000000000003</v>
      </c>
      <c r="U2213">
        <v>68.5</v>
      </c>
      <c r="V2213">
        <v>-2.6</v>
      </c>
      <c r="W2213" cm="1">
        <f t="array" ref="W2213">_xlfn.IFS(OR(X2213="N/A",X2213="NA"),0,OR(X2213="R64",X2213="R68"),1,X2213="R32",2,X2213="S16",3,X2213="E8",4,X2213="F4",5,X2213="2ND",6,X2213="Champions",7)</f>
        <v>1</v>
      </c>
      <c r="X2213" t="s">
        <v>422</v>
      </c>
      <c r="Y2213">
        <v>13</v>
      </c>
      <c r="Z2213">
        <v>2015</v>
      </c>
    </row>
    <row r="2214" spans="1:26" x14ac:dyDescent="0.3">
      <c r="A2214" t="s">
        <v>174</v>
      </c>
      <c r="B2214" t="s">
        <v>164</v>
      </c>
      <c r="C2214">
        <v>32</v>
      </c>
      <c r="D2214">
        <v>23</v>
      </c>
      <c r="E2214" s="1">
        <f t="shared" si="34"/>
        <v>0.71875</v>
      </c>
      <c r="F2214">
        <v>101.7</v>
      </c>
      <c r="G2214">
        <v>99.5</v>
      </c>
      <c r="H2214">
        <v>0.55989999999999995</v>
      </c>
      <c r="I2214">
        <v>54.5</v>
      </c>
      <c r="J2214">
        <v>47.4</v>
      </c>
      <c r="K2214">
        <v>19.600000000000001</v>
      </c>
      <c r="L2214">
        <v>15.6</v>
      </c>
      <c r="M2214">
        <v>25.9</v>
      </c>
      <c r="N2214">
        <v>25.6</v>
      </c>
      <c r="O2214">
        <v>45.7</v>
      </c>
      <c r="P2214">
        <v>28.1</v>
      </c>
      <c r="Q2214">
        <v>55.3</v>
      </c>
      <c r="R2214">
        <v>45.2</v>
      </c>
      <c r="S2214">
        <v>35.5</v>
      </c>
      <c r="T2214">
        <v>35.6</v>
      </c>
      <c r="U2214">
        <v>67.7</v>
      </c>
      <c r="V2214">
        <v>-3.7</v>
      </c>
      <c r="W2214" cm="1">
        <f t="array" ref="W2214">_xlfn.IFS(OR(X2214="N/A",X2214="NA"),0,OR(X2214="R64",X2214="R68"),1,X2214="R32",2,X2214="S16",3,X2214="E8",4,X2214="F4",5,X2214="2ND",6,X2214="Champions",7)</f>
        <v>1</v>
      </c>
      <c r="X2214" t="s">
        <v>422</v>
      </c>
      <c r="Y2214">
        <v>15</v>
      </c>
      <c r="Z2214">
        <v>2016</v>
      </c>
    </row>
    <row r="2215" spans="1:26" x14ac:dyDescent="0.3">
      <c r="A2215" t="s">
        <v>168</v>
      </c>
      <c r="B2215" t="s">
        <v>164</v>
      </c>
      <c r="C2215">
        <v>29</v>
      </c>
      <c r="D2215">
        <v>22</v>
      </c>
      <c r="E2215" s="1">
        <f t="shared" si="34"/>
        <v>0.75862068965517238</v>
      </c>
      <c r="F2215">
        <v>103.1</v>
      </c>
      <c r="G2215">
        <v>102.7</v>
      </c>
      <c r="H2215">
        <v>0.51119999999999999</v>
      </c>
      <c r="I2215">
        <v>53.4</v>
      </c>
      <c r="J2215">
        <v>50.7</v>
      </c>
      <c r="K2215">
        <v>18.3</v>
      </c>
      <c r="L2215">
        <v>19.600000000000001</v>
      </c>
      <c r="M2215">
        <v>26</v>
      </c>
      <c r="N2215">
        <v>27.8</v>
      </c>
      <c r="O2215">
        <v>36.1</v>
      </c>
      <c r="P2215">
        <v>39.700000000000003</v>
      </c>
      <c r="Q2215">
        <v>51.4</v>
      </c>
      <c r="R2215">
        <v>50</v>
      </c>
      <c r="S2215">
        <v>38.700000000000003</v>
      </c>
      <c r="T2215">
        <v>34.799999999999997</v>
      </c>
      <c r="U2215">
        <v>72.5</v>
      </c>
      <c r="V2215">
        <v>-5.3</v>
      </c>
      <c r="W2215" cm="1">
        <f t="array" ref="W2215">_xlfn.IFS(OR(X2215="N/A",X2215="NA"),0,OR(X2215="R64",X2215="R68"),1,X2215="R32",2,X2215="S16",3,X2215="E8",4,X2215="F4",5,X2215="2ND",6,X2215="Champions",7)</f>
        <v>1</v>
      </c>
      <c r="X2215" t="s">
        <v>422</v>
      </c>
      <c r="Y2215">
        <v>15</v>
      </c>
      <c r="Z2215">
        <v>2017</v>
      </c>
    </row>
    <row r="2216" spans="1:26" x14ac:dyDescent="0.3">
      <c r="A2216" t="s">
        <v>166</v>
      </c>
      <c r="B2216" t="s">
        <v>164</v>
      </c>
      <c r="C2216">
        <v>32</v>
      </c>
      <c r="D2216">
        <v>26</v>
      </c>
      <c r="E2216" s="1">
        <f t="shared" si="34"/>
        <v>0.8125</v>
      </c>
      <c r="F2216">
        <v>106.7</v>
      </c>
      <c r="G2216">
        <v>98.4</v>
      </c>
      <c r="H2216">
        <v>0.71840000000000004</v>
      </c>
      <c r="I2216">
        <v>51.2</v>
      </c>
      <c r="J2216">
        <v>48.4</v>
      </c>
      <c r="K2216">
        <v>17.399999999999999</v>
      </c>
      <c r="L2216">
        <v>21.2</v>
      </c>
      <c r="M2216">
        <v>33.5</v>
      </c>
      <c r="N2216">
        <v>26.1</v>
      </c>
      <c r="O2216">
        <v>38.299999999999997</v>
      </c>
      <c r="P2216">
        <v>41.4</v>
      </c>
      <c r="Q2216">
        <v>51.4</v>
      </c>
      <c r="R2216">
        <v>46.3</v>
      </c>
      <c r="S2216">
        <v>33.700000000000003</v>
      </c>
      <c r="T2216">
        <v>35.200000000000003</v>
      </c>
      <c r="U2216">
        <v>69.099999999999994</v>
      </c>
      <c r="V2216">
        <v>-1.1000000000000001</v>
      </c>
      <c r="W2216" cm="1">
        <f t="array" ref="W2216">_xlfn.IFS(OR(X2216="N/A",X2216="NA"),0,OR(X2216="R64",X2216="R68"),1,X2216="R32",2,X2216="S16",3,X2216="E8",4,X2216="F4",5,X2216="2ND",6,X2216="Champions",7)</f>
        <v>1</v>
      </c>
      <c r="X2216" t="s">
        <v>422</v>
      </c>
      <c r="Y2216">
        <v>14</v>
      </c>
      <c r="Z2216">
        <v>2018</v>
      </c>
    </row>
    <row r="2217" spans="1:26" x14ac:dyDescent="0.3">
      <c r="A2217" t="s">
        <v>166</v>
      </c>
      <c r="B2217" t="s">
        <v>164</v>
      </c>
      <c r="C2217">
        <v>33</v>
      </c>
      <c r="D2217">
        <v>26</v>
      </c>
      <c r="E2217" s="1">
        <f t="shared" si="34"/>
        <v>0.78787878787878785</v>
      </c>
      <c r="F2217">
        <v>106.2</v>
      </c>
      <c r="G2217">
        <v>103.2</v>
      </c>
      <c r="H2217">
        <v>0.58120000000000005</v>
      </c>
      <c r="I2217">
        <v>56.1</v>
      </c>
      <c r="J2217">
        <v>50.1</v>
      </c>
      <c r="K2217">
        <v>17.3</v>
      </c>
      <c r="L2217">
        <v>19.2</v>
      </c>
      <c r="M2217">
        <v>27.4</v>
      </c>
      <c r="N2217">
        <v>24.9</v>
      </c>
      <c r="O2217">
        <v>31.6</v>
      </c>
      <c r="P2217">
        <v>37.299999999999997</v>
      </c>
      <c r="Q2217">
        <v>55.6</v>
      </c>
      <c r="R2217">
        <v>49.3</v>
      </c>
      <c r="S2217">
        <v>37.799999999999997</v>
      </c>
      <c r="T2217">
        <v>34.4</v>
      </c>
      <c r="U2217">
        <v>68</v>
      </c>
      <c r="V2217">
        <v>-3.2</v>
      </c>
      <c r="W2217" cm="1">
        <f t="array" ref="W2217">_xlfn.IFS(OR(X2217="N/A",X2217="NA"),0,OR(X2217="R64",X2217="R68"),1,X2217="R32",2,X2217="S16",3,X2217="E8",4,X2217="F4",5,X2217="2ND",6,X2217="Champions",7)</f>
        <v>1</v>
      </c>
      <c r="X2217" t="s">
        <v>422</v>
      </c>
      <c r="Y2217">
        <v>15</v>
      </c>
      <c r="Z2217">
        <v>2019</v>
      </c>
    </row>
    <row r="2218" spans="1:26" x14ac:dyDescent="0.3">
      <c r="A2218" t="s">
        <v>186</v>
      </c>
      <c r="B2218" t="s">
        <v>74</v>
      </c>
      <c r="C2218">
        <v>30</v>
      </c>
      <c r="D2218">
        <v>20</v>
      </c>
      <c r="E2218" s="1">
        <f t="shared" si="34"/>
        <v>0.66666666666666663</v>
      </c>
      <c r="F2218">
        <v>104.5</v>
      </c>
      <c r="G2218">
        <v>103</v>
      </c>
      <c r="H2218">
        <v>0.54169999999999996</v>
      </c>
      <c r="I2218">
        <v>50</v>
      </c>
      <c r="J2218">
        <v>47.7</v>
      </c>
      <c r="K2218">
        <v>17.5</v>
      </c>
      <c r="L2218">
        <v>16.899999999999999</v>
      </c>
      <c r="M2218">
        <v>34.799999999999997</v>
      </c>
      <c r="N2218">
        <v>28</v>
      </c>
      <c r="O2218">
        <v>38.9</v>
      </c>
      <c r="P2218">
        <v>35</v>
      </c>
      <c r="Q2218">
        <v>48.1</v>
      </c>
      <c r="R2218">
        <v>45.8</v>
      </c>
      <c r="S2218">
        <v>35.9</v>
      </c>
      <c r="T2218">
        <v>33.799999999999997</v>
      </c>
      <c r="U2218">
        <v>64.099999999999994</v>
      </c>
      <c r="V2218">
        <v>-5.0999999999999996</v>
      </c>
      <c r="W2218" cm="1">
        <f t="array" ref="W2218">_xlfn.IFS(OR(X2218="N/A",X2218="NA"),0,OR(X2218="R64",X2218="R68"),1,X2218="R32",2,X2218="S16",3,X2218="E8",4,X2218="F4",5,X2218="2ND",6,X2218="Champions",7)</f>
        <v>1</v>
      </c>
      <c r="X2218" t="s">
        <v>422</v>
      </c>
      <c r="Y2218">
        <v>16</v>
      </c>
      <c r="Z2218">
        <v>2015</v>
      </c>
    </row>
    <row r="2219" spans="1:26" x14ac:dyDescent="0.3">
      <c r="A2219" t="s">
        <v>184</v>
      </c>
      <c r="B2219" t="s">
        <v>74</v>
      </c>
      <c r="C2219">
        <v>32</v>
      </c>
      <c r="D2219">
        <v>20</v>
      </c>
      <c r="E2219" s="1">
        <f t="shared" si="34"/>
        <v>0.625</v>
      </c>
      <c r="F2219">
        <v>101.2</v>
      </c>
      <c r="G2219">
        <v>99.4</v>
      </c>
      <c r="H2219">
        <v>0.54869999999999997</v>
      </c>
      <c r="I2219">
        <v>49.6</v>
      </c>
      <c r="J2219">
        <v>49.3</v>
      </c>
      <c r="K2219">
        <v>18.600000000000001</v>
      </c>
      <c r="L2219">
        <v>22.2</v>
      </c>
      <c r="M2219">
        <v>31.6</v>
      </c>
      <c r="N2219">
        <v>29.3</v>
      </c>
      <c r="O2219">
        <v>41.8</v>
      </c>
      <c r="P2219">
        <v>33</v>
      </c>
      <c r="Q2219">
        <v>50.2</v>
      </c>
      <c r="R2219">
        <v>52.1</v>
      </c>
      <c r="S2219">
        <v>32.1</v>
      </c>
      <c r="T2219">
        <v>29.6</v>
      </c>
      <c r="U2219">
        <v>71</v>
      </c>
      <c r="V2219">
        <v>-6.3</v>
      </c>
      <c r="W2219" cm="1">
        <f t="array" ref="W2219">_xlfn.IFS(OR(X2219="N/A",X2219="NA"),0,OR(X2219="R64",X2219="R68"),1,X2219="R32",2,X2219="S16",3,X2219="E8",4,X2219="F4",5,X2219="2ND",6,X2219="Champions",7)</f>
        <v>1</v>
      </c>
      <c r="X2219" t="s">
        <v>422</v>
      </c>
      <c r="Y2219">
        <v>15</v>
      </c>
      <c r="Z2219">
        <v>2016</v>
      </c>
    </row>
    <row r="2220" spans="1:26" x14ac:dyDescent="0.3">
      <c r="A2220" t="s">
        <v>185</v>
      </c>
      <c r="B2220" t="s">
        <v>74</v>
      </c>
      <c r="C2220">
        <v>31</v>
      </c>
      <c r="D2220">
        <v>26</v>
      </c>
      <c r="E2220" s="1">
        <f t="shared" si="34"/>
        <v>0.83870967741935487</v>
      </c>
      <c r="F2220">
        <v>105.3</v>
      </c>
      <c r="G2220">
        <v>101.3</v>
      </c>
      <c r="H2220">
        <v>0.61060000000000003</v>
      </c>
      <c r="I2220">
        <v>53.5</v>
      </c>
      <c r="J2220">
        <v>46.7</v>
      </c>
      <c r="K2220">
        <v>17.8</v>
      </c>
      <c r="L2220">
        <v>18.600000000000001</v>
      </c>
      <c r="M2220">
        <v>26.3</v>
      </c>
      <c r="N2220">
        <v>28.4</v>
      </c>
      <c r="O2220">
        <v>38.200000000000003</v>
      </c>
      <c r="P2220">
        <v>34.5</v>
      </c>
      <c r="Q2220">
        <v>50.9</v>
      </c>
      <c r="R2220">
        <v>45.9</v>
      </c>
      <c r="S2220">
        <v>37.9</v>
      </c>
      <c r="T2220">
        <v>32.1</v>
      </c>
      <c r="U2220">
        <v>72.3</v>
      </c>
      <c r="V2220">
        <v>-1.8</v>
      </c>
      <c r="W2220" cm="1">
        <f t="array" ref="W2220">_xlfn.IFS(OR(X2220="N/A",X2220="NA"),0,OR(X2220="R64",X2220="R68"),1,X2220="R32",2,X2220="S16",3,X2220="E8",4,X2220="F4",5,X2220="2ND",6,X2220="Champions",7)</f>
        <v>1</v>
      </c>
      <c r="X2220" t="s">
        <v>422</v>
      </c>
      <c r="Y2220">
        <v>13</v>
      </c>
      <c r="Z2220">
        <v>2017</v>
      </c>
    </row>
    <row r="2221" spans="1:26" x14ac:dyDescent="0.3">
      <c r="A2221" t="s">
        <v>183</v>
      </c>
      <c r="B2221" t="s">
        <v>74</v>
      </c>
      <c r="C2221">
        <v>34</v>
      </c>
      <c r="D2221">
        <v>23</v>
      </c>
      <c r="E2221" s="1">
        <f t="shared" si="34"/>
        <v>0.67647058823529416</v>
      </c>
      <c r="F2221">
        <v>101.3</v>
      </c>
      <c r="G2221">
        <v>102.8</v>
      </c>
      <c r="H2221">
        <v>0.45590000000000003</v>
      </c>
      <c r="I2221">
        <v>49.3</v>
      </c>
      <c r="J2221">
        <v>50.1</v>
      </c>
      <c r="K2221">
        <v>18.7</v>
      </c>
      <c r="L2221">
        <v>20.2</v>
      </c>
      <c r="M2221">
        <v>32</v>
      </c>
      <c r="N2221">
        <v>28</v>
      </c>
      <c r="O2221">
        <v>31.2</v>
      </c>
      <c r="P2221">
        <v>31.7</v>
      </c>
      <c r="Q2221">
        <v>47.1</v>
      </c>
      <c r="R2221">
        <v>48.9</v>
      </c>
      <c r="S2221">
        <v>35</v>
      </c>
      <c r="T2221">
        <v>34.6</v>
      </c>
      <c r="U2221">
        <v>64.2</v>
      </c>
      <c r="V2221">
        <v>-6.5</v>
      </c>
      <c r="W2221" cm="1">
        <f t="array" ref="W2221">_xlfn.IFS(OR(X2221="N/A",X2221="NA"),0,OR(X2221="R64",X2221="R68"),1,X2221="R32",2,X2221="S16",3,X2221="E8",4,X2221="F4",5,X2221="2ND",6,X2221="Champions",7)</f>
        <v>1</v>
      </c>
      <c r="X2221" t="s">
        <v>422</v>
      </c>
      <c r="Y2221">
        <v>16</v>
      </c>
      <c r="Z2221">
        <v>2018</v>
      </c>
    </row>
    <row r="2222" spans="1:26" x14ac:dyDescent="0.3">
      <c r="A2222" t="s">
        <v>178</v>
      </c>
      <c r="B2222" t="s">
        <v>74</v>
      </c>
      <c r="C2222">
        <v>32</v>
      </c>
      <c r="D2222">
        <v>23</v>
      </c>
      <c r="E2222" s="1">
        <f t="shared" si="34"/>
        <v>0.71875</v>
      </c>
      <c r="F2222">
        <v>106</v>
      </c>
      <c r="G2222">
        <v>106.6</v>
      </c>
      <c r="H2222">
        <v>0.48520000000000002</v>
      </c>
      <c r="I2222">
        <v>54.8</v>
      </c>
      <c r="J2222">
        <v>50.5</v>
      </c>
      <c r="K2222">
        <v>17.100000000000001</v>
      </c>
      <c r="L2222">
        <v>18.2</v>
      </c>
      <c r="M2222">
        <v>22.4</v>
      </c>
      <c r="N2222">
        <v>31.3</v>
      </c>
      <c r="O2222">
        <v>38.299999999999997</v>
      </c>
      <c r="P2222">
        <v>27.6</v>
      </c>
      <c r="Q2222">
        <v>53.6</v>
      </c>
      <c r="R2222">
        <v>50.4</v>
      </c>
      <c r="S2222">
        <v>37.700000000000003</v>
      </c>
      <c r="T2222">
        <v>33.700000000000003</v>
      </c>
      <c r="U2222">
        <v>68.7</v>
      </c>
      <c r="V2222">
        <v>-5</v>
      </c>
      <c r="W2222" cm="1">
        <f t="array" ref="W2222">_xlfn.IFS(OR(X2222="N/A",X2222="NA"),0,OR(X2222="R64",X2222="R68"),1,X2222="R32",2,X2222="S16",3,X2222="E8",4,X2222="F4",5,X2222="2ND",6,X2222="Champions",7)</f>
        <v>1</v>
      </c>
      <c r="X2222" t="s">
        <v>422</v>
      </c>
      <c r="Y2222">
        <v>16</v>
      </c>
      <c r="Z2222">
        <v>2019</v>
      </c>
    </row>
    <row r="2223" spans="1:26" x14ac:dyDescent="0.3">
      <c r="A2223" t="s">
        <v>196</v>
      </c>
      <c r="B2223" t="s">
        <v>48</v>
      </c>
      <c r="C2223">
        <v>32</v>
      </c>
      <c r="D2223">
        <v>19</v>
      </c>
      <c r="E2223" s="1">
        <f t="shared" si="34"/>
        <v>0.59375</v>
      </c>
      <c r="F2223">
        <v>105.1</v>
      </c>
      <c r="G2223">
        <v>96.8</v>
      </c>
      <c r="H2223">
        <v>0.72019999999999995</v>
      </c>
      <c r="I2223">
        <v>50.7</v>
      </c>
      <c r="J2223">
        <v>44.7</v>
      </c>
      <c r="K2223">
        <v>18.2</v>
      </c>
      <c r="L2223">
        <v>17.2</v>
      </c>
      <c r="M2223">
        <v>30</v>
      </c>
      <c r="N2223">
        <v>30.7</v>
      </c>
      <c r="O2223">
        <v>30.2</v>
      </c>
      <c r="P2223">
        <v>35.299999999999997</v>
      </c>
      <c r="Q2223">
        <v>47.8</v>
      </c>
      <c r="R2223">
        <v>42.4</v>
      </c>
      <c r="S2223">
        <v>38.200000000000003</v>
      </c>
      <c r="T2223">
        <v>33.6</v>
      </c>
      <c r="U2223">
        <v>63.9</v>
      </c>
      <c r="V2223">
        <v>-4.5999999999999996</v>
      </c>
      <c r="W2223" cm="1">
        <f t="array" ref="W2223">_xlfn.IFS(OR(X2223="N/A",X2223="NA"),0,OR(X2223="R64",X2223="R68"),1,X2223="R32",2,X2223="S16",3,X2223="E8",4,X2223="F4",5,X2223="2ND",6,X2223="Champions",7)</f>
        <v>1</v>
      </c>
      <c r="X2223" t="s">
        <v>422</v>
      </c>
      <c r="Y2223">
        <v>13</v>
      </c>
      <c r="Z2223">
        <v>2015</v>
      </c>
    </row>
    <row r="2224" spans="1:26" x14ac:dyDescent="0.3">
      <c r="A2224" t="s">
        <v>193</v>
      </c>
      <c r="B2224" t="s">
        <v>48</v>
      </c>
      <c r="C2224">
        <v>34</v>
      </c>
      <c r="D2224">
        <v>23</v>
      </c>
      <c r="E2224" s="1">
        <f t="shared" si="34"/>
        <v>0.67647058823529416</v>
      </c>
      <c r="F2224">
        <v>97.4</v>
      </c>
      <c r="G2224">
        <v>100.8</v>
      </c>
      <c r="H2224">
        <v>0.40329999999999999</v>
      </c>
      <c r="I2224">
        <v>48.4</v>
      </c>
      <c r="J2224">
        <v>48.7</v>
      </c>
      <c r="K2224">
        <v>20.3</v>
      </c>
      <c r="L2224">
        <v>19.600000000000001</v>
      </c>
      <c r="M2224">
        <v>29.1</v>
      </c>
      <c r="N2224">
        <v>28.3</v>
      </c>
      <c r="O2224">
        <v>40.799999999999997</v>
      </c>
      <c r="P2224">
        <v>33.1</v>
      </c>
      <c r="Q2224">
        <v>46.9</v>
      </c>
      <c r="R2224">
        <v>48.5</v>
      </c>
      <c r="S2224">
        <v>34.5</v>
      </c>
      <c r="T2224">
        <v>32.6</v>
      </c>
      <c r="U2224">
        <v>70.3</v>
      </c>
      <c r="V2224">
        <v>-7.5</v>
      </c>
      <c r="W2224" cm="1">
        <f t="array" ref="W2224">_xlfn.IFS(OR(X2224="N/A",X2224="NA"),0,OR(X2224="R64",X2224="R68"),1,X2224="R32",2,X2224="S16",3,X2224="E8",4,X2224="F4",5,X2224="2ND",6,X2224="Champions",7)</f>
        <v>1</v>
      </c>
      <c r="X2224" t="s">
        <v>422</v>
      </c>
      <c r="Y2224">
        <v>16</v>
      </c>
      <c r="Z2224">
        <v>2017</v>
      </c>
    </row>
    <row r="2225" spans="1:26" x14ac:dyDescent="0.3">
      <c r="A2225" t="s">
        <v>189</v>
      </c>
      <c r="B2225" t="s">
        <v>48</v>
      </c>
      <c r="C2225">
        <v>30</v>
      </c>
      <c r="D2225">
        <v>20</v>
      </c>
      <c r="E2225" s="1">
        <f t="shared" si="34"/>
        <v>0.66666666666666663</v>
      </c>
      <c r="F2225">
        <v>101.6</v>
      </c>
      <c r="G2225">
        <v>102.5</v>
      </c>
      <c r="H2225">
        <v>0.47599999999999998</v>
      </c>
      <c r="I2225">
        <v>51.6</v>
      </c>
      <c r="J2225">
        <v>48.2</v>
      </c>
      <c r="K2225">
        <v>20.7</v>
      </c>
      <c r="L2225">
        <v>18.2</v>
      </c>
      <c r="M2225">
        <v>26</v>
      </c>
      <c r="N2225">
        <v>28.9</v>
      </c>
      <c r="O2225">
        <v>45.6</v>
      </c>
      <c r="P2225">
        <v>35.200000000000003</v>
      </c>
      <c r="Q2225">
        <v>52</v>
      </c>
      <c r="R2225">
        <v>45</v>
      </c>
      <c r="S2225">
        <v>33.799999999999997</v>
      </c>
      <c r="T2225">
        <v>36.4</v>
      </c>
      <c r="U2225">
        <v>70.7</v>
      </c>
      <c r="V2225">
        <v>-5.5</v>
      </c>
      <c r="W2225" cm="1">
        <f t="array" ref="W2225">_xlfn.IFS(OR(X2225="N/A",X2225="NA"),0,OR(X2225="R64",X2225="R68"),1,X2225="R32",2,X2225="S16",3,X2225="E8",4,X2225="F4",5,X2225="2ND",6,X2225="Champions",7)</f>
        <v>1</v>
      </c>
      <c r="X2225" t="s">
        <v>422</v>
      </c>
      <c r="Y2225">
        <v>15</v>
      </c>
      <c r="Z2225">
        <v>2018</v>
      </c>
    </row>
    <row r="2226" spans="1:26" x14ac:dyDescent="0.3">
      <c r="A2226" t="s">
        <v>206</v>
      </c>
      <c r="B2226" t="s">
        <v>53</v>
      </c>
      <c r="C2226">
        <v>35</v>
      </c>
      <c r="D2226">
        <v>23</v>
      </c>
      <c r="E2226" s="1">
        <f t="shared" si="34"/>
        <v>0.65714285714285714</v>
      </c>
      <c r="F2226">
        <v>107</v>
      </c>
      <c r="G2226">
        <v>101</v>
      </c>
      <c r="H2226">
        <v>0.65859999999999996</v>
      </c>
      <c r="I2226">
        <v>54.5</v>
      </c>
      <c r="J2226">
        <v>49.8</v>
      </c>
      <c r="K2226">
        <v>21.5</v>
      </c>
      <c r="L2226">
        <v>15.5</v>
      </c>
      <c r="M2226">
        <v>30.1</v>
      </c>
      <c r="N2226">
        <v>25.3</v>
      </c>
      <c r="O2226">
        <v>41.4</v>
      </c>
      <c r="P2226">
        <v>25</v>
      </c>
      <c r="Q2226">
        <v>53</v>
      </c>
      <c r="R2226">
        <v>49.1</v>
      </c>
      <c r="S2226">
        <v>38.6</v>
      </c>
      <c r="T2226">
        <v>34.4</v>
      </c>
      <c r="U2226">
        <v>63.6</v>
      </c>
      <c r="V2226">
        <v>-4.5999999999999996</v>
      </c>
      <c r="W2226" cm="1">
        <f t="array" ref="W2226">_xlfn.IFS(OR(X2226="N/A",X2226="NA"),0,OR(X2226="R64",X2226="R68"),1,X2226="R32",2,X2226="S16",3,X2226="E8",4,X2226="F4",5,X2226="2ND",6,X2226="Champions",7)</f>
        <v>1</v>
      </c>
      <c r="X2226" t="s">
        <v>422</v>
      </c>
      <c r="Y2226">
        <v>14</v>
      </c>
      <c r="Z2226">
        <v>2015</v>
      </c>
    </row>
    <row r="2227" spans="1:26" x14ac:dyDescent="0.3">
      <c r="A2227" t="s">
        <v>204</v>
      </c>
      <c r="B2227" t="s">
        <v>53</v>
      </c>
      <c r="C2227">
        <v>31</v>
      </c>
      <c r="D2227">
        <v>23</v>
      </c>
      <c r="E2227" s="1">
        <f t="shared" si="34"/>
        <v>0.74193548387096775</v>
      </c>
      <c r="F2227">
        <v>109.5</v>
      </c>
      <c r="G2227">
        <v>100.9</v>
      </c>
      <c r="H2227">
        <v>0.71860000000000002</v>
      </c>
      <c r="I2227">
        <v>51.2</v>
      </c>
      <c r="J2227">
        <v>47.5</v>
      </c>
      <c r="K2227">
        <v>15.9</v>
      </c>
      <c r="L2227">
        <v>19.899999999999999</v>
      </c>
      <c r="M2227">
        <v>32.1</v>
      </c>
      <c r="N2227">
        <v>30.1</v>
      </c>
      <c r="O2227">
        <v>35.6</v>
      </c>
      <c r="P2227">
        <v>55.2</v>
      </c>
      <c r="Q2227">
        <v>51</v>
      </c>
      <c r="R2227">
        <v>46.1</v>
      </c>
      <c r="S2227">
        <v>34.4</v>
      </c>
      <c r="T2227">
        <v>33.9</v>
      </c>
      <c r="U2227">
        <v>71.3</v>
      </c>
      <c r="V2227">
        <v>-0.7</v>
      </c>
      <c r="W2227" cm="1">
        <f t="array" ref="W2227">_xlfn.IFS(OR(X2227="N/A",X2227="NA"),0,OR(X2227="R64",X2227="R68"),1,X2227="R32",2,X2227="S16",3,X2227="E8",4,X2227="F4",5,X2227="2ND",6,X2227="Champions",7)</f>
        <v>1</v>
      </c>
      <c r="X2227" t="s">
        <v>422</v>
      </c>
      <c r="Y2227">
        <v>13</v>
      </c>
      <c r="Z2227">
        <v>2016</v>
      </c>
    </row>
    <row r="2228" spans="1:26" x14ac:dyDescent="0.3">
      <c r="A2228" t="s">
        <v>204</v>
      </c>
      <c r="B2228" t="s">
        <v>53</v>
      </c>
      <c r="C2228">
        <v>33</v>
      </c>
      <c r="D2228">
        <v>29</v>
      </c>
      <c r="E2228" s="1">
        <f t="shared" si="34"/>
        <v>0.87878787878787878</v>
      </c>
      <c r="F2228">
        <v>117.7</v>
      </c>
      <c r="G2228">
        <v>105</v>
      </c>
      <c r="H2228">
        <v>0.78810000000000002</v>
      </c>
      <c r="I2228">
        <v>55</v>
      </c>
      <c r="J2228">
        <v>53.2</v>
      </c>
      <c r="K2228">
        <v>13.9</v>
      </c>
      <c r="L2228">
        <v>20.100000000000001</v>
      </c>
      <c r="M2228">
        <v>32.5</v>
      </c>
      <c r="N2228">
        <v>28.5</v>
      </c>
      <c r="O2228">
        <v>30.8</v>
      </c>
      <c r="P2228">
        <v>39.6</v>
      </c>
      <c r="Q2228">
        <v>55.7</v>
      </c>
      <c r="R2228">
        <v>54.2</v>
      </c>
      <c r="S2228">
        <v>36.1</v>
      </c>
      <c r="T2228">
        <v>34</v>
      </c>
      <c r="U2228">
        <v>71.5</v>
      </c>
      <c r="V2228">
        <v>1.5</v>
      </c>
      <c r="W2228" cm="1">
        <f t="array" ref="W2228">_xlfn.IFS(OR(X2228="N/A",X2228="NA"),0,OR(X2228="R64",X2228="R68"),1,X2228="R32",2,X2228="S16",3,X2228="E8",4,X2228="F4",5,X2228="2ND",6,X2228="Champions",7)</f>
        <v>1</v>
      </c>
      <c r="X2228" t="s">
        <v>422</v>
      </c>
      <c r="Y2228">
        <v>12</v>
      </c>
      <c r="Z2228">
        <v>2017</v>
      </c>
    </row>
    <row r="2229" spans="1:26" x14ac:dyDescent="0.3">
      <c r="A2229" t="s">
        <v>197</v>
      </c>
      <c r="B2229" t="s">
        <v>53</v>
      </c>
      <c r="C2229">
        <v>32</v>
      </c>
      <c r="D2229">
        <v>26</v>
      </c>
      <c r="E2229" s="1">
        <f t="shared" si="34"/>
        <v>0.8125</v>
      </c>
      <c r="F2229">
        <v>106.8</v>
      </c>
      <c r="G2229">
        <v>104.3</v>
      </c>
      <c r="H2229">
        <v>0.56850000000000001</v>
      </c>
      <c r="I2229">
        <v>52.7</v>
      </c>
      <c r="J2229">
        <v>49.9</v>
      </c>
      <c r="K2229">
        <v>15.1</v>
      </c>
      <c r="L2229">
        <v>17.8</v>
      </c>
      <c r="M2229">
        <v>25.5</v>
      </c>
      <c r="N2229">
        <v>27.9</v>
      </c>
      <c r="O2229">
        <v>36.6</v>
      </c>
      <c r="P2229">
        <v>32.1</v>
      </c>
      <c r="Q2229">
        <v>52</v>
      </c>
      <c r="R2229">
        <v>48.7</v>
      </c>
      <c r="S2229">
        <v>35.9</v>
      </c>
      <c r="T2229">
        <v>34.6</v>
      </c>
      <c r="U2229">
        <v>66</v>
      </c>
      <c r="V2229">
        <v>-2.1</v>
      </c>
      <c r="W2229" cm="1">
        <f t="array" ref="W2229">_xlfn.IFS(OR(X2229="N/A",X2229="NA"),0,OR(X2229="R64",X2229="R68"),1,X2229="R32",2,X2229="S16",3,X2229="E8",4,X2229="F4",5,X2229="2ND",6,X2229="Champions",7)</f>
        <v>1</v>
      </c>
      <c r="X2229" t="s">
        <v>422</v>
      </c>
      <c r="Y2229">
        <v>13</v>
      </c>
      <c r="Z2229">
        <v>2018</v>
      </c>
    </row>
    <row r="2230" spans="1:26" x14ac:dyDescent="0.3">
      <c r="A2230" t="s">
        <v>206</v>
      </c>
      <c r="B2230" t="s">
        <v>53</v>
      </c>
      <c r="C2230">
        <v>34</v>
      </c>
      <c r="D2230">
        <v>23</v>
      </c>
      <c r="E2230" s="1">
        <f t="shared" si="34"/>
        <v>0.67647058823529416</v>
      </c>
      <c r="F2230">
        <v>109.1</v>
      </c>
      <c r="G2230">
        <v>102.5</v>
      </c>
      <c r="H2230">
        <v>0.67120000000000002</v>
      </c>
      <c r="I2230">
        <v>56.5</v>
      </c>
      <c r="J2230">
        <v>52.1</v>
      </c>
      <c r="K2230">
        <v>16.600000000000001</v>
      </c>
      <c r="L2230">
        <v>16.7</v>
      </c>
      <c r="M2230">
        <v>22.7</v>
      </c>
      <c r="N2230">
        <v>24.6</v>
      </c>
      <c r="O2230">
        <v>34.299999999999997</v>
      </c>
      <c r="P2230">
        <v>27.8</v>
      </c>
      <c r="Q2230">
        <v>55.8</v>
      </c>
      <c r="R2230">
        <v>53</v>
      </c>
      <c r="S2230">
        <v>38.200000000000003</v>
      </c>
      <c r="T2230">
        <v>33.700000000000003</v>
      </c>
      <c r="U2230">
        <v>67.5</v>
      </c>
      <c r="V2230">
        <v>-2.8</v>
      </c>
      <c r="W2230" cm="1">
        <f t="array" ref="W2230">_xlfn.IFS(OR(X2230="N/A",X2230="NA"),0,OR(X2230="R64",X2230="R68"),1,X2230="R32",2,X2230="S16",3,X2230="E8",4,X2230="F4",5,X2230="2ND",6,X2230="Champions",7)</f>
        <v>1</v>
      </c>
      <c r="X2230" t="s">
        <v>422</v>
      </c>
      <c r="Y2230">
        <v>13</v>
      </c>
      <c r="Z2230">
        <v>2019</v>
      </c>
    </row>
    <row r="2231" spans="1:26" x14ac:dyDescent="0.3">
      <c r="A2231" t="s">
        <v>214</v>
      </c>
      <c r="B2231" t="s">
        <v>40</v>
      </c>
      <c r="C2231">
        <v>35</v>
      </c>
      <c r="D2231">
        <v>26</v>
      </c>
      <c r="E2231" s="1">
        <f t="shared" si="34"/>
        <v>0.74285714285714288</v>
      </c>
      <c r="F2231">
        <v>99.3</v>
      </c>
      <c r="G2231">
        <v>94.6</v>
      </c>
      <c r="H2231">
        <v>0.63390000000000002</v>
      </c>
      <c r="I2231">
        <v>47.2</v>
      </c>
      <c r="J2231">
        <v>45.6</v>
      </c>
      <c r="K2231">
        <v>17.8</v>
      </c>
      <c r="L2231">
        <v>18.5</v>
      </c>
      <c r="M2231">
        <v>32.1</v>
      </c>
      <c r="N2231">
        <v>24.8</v>
      </c>
      <c r="O2231">
        <v>28.9</v>
      </c>
      <c r="P2231">
        <v>32.4</v>
      </c>
      <c r="Q2231">
        <v>44.1</v>
      </c>
      <c r="R2231">
        <v>43.5</v>
      </c>
      <c r="S2231">
        <v>34.9</v>
      </c>
      <c r="T2231">
        <v>32.4</v>
      </c>
      <c r="U2231">
        <v>65.900000000000006</v>
      </c>
      <c r="V2231">
        <v>-1.8</v>
      </c>
      <c r="W2231" cm="1">
        <f t="array" ref="W2231">_xlfn.IFS(OR(X2231="N/A",X2231="NA"),0,OR(X2231="R64",X2231="R68"),1,X2231="R32",2,X2231="S16",3,X2231="E8",4,X2231="F4",5,X2231="2ND",6,X2231="Champions",7)</f>
        <v>1</v>
      </c>
      <c r="X2231" t="s">
        <v>422</v>
      </c>
      <c r="Y2231">
        <v>14</v>
      </c>
      <c r="Z2231">
        <v>2019</v>
      </c>
    </row>
    <row r="2232" spans="1:26" x14ac:dyDescent="0.3">
      <c r="A2232" t="s">
        <v>229</v>
      </c>
      <c r="B2232" t="s">
        <v>43</v>
      </c>
      <c r="C2232">
        <v>31</v>
      </c>
      <c r="D2232">
        <v>25</v>
      </c>
      <c r="E2232" s="1">
        <f t="shared" si="34"/>
        <v>0.80645161290322576</v>
      </c>
      <c r="F2232">
        <v>105</v>
      </c>
      <c r="G2232">
        <v>94.5</v>
      </c>
      <c r="H2232">
        <v>0.77059999999999995</v>
      </c>
      <c r="I2232">
        <v>51.3</v>
      </c>
      <c r="J2232">
        <v>45.2</v>
      </c>
      <c r="K2232">
        <v>19</v>
      </c>
      <c r="L2232">
        <v>18.600000000000001</v>
      </c>
      <c r="M2232">
        <v>34.700000000000003</v>
      </c>
      <c r="N2232">
        <v>27.4</v>
      </c>
      <c r="O2232">
        <v>36.6</v>
      </c>
      <c r="P2232">
        <v>33.4</v>
      </c>
      <c r="Q2232">
        <v>48</v>
      </c>
      <c r="R2232">
        <v>42.3</v>
      </c>
      <c r="S2232">
        <v>38.4</v>
      </c>
      <c r="T2232">
        <v>33.4</v>
      </c>
      <c r="U2232">
        <v>63.1</v>
      </c>
      <c r="V2232">
        <v>0.1</v>
      </c>
      <c r="W2232" cm="1">
        <f t="array" ref="W2232">_xlfn.IFS(OR(X2232="N/A",X2232="NA"),0,OR(X2232="R64",X2232="R68"),1,X2232="R32",2,X2232="S16",3,X2232="E8",4,X2232="F4",5,X2232="2ND",6,X2232="Champions",7)</f>
        <v>1</v>
      </c>
      <c r="X2232" t="s">
        <v>422</v>
      </c>
      <c r="Y2232">
        <v>13</v>
      </c>
      <c r="Z2232">
        <v>2015</v>
      </c>
    </row>
    <row r="2233" spans="1:26" x14ac:dyDescent="0.3">
      <c r="A2233" t="s">
        <v>223</v>
      </c>
      <c r="B2233" t="s">
        <v>43</v>
      </c>
      <c r="C2233">
        <v>34</v>
      </c>
      <c r="D2233">
        <v>21</v>
      </c>
      <c r="E2233" s="1">
        <f t="shared" si="34"/>
        <v>0.61764705882352944</v>
      </c>
      <c r="F2233">
        <v>106.9</v>
      </c>
      <c r="G2233">
        <v>104.2</v>
      </c>
      <c r="H2233">
        <v>0.57289999999999996</v>
      </c>
      <c r="I2233">
        <v>49.8</v>
      </c>
      <c r="J2233">
        <v>51.5</v>
      </c>
      <c r="K2233">
        <v>15.8</v>
      </c>
      <c r="L2233">
        <v>21.1</v>
      </c>
      <c r="M2233">
        <v>30.9</v>
      </c>
      <c r="N2233">
        <v>32</v>
      </c>
      <c r="O2233">
        <v>42.2</v>
      </c>
      <c r="P2233">
        <v>35.799999999999997</v>
      </c>
      <c r="Q2233">
        <v>48.5</v>
      </c>
      <c r="R2233">
        <v>50</v>
      </c>
      <c r="S2233">
        <v>35</v>
      </c>
      <c r="T2233">
        <v>36.299999999999997</v>
      </c>
      <c r="U2233">
        <v>77.3</v>
      </c>
      <c r="V2233">
        <v>-4.5</v>
      </c>
      <c r="W2233" cm="1">
        <f t="array" ref="W2233">_xlfn.IFS(OR(X2233="N/A",X2233="NA"),0,OR(X2233="R64",X2233="R68"),1,X2233="R32",2,X2233="S16",3,X2233="E8",4,X2233="F4",5,X2233="2ND",6,X2233="Champions",7)</f>
        <v>1</v>
      </c>
      <c r="X2233" t="s">
        <v>422</v>
      </c>
      <c r="Y2233">
        <v>14</v>
      </c>
      <c r="Z2233">
        <v>2016</v>
      </c>
    </row>
    <row r="2234" spans="1:26" x14ac:dyDescent="0.3">
      <c r="A2234" t="s">
        <v>135</v>
      </c>
      <c r="B2234" t="s">
        <v>43</v>
      </c>
      <c r="C2234">
        <v>33</v>
      </c>
      <c r="D2234">
        <v>24</v>
      </c>
      <c r="E2234" s="1">
        <f t="shared" si="34"/>
        <v>0.72727272727272729</v>
      </c>
      <c r="F2234">
        <v>105.5</v>
      </c>
      <c r="G2234">
        <v>104.1</v>
      </c>
      <c r="H2234">
        <v>0.53700000000000003</v>
      </c>
      <c r="I2234">
        <v>52.4</v>
      </c>
      <c r="J2234">
        <v>49.7</v>
      </c>
      <c r="K2234">
        <v>18.8</v>
      </c>
      <c r="L2234">
        <v>17</v>
      </c>
      <c r="M2234">
        <v>31.2</v>
      </c>
      <c r="N2234">
        <v>26.4</v>
      </c>
      <c r="O2234">
        <v>36.5</v>
      </c>
      <c r="P2234">
        <v>30.5</v>
      </c>
      <c r="Q2234">
        <v>51.6</v>
      </c>
      <c r="R2234">
        <v>50.2</v>
      </c>
      <c r="S2234">
        <v>35.700000000000003</v>
      </c>
      <c r="T2234">
        <v>32.4</v>
      </c>
      <c r="U2234">
        <v>69.3</v>
      </c>
      <c r="V2234">
        <v>-4.9000000000000004</v>
      </c>
      <c r="W2234" cm="1">
        <f t="array" ref="W2234">_xlfn.IFS(OR(X2234="N/A",X2234="NA"),0,OR(X2234="R64",X2234="R68"),1,X2234="R32",2,X2234="S16",3,X2234="E8",4,X2234="F4",5,X2234="2ND",6,X2234="Champions",7)</f>
        <v>1</v>
      </c>
      <c r="X2234" t="s">
        <v>422</v>
      </c>
      <c r="Y2234">
        <v>15</v>
      </c>
      <c r="Z2234">
        <v>2017</v>
      </c>
    </row>
    <row r="2235" spans="1:26" x14ac:dyDescent="0.3">
      <c r="A2235" t="s">
        <v>227</v>
      </c>
      <c r="B2235" t="s">
        <v>43</v>
      </c>
      <c r="C2235">
        <v>33</v>
      </c>
      <c r="D2235">
        <v>25</v>
      </c>
      <c r="E2235" s="1">
        <f t="shared" si="34"/>
        <v>0.75757575757575757</v>
      </c>
      <c r="F2235">
        <v>99.4</v>
      </c>
      <c r="G2235">
        <v>97.2</v>
      </c>
      <c r="H2235">
        <v>0.56379999999999997</v>
      </c>
      <c r="I2235">
        <v>48.6</v>
      </c>
      <c r="J2235">
        <v>48.3</v>
      </c>
      <c r="K2235">
        <v>18.600000000000001</v>
      </c>
      <c r="L2235">
        <v>21</v>
      </c>
      <c r="M2235">
        <v>28.7</v>
      </c>
      <c r="N2235">
        <v>25.3</v>
      </c>
      <c r="O2235">
        <v>35.299999999999997</v>
      </c>
      <c r="P2235">
        <v>29.9</v>
      </c>
      <c r="Q2235">
        <v>47.7</v>
      </c>
      <c r="R2235">
        <v>45.8</v>
      </c>
      <c r="S2235">
        <v>33.5</v>
      </c>
      <c r="T2235">
        <v>34.700000000000003</v>
      </c>
      <c r="U2235">
        <v>69.3</v>
      </c>
      <c r="V2235">
        <v>-3.5</v>
      </c>
      <c r="W2235" cm="1">
        <f t="array" ref="W2235">_xlfn.IFS(OR(X2235="N/A",X2235="NA"),0,OR(X2235="R64",X2235="R68"),1,X2235="R32",2,X2235="S16",3,X2235="E8",4,X2235="F4",5,X2235="2ND",6,X2235="Champions",7)</f>
        <v>1</v>
      </c>
      <c r="X2235" t="s">
        <v>422</v>
      </c>
      <c r="Y2235">
        <v>14</v>
      </c>
      <c r="Z2235">
        <v>2018</v>
      </c>
    </row>
    <row r="2236" spans="1:26" x14ac:dyDescent="0.3">
      <c r="A2236" t="s">
        <v>135</v>
      </c>
      <c r="B2236" t="s">
        <v>43</v>
      </c>
      <c r="C2236">
        <v>33</v>
      </c>
      <c r="D2236">
        <v>26</v>
      </c>
      <c r="E2236" s="1">
        <f t="shared" si="34"/>
        <v>0.78787878787878785</v>
      </c>
      <c r="F2236">
        <v>107.8</v>
      </c>
      <c r="G2236">
        <v>101.3</v>
      </c>
      <c r="H2236">
        <v>0.67190000000000005</v>
      </c>
      <c r="I2236">
        <v>54.6</v>
      </c>
      <c r="J2236">
        <v>49.1</v>
      </c>
      <c r="K2236">
        <v>17.8</v>
      </c>
      <c r="L2236">
        <v>18.399999999999999</v>
      </c>
      <c r="M2236">
        <v>30.6</v>
      </c>
      <c r="N2236">
        <v>26</v>
      </c>
      <c r="O2236">
        <v>34.799999999999997</v>
      </c>
      <c r="P2236">
        <v>35.200000000000003</v>
      </c>
      <c r="Q2236">
        <v>55</v>
      </c>
      <c r="R2236">
        <v>49.9</v>
      </c>
      <c r="S2236">
        <v>36</v>
      </c>
      <c r="T2236">
        <v>32</v>
      </c>
      <c r="U2236">
        <v>69.3</v>
      </c>
      <c r="V2236">
        <v>-2.2000000000000002</v>
      </c>
      <c r="W2236" cm="1">
        <f t="array" ref="W2236">_xlfn.IFS(OR(X2236="N/A",X2236="NA"),0,OR(X2236="R64",X2236="R68"),1,X2236="R32",2,X2236="S16",3,X2236="E8",4,X2236="F4",5,X2236="2ND",6,X2236="Champions",7)</f>
        <v>1</v>
      </c>
      <c r="X2236" t="s">
        <v>422</v>
      </c>
      <c r="Y2236">
        <v>14</v>
      </c>
      <c r="Z2236">
        <v>2019</v>
      </c>
    </row>
    <row r="2237" spans="1:26" x14ac:dyDescent="0.3">
      <c r="A2237" t="s">
        <v>239</v>
      </c>
      <c r="B2237" t="s">
        <v>59</v>
      </c>
      <c r="C2237">
        <v>28</v>
      </c>
      <c r="D2237">
        <v>20</v>
      </c>
      <c r="E2237" s="1">
        <f t="shared" si="34"/>
        <v>0.7142857142857143</v>
      </c>
      <c r="F2237">
        <v>102.4</v>
      </c>
      <c r="G2237">
        <v>94.9</v>
      </c>
      <c r="H2237">
        <v>0.70569999999999999</v>
      </c>
      <c r="I2237">
        <v>47.1</v>
      </c>
      <c r="J2237">
        <v>46.6</v>
      </c>
      <c r="K2237">
        <v>18.399999999999999</v>
      </c>
      <c r="L2237">
        <v>20.100000000000001</v>
      </c>
      <c r="M2237">
        <v>32.4</v>
      </c>
      <c r="N2237">
        <v>28.4</v>
      </c>
      <c r="O2237">
        <v>38.9</v>
      </c>
      <c r="P2237">
        <v>32.9</v>
      </c>
      <c r="Q2237">
        <v>45.5</v>
      </c>
      <c r="R2237">
        <v>44.5</v>
      </c>
      <c r="S2237">
        <v>34.299999999999997</v>
      </c>
      <c r="T2237">
        <v>34</v>
      </c>
      <c r="U2237">
        <v>61.6</v>
      </c>
      <c r="V2237">
        <v>-1.3</v>
      </c>
      <c r="W2237" cm="1">
        <f t="array" ref="W2237">_xlfn.IFS(OR(X2237="N/A",X2237="NA"),0,OR(X2237="R64",X2237="R68"),1,X2237="R32",2,X2237="S16",3,X2237="E8",4,X2237="F4",5,X2237="2ND",6,X2237="Champions",7)</f>
        <v>1</v>
      </c>
      <c r="X2237" t="s">
        <v>422</v>
      </c>
      <c r="Y2237">
        <v>13</v>
      </c>
      <c r="Z2237">
        <v>2015</v>
      </c>
    </row>
    <row r="2238" spans="1:26" x14ac:dyDescent="0.3">
      <c r="A2238" t="s">
        <v>237</v>
      </c>
      <c r="B2238" t="s">
        <v>59</v>
      </c>
      <c r="C2238">
        <v>29</v>
      </c>
      <c r="D2238">
        <v>23</v>
      </c>
      <c r="E2238" s="1">
        <f t="shared" si="34"/>
        <v>0.7931034482758621</v>
      </c>
      <c r="F2238">
        <v>107.6</v>
      </c>
      <c r="G2238">
        <v>95.4</v>
      </c>
      <c r="H2238">
        <v>0.79890000000000005</v>
      </c>
      <c r="I2238">
        <v>53.2</v>
      </c>
      <c r="J2238">
        <v>48.7</v>
      </c>
      <c r="K2238">
        <v>15.2</v>
      </c>
      <c r="L2238">
        <v>20.2</v>
      </c>
      <c r="M2238">
        <v>24.1</v>
      </c>
      <c r="N2238">
        <v>24.7</v>
      </c>
      <c r="O2238">
        <v>24.4</v>
      </c>
      <c r="P2238">
        <v>32</v>
      </c>
      <c r="Q2238">
        <v>50.5</v>
      </c>
      <c r="R2238">
        <v>46.9</v>
      </c>
      <c r="S2238">
        <v>37.6</v>
      </c>
      <c r="T2238">
        <v>34.5</v>
      </c>
      <c r="U2238">
        <v>64.2</v>
      </c>
      <c r="V2238">
        <v>-0.4</v>
      </c>
      <c r="W2238" cm="1">
        <f t="array" ref="W2238">_xlfn.IFS(OR(X2238="N/A",X2238="NA"),0,OR(X2238="R64",X2238="R68"),1,X2238="R32",2,X2238="S16",3,X2238="E8",4,X2238="F4",5,X2238="2ND",6,X2238="Champions",7)</f>
        <v>1</v>
      </c>
      <c r="X2238" t="s">
        <v>422</v>
      </c>
      <c r="Y2238">
        <v>12</v>
      </c>
      <c r="Z2238">
        <v>2017</v>
      </c>
    </row>
    <row r="2239" spans="1:26" x14ac:dyDescent="0.3">
      <c r="A2239" t="s">
        <v>236</v>
      </c>
      <c r="B2239" t="s">
        <v>59</v>
      </c>
      <c r="C2239">
        <v>32</v>
      </c>
      <c r="D2239">
        <v>24</v>
      </c>
      <c r="E2239" s="1">
        <f t="shared" si="34"/>
        <v>0.75</v>
      </c>
      <c r="F2239">
        <v>103.6</v>
      </c>
      <c r="G2239">
        <v>97.6</v>
      </c>
      <c r="H2239">
        <v>0.66439999999999999</v>
      </c>
      <c r="I2239">
        <v>52.9</v>
      </c>
      <c r="J2239">
        <v>47</v>
      </c>
      <c r="K2239">
        <v>16.600000000000001</v>
      </c>
      <c r="L2239">
        <v>17</v>
      </c>
      <c r="M2239">
        <v>23.8</v>
      </c>
      <c r="N2239">
        <v>22.6</v>
      </c>
      <c r="O2239">
        <v>33.4</v>
      </c>
      <c r="P2239">
        <v>31.8</v>
      </c>
      <c r="Q2239">
        <v>53.3</v>
      </c>
      <c r="R2239">
        <v>48</v>
      </c>
      <c r="S2239">
        <v>34.799999999999997</v>
      </c>
      <c r="T2239">
        <v>30</v>
      </c>
      <c r="U2239">
        <v>70.099999999999994</v>
      </c>
      <c r="V2239">
        <v>-3.3</v>
      </c>
      <c r="W2239" cm="1">
        <f t="array" ref="W2239">_xlfn.IFS(OR(X2239="N/A",X2239="NA"),0,OR(X2239="R64",X2239="R68"),1,X2239="R32",2,X2239="S16",3,X2239="E8",4,X2239="F4",5,X2239="2ND",6,X2239="Champions",7)</f>
        <v>1</v>
      </c>
      <c r="X2239" t="s">
        <v>422</v>
      </c>
      <c r="Y2239">
        <v>16</v>
      </c>
      <c r="Z2239">
        <v>2018</v>
      </c>
    </row>
    <row r="2240" spans="1:26" x14ac:dyDescent="0.3">
      <c r="A2240" t="s">
        <v>238</v>
      </c>
      <c r="B2240" t="s">
        <v>59</v>
      </c>
      <c r="C2240">
        <v>29</v>
      </c>
      <c r="D2240">
        <v>22</v>
      </c>
      <c r="E2240" s="1">
        <f t="shared" si="34"/>
        <v>0.75862068965517238</v>
      </c>
      <c r="F2240">
        <v>110.5</v>
      </c>
      <c r="G2240">
        <v>102.5</v>
      </c>
      <c r="H2240">
        <v>0.70340000000000003</v>
      </c>
      <c r="I2240">
        <v>55.6</v>
      </c>
      <c r="J2240">
        <v>47.3</v>
      </c>
      <c r="K2240">
        <v>17.8</v>
      </c>
      <c r="L2240">
        <v>15.2</v>
      </c>
      <c r="M2240">
        <v>26.3</v>
      </c>
      <c r="N2240">
        <v>24.6</v>
      </c>
      <c r="O2240">
        <v>30.1</v>
      </c>
      <c r="P2240">
        <v>31.1</v>
      </c>
      <c r="Q2240">
        <v>56</v>
      </c>
      <c r="R2240">
        <v>47.8</v>
      </c>
      <c r="S2240">
        <v>36.5</v>
      </c>
      <c r="T2240">
        <v>31</v>
      </c>
      <c r="U2240">
        <v>72.2</v>
      </c>
      <c r="V2240">
        <v>-0.9</v>
      </c>
      <c r="W2240" cm="1">
        <f t="array" ref="W2240">_xlfn.IFS(OR(X2240="N/A",X2240="NA"),0,OR(X2240="R64",X2240="R68"),1,X2240="R32",2,X2240="S16",3,X2240="E8",4,X2240="F4",5,X2240="2ND",6,X2240="Champions",7)</f>
        <v>1</v>
      </c>
      <c r="X2240" t="s">
        <v>422</v>
      </c>
      <c r="Y2240">
        <v>14</v>
      </c>
      <c r="Z2240">
        <v>2019</v>
      </c>
    </row>
    <row r="2241" spans="1:26" x14ac:dyDescent="0.3">
      <c r="A2241" t="s">
        <v>242</v>
      </c>
      <c r="B2241" t="s">
        <v>69</v>
      </c>
      <c r="C2241">
        <v>33</v>
      </c>
      <c r="D2241">
        <v>22</v>
      </c>
      <c r="E2241" s="1">
        <f t="shared" si="34"/>
        <v>0.66666666666666663</v>
      </c>
      <c r="F2241">
        <v>109.1</v>
      </c>
      <c r="G2241">
        <v>102.1</v>
      </c>
      <c r="H2241">
        <v>0.68220000000000003</v>
      </c>
      <c r="I2241">
        <v>53.8</v>
      </c>
      <c r="J2241">
        <v>48.8</v>
      </c>
      <c r="K2241">
        <v>17.600000000000001</v>
      </c>
      <c r="L2241">
        <v>19.2</v>
      </c>
      <c r="M2241">
        <v>29.2</v>
      </c>
      <c r="N2241">
        <v>31</v>
      </c>
      <c r="O2241">
        <v>32.4</v>
      </c>
      <c r="P2241">
        <v>36.299999999999997</v>
      </c>
      <c r="Q2241">
        <v>52.5</v>
      </c>
      <c r="R2241">
        <v>46</v>
      </c>
      <c r="S2241">
        <v>37</v>
      </c>
      <c r="T2241">
        <v>35.799999999999997</v>
      </c>
      <c r="U2241">
        <v>72.599999999999994</v>
      </c>
      <c r="V2241">
        <v>-3.6</v>
      </c>
      <c r="W2241" cm="1">
        <f t="array" ref="W2241">_xlfn.IFS(OR(X2241="N/A",X2241="NA"),0,OR(X2241="R64",X2241="R68"),1,X2241="R32",2,X2241="S16",3,X2241="E8",4,X2241="F4",5,X2241="2ND",6,X2241="Champions",7)</f>
        <v>1</v>
      </c>
      <c r="X2241" t="s">
        <v>422</v>
      </c>
      <c r="Y2241">
        <v>13</v>
      </c>
      <c r="Z2241">
        <v>2016</v>
      </c>
    </row>
    <row r="2242" spans="1:26" x14ac:dyDescent="0.3">
      <c r="A2242" t="s">
        <v>242</v>
      </c>
      <c r="B2242" t="s">
        <v>69</v>
      </c>
      <c r="C2242">
        <v>35</v>
      </c>
      <c r="D2242">
        <v>22</v>
      </c>
      <c r="E2242" s="1">
        <f t="shared" si="34"/>
        <v>0.62857142857142856</v>
      </c>
      <c r="F2242">
        <v>109.3</v>
      </c>
      <c r="G2242">
        <v>106</v>
      </c>
      <c r="H2242">
        <v>0.58789999999999998</v>
      </c>
      <c r="I2242">
        <v>53.4</v>
      </c>
      <c r="J2242">
        <v>50</v>
      </c>
      <c r="K2242">
        <v>16.5</v>
      </c>
      <c r="L2242">
        <v>18</v>
      </c>
      <c r="M2242">
        <v>27</v>
      </c>
      <c r="N2242">
        <v>32.1</v>
      </c>
      <c r="O2242">
        <v>31</v>
      </c>
      <c r="P2242">
        <v>33.4</v>
      </c>
      <c r="Q2242">
        <v>49.3</v>
      </c>
      <c r="R2242">
        <v>47.7</v>
      </c>
      <c r="S2242">
        <v>39.700000000000003</v>
      </c>
      <c r="T2242">
        <v>36.1</v>
      </c>
      <c r="U2242">
        <v>71.7</v>
      </c>
      <c r="V2242">
        <v>-5.8</v>
      </c>
      <c r="W2242" cm="1">
        <f t="array" ref="W2242">_xlfn.IFS(OR(X2242="N/A",X2242="NA"),0,OR(X2242="R64",X2242="R68"),1,X2242="R32",2,X2242="S16",3,X2242="E8",4,X2242="F4",5,X2242="2ND",6,X2242="Champions",7)</f>
        <v>1</v>
      </c>
      <c r="X2242" t="s">
        <v>422</v>
      </c>
      <c r="Y2242">
        <v>14</v>
      </c>
      <c r="Z2242">
        <v>2017</v>
      </c>
    </row>
    <row r="2243" spans="1:26" x14ac:dyDescent="0.3">
      <c r="A2243" t="s">
        <v>242</v>
      </c>
      <c r="B2243" t="s">
        <v>69</v>
      </c>
      <c r="C2243">
        <v>34</v>
      </c>
      <c r="D2243">
        <v>20</v>
      </c>
      <c r="E2243" s="1">
        <f t="shared" ref="E2243:E2306" si="35">D2243/C2243</f>
        <v>0.58823529411764708</v>
      </c>
      <c r="F2243">
        <v>108.8</v>
      </c>
      <c r="G2243">
        <v>107.6</v>
      </c>
      <c r="H2243">
        <v>0.5333</v>
      </c>
      <c r="I2243">
        <v>53.9</v>
      </c>
      <c r="J2243">
        <v>52.5</v>
      </c>
      <c r="K2243">
        <v>16</v>
      </c>
      <c r="L2243">
        <v>18.8</v>
      </c>
      <c r="M2243">
        <v>24.5</v>
      </c>
      <c r="N2243">
        <v>30.8</v>
      </c>
      <c r="O2243">
        <v>30.2</v>
      </c>
      <c r="P2243">
        <v>28.6</v>
      </c>
      <c r="Q2243">
        <v>51.5</v>
      </c>
      <c r="R2243">
        <v>51.7</v>
      </c>
      <c r="S2243">
        <v>38.299999999999997</v>
      </c>
      <c r="T2243">
        <v>35.799999999999997</v>
      </c>
      <c r="U2243">
        <v>71.5</v>
      </c>
      <c r="V2243">
        <v>-7.3</v>
      </c>
      <c r="W2243" cm="1">
        <f t="array" ref="W2243">_xlfn.IFS(OR(X2243="N/A",X2243="NA"),0,OR(X2243="R64",X2243="R68"),1,X2243="R32",2,X2243="S16",3,X2243="E8",4,X2243="F4",5,X2243="2ND",6,X2243="Champions",7)</f>
        <v>1</v>
      </c>
      <c r="X2243" t="s">
        <v>422</v>
      </c>
      <c r="Y2243">
        <v>15</v>
      </c>
      <c r="Z2243">
        <v>2018</v>
      </c>
    </row>
    <row r="2244" spans="1:26" x14ac:dyDescent="0.3">
      <c r="A2244" t="s">
        <v>242</v>
      </c>
      <c r="B2244" t="s">
        <v>69</v>
      </c>
      <c r="C2244">
        <v>33</v>
      </c>
      <c r="D2244">
        <v>17</v>
      </c>
      <c r="E2244" s="1">
        <f t="shared" si="35"/>
        <v>0.51515151515151514</v>
      </c>
      <c r="F2244">
        <v>105.2</v>
      </c>
      <c r="G2244">
        <v>108.8</v>
      </c>
      <c r="H2244">
        <v>0.40439999999999998</v>
      </c>
      <c r="I2244">
        <v>53</v>
      </c>
      <c r="J2244">
        <v>52.3</v>
      </c>
      <c r="K2244">
        <v>17.3</v>
      </c>
      <c r="L2244">
        <v>18.5</v>
      </c>
      <c r="M2244">
        <v>25.1</v>
      </c>
      <c r="N2244">
        <v>30.7</v>
      </c>
      <c r="O2244">
        <v>36.799999999999997</v>
      </c>
      <c r="P2244">
        <v>28.5</v>
      </c>
      <c r="Q2244">
        <v>53.2</v>
      </c>
      <c r="R2244">
        <v>50.3</v>
      </c>
      <c r="S2244">
        <v>35.1</v>
      </c>
      <c r="T2244">
        <v>36.6</v>
      </c>
      <c r="U2244">
        <v>71.900000000000006</v>
      </c>
      <c r="V2244">
        <v>-10.4</v>
      </c>
      <c r="W2244" cm="1">
        <f t="array" ref="W2244">_xlfn.IFS(OR(X2244="N/A",X2244="NA"),0,OR(X2244="R64",X2244="R68"),1,X2244="R32",2,X2244="S16",3,X2244="E8",4,X2244="F4",5,X2244="2ND",6,X2244="Champions",7)</f>
        <v>1</v>
      </c>
      <c r="X2244" t="s">
        <v>422</v>
      </c>
      <c r="Y2244">
        <v>16</v>
      </c>
      <c r="Z2244">
        <v>2019</v>
      </c>
    </row>
    <row r="2245" spans="1:26" x14ac:dyDescent="0.3">
      <c r="A2245" t="s">
        <v>262</v>
      </c>
      <c r="B2245" t="s">
        <v>57</v>
      </c>
      <c r="C2245">
        <v>33</v>
      </c>
      <c r="D2245">
        <v>23</v>
      </c>
      <c r="E2245" s="1">
        <f t="shared" si="35"/>
        <v>0.69696969696969702</v>
      </c>
      <c r="F2245">
        <v>109.1</v>
      </c>
      <c r="G2245">
        <v>98</v>
      </c>
      <c r="H2245">
        <v>0.7742</v>
      </c>
      <c r="I2245">
        <v>48.7</v>
      </c>
      <c r="J2245">
        <v>48.5</v>
      </c>
      <c r="K2245">
        <v>16.7</v>
      </c>
      <c r="L2245">
        <v>19.7</v>
      </c>
      <c r="M2245">
        <v>34.5</v>
      </c>
      <c r="N2245">
        <v>30.4</v>
      </c>
      <c r="O2245">
        <v>42.6</v>
      </c>
      <c r="P2245">
        <v>34.299999999999997</v>
      </c>
      <c r="Q2245">
        <v>47.6</v>
      </c>
      <c r="R2245">
        <v>48</v>
      </c>
      <c r="S2245">
        <v>34.1</v>
      </c>
      <c r="T2245">
        <v>33</v>
      </c>
      <c r="U2245">
        <v>68.900000000000006</v>
      </c>
      <c r="V2245">
        <v>-1.3</v>
      </c>
      <c r="W2245" cm="1">
        <f t="array" ref="W2245">_xlfn.IFS(OR(X2245="N/A",X2245="NA"),0,OR(X2245="R64",X2245="R68"),1,X2245="R32",2,X2245="S16",3,X2245="E8",4,X2245="F4",5,X2245="2ND",6,X2245="Champions",7)</f>
        <v>1</v>
      </c>
      <c r="X2245" t="s">
        <v>422</v>
      </c>
      <c r="Y2245">
        <v>12</v>
      </c>
      <c r="Z2245">
        <v>2015</v>
      </c>
    </row>
    <row r="2246" spans="1:26" x14ac:dyDescent="0.3">
      <c r="A2246" t="s">
        <v>262</v>
      </c>
      <c r="B2246" t="s">
        <v>57</v>
      </c>
      <c r="C2246">
        <v>34</v>
      </c>
      <c r="D2246">
        <v>19</v>
      </c>
      <c r="E2246" s="1">
        <f t="shared" si="35"/>
        <v>0.55882352941176472</v>
      </c>
      <c r="F2246">
        <v>105.1</v>
      </c>
      <c r="G2246">
        <v>102.4</v>
      </c>
      <c r="H2246">
        <v>0.5746</v>
      </c>
      <c r="I2246">
        <v>49.6</v>
      </c>
      <c r="J2246">
        <v>49.8</v>
      </c>
      <c r="K2246">
        <v>18.8</v>
      </c>
      <c r="L2246">
        <v>17.7</v>
      </c>
      <c r="M2246">
        <v>31.8</v>
      </c>
      <c r="N2246">
        <v>28.7</v>
      </c>
      <c r="O2246">
        <v>41.6</v>
      </c>
      <c r="P2246">
        <v>37.799999999999997</v>
      </c>
      <c r="Q2246">
        <v>49</v>
      </c>
      <c r="R2246">
        <v>48.8</v>
      </c>
      <c r="S2246">
        <v>33.700000000000003</v>
      </c>
      <c r="T2246">
        <v>34.299999999999997</v>
      </c>
      <c r="U2246">
        <v>72.900000000000006</v>
      </c>
      <c r="V2246">
        <v>-5.8</v>
      </c>
      <c r="W2246" cm="1">
        <f t="array" ref="W2246">_xlfn.IFS(OR(X2246="N/A",X2246="NA"),0,OR(X2246="R64",X2246="R68"),1,X2246="R32",2,X2246="S16",3,X2246="E8",4,X2246="F4",5,X2246="2ND",6,X2246="Champions",7)</f>
        <v>1</v>
      </c>
      <c r="X2246" t="s">
        <v>422</v>
      </c>
      <c r="Y2246">
        <v>14</v>
      </c>
      <c r="Z2246">
        <v>2016</v>
      </c>
    </row>
    <row r="2247" spans="1:26" x14ac:dyDescent="0.3">
      <c r="A2247" t="s">
        <v>256</v>
      </c>
      <c r="B2247" t="s">
        <v>57</v>
      </c>
      <c r="C2247">
        <v>35</v>
      </c>
      <c r="D2247">
        <v>22</v>
      </c>
      <c r="E2247" s="1">
        <f t="shared" si="35"/>
        <v>0.62857142857142856</v>
      </c>
      <c r="F2247">
        <v>104.1</v>
      </c>
      <c r="G2247">
        <v>102.9</v>
      </c>
      <c r="H2247">
        <v>0.53220000000000001</v>
      </c>
      <c r="I2247">
        <v>48.2</v>
      </c>
      <c r="J2247">
        <v>50.1</v>
      </c>
      <c r="K2247">
        <v>17.899999999999999</v>
      </c>
      <c r="L2247">
        <v>19</v>
      </c>
      <c r="M2247">
        <v>38.1</v>
      </c>
      <c r="N2247">
        <v>29.8</v>
      </c>
      <c r="O2247">
        <v>32.5</v>
      </c>
      <c r="P2247">
        <v>34.299999999999997</v>
      </c>
      <c r="Q2247">
        <v>48.5</v>
      </c>
      <c r="R2247">
        <v>48.5</v>
      </c>
      <c r="S2247">
        <v>31.7</v>
      </c>
      <c r="T2247">
        <v>35.299999999999997</v>
      </c>
      <c r="U2247">
        <v>69.5</v>
      </c>
      <c r="V2247">
        <v>-7.2</v>
      </c>
      <c r="W2247" cm="1">
        <f t="array" ref="W2247">_xlfn.IFS(OR(X2247="N/A",X2247="NA"),0,OR(X2247="R64",X2247="R68"),1,X2247="R32",2,X2247="S16",3,X2247="E8",4,X2247="F4",5,X2247="2ND",6,X2247="Champions",7)</f>
        <v>1</v>
      </c>
      <c r="X2247" t="s">
        <v>422</v>
      </c>
      <c r="Y2247">
        <v>14</v>
      </c>
      <c r="Z2247">
        <v>2017</v>
      </c>
    </row>
    <row r="2248" spans="1:26" x14ac:dyDescent="0.3">
      <c r="A2248" t="s">
        <v>187</v>
      </c>
      <c r="B2248" t="s">
        <v>66</v>
      </c>
      <c r="C2248">
        <v>35</v>
      </c>
      <c r="D2248">
        <v>17</v>
      </c>
      <c r="E2248" s="1">
        <f t="shared" si="35"/>
        <v>0.48571428571428571</v>
      </c>
      <c r="F2248">
        <v>94.8</v>
      </c>
      <c r="G2248">
        <v>102.3</v>
      </c>
      <c r="H2248">
        <v>0.29389999999999999</v>
      </c>
      <c r="I2248">
        <v>45.6</v>
      </c>
      <c r="J2248">
        <v>46.4</v>
      </c>
      <c r="K2248">
        <v>20.2</v>
      </c>
      <c r="L2248">
        <v>20.100000000000001</v>
      </c>
      <c r="M2248">
        <v>31.8</v>
      </c>
      <c r="N2248">
        <v>30.9</v>
      </c>
      <c r="O2248">
        <v>43.8</v>
      </c>
      <c r="P2248">
        <v>45.5</v>
      </c>
      <c r="Q2248">
        <v>45.6</v>
      </c>
      <c r="R2248">
        <v>44.5</v>
      </c>
      <c r="S2248">
        <v>30.4</v>
      </c>
      <c r="T2248">
        <v>33.9</v>
      </c>
      <c r="U2248">
        <v>69.599999999999994</v>
      </c>
      <c r="V2248">
        <v>-12.6</v>
      </c>
      <c r="W2248" cm="1">
        <f t="array" ref="W2248">_xlfn.IFS(OR(X2248="N/A",X2248="NA"),0,OR(X2248="R64",X2248="R68"),1,X2248="R32",2,X2248="S16",3,X2248="E8",4,X2248="F4",5,X2248="2ND",6,X2248="Champions",7)</f>
        <v>1</v>
      </c>
      <c r="X2248" t="s">
        <v>422</v>
      </c>
      <c r="Y2248">
        <v>16</v>
      </c>
      <c r="Z2248">
        <v>2015</v>
      </c>
    </row>
    <row r="2249" spans="1:26" x14ac:dyDescent="0.3">
      <c r="A2249" t="s">
        <v>187</v>
      </c>
      <c r="B2249" t="s">
        <v>66</v>
      </c>
      <c r="C2249">
        <v>31</v>
      </c>
      <c r="D2249">
        <v>20</v>
      </c>
      <c r="E2249" s="1">
        <f t="shared" si="35"/>
        <v>0.64516129032258063</v>
      </c>
      <c r="F2249">
        <v>98.2</v>
      </c>
      <c r="G2249">
        <v>107.5</v>
      </c>
      <c r="H2249">
        <v>0.26150000000000001</v>
      </c>
      <c r="I2249">
        <v>46.7</v>
      </c>
      <c r="J2249">
        <v>48.6</v>
      </c>
      <c r="K2249">
        <v>18.7</v>
      </c>
      <c r="L2249">
        <v>16.7</v>
      </c>
      <c r="M2249">
        <v>34.5</v>
      </c>
      <c r="N2249">
        <v>27.2</v>
      </c>
      <c r="O2249">
        <v>41.3</v>
      </c>
      <c r="P2249">
        <v>35.700000000000003</v>
      </c>
      <c r="Q2249">
        <v>47.3</v>
      </c>
      <c r="R2249">
        <v>47.5</v>
      </c>
      <c r="S2249">
        <v>30.5</v>
      </c>
      <c r="T2249">
        <v>33.799999999999997</v>
      </c>
      <c r="U2249">
        <v>71.900000000000006</v>
      </c>
      <c r="V2249">
        <v>-6.3</v>
      </c>
      <c r="W2249" cm="1">
        <f t="array" ref="W2249">_xlfn.IFS(OR(X2249="N/A",X2249="NA"),0,OR(X2249="R64",X2249="R68"),1,X2249="R32",2,X2249="S16",3,X2249="E8",4,X2249="F4",5,X2249="2ND",6,X2249="Champions",7)</f>
        <v>1</v>
      </c>
      <c r="X2249" t="s">
        <v>422</v>
      </c>
      <c r="Y2249">
        <v>16</v>
      </c>
      <c r="Z2249">
        <v>2016</v>
      </c>
    </row>
    <row r="2250" spans="1:26" x14ac:dyDescent="0.3">
      <c r="A2250" t="s">
        <v>275</v>
      </c>
      <c r="B2250" t="s">
        <v>47</v>
      </c>
      <c r="C2250">
        <v>34</v>
      </c>
      <c r="D2250">
        <v>20</v>
      </c>
      <c r="E2250" s="1">
        <f t="shared" si="35"/>
        <v>0.58823529411764708</v>
      </c>
      <c r="F2250">
        <v>101.1</v>
      </c>
      <c r="G2250">
        <v>100.5</v>
      </c>
      <c r="H2250">
        <v>0.51700000000000002</v>
      </c>
      <c r="I2250">
        <v>49.7</v>
      </c>
      <c r="J2250">
        <v>47.6</v>
      </c>
      <c r="K2250">
        <v>18.8</v>
      </c>
      <c r="L2250">
        <v>18.399999999999999</v>
      </c>
      <c r="M2250">
        <v>26.7</v>
      </c>
      <c r="N2250">
        <v>26.7</v>
      </c>
      <c r="O2250">
        <v>36.299999999999997</v>
      </c>
      <c r="P2250">
        <v>35.6</v>
      </c>
      <c r="Q2250">
        <v>46.5</v>
      </c>
      <c r="R2250">
        <v>46.5</v>
      </c>
      <c r="S2250">
        <v>37</v>
      </c>
      <c r="T2250">
        <v>32.799999999999997</v>
      </c>
      <c r="U2250">
        <v>66.5</v>
      </c>
      <c r="V2250">
        <v>-7.9</v>
      </c>
      <c r="W2250" cm="1">
        <f t="array" ref="W2250">_xlfn.IFS(OR(X2250="N/A",X2250="NA"),0,OR(X2250="R64",X2250="R68"),1,X2250="R32",2,X2250="S16",3,X2250="E8",4,X2250="F4",5,X2250="2ND",6,X2250="Champions",7)</f>
        <v>1</v>
      </c>
      <c r="X2250" t="s">
        <v>422</v>
      </c>
      <c r="Y2250">
        <v>15</v>
      </c>
      <c r="Z2250">
        <v>2019</v>
      </c>
    </row>
    <row r="2251" spans="1:26" x14ac:dyDescent="0.3">
      <c r="A2251" t="s">
        <v>293</v>
      </c>
      <c r="B2251" t="s">
        <v>55</v>
      </c>
      <c r="C2251">
        <v>33</v>
      </c>
      <c r="D2251">
        <v>23</v>
      </c>
      <c r="E2251" s="1">
        <f t="shared" si="35"/>
        <v>0.69696969696969702</v>
      </c>
      <c r="F2251">
        <v>102.1</v>
      </c>
      <c r="G2251">
        <v>98.2</v>
      </c>
      <c r="H2251">
        <v>0.61209999999999998</v>
      </c>
      <c r="I2251">
        <v>52.2</v>
      </c>
      <c r="J2251">
        <v>47</v>
      </c>
      <c r="K2251">
        <v>18.8</v>
      </c>
      <c r="L2251">
        <v>17.899999999999999</v>
      </c>
      <c r="M2251">
        <v>22</v>
      </c>
      <c r="N2251">
        <v>27</v>
      </c>
      <c r="O2251">
        <v>40.4</v>
      </c>
      <c r="P2251">
        <v>27</v>
      </c>
      <c r="Q2251">
        <v>54.4</v>
      </c>
      <c r="R2251">
        <v>44</v>
      </c>
      <c r="S2251">
        <v>32.6</v>
      </c>
      <c r="T2251">
        <v>34.9</v>
      </c>
      <c r="U2251">
        <v>59.2</v>
      </c>
      <c r="V2251">
        <v>-1.6</v>
      </c>
      <c r="W2251" cm="1">
        <f t="array" ref="W2251">_xlfn.IFS(OR(X2251="N/A",X2251="NA"),0,OR(X2251="R64",X2251="R68"),1,X2251="R32",2,X2251="S16",3,X2251="E8",4,X2251="F4",5,X2251="2ND",6,X2251="Champions",7)</f>
        <v>1</v>
      </c>
      <c r="X2251" t="s">
        <v>422</v>
      </c>
      <c r="Y2251">
        <v>12</v>
      </c>
      <c r="Z2251">
        <v>2015</v>
      </c>
    </row>
    <row r="2252" spans="1:26" x14ac:dyDescent="0.3">
      <c r="A2252" t="s">
        <v>285</v>
      </c>
      <c r="B2252" t="s">
        <v>55</v>
      </c>
      <c r="C2252">
        <v>33</v>
      </c>
      <c r="D2252">
        <v>23</v>
      </c>
      <c r="E2252" s="1">
        <f t="shared" si="35"/>
        <v>0.69696969696969702</v>
      </c>
      <c r="F2252">
        <v>106.3</v>
      </c>
      <c r="G2252">
        <v>100.1</v>
      </c>
      <c r="H2252">
        <v>0.66459999999999997</v>
      </c>
      <c r="I2252">
        <v>48.4</v>
      </c>
      <c r="J2252">
        <v>48.8</v>
      </c>
      <c r="K2252">
        <v>15.1</v>
      </c>
      <c r="L2252">
        <v>21</v>
      </c>
      <c r="M2252">
        <v>30</v>
      </c>
      <c r="N2252">
        <v>29.7</v>
      </c>
      <c r="O2252">
        <v>37.700000000000003</v>
      </c>
      <c r="P2252">
        <v>46.4</v>
      </c>
      <c r="Q2252">
        <v>47</v>
      </c>
      <c r="R2252">
        <v>48.4</v>
      </c>
      <c r="S2252">
        <v>34.4</v>
      </c>
      <c r="T2252">
        <v>33</v>
      </c>
      <c r="U2252">
        <v>69.8</v>
      </c>
      <c r="V2252">
        <v>-0.9</v>
      </c>
      <c r="W2252" cm="1">
        <f t="array" ref="W2252">_xlfn.IFS(OR(X2252="N/A",X2252="NA"),0,OR(X2252="R64",X2252="R68"),1,X2252="R32",2,X2252="S16",3,X2252="E8",4,X2252="F4",5,X2252="2ND",6,X2252="Champions",7)</f>
        <v>1</v>
      </c>
      <c r="X2252" t="s">
        <v>422</v>
      </c>
      <c r="Y2252">
        <v>14</v>
      </c>
      <c r="Z2252">
        <v>2016</v>
      </c>
    </row>
    <row r="2253" spans="1:26" x14ac:dyDescent="0.3">
      <c r="A2253" t="s">
        <v>286</v>
      </c>
      <c r="B2253" t="s">
        <v>55</v>
      </c>
      <c r="C2253">
        <v>35</v>
      </c>
      <c r="D2253">
        <v>28</v>
      </c>
      <c r="E2253" s="1">
        <f t="shared" si="35"/>
        <v>0.8</v>
      </c>
      <c r="F2253">
        <v>113.7</v>
      </c>
      <c r="G2253">
        <v>100.7</v>
      </c>
      <c r="H2253">
        <v>0.80210000000000004</v>
      </c>
      <c r="I2253">
        <v>52.5</v>
      </c>
      <c r="J2253">
        <v>48.3</v>
      </c>
      <c r="K2253">
        <v>15.5</v>
      </c>
      <c r="L2253">
        <v>15.9</v>
      </c>
      <c r="M2253">
        <v>30.4</v>
      </c>
      <c r="N2253">
        <v>26.3</v>
      </c>
      <c r="O2253">
        <v>41.3</v>
      </c>
      <c r="P2253">
        <v>28.2</v>
      </c>
      <c r="Q2253">
        <v>49.2</v>
      </c>
      <c r="R2253">
        <v>49.3</v>
      </c>
      <c r="S2253">
        <v>38.200000000000003</v>
      </c>
      <c r="T2253">
        <v>31</v>
      </c>
      <c r="U2253">
        <v>71</v>
      </c>
      <c r="V2253">
        <v>1.7</v>
      </c>
      <c r="W2253" cm="1">
        <f t="array" ref="W2253">_xlfn.IFS(OR(X2253="N/A",X2253="NA"),0,OR(X2253="R64",X2253="R68"),1,X2253="R32",2,X2253="S16",3,X2253="E8",4,X2253="F4",5,X2253="2ND",6,X2253="Champions",7)</f>
        <v>1</v>
      </c>
      <c r="X2253" t="s">
        <v>422</v>
      </c>
      <c r="Y2253">
        <v>12</v>
      </c>
      <c r="Z2253">
        <v>2017</v>
      </c>
    </row>
    <row r="2254" spans="1:26" x14ac:dyDescent="0.3">
      <c r="A2254" t="s">
        <v>292</v>
      </c>
      <c r="B2254" t="s">
        <v>55</v>
      </c>
      <c r="C2254">
        <v>32</v>
      </c>
      <c r="D2254">
        <v>22</v>
      </c>
      <c r="E2254" s="1">
        <f t="shared" si="35"/>
        <v>0.6875</v>
      </c>
      <c r="F2254">
        <v>110.2</v>
      </c>
      <c r="G2254">
        <v>94.9</v>
      </c>
      <c r="H2254">
        <v>0.84860000000000002</v>
      </c>
      <c r="I2254">
        <v>51.7</v>
      </c>
      <c r="J2254">
        <v>48.6</v>
      </c>
      <c r="K2254">
        <v>17</v>
      </c>
      <c r="L2254">
        <v>19</v>
      </c>
      <c r="M2254">
        <v>31.6</v>
      </c>
      <c r="N2254">
        <v>25</v>
      </c>
      <c r="O2254">
        <v>35.1</v>
      </c>
      <c r="P2254">
        <v>29.6</v>
      </c>
      <c r="Q2254">
        <v>52</v>
      </c>
      <c r="R2254">
        <v>47.8</v>
      </c>
      <c r="S2254">
        <v>34.1</v>
      </c>
      <c r="T2254">
        <v>33.200000000000003</v>
      </c>
      <c r="U2254">
        <v>70</v>
      </c>
      <c r="V2254">
        <v>-1.5</v>
      </c>
      <c r="W2254" cm="1">
        <f t="array" ref="W2254">_xlfn.IFS(OR(X2254="N/A",X2254="NA"),0,OR(X2254="R64",X2254="R68"),1,X2254="R32",2,X2254="S16",3,X2254="E8",4,X2254="F4",5,X2254="2ND",6,X2254="Champions",7)</f>
        <v>1</v>
      </c>
      <c r="X2254" t="s">
        <v>422</v>
      </c>
      <c r="Y2254">
        <v>11</v>
      </c>
      <c r="Z2254">
        <v>2018</v>
      </c>
    </row>
    <row r="2255" spans="1:26" x14ac:dyDescent="0.3">
      <c r="A2255" t="s">
        <v>286</v>
      </c>
      <c r="B2255" t="s">
        <v>55</v>
      </c>
      <c r="C2255">
        <v>34</v>
      </c>
      <c r="D2255">
        <v>29</v>
      </c>
      <c r="E2255" s="1">
        <f t="shared" si="35"/>
        <v>0.8529411764705882</v>
      </c>
      <c r="F2255">
        <v>112.5</v>
      </c>
      <c r="G2255">
        <v>95.9</v>
      </c>
      <c r="H2255">
        <v>0.86180000000000001</v>
      </c>
      <c r="I2255">
        <v>53.7</v>
      </c>
      <c r="J2255">
        <v>47.7</v>
      </c>
      <c r="K2255">
        <v>14.6</v>
      </c>
      <c r="L2255">
        <v>19.2</v>
      </c>
      <c r="M2255">
        <v>27.2</v>
      </c>
      <c r="N2255">
        <v>24.9</v>
      </c>
      <c r="O2255">
        <v>40.799999999999997</v>
      </c>
      <c r="P2255">
        <v>28</v>
      </c>
      <c r="Q2255">
        <v>54.9</v>
      </c>
      <c r="R2255">
        <v>46.3</v>
      </c>
      <c r="S2255">
        <v>34.700000000000003</v>
      </c>
      <c r="T2255">
        <v>33.200000000000003</v>
      </c>
      <c r="U2255">
        <v>70.8</v>
      </c>
      <c r="V2255">
        <v>3.8</v>
      </c>
      <c r="W2255" cm="1">
        <f t="array" ref="W2255">_xlfn.IFS(OR(X2255="N/A",X2255="NA"),0,OR(X2255="R64",X2255="R68"),1,X2255="R32",2,X2255="S16",3,X2255="E8",4,X2255="F4",5,X2255="2ND",6,X2255="Champions",7)</f>
        <v>1</v>
      </c>
      <c r="X2255" t="s">
        <v>422</v>
      </c>
      <c r="Y2255">
        <v>7</v>
      </c>
      <c r="Z2255">
        <v>2019</v>
      </c>
    </row>
    <row r="2256" spans="1:26" x14ac:dyDescent="0.3">
      <c r="A2256" t="s">
        <v>290</v>
      </c>
      <c r="B2256" t="s">
        <v>55</v>
      </c>
      <c r="C2256">
        <v>34</v>
      </c>
      <c r="D2256">
        <v>28</v>
      </c>
      <c r="E2256" s="1">
        <f t="shared" si="35"/>
        <v>0.82352941176470584</v>
      </c>
      <c r="F2256">
        <v>111.3</v>
      </c>
      <c r="G2256">
        <v>96.8</v>
      </c>
      <c r="H2256">
        <v>0.83289999999999997</v>
      </c>
      <c r="I2256">
        <v>53.9</v>
      </c>
      <c r="J2256">
        <v>46.5</v>
      </c>
      <c r="K2256">
        <v>18.2</v>
      </c>
      <c r="L2256">
        <v>17.3</v>
      </c>
      <c r="M2256">
        <v>32</v>
      </c>
      <c r="N2256">
        <v>22.3</v>
      </c>
      <c r="O2256">
        <v>36.700000000000003</v>
      </c>
      <c r="P2256">
        <v>34.299999999999997</v>
      </c>
      <c r="Q2256">
        <v>54.2</v>
      </c>
      <c r="R2256">
        <v>42.2</v>
      </c>
      <c r="S2256">
        <v>35.700000000000003</v>
      </c>
      <c r="T2256">
        <v>35.299999999999997</v>
      </c>
      <c r="U2256">
        <v>69.599999999999994</v>
      </c>
      <c r="V2256">
        <v>2</v>
      </c>
      <c r="W2256" cm="1">
        <f t="array" ref="W2256">_xlfn.IFS(OR(X2256="N/A",X2256="NA"),0,OR(X2256="R64",X2256="R68"),1,X2256="R32",2,X2256="S16",3,X2256="E8",4,X2256="F4",5,X2256="2ND",6,X2256="Champions",7)</f>
        <v>1</v>
      </c>
      <c r="X2256" t="s">
        <v>422</v>
      </c>
      <c r="Y2256">
        <v>8</v>
      </c>
      <c r="Z2256">
        <v>2019</v>
      </c>
    </row>
    <row r="2257" spans="1:26" x14ac:dyDescent="0.3">
      <c r="A2257" t="s">
        <v>303</v>
      </c>
      <c r="B2257" t="s">
        <v>77</v>
      </c>
      <c r="C2257">
        <v>35</v>
      </c>
      <c r="D2257">
        <v>20</v>
      </c>
      <c r="E2257" s="1">
        <f t="shared" si="35"/>
        <v>0.5714285714285714</v>
      </c>
      <c r="F2257">
        <v>100.7</v>
      </c>
      <c r="G2257">
        <v>103.3</v>
      </c>
      <c r="H2257">
        <v>0.42859999999999998</v>
      </c>
      <c r="I2257">
        <v>50.1</v>
      </c>
      <c r="J2257">
        <v>49.3</v>
      </c>
      <c r="K2257">
        <v>19.8</v>
      </c>
      <c r="L2257">
        <v>21.8</v>
      </c>
      <c r="M2257">
        <v>31</v>
      </c>
      <c r="N2257">
        <v>35.9</v>
      </c>
      <c r="O2257">
        <v>35.5</v>
      </c>
      <c r="P2257">
        <v>37.6</v>
      </c>
      <c r="Q2257">
        <v>47.4</v>
      </c>
      <c r="R2257">
        <v>48.3</v>
      </c>
      <c r="S2257">
        <v>37.5</v>
      </c>
      <c r="T2257">
        <v>34.1</v>
      </c>
      <c r="U2257">
        <v>66</v>
      </c>
      <c r="V2257">
        <v>-8.6</v>
      </c>
      <c r="W2257" cm="1">
        <f t="array" ref="W2257">_xlfn.IFS(OR(X2257="N/A",X2257="NA"),0,OR(X2257="R64",X2257="R68"),1,X2257="R32",2,X2257="S16",3,X2257="E8",4,X2257="F4",5,X2257="2ND",6,X2257="Champions",7)</f>
        <v>1</v>
      </c>
      <c r="X2257" t="s">
        <v>422</v>
      </c>
      <c r="Y2257">
        <v>16</v>
      </c>
      <c r="Z2257">
        <v>2015</v>
      </c>
    </row>
    <row r="2258" spans="1:26" x14ac:dyDescent="0.3">
      <c r="A2258" t="s">
        <v>298</v>
      </c>
      <c r="B2258" t="s">
        <v>77</v>
      </c>
      <c r="C2258">
        <v>36</v>
      </c>
      <c r="D2258">
        <v>20</v>
      </c>
      <c r="E2258" s="1">
        <f t="shared" si="35"/>
        <v>0.55555555555555558</v>
      </c>
      <c r="F2258">
        <v>98.9</v>
      </c>
      <c r="G2258">
        <v>101.8</v>
      </c>
      <c r="H2258">
        <v>0.41549999999999998</v>
      </c>
      <c r="I2258">
        <v>51</v>
      </c>
      <c r="J2258">
        <v>49.9</v>
      </c>
      <c r="K2258">
        <v>19.2</v>
      </c>
      <c r="L2258">
        <v>21.7</v>
      </c>
      <c r="M2258">
        <v>23.1</v>
      </c>
      <c r="N2258">
        <v>34.799999999999997</v>
      </c>
      <c r="O2258">
        <v>32.4</v>
      </c>
      <c r="P2258">
        <v>32.6</v>
      </c>
      <c r="Q2258">
        <v>49.4</v>
      </c>
      <c r="R2258">
        <v>49.5</v>
      </c>
      <c r="S2258">
        <v>35.799999999999997</v>
      </c>
      <c r="T2258">
        <v>34.1</v>
      </c>
      <c r="U2258">
        <v>68.3</v>
      </c>
      <c r="V2258">
        <v>-7.9</v>
      </c>
      <c r="W2258" cm="1">
        <f t="array" ref="W2258">_xlfn.IFS(OR(X2258="N/A",X2258="NA"),0,OR(X2258="R64",X2258="R68"),1,X2258="R32",2,X2258="S16",3,X2258="E8",4,X2258="F4",5,X2258="2ND",6,X2258="Champions",7)</f>
        <v>1</v>
      </c>
      <c r="X2258" t="s">
        <v>422</v>
      </c>
      <c r="Y2258">
        <v>16</v>
      </c>
      <c r="Z2258">
        <v>2017</v>
      </c>
    </row>
    <row r="2259" spans="1:26" x14ac:dyDescent="0.3">
      <c r="A2259" t="s">
        <v>296</v>
      </c>
      <c r="B2259" t="s">
        <v>77</v>
      </c>
      <c r="C2259">
        <v>33</v>
      </c>
      <c r="D2259">
        <v>21</v>
      </c>
      <c r="E2259" s="1">
        <f t="shared" si="35"/>
        <v>0.63636363636363635</v>
      </c>
      <c r="F2259">
        <v>104.5</v>
      </c>
      <c r="G2259">
        <v>110.3</v>
      </c>
      <c r="H2259">
        <v>0.34939999999999999</v>
      </c>
      <c r="I2259">
        <v>54.2</v>
      </c>
      <c r="J2259">
        <v>52</v>
      </c>
      <c r="K2259">
        <v>19.7</v>
      </c>
      <c r="L2259">
        <v>20.2</v>
      </c>
      <c r="M2259">
        <v>29.5</v>
      </c>
      <c r="N2259">
        <v>33.200000000000003</v>
      </c>
      <c r="O2259">
        <v>35.700000000000003</v>
      </c>
      <c r="P2259">
        <v>29.4</v>
      </c>
      <c r="Q2259">
        <v>51</v>
      </c>
      <c r="R2259">
        <v>51.3</v>
      </c>
      <c r="S2259">
        <v>40.1</v>
      </c>
      <c r="T2259">
        <v>35.299999999999997</v>
      </c>
      <c r="U2259">
        <v>68</v>
      </c>
      <c r="V2259">
        <v>-9.3000000000000007</v>
      </c>
      <c r="W2259" cm="1">
        <f t="array" ref="W2259">_xlfn.IFS(OR(X2259="N/A",X2259="NA"),0,OR(X2259="R64",X2259="R68"),1,X2259="R32",2,X2259="S16",3,X2259="E8",4,X2259="F4",5,X2259="2ND",6,X2259="Champions",7)</f>
        <v>1</v>
      </c>
      <c r="X2259" t="s">
        <v>422</v>
      </c>
      <c r="Y2259">
        <v>16</v>
      </c>
      <c r="Z2259">
        <v>2019</v>
      </c>
    </row>
    <row r="2260" spans="1:26" x14ac:dyDescent="0.3">
      <c r="A2260" t="s">
        <v>315</v>
      </c>
      <c r="B2260" t="s">
        <v>64</v>
      </c>
      <c r="C2260">
        <v>32</v>
      </c>
      <c r="D2260">
        <v>21</v>
      </c>
      <c r="E2260" s="1">
        <f t="shared" si="35"/>
        <v>0.65625</v>
      </c>
      <c r="F2260">
        <v>108.7</v>
      </c>
      <c r="G2260">
        <v>106.8</v>
      </c>
      <c r="H2260">
        <v>0.54969999999999997</v>
      </c>
      <c r="I2260">
        <v>56.5</v>
      </c>
      <c r="J2260">
        <v>51.3</v>
      </c>
      <c r="K2260">
        <v>20.3</v>
      </c>
      <c r="L2260">
        <v>18.5</v>
      </c>
      <c r="M2260">
        <v>28.9</v>
      </c>
      <c r="N2260">
        <v>29.6</v>
      </c>
      <c r="O2260">
        <v>32.200000000000003</v>
      </c>
      <c r="P2260">
        <v>28.2</v>
      </c>
      <c r="Q2260">
        <v>56.4</v>
      </c>
      <c r="R2260">
        <v>51.2</v>
      </c>
      <c r="S2260">
        <v>37.700000000000003</v>
      </c>
      <c r="T2260">
        <v>34.299999999999997</v>
      </c>
      <c r="U2260">
        <v>67.599999999999994</v>
      </c>
      <c r="V2260">
        <v>-4.7</v>
      </c>
      <c r="W2260" cm="1">
        <f t="array" ref="W2260">_xlfn.IFS(OR(X2260="N/A",X2260="NA"),0,OR(X2260="R64",X2260="R68"),1,X2260="R32",2,X2260="S16",3,X2260="E8",4,X2260="F4",5,X2260="2ND",6,X2260="Champions",7)</f>
        <v>1</v>
      </c>
      <c r="X2260" t="s">
        <v>422</v>
      </c>
      <c r="Y2260">
        <v>15</v>
      </c>
      <c r="Z2260">
        <v>2015</v>
      </c>
    </row>
    <row r="2261" spans="1:26" x14ac:dyDescent="0.3">
      <c r="A2261" t="s">
        <v>304</v>
      </c>
      <c r="B2261" t="s">
        <v>64</v>
      </c>
      <c r="C2261">
        <v>34</v>
      </c>
      <c r="D2261">
        <v>16</v>
      </c>
      <c r="E2261" s="1">
        <f t="shared" si="35"/>
        <v>0.47058823529411764</v>
      </c>
      <c r="F2261">
        <v>103.4</v>
      </c>
      <c r="G2261">
        <v>109.1</v>
      </c>
      <c r="H2261">
        <v>0.35010000000000002</v>
      </c>
      <c r="I2261">
        <v>51.3</v>
      </c>
      <c r="J2261">
        <v>53.8</v>
      </c>
      <c r="K2261">
        <v>20.2</v>
      </c>
      <c r="L2261">
        <v>18.600000000000001</v>
      </c>
      <c r="M2261">
        <v>31.9</v>
      </c>
      <c r="N2261">
        <v>30</v>
      </c>
      <c r="O2261">
        <v>47</v>
      </c>
      <c r="P2261">
        <v>31.3</v>
      </c>
      <c r="Q2261">
        <v>51</v>
      </c>
      <c r="R2261">
        <v>53.3</v>
      </c>
      <c r="S2261">
        <v>34.700000000000003</v>
      </c>
      <c r="T2261">
        <v>36.4</v>
      </c>
      <c r="U2261">
        <v>70.5</v>
      </c>
      <c r="V2261">
        <v>-11.3</v>
      </c>
      <c r="W2261" cm="1">
        <f t="array" ref="W2261">_xlfn.IFS(OR(X2261="N/A",X2261="NA"),0,OR(X2261="R64",X2261="R68"),1,X2261="R32",2,X2261="S16",3,X2261="E8",4,X2261="F4",5,X2261="2ND",6,X2261="Champions",7)</f>
        <v>1</v>
      </c>
      <c r="X2261" t="s">
        <v>422</v>
      </c>
      <c r="Y2261">
        <v>16</v>
      </c>
      <c r="Z2261">
        <v>2016</v>
      </c>
    </row>
    <row r="2262" spans="1:26" x14ac:dyDescent="0.3">
      <c r="A2262" t="s">
        <v>307</v>
      </c>
      <c r="B2262" t="s">
        <v>64</v>
      </c>
      <c r="C2262">
        <v>33</v>
      </c>
      <c r="D2262">
        <v>20</v>
      </c>
      <c r="E2262" s="1">
        <f t="shared" si="35"/>
        <v>0.60606060606060608</v>
      </c>
      <c r="F2262">
        <v>104.4</v>
      </c>
      <c r="G2262">
        <v>104.2</v>
      </c>
      <c r="H2262">
        <v>0.50539999999999996</v>
      </c>
      <c r="I2262">
        <v>52.6</v>
      </c>
      <c r="J2262">
        <v>49.4</v>
      </c>
      <c r="K2262">
        <v>20.7</v>
      </c>
      <c r="L2262">
        <v>16.600000000000001</v>
      </c>
      <c r="M2262">
        <v>31.2</v>
      </c>
      <c r="N2262">
        <v>28.5</v>
      </c>
      <c r="O2262">
        <v>33.4</v>
      </c>
      <c r="P2262">
        <v>34.4</v>
      </c>
      <c r="Q2262">
        <v>50.8</v>
      </c>
      <c r="R2262">
        <v>45.1</v>
      </c>
      <c r="S2262">
        <v>37.200000000000003</v>
      </c>
      <c r="T2262">
        <v>37.799999999999997</v>
      </c>
      <c r="U2262">
        <v>65</v>
      </c>
      <c r="V2262">
        <v>-8</v>
      </c>
      <c r="W2262" cm="1">
        <f t="array" ref="W2262">_xlfn.IFS(OR(X2262="N/A",X2262="NA"),0,OR(X2262="R64",X2262="R68"),1,X2262="R32",2,X2262="S16",3,X2262="E8",4,X2262="F4",5,X2262="2ND",6,X2262="Champions",7)</f>
        <v>1</v>
      </c>
      <c r="X2262" t="s">
        <v>422</v>
      </c>
      <c r="Y2262">
        <v>15</v>
      </c>
      <c r="Z2262">
        <v>2017</v>
      </c>
    </row>
    <row r="2263" spans="1:26" x14ac:dyDescent="0.3">
      <c r="A2263" t="s">
        <v>309</v>
      </c>
      <c r="B2263" t="s">
        <v>64</v>
      </c>
      <c r="C2263">
        <v>30</v>
      </c>
      <c r="D2263">
        <v>26</v>
      </c>
      <c r="E2263" s="1">
        <f t="shared" si="35"/>
        <v>0.8666666666666667</v>
      </c>
      <c r="F2263">
        <v>110.6</v>
      </c>
      <c r="G2263">
        <v>100.8</v>
      </c>
      <c r="H2263">
        <v>0.74490000000000001</v>
      </c>
      <c r="I2263">
        <v>55</v>
      </c>
      <c r="J2263">
        <v>47.2</v>
      </c>
      <c r="K2263">
        <v>17.600000000000001</v>
      </c>
      <c r="L2263">
        <v>18</v>
      </c>
      <c r="M2263">
        <v>32.9</v>
      </c>
      <c r="N2263">
        <v>27.6</v>
      </c>
      <c r="O2263">
        <v>37.299999999999997</v>
      </c>
      <c r="P2263">
        <v>30.5</v>
      </c>
      <c r="Q2263">
        <v>54.4</v>
      </c>
      <c r="R2263">
        <v>47.6</v>
      </c>
      <c r="S2263">
        <v>37.200000000000003</v>
      </c>
      <c r="T2263">
        <v>30.9</v>
      </c>
      <c r="U2263">
        <v>67.8</v>
      </c>
      <c r="V2263">
        <v>-0.4</v>
      </c>
      <c r="W2263" cm="1">
        <f t="array" ref="W2263">_xlfn.IFS(OR(X2263="N/A",X2263="NA"),0,OR(X2263="R64",X2263="R68"),1,X2263="R32",2,X2263="S16",3,X2263="E8",4,X2263="F4",5,X2263="2ND",6,X2263="Champions",7)</f>
        <v>1</v>
      </c>
      <c r="X2263" t="s">
        <v>422</v>
      </c>
      <c r="Y2263">
        <v>12</v>
      </c>
      <c r="Z2263">
        <v>2018</v>
      </c>
    </row>
    <row r="2264" spans="1:26" x14ac:dyDescent="0.3">
      <c r="A2264" t="s">
        <v>315</v>
      </c>
      <c r="B2264" t="s">
        <v>64</v>
      </c>
      <c r="C2264">
        <v>32</v>
      </c>
      <c r="D2264">
        <v>27</v>
      </c>
      <c r="E2264" s="1">
        <f t="shared" si="35"/>
        <v>0.84375</v>
      </c>
      <c r="F2264">
        <v>114.9</v>
      </c>
      <c r="G2264">
        <v>101</v>
      </c>
      <c r="H2264">
        <v>0.81379999999999997</v>
      </c>
      <c r="I2264">
        <v>57.6</v>
      </c>
      <c r="J2264">
        <v>48.7</v>
      </c>
      <c r="K2264">
        <v>15.2</v>
      </c>
      <c r="L2264">
        <v>16</v>
      </c>
      <c r="M2264">
        <v>25.3</v>
      </c>
      <c r="N2264">
        <v>25</v>
      </c>
      <c r="O2264">
        <v>28.5</v>
      </c>
      <c r="P2264">
        <v>27.4</v>
      </c>
      <c r="Q2264">
        <v>59.2</v>
      </c>
      <c r="R2264">
        <v>47.2</v>
      </c>
      <c r="S2264">
        <v>37</v>
      </c>
      <c r="T2264">
        <v>34.4</v>
      </c>
      <c r="U2264">
        <v>72.5</v>
      </c>
      <c r="V2264">
        <v>1.2</v>
      </c>
      <c r="W2264" cm="1">
        <f t="array" ref="W2264">_xlfn.IFS(OR(X2264="N/A",X2264="NA"),0,OR(X2264="R64",X2264="R68"),1,X2264="R32",2,X2264="S16",3,X2264="E8",4,X2264="F4",5,X2264="2ND",6,X2264="Champions",7)</f>
        <v>1</v>
      </c>
      <c r="X2264" t="s">
        <v>422</v>
      </c>
      <c r="Y2264">
        <v>11</v>
      </c>
      <c r="Z2264">
        <v>2019</v>
      </c>
    </row>
    <row r="2265" spans="1:26" x14ac:dyDescent="0.3">
      <c r="A2265" t="s">
        <v>71</v>
      </c>
      <c r="B2265" t="s">
        <v>38</v>
      </c>
      <c r="C2265">
        <v>34</v>
      </c>
      <c r="D2265">
        <v>25</v>
      </c>
      <c r="E2265" s="1">
        <f t="shared" si="35"/>
        <v>0.73529411764705888</v>
      </c>
      <c r="F2265">
        <v>116.1</v>
      </c>
      <c r="G2265">
        <v>95.7</v>
      </c>
      <c r="H2265">
        <v>0.9022</v>
      </c>
      <c r="I2265">
        <v>53.6</v>
      </c>
      <c r="J2265">
        <v>46.2</v>
      </c>
      <c r="K2265">
        <v>18.2</v>
      </c>
      <c r="L2265">
        <v>16</v>
      </c>
      <c r="M2265">
        <v>35</v>
      </c>
      <c r="N2265">
        <v>24.9</v>
      </c>
      <c r="O2265">
        <v>43.8</v>
      </c>
      <c r="P2265">
        <v>29.3</v>
      </c>
      <c r="Q2265">
        <v>52.2</v>
      </c>
      <c r="R2265">
        <v>45.7</v>
      </c>
      <c r="S2265">
        <v>38.1</v>
      </c>
      <c r="T2265">
        <v>31.6</v>
      </c>
      <c r="U2265">
        <v>69.099999999999994</v>
      </c>
      <c r="V2265">
        <v>3.4</v>
      </c>
      <c r="W2265" cm="1">
        <f t="array" ref="W2265">_xlfn.IFS(OR(X2265="N/A",X2265="NA"),0,OR(X2265="R64",X2265="R68"),1,X2265="R32",2,X2265="S16",3,X2265="E8",4,X2265="F4",5,X2265="2ND",6,X2265="Champions",7)</f>
        <v>1</v>
      </c>
      <c r="X2265" t="s">
        <v>422</v>
      </c>
      <c r="Y2265">
        <v>6</v>
      </c>
      <c r="Z2265">
        <v>2016</v>
      </c>
    </row>
    <row r="2266" spans="1:26" x14ac:dyDescent="0.3">
      <c r="A2266" t="s">
        <v>317</v>
      </c>
      <c r="B2266" t="s">
        <v>38</v>
      </c>
      <c r="C2266">
        <v>34</v>
      </c>
      <c r="D2266">
        <v>23</v>
      </c>
      <c r="E2266" s="1">
        <f t="shared" si="35"/>
        <v>0.67647058823529416</v>
      </c>
      <c r="F2266">
        <v>112.4</v>
      </c>
      <c r="G2266">
        <v>92.8</v>
      </c>
      <c r="H2266">
        <v>0.90059999999999996</v>
      </c>
      <c r="I2266">
        <v>52.2</v>
      </c>
      <c r="J2266">
        <v>44.3</v>
      </c>
      <c r="K2266">
        <v>17.7</v>
      </c>
      <c r="L2266">
        <v>14.1</v>
      </c>
      <c r="M2266">
        <v>32.4</v>
      </c>
      <c r="N2266">
        <v>25.3</v>
      </c>
      <c r="O2266">
        <v>41.7</v>
      </c>
      <c r="P2266">
        <v>37.5</v>
      </c>
      <c r="Q2266">
        <v>51.1</v>
      </c>
      <c r="R2266">
        <v>41.5</v>
      </c>
      <c r="S2266">
        <v>36.299999999999997</v>
      </c>
      <c r="T2266">
        <v>34.700000000000003</v>
      </c>
      <c r="U2266">
        <v>68.8</v>
      </c>
      <c r="V2266">
        <v>2.2000000000000002</v>
      </c>
      <c r="W2266" cm="1">
        <f t="array" ref="W2266">_xlfn.IFS(OR(X2266="N/A",X2266="NA"),0,OR(X2266="R64",X2266="R68"),1,X2266="R32",2,X2266="S16",3,X2266="E8",4,X2266="F4",5,X2266="2ND",6,X2266="Champions",7)</f>
        <v>1</v>
      </c>
      <c r="X2266" t="s">
        <v>422</v>
      </c>
      <c r="Y2266">
        <v>4</v>
      </c>
      <c r="Z2266">
        <v>2016</v>
      </c>
    </row>
    <row r="2267" spans="1:26" x14ac:dyDescent="0.3">
      <c r="A2267" t="s">
        <v>318</v>
      </c>
      <c r="B2267" t="s">
        <v>38</v>
      </c>
      <c r="C2267">
        <v>33</v>
      </c>
      <c r="D2267">
        <v>21</v>
      </c>
      <c r="E2267" s="1">
        <f t="shared" si="35"/>
        <v>0.63636363636363635</v>
      </c>
      <c r="F2267">
        <v>107.8</v>
      </c>
      <c r="G2267">
        <v>95.2</v>
      </c>
      <c r="H2267">
        <v>0.80720000000000003</v>
      </c>
      <c r="I2267">
        <v>48.4</v>
      </c>
      <c r="J2267">
        <v>46.8</v>
      </c>
      <c r="K2267">
        <v>18.8</v>
      </c>
      <c r="L2267">
        <v>15.4</v>
      </c>
      <c r="M2267">
        <v>34.799999999999997</v>
      </c>
      <c r="N2267">
        <v>24.8</v>
      </c>
      <c r="O2267">
        <v>40.5</v>
      </c>
      <c r="P2267">
        <v>35.700000000000003</v>
      </c>
      <c r="Q2267">
        <v>43.9</v>
      </c>
      <c r="R2267">
        <v>44.3</v>
      </c>
      <c r="S2267">
        <v>38.6</v>
      </c>
      <c r="T2267">
        <v>35.299999999999997</v>
      </c>
      <c r="U2267">
        <v>69.900000000000006</v>
      </c>
      <c r="V2267">
        <v>0.7</v>
      </c>
      <c r="W2267" cm="1">
        <f t="array" ref="W2267">_xlfn.IFS(OR(X2267="N/A",X2267="NA"),0,OR(X2267="R64",X2267="R68"),1,X2267="R32",2,X2267="S16",3,X2267="E8",4,X2267="F4",5,X2267="2ND",6,X2267="Champions",7)</f>
        <v>1</v>
      </c>
      <c r="X2267" t="s">
        <v>422</v>
      </c>
      <c r="Y2267">
        <v>8</v>
      </c>
      <c r="Z2267">
        <v>2016</v>
      </c>
    </row>
    <row r="2268" spans="1:26" x14ac:dyDescent="0.3">
      <c r="A2268" t="s">
        <v>319</v>
      </c>
      <c r="B2268" t="s">
        <v>38</v>
      </c>
      <c r="C2268">
        <v>31</v>
      </c>
      <c r="D2268">
        <v>18</v>
      </c>
      <c r="E2268" s="1">
        <f t="shared" si="35"/>
        <v>0.58064516129032262</v>
      </c>
      <c r="F2268">
        <v>109.9</v>
      </c>
      <c r="G2268">
        <v>98.1</v>
      </c>
      <c r="H2268">
        <v>0.78800000000000003</v>
      </c>
      <c r="I2268">
        <v>49.8</v>
      </c>
      <c r="J2268">
        <v>49.5</v>
      </c>
      <c r="K2268">
        <v>16.600000000000001</v>
      </c>
      <c r="L2268">
        <v>19.5</v>
      </c>
      <c r="M2268">
        <v>29</v>
      </c>
      <c r="N2268">
        <v>32.200000000000003</v>
      </c>
      <c r="O2268">
        <v>36.799999999999997</v>
      </c>
      <c r="P2268">
        <v>39.299999999999997</v>
      </c>
      <c r="Q2268">
        <v>46.9</v>
      </c>
      <c r="R2268">
        <v>50</v>
      </c>
      <c r="S2268">
        <v>37.4</v>
      </c>
      <c r="T2268">
        <v>32.4</v>
      </c>
      <c r="U2268">
        <v>68</v>
      </c>
      <c r="V2268">
        <v>0.3</v>
      </c>
      <c r="W2268" cm="1">
        <f t="array" ref="W2268">_xlfn.IFS(OR(X2268="N/A",X2268="NA"),0,OR(X2268="R64",X2268="R68"),1,X2268="R32",2,X2268="S16",3,X2268="E8",4,X2268="F4",5,X2268="2ND",6,X2268="Champions",7)</f>
        <v>1</v>
      </c>
      <c r="X2268" t="s">
        <v>422</v>
      </c>
      <c r="Y2268">
        <v>7</v>
      </c>
      <c r="Z2268">
        <v>2016</v>
      </c>
    </row>
    <row r="2269" spans="1:26" x14ac:dyDescent="0.3">
      <c r="A2269" t="s">
        <v>321</v>
      </c>
      <c r="B2269" t="s">
        <v>38</v>
      </c>
      <c r="C2269">
        <v>34</v>
      </c>
      <c r="D2269">
        <v>21</v>
      </c>
      <c r="E2269" s="1">
        <f t="shared" si="35"/>
        <v>0.61764705882352944</v>
      </c>
      <c r="F2269">
        <v>113.7</v>
      </c>
      <c r="G2269">
        <v>98.7</v>
      </c>
      <c r="H2269">
        <v>0.83520000000000005</v>
      </c>
      <c r="I2269">
        <v>52.2</v>
      </c>
      <c r="J2269">
        <v>47.3</v>
      </c>
      <c r="K2269">
        <v>16.600000000000001</v>
      </c>
      <c r="L2269">
        <v>16.7</v>
      </c>
      <c r="M2269">
        <v>32.1</v>
      </c>
      <c r="N2269">
        <v>31.6</v>
      </c>
      <c r="O2269">
        <v>35.1</v>
      </c>
      <c r="P2269">
        <v>28.3</v>
      </c>
      <c r="Q2269">
        <v>49.4</v>
      </c>
      <c r="R2269">
        <v>46.6</v>
      </c>
      <c r="S2269">
        <v>38.700000000000003</v>
      </c>
      <c r="T2269">
        <v>32.5</v>
      </c>
      <c r="U2269">
        <v>72.099999999999994</v>
      </c>
      <c r="V2269">
        <v>0.2</v>
      </c>
      <c r="W2269" cm="1">
        <f t="array" ref="W2269">_xlfn.IFS(OR(X2269="N/A",X2269="NA"),0,OR(X2269="R64",X2269="R68"),1,X2269="R32",2,X2269="S16",3,X2269="E8",4,X2269="F4",5,X2269="2ND",6,X2269="Champions",7)</f>
        <v>1</v>
      </c>
      <c r="X2269" t="s">
        <v>422</v>
      </c>
      <c r="Y2269">
        <v>8</v>
      </c>
      <c r="Z2269">
        <v>2016</v>
      </c>
    </row>
    <row r="2270" spans="1:26" x14ac:dyDescent="0.3">
      <c r="A2270" t="s">
        <v>71</v>
      </c>
      <c r="B2270" t="s">
        <v>38</v>
      </c>
      <c r="C2270">
        <v>35</v>
      </c>
      <c r="D2270">
        <v>27</v>
      </c>
      <c r="E2270" s="1">
        <f t="shared" si="35"/>
        <v>0.77142857142857146</v>
      </c>
      <c r="F2270">
        <v>117</v>
      </c>
      <c r="G2270">
        <v>100.4</v>
      </c>
      <c r="H2270">
        <v>0.8528</v>
      </c>
      <c r="I2270">
        <v>56.3</v>
      </c>
      <c r="J2270">
        <v>49.9</v>
      </c>
      <c r="K2270">
        <v>17.5</v>
      </c>
      <c r="L2270">
        <v>16.7</v>
      </c>
      <c r="M2270">
        <v>33.200000000000003</v>
      </c>
      <c r="N2270">
        <v>25.1</v>
      </c>
      <c r="O2270">
        <v>36.9</v>
      </c>
      <c r="P2270">
        <v>31.2</v>
      </c>
      <c r="Q2270">
        <v>56.7</v>
      </c>
      <c r="R2270">
        <v>47.7</v>
      </c>
      <c r="S2270">
        <v>36.9</v>
      </c>
      <c r="T2270">
        <v>35.799999999999997</v>
      </c>
      <c r="U2270">
        <v>68.3</v>
      </c>
      <c r="V2270">
        <v>3.8</v>
      </c>
      <c r="W2270" cm="1">
        <f t="array" ref="W2270">_xlfn.IFS(OR(X2270="N/A",X2270="NA"),0,OR(X2270="R64",X2270="R68"),1,X2270="R32",2,X2270="S16",3,X2270="E8",4,X2270="F4",5,X2270="2ND",6,X2270="Champions",7)</f>
        <v>1</v>
      </c>
      <c r="X2270" t="s">
        <v>422</v>
      </c>
      <c r="Y2270">
        <v>4</v>
      </c>
      <c r="Z2270">
        <v>2018</v>
      </c>
    </row>
    <row r="2271" spans="1:26" x14ac:dyDescent="0.3">
      <c r="A2271" t="s">
        <v>316</v>
      </c>
      <c r="B2271" t="s">
        <v>38</v>
      </c>
      <c r="C2271">
        <v>34</v>
      </c>
      <c r="D2271">
        <v>23</v>
      </c>
      <c r="E2271" s="1">
        <f t="shared" si="35"/>
        <v>0.67647058823529416</v>
      </c>
      <c r="F2271">
        <v>108.7</v>
      </c>
      <c r="G2271">
        <v>97.6</v>
      </c>
      <c r="H2271">
        <v>0.77500000000000002</v>
      </c>
      <c r="I2271">
        <v>50.6</v>
      </c>
      <c r="J2271">
        <v>48.5</v>
      </c>
      <c r="K2271">
        <v>18.7</v>
      </c>
      <c r="L2271">
        <v>19</v>
      </c>
      <c r="M2271">
        <v>31.7</v>
      </c>
      <c r="N2271">
        <v>26.9</v>
      </c>
      <c r="O2271">
        <v>43.8</v>
      </c>
      <c r="P2271">
        <v>38.6</v>
      </c>
      <c r="Q2271">
        <v>50.8</v>
      </c>
      <c r="R2271">
        <v>47.3</v>
      </c>
      <c r="S2271">
        <v>33.6</v>
      </c>
      <c r="T2271">
        <v>33.4</v>
      </c>
      <c r="U2271">
        <v>71.900000000000006</v>
      </c>
      <c r="V2271">
        <v>0.1</v>
      </c>
      <c r="W2271" cm="1">
        <f t="array" ref="W2271">_xlfn.IFS(OR(X2271="N/A",X2271="NA"),0,OR(X2271="R64",X2271="R68"),1,X2271="R32",2,X2271="S16",3,X2271="E8",4,X2271="F4",5,X2271="2ND",6,X2271="Champions",7)</f>
        <v>1</v>
      </c>
      <c r="X2271" t="s">
        <v>422</v>
      </c>
      <c r="Y2271">
        <v>11</v>
      </c>
      <c r="Z2271">
        <v>2019</v>
      </c>
    </row>
    <row r="2272" spans="1:26" x14ac:dyDescent="0.3">
      <c r="A2272" t="s">
        <v>335</v>
      </c>
      <c r="B2272" t="s">
        <v>67</v>
      </c>
      <c r="C2272">
        <v>32</v>
      </c>
      <c r="D2272">
        <v>19</v>
      </c>
      <c r="E2272" s="1">
        <f t="shared" si="35"/>
        <v>0.59375</v>
      </c>
      <c r="F2272">
        <v>109.8</v>
      </c>
      <c r="G2272">
        <v>114.5</v>
      </c>
      <c r="H2272">
        <v>0.38390000000000002</v>
      </c>
      <c r="I2272">
        <v>55.8</v>
      </c>
      <c r="J2272">
        <v>53.5</v>
      </c>
      <c r="K2272">
        <v>17.100000000000001</v>
      </c>
      <c r="L2272">
        <v>16.8</v>
      </c>
      <c r="M2272">
        <v>27.7</v>
      </c>
      <c r="N2272">
        <v>34.5</v>
      </c>
      <c r="O2272">
        <v>30.4</v>
      </c>
      <c r="P2272">
        <v>27.5</v>
      </c>
      <c r="Q2272">
        <v>52.8</v>
      </c>
      <c r="R2272">
        <v>51.5</v>
      </c>
      <c r="S2272">
        <v>40.799999999999997</v>
      </c>
      <c r="T2272">
        <v>38</v>
      </c>
      <c r="U2272">
        <v>65.099999999999994</v>
      </c>
      <c r="V2272">
        <v>-7.1</v>
      </c>
      <c r="W2272" cm="1">
        <f t="array" ref="W2272">_xlfn.IFS(OR(X2272="N/A",X2272="NA"),0,OR(X2272="R64",X2272="R68"),1,X2272="R32",2,X2272="S16",3,X2272="E8",4,X2272="F4",5,X2272="2ND",6,X2272="Champions",7)</f>
        <v>1</v>
      </c>
      <c r="X2272" t="s">
        <v>422</v>
      </c>
      <c r="Y2272">
        <v>16</v>
      </c>
      <c r="Z2272">
        <v>2015</v>
      </c>
    </row>
    <row r="2273" spans="1:26" x14ac:dyDescent="0.3">
      <c r="A2273" t="s">
        <v>331</v>
      </c>
      <c r="B2273" t="s">
        <v>67</v>
      </c>
      <c r="C2273">
        <v>35</v>
      </c>
      <c r="D2273">
        <v>15</v>
      </c>
      <c r="E2273" s="1">
        <f t="shared" si="35"/>
        <v>0.42857142857142855</v>
      </c>
      <c r="F2273">
        <v>96.7</v>
      </c>
      <c r="G2273">
        <v>106.9</v>
      </c>
      <c r="H2273">
        <v>0.23980000000000001</v>
      </c>
      <c r="I2273">
        <v>47.9</v>
      </c>
      <c r="J2273">
        <v>53.2</v>
      </c>
      <c r="K2273">
        <v>16.8</v>
      </c>
      <c r="L2273">
        <v>19.600000000000001</v>
      </c>
      <c r="M2273">
        <v>23.1</v>
      </c>
      <c r="N2273">
        <v>29.6</v>
      </c>
      <c r="O2273">
        <v>36.1</v>
      </c>
      <c r="P2273">
        <v>33.4</v>
      </c>
      <c r="Q2273">
        <v>47.2</v>
      </c>
      <c r="R2273">
        <v>52.8</v>
      </c>
      <c r="S2273">
        <v>32.6</v>
      </c>
      <c r="T2273">
        <v>35.700000000000003</v>
      </c>
      <c r="U2273">
        <v>64.599999999999994</v>
      </c>
      <c r="V2273">
        <v>-14.5</v>
      </c>
      <c r="W2273" cm="1">
        <f t="array" ref="W2273">_xlfn.IFS(OR(X2273="N/A",X2273="NA"),0,OR(X2273="R64",X2273="R68"),1,X2273="R32",2,X2273="S16",3,X2273="E8",4,X2273="F4",5,X2273="2ND",6,X2273="Champions",7)</f>
        <v>1</v>
      </c>
      <c r="X2273" t="s">
        <v>422</v>
      </c>
      <c r="Y2273">
        <v>16</v>
      </c>
      <c r="Z2273">
        <v>2016</v>
      </c>
    </row>
    <row r="2274" spans="1:26" x14ac:dyDescent="0.3">
      <c r="A2274" t="s">
        <v>329</v>
      </c>
      <c r="B2274" t="s">
        <v>67</v>
      </c>
      <c r="C2274">
        <v>35</v>
      </c>
      <c r="D2274">
        <v>26</v>
      </c>
      <c r="E2274" s="1">
        <f t="shared" si="35"/>
        <v>0.74285714285714288</v>
      </c>
      <c r="F2274">
        <v>108.3</v>
      </c>
      <c r="G2274">
        <v>99.1</v>
      </c>
      <c r="H2274">
        <v>0.73519999999999996</v>
      </c>
      <c r="I2274">
        <v>55.3</v>
      </c>
      <c r="J2274">
        <v>48</v>
      </c>
      <c r="K2274">
        <v>18.899999999999999</v>
      </c>
      <c r="L2274">
        <v>19.7</v>
      </c>
      <c r="M2274">
        <v>26.8</v>
      </c>
      <c r="N2274">
        <v>27.9</v>
      </c>
      <c r="O2274">
        <v>37.200000000000003</v>
      </c>
      <c r="P2274">
        <v>33.1</v>
      </c>
      <c r="Q2274">
        <v>54.3</v>
      </c>
      <c r="R2274">
        <v>46.5</v>
      </c>
      <c r="S2274">
        <v>37.9</v>
      </c>
      <c r="T2274">
        <v>34.200000000000003</v>
      </c>
      <c r="U2274">
        <v>71.400000000000006</v>
      </c>
      <c r="V2274">
        <v>-2.1</v>
      </c>
      <c r="W2274" cm="1">
        <f t="array" ref="W2274">_xlfn.IFS(OR(X2274="N/A",X2274="NA"),0,OR(X2274="R64",X2274="R68"),1,X2274="R32",2,X2274="S16",3,X2274="E8",4,X2274="F4",5,X2274="2ND",6,X2274="Champions",7)</f>
        <v>1</v>
      </c>
      <c r="X2274" t="s">
        <v>422</v>
      </c>
      <c r="Y2274">
        <v>13</v>
      </c>
      <c r="Z2274">
        <v>2017</v>
      </c>
    </row>
    <row r="2275" spans="1:26" x14ac:dyDescent="0.3">
      <c r="A2275" t="s">
        <v>329</v>
      </c>
      <c r="B2275" t="s">
        <v>67</v>
      </c>
      <c r="C2275">
        <v>35</v>
      </c>
      <c r="D2275">
        <v>25</v>
      </c>
      <c r="E2275" s="1">
        <f t="shared" si="35"/>
        <v>0.7142857142857143</v>
      </c>
      <c r="F2275">
        <v>108</v>
      </c>
      <c r="G2275">
        <v>101.3</v>
      </c>
      <c r="H2275">
        <v>0.67600000000000005</v>
      </c>
      <c r="I2275">
        <v>53.9</v>
      </c>
      <c r="J2275">
        <v>47.8</v>
      </c>
      <c r="K2275">
        <v>17</v>
      </c>
      <c r="L2275">
        <v>17</v>
      </c>
      <c r="M2275">
        <v>27</v>
      </c>
      <c r="N2275">
        <v>27.5</v>
      </c>
      <c r="O2275">
        <v>42.6</v>
      </c>
      <c r="P2275">
        <v>34.5</v>
      </c>
      <c r="Q2275">
        <v>55</v>
      </c>
      <c r="R2275">
        <v>47</v>
      </c>
      <c r="S2275">
        <v>34.799999999999997</v>
      </c>
      <c r="T2275">
        <v>33.1</v>
      </c>
      <c r="U2275">
        <v>72.900000000000006</v>
      </c>
      <c r="V2275">
        <v>-3</v>
      </c>
      <c r="W2275" cm="1">
        <f t="array" ref="W2275">_xlfn.IFS(OR(X2275="N/A",X2275="NA"),0,OR(X2275="R64",X2275="R68"),1,X2275="R32",2,X2275="S16",3,X2275="E8",4,X2275="F4",5,X2275="2ND",6,X2275="Champions",7)</f>
        <v>1</v>
      </c>
      <c r="X2275" t="s">
        <v>422</v>
      </c>
      <c r="Y2275">
        <v>14</v>
      </c>
      <c r="Z2275">
        <v>2018</v>
      </c>
    </row>
    <row r="2276" spans="1:26" x14ac:dyDescent="0.3">
      <c r="A2276" t="s">
        <v>330</v>
      </c>
      <c r="B2276" t="s">
        <v>67</v>
      </c>
      <c r="C2276">
        <v>34</v>
      </c>
      <c r="D2276">
        <v>24</v>
      </c>
      <c r="E2276" s="1">
        <f t="shared" si="35"/>
        <v>0.70588235294117652</v>
      </c>
      <c r="F2276">
        <v>109.1</v>
      </c>
      <c r="G2276">
        <v>105.5</v>
      </c>
      <c r="H2276">
        <v>0.59609999999999996</v>
      </c>
      <c r="I2276">
        <v>55.9</v>
      </c>
      <c r="J2276">
        <v>50.7</v>
      </c>
      <c r="K2276">
        <v>19.3</v>
      </c>
      <c r="L2276">
        <v>17.8</v>
      </c>
      <c r="M2276">
        <v>30.2</v>
      </c>
      <c r="N2276">
        <v>27.1</v>
      </c>
      <c r="O2276">
        <v>28.4</v>
      </c>
      <c r="P2276">
        <v>28.2</v>
      </c>
      <c r="Q2276">
        <v>53.5</v>
      </c>
      <c r="R2276">
        <v>50.5</v>
      </c>
      <c r="S2276">
        <v>39.5</v>
      </c>
      <c r="T2276">
        <v>33.9</v>
      </c>
      <c r="U2276">
        <v>67.900000000000006</v>
      </c>
      <c r="V2276">
        <v>-4.4000000000000004</v>
      </c>
      <c r="W2276" cm="1">
        <f t="array" ref="W2276">_xlfn.IFS(OR(X2276="N/A",X2276="NA"),0,OR(X2276="R64",X2276="R68"),1,X2276="R32",2,X2276="S16",3,X2276="E8",4,X2276="F4",5,X2276="2ND",6,X2276="Champions",7)</f>
        <v>1</v>
      </c>
      <c r="X2276" t="s">
        <v>422</v>
      </c>
      <c r="Y2276">
        <v>15</v>
      </c>
      <c r="Z2276">
        <v>2019</v>
      </c>
    </row>
    <row r="2277" spans="1:26" x14ac:dyDescent="0.3">
      <c r="A2277" t="s">
        <v>344</v>
      </c>
      <c r="B2277" t="s">
        <v>58</v>
      </c>
      <c r="C2277">
        <v>35</v>
      </c>
      <c r="D2277">
        <v>22</v>
      </c>
      <c r="E2277" s="1">
        <f t="shared" si="35"/>
        <v>0.62857142857142856</v>
      </c>
      <c r="F2277">
        <v>108.8</v>
      </c>
      <c r="G2277">
        <v>106.6</v>
      </c>
      <c r="H2277">
        <v>0.55959999999999999</v>
      </c>
      <c r="I2277">
        <v>51.6</v>
      </c>
      <c r="J2277">
        <v>50.1</v>
      </c>
      <c r="K2277">
        <v>17.8</v>
      </c>
      <c r="L2277">
        <v>17.600000000000001</v>
      </c>
      <c r="M2277">
        <v>30.8</v>
      </c>
      <c r="N2277">
        <v>29.8</v>
      </c>
      <c r="O2277">
        <v>40.1</v>
      </c>
      <c r="P2277">
        <v>32.799999999999997</v>
      </c>
      <c r="Q2277">
        <v>50.9</v>
      </c>
      <c r="R2277">
        <v>49.5</v>
      </c>
      <c r="S2277">
        <v>35.1</v>
      </c>
      <c r="T2277">
        <v>34.1</v>
      </c>
      <c r="U2277">
        <v>69.400000000000006</v>
      </c>
      <c r="V2277">
        <v>-8.1</v>
      </c>
      <c r="W2277" cm="1">
        <f t="array" ref="W2277">_xlfn.IFS(OR(X2277="N/A",X2277="NA"),0,OR(X2277="R64",X2277="R68"),1,X2277="R32",2,X2277="S16",3,X2277="E8",4,X2277="F4",5,X2277="2ND",6,X2277="Champions",7)</f>
        <v>1</v>
      </c>
      <c r="X2277" t="s">
        <v>422</v>
      </c>
      <c r="Y2277">
        <v>15</v>
      </c>
      <c r="Z2277">
        <v>2017</v>
      </c>
    </row>
    <row r="2278" spans="1:26" x14ac:dyDescent="0.3">
      <c r="A2278" t="s">
        <v>346</v>
      </c>
      <c r="B2278" t="s">
        <v>58</v>
      </c>
      <c r="C2278">
        <v>33</v>
      </c>
      <c r="D2278">
        <v>24</v>
      </c>
      <c r="E2278" s="1">
        <f t="shared" si="35"/>
        <v>0.72727272727272729</v>
      </c>
      <c r="F2278">
        <v>108.8</v>
      </c>
      <c r="G2278">
        <v>101.5</v>
      </c>
      <c r="H2278">
        <v>0.68940000000000001</v>
      </c>
      <c r="I2278">
        <v>53.9</v>
      </c>
      <c r="J2278">
        <v>47.1</v>
      </c>
      <c r="K2278">
        <v>16.7</v>
      </c>
      <c r="L2278">
        <v>20.6</v>
      </c>
      <c r="M2278">
        <v>25.6</v>
      </c>
      <c r="N2278">
        <v>33.4</v>
      </c>
      <c r="O2278">
        <v>30.9</v>
      </c>
      <c r="P2278">
        <v>38.6</v>
      </c>
      <c r="Q2278">
        <v>50.9</v>
      </c>
      <c r="R2278">
        <v>44</v>
      </c>
      <c r="S2278">
        <v>38.700000000000003</v>
      </c>
      <c r="T2278">
        <v>33.799999999999997</v>
      </c>
      <c r="U2278">
        <v>67.7</v>
      </c>
      <c r="V2278">
        <v>-5.0999999999999996</v>
      </c>
      <c r="W2278" cm="1">
        <f t="array" ref="W2278">_xlfn.IFS(OR(X2278="N/A",X2278="NA"),0,OR(X2278="R64",X2278="R68"),1,X2278="R32",2,X2278="S16",3,X2278="E8",4,X2278="F4",5,X2278="2ND",6,X2278="Champions",7)</f>
        <v>1</v>
      </c>
      <c r="X2278" t="s">
        <v>422</v>
      </c>
      <c r="Y2278">
        <v>15</v>
      </c>
      <c r="Z2278">
        <v>2018</v>
      </c>
    </row>
    <row r="2279" spans="1:26" x14ac:dyDescent="0.3">
      <c r="A2279" t="s">
        <v>346</v>
      </c>
      <c r="B2279" t="s">
        <v>58</v>
      </c>
      <c r="C2279">
        <v>33</v>
      </c>
      <c r="D2279">
        <v>24</v>
      </c>
      <c r="E2279" s="1">
        <f t="shared" si="35"/>
        <v>0.72727272727272729</v>
      </c>
      <c r="F2279">
        <v>106.4</v>
      </c>
      <c r="G2279">
        <v>101.1</v>
      </c>
      <c r="H2279">
        <v>0.64180000000000004</v>
      </c>
      <c r="I2279">
        <v>53.7</v>
      </c>
      <c r="J2279">
        <v>50.3</v>
      </c>
      <c r="K2279">
        <v>16.399999999999999</v>
      </c>
      <c r="L2279">
        <v>21</v>
      </c>
      <c r="M2279">
        <v>23</v>
      </c>
      <c r="N2279">
        <v>33.799999999999997</v>
      </c>
      <c r="O2279">
        <v>35.4</v>
      </c>
      <c r="P2279">
        <v>30.9</v>
      </c>
      <c r="Q2279">
        <v>51.2</v>
      </c>
      <c r="R2279">
        <v>51.2</v>
      </c>
      <c r="S2279">
        <v>38.1</v>
      </c>
      <c r="T2279">
        <v>32.799999999999997</v>
      </c>
      <c r="U2279">
        <v>71.3</v>
      </c>
      <c r="V2279">
        <v>-1.3</v>
      </c>
      <c r="W2279" cm="1">
        <f t="array" ref="W2279">_xlfn.IFS(OR(X2279="N/A",X2279="NA"),0,OR(X2279="R64",X2279="R68"),1,X2279="R32",2,X2279="S16",3,X2279="E8",4,X2279="F4",5,X2279="2ND",6,X2279="Champions",7)</f>
        <v>1</v>
      </c>
      <c r="X2279" t="s">
        <v>422</v>
      </c>
      <c r="Y2279">
        <v>14</v>
      </c>
      <c r="Z2279">
        <v>2019</v>
      </c>
    </row>
    <row r="2280" spans="1:26" x14ac:dyDescent="0.3">
      <c r="A2280" t="s">
        <v>357</v>
      </c>
      <c r="B2280" t="s">
        <v>62</v>
      </c>
      <c r="C2280">
        <v>33</v>
      </c>
      <c r="D2280">
        <v>26</v>
      </c>
      <c r="E2280" s="1">
        <f t="shared" si="35"/>
        <v>0.78787878787878785</v>
      </c>
      <c r="F2280">
        <v>102.3</v>
      </c>
      <c r="G2280">
        <v>96.8</v>
      </c>
      <c r="H2280">
        <v>0.65469999999999995</v>
      </c>
      <c r="I2280">
        <v>51.1</v>
      </c>
      <c r="J2280">
        <v>47</v>
      </c>
      <c r="K2280">
        <v>17.2</v>
      </c>
      <c r="L2280">
        <v>20</v>
      </c>
      <c r="M2280">
        <v>29.4</v>
      </c>
      <c r="N2280">
        <v>27.7</v>
      </c>
      <c r="O2280">
        <v>37.6</v>
      </c>
      <c r="P2280">
        <v>36.4</v>
      </c>
      <c r="Q2280">
        <v>49.1</v>
      </c>
      <c r="R2280">
        <v>47.3</v>
      </c>
      <c r="S2280">
        <v>36.799999999999997</v>
      </c>
      <c r="T2280">
        <v>30.9</v>
      </c>
      <c r="U2280">
        <v>61.2</v>
      </c>
      <c r="V2280">
        <v>0.2</v>
      </c>
      <c r="W2280" cm="1">
        <f t="array" ref="W2280">_xlfn.IFS(OR(X2280="N/A",X2280="NA"),0,OR(X2280="R64",X2280="R68"),1,X2280="R32",2,X2280="S16",3,X2280="E8",4,X2280="F4",5,X2280="2ND",6,X2280="Champions",7)</f>
        <v>1</v>
      </c>
      <c r="X2280" t="s">
        <v>422</v>
      </c>
      <c r="Y2280">
        <v>12</v>
      </c>
      <c r="Z2280">
        <v>2015</v>
      </c>
    </row>
    <row r="2281" spans="1:26" x14ac:dyDescent="0.3">
      <c r="A2281" t="s">
        <v>348</v>
      </c>
      <c r="B2281" t="s">
        <v>62</v>
      </c>
      <c r="C2281">
        <v>33</v>
      </c>
      <c r="D2281">
        <v>27</v>
      </c>
      <c r="E2281" s="1">
        <f t="shared" si="35"/>
        <v>0.81818181818181823</v>
      </c>
      <c r="F2281">
        <v>105.6</v>
      </c>
      <c r="G2281">
        <v>100.8</v>
      </c>
      <c r="H2281">
        <v>0.62860000000000005</v>
      </c>
      <c r="I2281">
        <v>51.7</v>
      </c>
      <c r="J2281">
        <v>50.5</v>
      </c>
      <c r="K2281">
        <v>18</v>
      </c>
      <c r="L2281">
        <v>20.2</v>
      </c>
      <c r="M2281">
        <v>32.299999999999997</v>
      </c>
      <c r="N2281">
        <v>29</v>
      </c>
      <c r="O2281">
        <v>41.6</v>
      </c>
      <c r="P2281">
        <v>30.9</v>
      </c>
      <c r="Q2281">
        <v>50.7</v>
      </c>
      <c r="R2281">
        <v>50.5</v>
      </c>
      <c r="S2281">
        <v>35.6</v>
      </c>
      <c r="T2281">
        <v>33.700000000000003</v>
      </c>
      <c r="U2281">
        <v>67.3</v>
      </c>
      <c r="V2281">
        <v>0.4</v>
      </c>
      <c r="W2281" cm="1">
        <f t="array" ref="W2281">_xlfn.IFS(OR(X2281="N/A",X2281="NA"),0,OR(X2281="R64",X2281="R68"),1,X2281="R32",2,X2281="S16",3,X2281="E8",4,X2281="F4",5,X2281="2ND",6,X2281="Champions",7)</f>
        <v>1</v>
      </c>
      <c r="X2281" t="s">
        <v>422</v>
      </c>
      <c r="Y2281">
        <v>12</v>
      </c>
      <c r="Z2281">
        <v>2016</v>
      </c>
    </row>
    <row r="2282" spans="1:26" x14ac:dyDescent="0.3">
      <c r="A2282" t="s">
        <v>349</v>
      </c>
      <c r="B2282" t="s">
        <v>62</v>
      </c>
      <c r="C2282">
        <v>33</v>
      </c>
      <c r="D2282">
        <v>27</v>
      </c>
      <c r="E2282" s="1">
        <f t="shared" si="35"/>
        <v>0.81818181818181823</v>
      </c>
      <c r="F2282">
        <v>107.3</v>
      </c>
      <c r="G2282">
        <v>97.1</v>
      </c>
      <c r="H2282">
        <v>0.75949999999999995</v>
      </c>
      <c r="I2282">
        <v>55.8</v>
      </c>
      <c r="J2282">
        <v>48.7</v>
      </c>
      <c r="K2282">
        <v>20.8</v>
      </c>
      <c r="L2282">
        <v>22</v>
      </c>
      <c r="M2282">
        <v>30.1</v>
      </c>
      <c r="N2282">
        <v>27.4</v>
      </c>
      <c r="O2282">
        <v>42.8</v>
      </c>
      <c r="P2282">
        <v>38.200000000000003</v>
      </c>
      <c r="Q2282">
        <v>55</v>
      </c>
      <c r="R2282">
        <v>45.7</v>
      </c>
      <c r="S2282">
        <v>38.200000000000003</v>
      </c>
      <c r="T2282">
        <v>35.4</v>
      </c>
      <c r="U2282">
        <v>71.5</v>
      </c>
      <c r="V2282">
        <v>-0.7</v>
      </c>
      <c r="W2282" cm="1">
        <f t="array" ref="W2282">_xlfn.IFS(OR(X2282="N/A",X2282="NA"),0,OR(X2282="R64",X2282="R68"),1,X2282="R32",2,X2282="S16",3,X2282="E8",4,X2282="F4",5,X2282="2ND",6,X2282="Champions",7)</f>
        <v>1</v>
      </c>
      <c r="X2282" t="s">
        <v>422</v>
      </c>
      <c r="Y2282">
        <v>13</v>
      </c>
      <c r="Z2282">
        <v>2017</v>
      </c>
    </row>
    <row r="2283" spans="1:26" x14ac:dyDescent="0.3">
      <c r="A2283" t="s">
        <v>354</v>
      </c>
      <c r="B2283" t="s">
        <v>62</v>
      </c>
      <c r="C2283">
        <v>32</v>
      </c>
      <c r="D2283">
        <v>27</v>
      </c>
      <c r="E2283" s="1">
        <f t="shared" si="35"/>
        <v>0.84375</v>
      </c>
      <c r="F2283">
        <v>103.4</v>
      </c>
      <c r="G2283">
        <v>95.2</v>
      </c>
      <c r="H2283">
        <v>0.72070000000000001</v>
      </c>
      <c r="I2283">
        <v>51.7</v>
      </c>
      <c r="J2283">
        <v>47.5</v>
      </c>
      <c r="K2283">
        <v>19.8</v>
      </c>
      <c r="L2283">
        <v>21.4</v>
      </c>
      <c r="M2283">
        <v>33.700000000000003</v>
      </c>
      <c r="N2283">
        <v>23.9</v>
      </c>
      <c r="O2283">
        <v>26</v>
      </c>
      <c r="P2283">
        <v>39.200000000000003</v>
      </c>
      <c r="Q2283">
        <v>51.1</v>
      </c>
      <c r="R2283">
        <v>47.3</v>
      </c>
      <c r="S2283">
        <v>35</v>
      </c>
      <c r="T2283">
        <v>31.9</v>
      </c>
      <c r="U2283">
        <v>66.2</v>
      </c>
      <c r="V2283">
        <v>-1.6</v>
      </c>
      <c r="W2283" cm="1">
        <f t="array" ref="W2283">_xlfn.IFS(OR(X2283="N/A",X2283="NA"),0,OR(X2283="R64",X2283="R68"),1,X2283="R32",2,X2283="S16",3,X2283="E8",4,X2283="F4",5,X2283="2ND",6,X2283="Champions",7)</f>
        <v>1</v>
      </c>
      <c r="X2283" t="s">
        <v>422</v>
      </c>
      <c r="Y2283">
        <v>13</v>
      </c>
      <c r="Z2283">
        <v>2018</v>
      </c>
    </row>
    <row r="2284" spans="1:26" x14ac:dyDescent="0.3">
      <c r="A2284" t="s">
        <v>365</v>
      </c>
      <c r="B2284" t="s">
        <v>29</v>
      </c>
      <c r="C2284">
        <v>33</v>
      </c>
      <c r="D2284">
        <v>21</v>
      </c>
      <c r="E2284" s="1">
        <f t="shared" si="35"/>
        <v>0.63636363636363635</v>
      </c>
      <c r="F2284">
        <v>107.6</v>
      </c>
      <c r="G2284">
        <v>92.6</v>
      </c>
      <c r="H2284">
        <v>0.84819999999999995</v>
      </c>
      <c r="I2284">
        <v>48.5</v>
      </c>
      <c r="J2284">
        <v>44.4</v>
      </c>
      <c r="K2284">
        <v>19.2</v>
      </c>
      <c r="L2284">
        <v>16.7</v>
      </c>
      <c r="M2284">
        <v>32.200000000000003</v>
      </c>
      <c r="N2284">
        <v>28.5</v>
      </c>
      <c r="O2284">
        <v>47.7</v>
      </c>
      <c r="P2284">
        <v>34.299999999999997</v>
      </c>
      <c r="Q2284">
        <v>47.2</v>
      </c>
      <c r="R2284">
        <v>43.2</v>
      </c>
      <c r="S2284">
        <v>34.200000000000003</v>
      </c>
      <c r="T2284">
        <v>31.2</v>
      </c>
      <c r="U2284">
        <v>64.8</v>
      </c>
      <c r="V2284">
        <v>1.6</v>
      </c>
      <c r="W2284" cm="1">
        <f t="array" ref="W2284">_xlfn.IFS(OR(X2284="N/A",X2284="NA"),0,OR(X2284="R64",X2284="R68"),1,X2284="R32",2,X2284="S16",3,X2284="E8",4,X2284="F4",5,X2284="2ND",6,X2284="Champions",7)</f>
        <v>1</v>
      </c>
      <c r="X2284" t="s">
        <v>422</v>
      </c>
      <c r="Y2284">
        <v>10</v>
      </c>
      <c r="Z2284">
        <v>2015</v>
      </c>
    </row>
    <row r="2285" spans="1:26" x14ac:dyDescent="0.3">
      <c r="A2285" t="s">
        <v>366</v>
      </c>
      <c r="B2285" t="s">
        <v>29</v>
      </c>
      <c r="C2285">
        <v>33</v>
      </c>
      <c r="D2285">
        <v>22</v>
      </c>
      <c r="E2285" s="1">
        <f t="shared" si="35"/>
        <v>0.66666666666666663</v>
      </c>
      <c r="F2285">
        <v>107.8</v>
      </c>
      <c r="G2285">
        <v>92.8</v>
      </c>
      <c r="H2285">
        <v>0.84770000000000001</v>
      </c>
      <c r="I2285">
        <v>50.3</v>
      </c>
      <c r="J2285">
        <v>44.6</v>
      </c>
      <c r="K2285">
        <v>20.2</v>
      </c>
      <c r="L2285">
        <v>19.100000000000001</v>
      </c>
      <c r="M2285">
        <v>33.9</v>
      </c>
      <c r="N2285">
        <v>32.9</v>
      </c>
      <c r="O2285">
        <v>33.5</v>
      </c>
      <c r="P2285">
        <v>29.4</v>
      </c>
      <c r="Q2285">
        <v>50.1</v>
      </c>
      <c r="R2285">
        <v>43.9</v>
      </c>
      <c r="S2285">
        <v>33.9</v>
      </c>
      <c r="T2285">
        <v>30.9</v>
      </c>
      <c r="U2285">
        <v>70.099999999999994</v>
      </c>
      <c r="V2285">
        <v>0.5</v>
      </c>
      <c r="W2285" cm="1">
        <f t="array" ref="W2285">_xlfn.IFS(OR(X2285="N/A",X2285="NA"),0,OR(X2285="R64",X2285="R68"),1,X2285="R32",2,X2285="S16",3,X2285="E8",4,X2285="F4",5,X2285="2ND",6,X2285="Champions",7)</f>
        <v>1</v>
      </c>
      <c r="X2285" t="s">
        <v>422</v>
      </c>
      <c r="Y2285">
        <v>9</v>
      </c>
      <c r="Z2285">
        <v>2015</v>
      </c>
    </row>
    <row r="2286" spans="1:26" x14ac:dyDescent="0.3">
      <c r="A2286" t="s">
        <v>367</v>
      </c>
      <c r="B2286" t="s">
        <v>29</v>
      </c>
      <c r="C2286">
        <v>34</v>
      </c>
      <c r="D2286">
        <v>21</v>
      </c>
      <c r="E2286" s="1">
        <f t="shared" si="35"/>
        <v>0.61764705882352944</v>
      </c>
      <c r="F2286">
        <v>112.2</v>
      </c>
      <c r="G2286">
        <v>99.2</v>
      </c>
      <c r="H2286">
        <v>0.80369999999999997</v>
      </c>
      <c r="I2286">
        <v>47.8</v>
      </c>
      <c r="J2286">
        <v>47.6</v>
      </c>
      <c r="K2286">
        <v>16.5</v>
      </c>
      <c r="L2286">
        <v>18.7</v>
      </c>
      <c r="M2286">
        <v>34.799999999999997</v>
      </c>
      <c r="N2286">
        <v>31.4</v>
      </c>
      <c r="O2286">
        <v>36.1</v>
      </c>
      <c r="P2286">
        <v>41.2</v>
      </c>
      <c r="Q2286">
        <v>46.8</v>
      </c>
      <c r="R2286">
        <v>43.6</v>
      </c>
      <c r="S2286">
        <v>33.200000000000003</v>
      </c>
      <c r="T2286">
        <v>35.799999999999997</v>
      </c>
      <c r="U2286">
        <v>66.599999999999994</v>
      </c>
      <c r="V2286">
        <v>-0.5</v>
      </c>
      <c r="W2286" cm="1">
        <f t="array" ref="W2286">_xlfn.IFS(OR(X2286="N/A",X2286="NA"),0,OR(X2286="R64",X2286="R68"),1,X2286="R32",2,X2286="S16",3,X2286="E8",4,X2286="F4",5,X2286="2ND",6,X2286="Champions",7)</f>
        <v>1</v>
      </c>
      <c r="X2286" t="s">
        <v>422</v>
      </c>
      <c r="Y2286">
        <v>11</v>
      </c>
      <c r="Z2286">
        <v>2015</v>
      </c>
    </row>
    <row r="2287" spans="1:26" x14ac:dyDescent="0.3">
      <c r="A2287" t="s">
        <v>363</v>
      </c>
      <c r="B2287" t="s">
        <v>29</v>
      </c>
      <c r="C2287">
        <v>35</v>
      </c>
      <c r="D2287">
        <v>19</v>
      </c>
      <c r="E2287" s="1">
        <f t="shared" si="35"/>
        <v>0.54285714285714282</v>
      </c>
      <c r="F2287">
        <v>112.5</v>
      </c>
      <c r="G2287">
        <v>93.8</v>
      </c>
      <c r="H2287">
        <v>0.88980000000000004</v>
      </c>
      <c r="I2287">
        <v>52.1</v>
      </c>
      <c r="J2287">
        <v>48.1</v>
      </c>
      <c r="K2287">
        <v>18.2</v>
      </c>
      <c r="L2287">
        <v>16.100000000000001</v>
      </c>
      <c r="M2287">
        <v>24.8</v>
      </c>
      <c r="N2287">
        <v>27</v>
      </c>
      <c r="O2287">
        <v>34.799999999999997</v>
      </c>
      <c r="P2287">
        <v>30.7</v>
      </c>
      <c r="Q2287">
        <v>48.1</v>
      </c>
      <c r="R2287">
        <v>46.8</v>
      </c>
      <c r="S2287">
        <v>37.6</v>
      </c>
      <c r="T2287">
        <v>33.799999999999997</v>
      </c>
      <c r="U2287">
        <v>67</v>
      </c>
      <c r="V2287">
        <v>0.1</v>
      </c>
      <c r="W2287" cm="1">
        <f t="array" ref="W2287">_xlfn.IFS(OR(X2287="N/A",X2287="NA"),0,OR(X2287="R64",X2287="R68"),1,X2287="R32",2,X2287="S16",3,X2287="E8",4,X2287="F4",5,X2287="2ND",6,X2287="Champions",7)</f>
        <v>1</v>
      </c>
      <c r="X2287" t="s">
        <v>422</v>
      </c>
      <c r="Y2287">
        <v>9</v>
      </c>
      <c r="Z2287">
        <v>2017</v>
      </c>
    </row>
    <row r="2288" spans="1:26" x14ac:dyDescent="0.3">
      <c r="A2288" t="s">
        <v>364</v>
      </c>
      <c r="B2288" t="s">
        <v>29</v>
      </c>
      <c r="C2288">
        <v>35</v>
      </c>
      <c r="D2288">
        <v>23</v>
      </c>
      <c r="E2288" s="1">
        <f t="shared" si="35"/>
        <v>0.65714285714285714</v>
      </c>
      <c r="F2288">
        <v>116.7</v>
      </c>
      <c r="G2288">
        <v>100.4</v>
      </c>
      <c r="H2288">
        <v>0.84830000000000005</v>
      </c>
      <c r="I2288">
        <v>53.8</v>
      </c>
      <c r="J2288">
        <v>50.4</v>
      </c>
      <c r="K2288">
        <v>15.1</v>
      </c>
      <c r="L2288">
        <v>19.399999999999999</v>
      </c>
      <c r="M2288">
        <v>28.8</v>
      </c>
      <c r="N2288">
        <v>31.7</v>
      </c>
      <c r="O2288">
        <v>37.4</v>
      </c>
      <c r="P2288">
        <v>40.799999999999997</v>
      </c>
      <c r="Q2288">
        <v>51.2</v>
      </c>
      <c r="R2288">
        <v>48.2</v>
      </c>
      <c r="S2288">
        <v>39.5</v>
      </c>
      <c r="T2288">
        <v>35.700000000000003</v>
      </c>
      <c r="U2288">
        <v>71.099999999999994</v>
      </c>
      <c r="V2288">
        <v>2.8</v>
      </c>
      <c r="W2288" cm="1">
        <f t="array" ref="W2288">_xlfn.IFS(OR(X2288="N/A",X2288="NA"),0,OR(X2288="R64",X2288="R68"),1,X2288="R32",2,X2288="S16",3,X2288="E8",4,X2288="F4",5,X2288="2ND",6,X2288="Champions",7)</f>
        <v>1</v>
      </c>
      <c r="X2288" t="s">
        <v>422</v>
      </c>
      <c r="Y2288">
        <v>7</v>
      </c>
      <c r="Z2288">
        <v>2018</v>
      </c>
    </row>
    <row r="2289" spans="1:26" x14ac:dyDescent="0.3">
      <c r="A2289" t="s">
        <v>360</v>
      </c>
      <c r="B2289" t="s">
        <v>29</v>
      </c>
      <c r="C2289">
        <v>32</v>
      </c>
      <c r="D2289">
        <v>20</v>
      </c>
      <c r="E2289" s="1">
        <f t="shared" si="35"/>
        <v>0.625</v>
      </c>
      <c r="F2289">
        <v>111</v>
      </c>
      <c r="G2289">
        <v>96</v>
      </c>
      <c r="H2289">
        <v>0.84199999999999997</v>
      </c>
      <c r="I2289">
        <v>54.1</v>
      </c>
      <c r="J2289">
        <v>46.7</v>
      </c>
      <c r="K2289">
        <v>20.8</v>
      </c>
      <c r="L2289">
        <v>16</v>
      </c>
      <c r="M2289">
        <v>30.3</v>
      </c>
      <c r="N2289">
        <v>27.9</v>
      </c>
      <c r="O2289">
        <v>38.299999999999997</v>
      </c>
      <c r="P2289">
        <v>30.3</v>
      </c>
      <c r="Q2289">
        <v>50.3</v>
      </c>
      <c r="R2289">
        <v>45.4</v>
      </c>
      <c r="S2289">
        <v>39</v>
      </c>
      <c r="T2289">
        <v>32.700000000000003</v>
      </c>
      <c r="U2289">
        <v>66.8</v>
      </c>
      <c r="V2289">
        <v>0.4</v>
      </c>
      <c r="W2289" cm="1">
        <f t="array" ref="W2289">_xlfn.IFS(OR(X2289="N/A",X2289="NA"),0,OR(X2289="R64",X2289="R68"),1,X2289="R32",2,X2289="S16",3,X2289="E8",4,X2289="F4",5,X2289="2ND",6,X2289="Champions",7)</f>
        <v>1</v>
      </c>
      <c r="X2289" t="s">
        <v>422</v>
      </c>
      <c r="Y2289">
        <v>8</v>
      </c>
      <c r="Z2289">
        <v>2018</v>
      </c>
    </row>
    <row r="2290" spans="1:26" x14ac:dyDescent="0.3">
      <c r="A2290" t="s">
        <v>367</v>
      </c>
      <c r="B2290" t="s">
        <v>29</v>
      </c>
      <c r="C2290">
        <v>33</v>
      </c>
      <c r="D2290">
        <v>20</v>
      </c>
      <c r="E2290" s="1">
        <f t="shared" si="35"/>
        <v>0.60606060606060608</v>
      </c>
      <c r="F2290">
        <v>113.3</v>
      </c>
      <c r="G2290">
        <v>97.9</v>
      </c>
      <c r="H2290">
        <v>0.84330000000000005</v>
      </c>
      <c r="I2290">
        <v>53.1</v>
      </c>
      <c r="J2290">
        <v>51</v>
      </c>
      <c r="K2290">
        <v>18.2</v>
      </c>
      <c r="L2290">
        <v>20.6</v>
      </c>
      <c r="M2290">
        <v>30.2</v>
      </c>
      <c r="N2290">
        <v>29.3</v>
      </c>
      <c r="O2290">
        <v>30.9</v>
      </c>
      <c r="P2290">
        <v>33.5</v>
      </c>
      <c r="Q2290">
        <v>52.7</v>
      </c>
      <c r="R2290">
        <v>48.2</v>
      </c>
      <c r="S2290">
        <v>35.799999999999997</v>
      </c>
      <c r="T2290">
        <v>37.4</v>
      </c>
      <c r="U2290">
        <v>69.7</v>
      </c>
      <c r="V2290">
        <v>0.9</v>
      </c>
      <c r="W2290" cm="1">
        <f t="array" ref="W2290">_xlfn.IFS(OR(X2290="N/A",X2290="NA"),0,OR(X2290="R64",X2290="R68"),1,X2290="R32",2,X2290="S16",3,X2290="E8",4,X2290="F4",5,X2290="2ND",6,X2290="Champions",7)</f>
        <v>1</v>
      </c>
      <c r="X2290" t="s">
        <v>422</v>
      </c>
      <c r="Y2290">
        <v>8</v>
      </c>
      <c r="Z2290">
        <v>2019</v>
      </c>
    </row>
    <row r="2291" spans="1:26" x14ac:dyDescent="0.3">
      <c r="A2291" t="s">
        <v>359</v>
      </c>
      <c r="B2291" t="s">
        <v>29</v>
      </c>
      <c r="C2291">
        <v>34</v>
      </c>
      <c r="D2291">
        <v>23</v>
      </c>
      <c r="E2291" s="1">
        <f t="shared" si="35"/>
        <v>0.67647058823529416</v>
      </c>
      <c r="F2291">
        <v>116.9</v>
      </c>
      <c r="G2291">
        <v>96.8</v>
      </c>
      <c r="H2291">
        <v>0.89800000000000002</v>
      </c>
      <c r="I2291">
        <v>54.6</v>
      </c>
      <c r="J2291">
        <v>50.3</v>
      </c>
      <c r="K2291">
        <v>19.2</v>
      </c>
      <c r="L2291">
        <v>19.5</v>
      </c>
      <c r="M2291">
        <v>34.700000000000003</v>
      </c>
      <c r="N2291">
        <v>29.6</v>
      </c>
      <c r="O2291">
        <v>32.700000000000003</v>
      </c>
      <c r="P2291">
        <v>32.1</v>
      </c>
      <c r="Q2291">
        <v>53.4</v>
      </c>
      <c r="R2291">
        <v>48.4</v>
      </c>
      <c r="S2291">
        <v>37.700000000000003</v>
      </c>
      <c r="T2291">
        <v>35.700000000000003</v>
      </c>
      <c r="U2291">
        <v>69</v>
      </c>
      <c r="V2291">
        <v>4.5</v>
      </c>
      <c r="W2291" cm="1">
        <f t="array" ref="W2291">_xlfn.IFS(OR(X2291="N/A",X2291="NA"),0,OR(X2291="R64",X2291="R68"),1,X2291="R32",2,X2291="S16",3,X2291="E8",4,X2291="F4",5,X2291="2ND",6,X2291="Champions",7)</f>
        <v>1</v>
      </c>
      <c r="X2291" t="s">
        <v>422</v>
      </c>
      <c r="Y2291">
        <v>5</v>
      </c>
      <c r="Z2291">
        <v>2019</v>
      </c>
    </row>
    <row r="2292" spans="1:26" x14ac:dyDescent="0.3">
      <c r="A2292" t="s">
        <v>380</v>
      </c>
      <c r="B2292" t="s">
        <v>61</v>
      </c>
      <c r="C2292">
        <v>31</v>
      </c>
      <c r="D2292">
        <v>26</v>
      </c>
      <c r="E2292" s="1">
        <f t="shared" si="35"/>
        <v>0.83870967741935487</v>
      </c>
      <c r="F2292">
        <v>111</v>
      </c>
      <c r="G2292">
        <v>98.8</v>
      </c>
      <c r="H2292">
        <v>0.79190000000000005</v>
      </c>
      <c r="I2292">
        <v>55.6</v>
      </c>
      <c r="J2292">
        <v>49</v>
      </c>
      <c r="K2292">
        <v>20.3</v>
      </c>
      <c r="L2292">
        <v>24.5</v>
      </c>
      <c r="M2292">
        <v>37.6</v>
      </c>
      <c r="N2292">
        <v>29.6</v>
      </c>
      <c r="O2292">
        <v>41.9</v>
      </c>
      <c r="P2292">
        <v>49.1</v>
      </c>
      <c r="Q2292">
        <v>55.4</v>
      </c>
      <c r="R2292">
        <v>48.3</v>
      </c>
      <c r="S2292">
        <v>37.299999999999997</v>
      </c>
      <c r="T2292">
        <v>33.700000000000003</v>
      </c>
      <c r="U2292">
        <v>66.400000000000006</v>
      </c>
      <c r="V2292">
        <v>1.2</v>
      </c>
      <c r="W2292" cm="1">
        <f t="array" ref="W2292">_xlfn.IFS(OR(X2292="N/A",X2292="NA"),0,OR(X2292="R64",X2292="R68"),1,X2292="R32",2,X2292="S16",3,X2292="E8",4,X2292="F4",5,X2292="2ND",6,X2292="Champions",7)</f>
        <v>1</v>
      </c>
      <c r="X2292" t="s">
        <v>422</v>
      </c>
      <c r="Y2292">
        <v>12</v>
      </c>
      <c r="Z2292">
        <v>2015</v>
      </c>
    </row>
    <row r="2293" spans="1:26" x14ac:dyDescent="0.3">
      <c r="A2293" t="s">
        <v>380</v>
      </c>
      <c r="B2293" t="s">
        <v>61</v>
      </c>
      <c r="C2293">
        <v>31</v>
      </c>
      <c r="D2293">
        <v>28</v>
      </c>
      <c r="E2293" s="1">
        <f t="shared" si="35"/>
        <v>0.90322580645161288</v>
      </c>
      <c r="F2293">
        <v>103.8</v>
      </c>
      <c r="G2293">
        <v>97.1</v>
      </c>
      <c r="H2293">
        <v>0.68320000000000003</v>
      </c>
      <c r="I2293">
        <v>53.1</v>
      </c>
      <c r="J2293">
        <v>49.7</v>
      </c>
      <c r="K2293">
        <v>20.7</v>
      </c>
      <c r="L2293">
        <v>25.9</v>
      </c>
      <c r="M2293">
        <v>32</v>
      </c>
      <c r="N2293">
        <v>28.5</v>
      </c>
      <c r="O2293">
        <v>40.5</v>
      </c>
      <c r="P2293">
        <v>50.3</v>
      </c>
      <c r="Q2293">
        <v>51.7</v>
      </c>
      <c r="R2293">
        <v>47.4</v>
      </c>
      <c r="S2293">
        <v>37.4</v>
      </c>
      <c r="T2293">
        <v>35.6</v>
      </c>
      <c r="U2293">
        <v>72.099999999999994</v>
      </c>
      <c r="V2293">
        <v>-1.8</v>
      </c>
      <c r="W2293" cm="1">
        <f t="array" ref="W2293">_xlfn.IFS(OR(X2293="N/A",X2293="NA"),0,OR(X2293="R64",X2293="R68"),1,X2293="R32",2,X2293="S16",3,X2293="E8",4,X2293="F4",5,X2293="2ND",6,X2293="Champions",7)</f>
        <v>1</v>
      </c>
      <c r="X2293" t="s">
        <v>422</v>
      </c>
      <c r="Y2293">
        <v>14</v>
      </c>
      <c r="Z2293">
        <v>2018</v>
      </c>
    </row>
    <row r="2294" spans="1:26" x14ac:dyDescent="0.3">
      <c r="A2294" t="s">
        <v>368</v>
      </c>
      <c r="B2294" t="s">
        <v>61</v>
      </c>
      <c r="C2294">
        <v>30</v>
      </c>
      <c r="D2294">
        <v>27</v>
      </c>
      <c r="E2294" s="1">
        <f t="shared" si="35"/>
        <v>0.9</v>
      </c>
      <c r="F2294">
        <v>100.9</v>
      </c>
      <c r="G2294">
        <v>100.7</v>
      </c>
      <c r="H2294">
        <v>0.50639999999999996</v>
      </c>
      <c r="I2294">
        <v>51.9</v>
      </c>
      <c r="J2294">
        <v>49.8</v>
      </c>
      <c r="K2294">
        <v>17.3</v>
      </c>
      <c r="L2294">
        <v>23.3</v>
      </c>
      <c r="M2294">
        <v>27</v>
      </c>
      <c r="N2294">
        <v>28.5</v>
      </c>
      <c r="O2294">
        <v>34</v>
      </c>
      <c r="P2294">
        <v>38.299999999999997</v>
      </c>
      <c r="Q2294">
        <v>49.5</v>
      </c>
      <c r="R2294">
        <v>49.8</v>
      </c>
      <c r="S2294">
        <v>37.700000000000003</v>
      </c>
      <c r="T2294">
        <v>33.299999999999997</v>
      </c>
      <c r="U2294">
        <v>67.099999999999994</v>
      </c>
      <c r="V2294">
        <v>-2.6</v>
      </c>
      <c r="W2294" cm="1">
        <f t="array" ref="W2294">_xlfn.IFS(OR(X2294="N/A",X2294="NA"),0,OR(X2294="R64",X2294="R68"),1,X2294="R32",2,X2294="S16",3,X2294="E8",4,X2294="F4",5,X2294="2ND",6,X2294="Champions",7)</f>
        <v>1</v>
      </c>
      <c r="X2294" t="s">
        <v>422</v>
      </c>
      <c r="Y2294">
        <v>15</v>
      </c>
      <c r="Z2294">
        <v>2019</v>
      </c>
    </row>
    <row r="2295" spans="1:26" x14ac:dyDescent="0.3">
      <c r="A2295" t="s">
        <v>388</v>
      </c>
      <c r="B2295" t="s">
        <v>72</v>
      </c>
      <c r="C2295">
        <v>31</v>
      </c>
      <c r="D2295">
        <v>21</v>
      </c>
      <c r="E2295" s="1">
        <f t="shared" si="35"/>
        <v>0.67741935483870963</v>
      </c>
      <c r="F2295">
        <v>100.8</v>
      </c>
      <c r="G2295">
        <v>100.7</v>
      </c>
      <c r="H2295">
        <v>0.50349999999999995</v>
      </c>
      <c r="I2295">
        <v>49.7</v>
      </c>
      <c r="J2295">
        <v>48.1</v>
      </c>
      <c r="K2295">
        <v>16</v>
      </c>
      <c r="L2295">
        <v>16.5</v>
      </c>
      <c r="M2295">
        <v>26.1</v>
      </c>
      <c r="N2295">
        <v>23.7</v>
      </c>
      <c r="O2295">
        <v>35.700000000000003</v>
      </c>
      <c r="P2295">
        <v>30.7</v>
      </c>
      <c r="Q2295">
        <v>45.5</v>
      </c>
      <c r="R2295">
        <v>45</v>
      </c>
      <c r="S2295">
        <v>38.200000000000003</v>
      </c>
      <c r="T2295">
        <v>36.200000000000003</v>
      </c>
      <c r="U2295">
        <v>61.5</v>
      </c>
      <c r="V2295">
        <v>-3.9</v>
      </c>
      <c r="W2295" cm="1">
        <f t="array" ref="W2295">_xlfn.IFS(OR(X2295="N/A",X2295="NA"),0,OR(X2295="R64",X2295="R68"),1,X2295="R32",2,X2295="S16",3,X2295="E8",4,X2295="F4",5,X2295="2ND",6,X2295="Champions",7)</f>
        <v>1</v>
      </c>
      <c r="X2295" t="s">
        <v>422</v>
      </c>
      <c r="Y2295">
        <v>15</v>
      </c>
      <c r="Z2295">
        <v>2015</v>
      </c>
    </row>
    <row r="2296" spans="1:26" x14ac:dyDescent="0.3">
      <c r="A2296" t="s">
        <v>386</v>
      </c>
      <c r="B2296" t="s">
        <v>72</v>
      </c>
      <c r="C2296">
        <v>32</v>
      </c>
      <c r="D2296">
        <v>24</v>
      </c>
      <c r="E2296" s="1">
        <f t="shared" si="35"/>
        <v>0.75</v>
      </c>
      <c r="F2296">
        <v>110.5</v>
      </c>
      <c r="G2296">
        <v>101.1</v>
      </c>
      <c r="H2296">
        <v>0.73699999999999999</v>
      </c>
      <c r="I2296">
        <v>51.3</v>
      </c>
      <c r="J2296">
        <v>48</v>
      </c>
      <c r="K2296">
        <v>17.100000000000001</v>
      </c>
      <c r="L2296">
        <v>17.2</v>
      </c>
      <c r="M2296">
        <v>32.4</v>
      </c>
      <c r="N2296">
        <v>25.5</v>
      </c>
      <c r="O2296">
        <v>40.200000000000003</v>
      </c>
      <c r="P2296">
        <v>40.200000000000003</v>
      </c>
      <c r="Q2296">
        <v>49.7</v>
      </c>
      <c r="R2296">
        <v>47.1</v>
      </c>
      <c r="S2296">
        <v>36.1</v>
      </c>
      <c r="T2296">
        <v>33.299999999999997</v>
      </c>
      <c r="U2296">
        <v>69.2</v>
      </c>
      <c r="V2296">
        <v>-1.2</v>
      </c>
      <c r="W2296" cm="1">
        <f t="array" ref="W2296">_xlfn.IFS(OR(X2296="N/A",X2296="NA"),0,OR(X2296="R64",X2296="R68"),1,X2296="R32",2,X2296="S16",3,X2296="E8",4,X2296="F4",5,X2296="2ND",6,X2296="Champions",7)</f>
        <v>1</v>
      </c>
      <c r="X2296" t="s">
        <v>422</v>
      </c>
      <c r="Y2296">
        <v>12</v>
      </c>
      <c r="Z2296">
        <v>2016</v>
      </c>
    </row>
    <row r="2297" spans="1:26" x14ac:dyDescent="0.3">
      <c r="A2297" t="s">
        <v>386</v>
      </c>
      <c r="B2297" t="s">
        <v>72</v>
      </c>
      <c r="C2297">
        <v>33</v>
      </c>
      <c r="D2297">
        <v>18</v>
      </c>
      <c r="E2297" s="1">
        <f t="shared" si="35"/>
        <v>0.54545454545454541</v>
      </c>
      <c r="F2297">
        <v>108.2</v>
      </c>
      <c r="G2297">
        <v>109.7</v>
      </c>
      <c r="H2297">
        <v>0.4612</v>
      </c>
      <c r="I2297">
        <v>53.2</v>
      </c>
      <c r="J2297">
        <v>53.8</v>
      </c>
      <c r="K2297">
        <v>18.399999999999999</v>
      </c>
      <c r="L2297">
        <v>16.2</v>
      </c>
      <c r="M2297">
        <v>27.1</v>
      </c>
      <c r="N2297">
        <v>28.9</v>
      </c>
      <c r="O2297">
        <v>39.9</v>
      </c>
      <c r="P2297">
        <v>27.1</v>
      </c>
      <c r="Q2297">
        <v>52.7</v>
      </c>
      <c r="R2297">
        <v>52.4</v>
      </c>
      <c r="S2297">
        <v>35.799999999999997</v>
      </c>
      <c r="T2297">
        <v>36.9</v>
      </c>
      <c r="U2297">
        <v>68.5</v>
      </c>
      <c r="V2297">
        <v>-9.8000000000000007</v>
      </c>
      <c r="W2297" cm="1">
        <f t="array" ref="W2297">_xlfn.IFS(OR(X2297="N/A",X2297="NA"),0,OR(X2297="R64",X2297="R68"),1,X2297="R32",2,X2297="S16",3,X2297="E8",4,X2297="F4",5,X2297="2ND",6,X2297="Champions",7)</f>
        <v>1</v>
      </c>
      <c r="X2297" t="s">
        <v>422</v>
      </c>
      <c r="Y2297">
        <v>16</v>
      </c>
      <c r="Z2297">
        <v>2017</v>
      </c>
    </row>
    <row r="2298" spans="1:26" x14ac:dyDescent="0.3">
      <c r="A2298" t="s">
        <v>386</v>
      </c>
      <c r="B2298" t="s">
        <v>72</v>
      </c>
      <c r="C2298">
        <v>31</v>
      </c>
      <c r="D2298">
        <v>28</v>
      </c>
      <c r="E2298" s="1">
        <f t="shared" si="35"/>
        <v>0.90322580645161288</v>
      </c>
      <c r="F2298">
        <v>113.2</v>
      </c>
      <c r="G2298">
        <v>100.4</v>
      </c>
      <c r="H2298">
        <v>0.79890000000000005</v>
      </c>
      <c r="I2298">
        <v>54.3</v>
      </c>
      <c r="J2298">
        <v>50</v>
      </c>
      <c r="K2298">
        <v>14</v>
      </c>
      <c r="L2298">
        <v>14.2</v>
      </c>
      <c r="M2298">
        <v>24.6</v>
      </c>
      <c r="N2298">
        <v>23.3</v>
      </c>
      <c r="O2298">
        <v>35.4</v>
      </c>
      <c r="P2298">
        <v>25.6</v>
      </c>
      <c r="Q2298">
        <v>50.7</v>
      </c>
      <c r="R2298">
        <v>49.8</v>
      </c>
      <c r="S2298">
        <v>39.299999999999997</v>
      </c>
      <c r="T2298">
        <v>33.6</v>
      </c>
      <c r="U2298">
        <v>71.5</v>
      </c>
      <c r="V2298">
        <v>0.6</v>
      </c>
      <c r="W2298" cm="1">
        <f t="array" ref="W2298">_xlfn.IFS(OR(X2298="N/A",X2298="NA"),0,OR(X2298="R64",X2298="R68"),1,X2298="R32",2,X2298="S16",3,X2298="E8",4,X2298="F4",5,X2298="2ND",6,X2298="Champions",7)</f>
        <v>1</v>
      </c>
      <c r="X2298" t="s">
        <v>422</v>
      </c>
      <c r="Y2298">
        <v>12</v>
      </c>
      <c r="Z2298">
        <v>2018</v>
      </c>
    </row>
    <row r="2299" spans="1:26" x14ac:dyDescent="0.3">
      <c r="A2299" t="s">
        <v>388</v>
      </c>
      <c r="B2299" t="s">
        <v>72</v>
      </c>
      <c r="C2299">
        <v>33</v>
      </c>
      <c r="D2299">
        <v>19</v>
      </c>
      <c r="E2299" s="1">
        <f t="shared" si="35"/>
        <v>0.5757575757575758</v>
      </c>
      <c r="F2299">
        <v>106.6</v>
      </c>
      <c r="G2299">
        <v>109</v>
      </c>
      <c r="H2299">
        <v>0.43690000000000001</v>
      </c>
      <c r="I2299">
        <v>53.5</v>
      </c>
      <c r="J2299">
        <v>53.6</v>
      </c>
      <c r="K2299">
        <v>15.7</v>
      </c>
      <c r="L2299">
        <v>14.4</v>
      </c>
      <c r="M2299">
        <v>20.7</v>
      </c>
      <c r="N2299">
        <v>25.9</v>
      </c>
      <c r="O2299">
        <v>32.200000000000003</v>
      </c>
      <c r="P2299">
        <v>26.5</v>
      </c>
      <c r="Q2299">
        <v>52.1</v>
      </c>
      <c r="R2299">
        <v>52.6</v>
      </c>
      <c r="S2299">
        <v>36.700000000000003</v>
      </c>
      <c r="T2299">
        <v>37</v>
      </c>
      <c r="U2299">
        <v>66.5</v>
      </c>
      <c r="V2299">
        <v>-8.6</v>
      </c>
      <c r="W2299" cm="1">
        <f t="array" ref="W2299">_xlfn.IFS(OR(X2299="N/A",X2299="NA"),0,OR(X2299="R64",X2299="R68"),1,X2299="R32",2,X2299="S16",3,X2299="E8",4,X2299="F4",5,X2299="2ND",6,X2299="Champions",7)</f>
        <v>1</v>
      </c>
      <c r="X2299" t="s">
        <v>422</v>
      </c>
      <c r="Y2299">
        <v>16</v>
      </c>
      <c r="Z2299">
        <v>2019</v>
      </c>
    </row>
    <row r="2300" spans="1:26" x14ac:dyDescent="0.3">
      <c r="A2300" t="s">
        <v>399</v>
      </c>
      <c r="B2300" t="s">
        <v>76</v>
      </c>
      <c r="C2300">
        <v>35</v>
      </c>
      <c r="D2300">
        <v>22</v>
      </c>
      <c r="E2300" s="1">
        <f t="shared" si="35"/>
        <v>0.62857142857142856</v>
      </c>
      <c r="F2300">
        <v>101.9</v>
      </c>
      <c r="G2300">
        <v>108.1</v>
      </c>
      <c r="H2300">
        <v>0.33710000000000001</v>
      </c>
      <c r="I2300">
        <v>49.5</v>
      </c>
      <c r="J2300">
        <v>49.3</v>
      </c>
      <c r="K2300">
        <v>19.7</v>
      </c>
      <c r="L2300">
        <v>18.7</v>
      </c>
      <c r="M2300">
        <v>33.799999999999997</v>
      </c>
      <c r="N2300">
        <v>34.6</v>
      </c>
      <c r="O2300">
        <v>46.8</v>
      </c>
      <c r="P2300">
        <v>33.1</v>
      </c>
      <c r="Q2300">
        <v>50</v>
      </c>
      <c r="R2300">
        <v>48.5</v>
      </c>
      <c r="S2300">
        <v>32.200000000000003</v>
      </c>
      <c r="T2300">
        <v>34.4</v>
      </c>
      <c r="U2300">
        <v>63.7</v>
      </c>
      <c r="V2300">
        <v>-4.5</v>
      </c>
      <c r="W2300" cm="1">
        <f t="array" ref="W2300">_xlfn.IFS(OR(X2300="N/A",X2300="NA"),0,OR(X2300="R64",X2300="R68"),1,X2300="R32",2,X2300="S16",3,X2300="E8",4,X2300="F4",5,X2300="2ND",6,X2300="Champions",7)</f>
        <v>1</v>
      </c>
      <c r="X2300" t="s">
        <v>422</v>
      </c>
      <c r="Y2300">
        <v>15</v>
      </c>
      <c r="Z2300">
        <v>2015</v>
      </c>
    </row>
    <row r="2301" spans="1:26" x14ac:dyDescent="0.3">
      <c r="A2301" t="s">
        <v>399</v>
      </c>
      <c r="B2301" t="s">
        <v>76</v>
      </c>
      <c r="C2301">
        <v>35</v>
      </c>
      <c r="D2301">
        <v>23</v>
      </c>
      <c r="E2301" s="1">
        <f t="shared" si="35"/>
        <v>0.65714285714285714</v>
      </c>
      <c r="F2301">
        <v>100.6</v>
      </c>
      <c r="G2301">
        <v>106.5</v>
      </c>
      <c r="H2301">
        <v>0.34370000000000001</v>
      </c>
      <c r="I2301">
        <v>48.1</v>
      </c>
      <c r="J2301">
        <v>49.1</v>
      </c>
      <c r="K2301">
        <v>16.600000000000001</v>
      </c>
      <c r="L2301">
        <v>19.2</v>
      </c>
      <c r="M2301">
        <v>31.7</v>
      </c>
      <c r="N2301">
        <v>34.9</v>
      </c>
      <c r="O2301">
        <v>44.3</v>
      </c>
      <c r="P2301">
        <v>32.299999999999997</v>
      </c>
      <c r="Q2301">
        <v>50</v>
      </c>
      <c r="R2301">
        <v>49.3</v>
      </c>
      <c r="S2301">
        <v>29.6</v>
      </c>
      <c r="T2301">
        <v>32.5</v>
      </c>
      <c r="U2301">
        <v>70</v>
      </c>
      <c r="V2301">
        <v>-4.4000000000000004</v>
      </c>
      <c r="W2301" cm="1">
        <f t="array" ref="W2301">_xlfn.IFS(OR(X2301="N/A",X2301="NA"),0,OR(X2301="R64",X2301="R68"),1,X2301="R32",2,X2301="S16",3,X2301="E8",4,X2301="F4",5,X2301="2ND",6,X2301="Champions",7)</f>
        <v>1</v>
      </c>
      <c r="X2301" t="s">
        <v>422</v>
      </c>
      <c r="Y2301">
        <v>16</v>
      </c>
      <c r="Z2301">
        <v>2017</v>
      </c>
    </row>
    <row r="2302" spans="1:26" x14ac:dyDescent="0.3">
      <c r="A2302" t="s">
        <v>399</v>
      </c>
      <c r="B2302" t="s">
        <v>76</v>
      </c>
      <c r="C2302">
        <v>36</v>
      </c>
      <c r="D2302">
        <v>16</v>
      </c>
      <c r="E2302" s="1">
        <f t="shared" si="35"/>
        <v>0.44444444444444442</v>
      </c>
      <c r="F2302">
        <v>104.1</v>
      </c>
      <c r="G2302">
        <v>112.4</v>
      </c>
      <c r="H2302">
        <v>0.29299999999999998</v>
      </c>
      <c r="I2302">
        <v>50.5</v>
      </c>
      <c r="J2302">
        <v>51.2</v>
      </c>
      <c r="K2302">
        <v>17.2</v>
      </c>
      <c r="L2302">
        <v>16.2</v>
      </c>
      <c r="M2302">
        <v>28.5</v>
      </c>
      <c r="N2302">
        <v>32.5</v>
      </c>
      <c r="O2302">
        <v>42.9</v>
      </c>
      <c r="P2302">
        <v>31.2</v>
      </c>
      <c r="Q2302">
        <v>48.5</v>
      </c>
      <c r="R2302">
        <v>49.4</v>
      </c>
      <c r="S2302">
        <v>35.9</v>
      </c>
      <c r="T2302">
        <v>36.6</v>
      </c>
      <c r="U2302">
        <v>72.599999999999994</v>
      </c>
      <c r="V2302">
        <v>-10.9</v>
      </c>
      <c r="W2302" cm="1">
        <f t="array" ref="W2302">_xlfn.IFS(OR(X2302="N/A",X2302="NA"),0,OR(X2302="R64",X2302="R68"),1,X2302="R32",2,X2302="S16",3,X2302="E8",4,X2302="F4",5,X2302="2ND",6,X2302="Champions",7)</f>
        <v>1</v>
      </c>
      <c r="X2302" t="s">
        <v>422</v>
      </c>
      <c r="Y2302">
        <v>16</v>
      </c>
      <c r="Z2302">
        <v>2018</v>
      </c>
    </row>
    <row r="2303" spans="1:26" x14ac:dyDescent="0.3">
      <c r="A2303" t="s">
        <v>407</v>
      </c>
      <c r="B2303" t="s">
        <v>51</v>
      </c>
      <c r="C2303">
        <v>32</v>
      </c>
      <c r="D2303">
        <v>21</v>
      </c>
      <c r="E2303" s="1">
        <f t="shared" si="35"/>
        <v>0.65625</v>
      </c>
      <c r="F2303">
        <v>103.9</v>
      </c>
      <c r="G2303">
        <v>98.1</v>
      </c>
      <c r="H2303">
        <v>0.6613</v>
      </c>
      <c r="I2303">
        <v>50.6</v>
      </c>
      <c r="J2303">
        <v>46.4</v>
      </c>
      <c r="K2303">
        <v>21.8</v>
      </c>
      <c r="L2303">
        <v>20.6</v>
      </c>
      <c r="M2303">
        <v>39.299999999999997</v>
      </c>
      <c r="N2303">
        <v>31</v>
      </c>
      <c r="O2303">
        <v>44.3</v>
      </c>
      <c r="P2303">
        <v>32.5</v>
      </c>
      <c r="Q2303">
        <v>49.3</v>
      </c>
      <c r="R2303">
        <v>46.4</v>
      </c>
      <c r="S2303">
        <v>36.200000000000003</v>
      </c>
      <c r="T2303">
        <v>30.8</v>
      </c>
      <c r="U2303">
        <v>64</v>
      </c>
      <c r="V2303">
        <v>-4.5</v>
      </c>
      <c r="W2303" cm="1">
        <f t="array" ref="W2303">_xlfn.IFS(OR(X2303="N/A",X2303="NA"),0,OR(X2303="R64",X2303="R68"),1,X2303="R32",2,X2303="S16",3,X2303="E8",4,X2303="F4",5,X2303="2ND",6,X2303="Champions",7)</f>
        <v>1</v>
      </c>
      <c r="X2303" t="s">
        <v>422</v>
      </c>
      <c r="Y2303">
        <v>15</v>
      </c>
      <c r="Z2303">
        <v>2015</v>
      </c>
    </row>
    <row r="2304" spans="1:26" x14ac:dyDescent="0.3">
      <c r="A2304" t="s">
        <v>400</v>
      </c>
      <c r="B2304" t="s">
        <v>51</v>
      </c>
      <c r="C2304">
        <v>30</v>
      </c>
      <c r="D2304">
        <v>21</v>
      </c>
      <c r="E2304" s="1">
        <f t="shared" si="35"/>
        <v>0.7</v>
      </c>
      <c r="F2304">
        <v>103.4</v>
      </c>
      <c r="G2304">
        <v>95.7</v>
      </c>
      <c r="H2304">
        <v>0.71060000000000001</v>
      </c>
      <c r="I2304">
        <v>49.3</v>
      </c>
      <c r="J2304">
        <v>45.2</v>
      </c>
      <c r="K2304">
        <v>18.2</v>
      </c>
      <c r="L2304">
        <v>21.5</v>
      </c>
      <c r="M2304">
        <v>34.1</v>
      </c>
      <c r="N2304">
        <v>29.7</v>
      </c>
      <c r="O2304">
        <v>38</v>
      </c>
      <c r="P2304">
        <v>42.1</v>
      </c>
      <c r="Q2304">
        <v>48.5</v>
      </c>
      <c r="R2304">
        <v>42.8</v>
      </c>
      <c r="S2304">
        <v>34.299999999999997</v>
      </c>
      <c r="T2304">
        <v>33.4</v>
      </c>
      <c r="U2304">
        <v>68.400000000000006</v>
      </c>
      <c r="V2304">
        <v>-3.5</v>
      </c>
      <c r="W2304" cm="1">
        <f t="array" ref="W2304">_xlfn.IFS(OR(X2304="N/A",X2304="NA"),0,OR(X2304="R64",X2304="R68"),1,X2304="R32",2,X2304="S16",3,X2304="E8",4,X2304="F4",5,X2304="2ND",6,X2304="Champions",7)</f>
        <v>1</v>
      </c>
      <c r="X2304" t="s">
        <v>422</v>
      </c>
      <c r="Y2304">
        <v>15</v>
      </c>
      <c r="Z2304">
        <v>2016</v>
      </c>
    </row>
    <row r="2305" spans="1:26" x14ac:dyDescent="0.3">
      <c r="A2305" t="s">
        <v>407</v>
      </c>
      <c r="B2305" t="s">
        <v>51</v>
      </c>
      <c r="C2305">
        <v>31</v>
      </c>
      <c r="D2305">
        <v>28</v>
      </c>
      <c r="E2305" s="1">
        <f t="shared" si="35"/>
        <v>0.90322580645161288</v>
      </c>
      <c r="F2305">
        <v>109.4</v>
      </c>
      <c r="G2305">
        <v>102.5</v>
      </c>
      <c r="H2305">
        <v>0.67830000000000001</v>
      </c>
      <c r="I2305">
        <v>52.7</v>
      </c>
      <c r="J2305">
        <v>47.9</v>
      </c>
      <c r="K2305">
        <v>19.5</v>
      </c>
      <c r="L2305">
        <v>19.100000000000001</v>
      </c>
      <c r="M2305">
        <v>35.6</v>
      </c>
      <c r="N2305">
        <v>28.5</v>
      </c>
      <c r="O2305">
        <v>43.3</v>
      </c>
      <c r="P2305">
        <v>35.200000000000003</v>
      </c>
      <c r="Q2305">
        <v>54.2</v>
      </c>
      <c r="R2305">
        <v>49.1</v>
      </c>
      <c r="S2305">
        <v>33.5</v>
      </c>
      <c r="T2305">
        <v>30.3</v>
      </c>
      <c r="U2305">
        <v>69.099999999999994</v>
      </c>
      <c r="V2305">
        <v>-0.2</v>
      </c>
      <c r="W2305" cm="1">
        <f t="array" ref="W2305">_xlfn.IFS(OR(X2305="N/A",X2305="NA"),0,OR(X2305="R64",X2305="R68"),1,X2305="R32",2,X2305="S16",3,X2305="E8",4,X2305="F4",5,X2305="2ND",6,X2305="Champions",7)</f>
        <v>1</v>
      </c>
      <c r="X2305" t="s">
        <v>422</v>
      </c>
      <c r="Y2305">
        <v>14</v>
      </c>
      <c r="Z2305">
        <v>2017</v>
      </c>
    </row>
    <row r="2306" spans="1:26" x14ac:dyDescent="0.3">
      <c r="A2306" t="s">
        <v>407</v>
      </c>
      <c r="B2306" t="s">
        <v>51</v>
      </c>
      <c r="C2306">
        <v>31</v>
      </c>
      <c r="D2306">
        <v>28</v>
      </c>
      <c r="E2306" s="1">
        <f t="shared" si="35"/>
        <v>0.90322580645161288</v>
      </c>
      <c r="F2306">
        <v>106.8</v>
      </c>
      <c r="G2306">
        <v>95</v>
      </c>
      <c r="H2306">
        <v>0.79269999999999996</v>
      </c>
      <c r="I2306">
        <v>51.6</v>
      </c>
      <c r="J2306">
        <v>46</v>
      </c>
      <c r="K2306">
        <v>17.399999999999999</v>
      </c>
      <c r="L2306">
        <v>19</v>
      </c>
      <c r="M2306">
        <v>33.799999999999997</v>
      </c>
      <c r="N2306">
        <v>22.5</v>
      </c>
      <c r="O2306">
        <v>29.1</v>
      </c>
      <c r="P2306">
        <v>33</v>
      </c>
      <c r="Q2306">
        <v>52</v>
      </c>
      <c r="R2306">
        <v>45.7</v>
      </c>
      <c r="S2306">
        <v>34</v>
      </c>
      <c r="T2306">
        <v>31.1</v>
      </c>
      <c r="U2306">
        <v>69.400000000000006</v>
      </c>
      <c r="V2306">
        <v>1.3</v>
      </c>
      <c r="W2306" cm="1">
        <f t="array" ref="W2306">_xlfn.IFS(OR(X2306="N/A",X2306="NA"),0,OR(X2306="R64",X2306="R68"),1,X2306="R32",2,X2306="S16",3,X2306="E8",4,X2306="F4",5,X2306="2ND",6,X2306="Champions",7)</f>
        <v>1</v>
      </c>
      <c r="X2306" t="s">
        <v>422</v>
      </c>
      <c r="Y2306">
        <v>12</v>
      </c>
      <c r="Z2306">
        <v>2018</v>
      </c>
    </row>
    <row r="2307" spans="1:26" x14ac:dyDescent="0.3">
      <c r="A2307" t="s">
        <v>407</v>
      </c>
      <c r="B2307" t="s">
        <v>51</v>
      </c>
      <c r="C2307">
        <v>33</v>
      </c>
      <c r="D2307">
        <v>30</v>
      </c>
      <c r="E2307" s="1">
        <f t="shared" ref="E2307:E2370" si="36">D2307/C2307</f>
        <v>0.90909090909090906</v>
      </c>
      <c r="F2307">
        <v>111.8</v>
      </c>
      <c r="G2307">
        <v>98.2</v>
      </c>
      <c r="H2307">
        <v>0.8155</v>
      </c>
      <c r="I2307">
        <v>54.1</v>
      </c>
      <c r="J2307">
        <v>48.9</v>
      </c>
      <c r="K2307">
        <v>17.8</v>
      </c>
      <c r="L2307">
        <v>19.100000000000001</v>
      </c>
      <c r="M2307">
        <v>37</v>
      </c>
      <c r="N2307">
        <v>22.5</v>
      </c>
      <c r="O2307">
        <v>34.6</v>
      </c>
      <c r="P2307">
        <v>32.5</v>
      </c>
      <c r="Q2307">
        <v>56.7</v>
      </c>
      <c r="R2307">
        <v>48</v>
      </c>
      <c r="S2307">
        <v>34</v>
      </c>
      <c r="T2307">
        <v>33.5</v>
      </c>
      <c r="U2307">
        <v>67.099999999999994</v>
      </c>
      <c r="V2307">
        <v>1.4</v>
      </c>
      <c r="W2307" cm="1">
        <f t="array" ref="W2307">_xlfn.IFS(OR(X2307="N/A",X2307="NA"),0,OR(X2307="R64",X2307="R68"),1,X2307="R32",2,X2307="S16",3,X2307="E8",4,X2307="F4",5,X2307="2ND",6,X2307="Champions",7)</f>
        <v>1</v>
      </c>
      <c r="X2307" t="s">
        <v>422</v>
      </c>
      <c r="Y2307">
        <v>12</v>
      </c>
      <c r="Z2307">
        <v>2019</v>
      </c>
    </row>
    <row r="2308" spans="1:26" x14ac:dyDescent="0.3">
      <c r="A2308" t="s">
        <v>413</v>
      </c>
      <c r="B2308" t="s">
        <v>37</v>
      </c>
      <c r="C2308">
        <v>34</v>
      </c>
      <c r="D2308">
        <v>22</v>
      </c>
      <c r="E2308" s="1">
        <f t="shared" si="36"/>
        <v>0.6470588235294118</v>
      </c>
      <c r="F2308">
        <v>113.1</v>
      </c>
      <c r="G2308">
        <v>96.3</v>
      </c>
      <c r="H2308">
        <v>0.86370000000000002</v>
      </c>
      <c r="I2308">
        <v>53.8</v>
      </c>
      <c r="J2308">
        <v>48.9</v>
      </c>
      <c r="K2308">
        <v>16.2</v>
      </c>
      <c r="L2308">
        <v>16.3</v>
      </c>
      <c r="M2308">
        <v>31.2</v>
      </c>
      <c r="N2308">
        <v>23</v>
      </c>
      <c r="O2308">
        <v>29.1</v>
      </c>
      <c r="P2308">
        <v>29.1</v>
      </c>
      <c r="Q2308">
        <v>52.3</v>
      </c>
      <c r="R2308">
        <v>49.2</v>
      </c>
      <c r="S2308">
        <v>37.799999999999997</v>
      </c>
      <c r="T2308">
        <v>32.1</v>
      </c>
      <c r="U2308">
        <v>64.099999999999994</v>
      </c>
      <c r="V2308">
        <v>-0.8</v>
      </c>
      <c r="W2308" cm="1">
        <f t="array" ref="W2308">_xlfn.IFS(OR(X2308="N/A",X2308="NA"),0,OR(X2308="R64",X2308="R68"),1,X2308="R32",2,X2308="S16",3,X2308="E8",4,X2308="F4",5,X2308="2ND",6,X2308="Champions",7)</f>
        <v>1</v>
      </c>
      <c r="X2308" t="s">
        <v>422</v>
      </c>
      <c r="Y2308">
        <v>11</v>
      </c>
      <c r="Z2308">
        <v>2019</v>
      </c>
    </row>
    <row r="2309" spans="1:26" x14ac:dyDescent="0.3">
      <c r="A2309" t="s">
        <v>41</v>
      </c>
      <c r="B2309" t="s">
        <v>26</v>
      </c>
      <c r="C2309">
        <v>35</v>
      </c>
      <c r="D2309">
        <v>26</v>
      </c>
      <c r="E2309" s="1">
        <f t="shared" si="36"/>
        <v>0.74285714285714288</v>
      </c>
      <c r="F2309">
        <v>125.9</v>
      </c>
      <c r="G2309">
        <v>98.6</v>
      </c>
      <c r="H2309">
        <v>0.94320000000000004</v>
      </c>
      <c r="I2309">
        <v>53.8</v>
      </c>
      <c r="J2309">
        <v>49.3</v>
      </c>
      <c r="K2309">
        <v>14.6</v>
      </c>
      <c r="L2309">
        <v>18.5</v>
      </c>
      <c r="M2309">
        <v>35.200000000000003</v>
      </c>
      <c r="N2309">
        <v>31.3</v>
      </c>
      <c r="O2309">
        <v>38.799999999999997</v>
      </c>
      <c r="P2309">
        <v>40.799999999999997</v>
      </c>
      <c r="Q2309">
        <v>50.3</v>
      </c>
      <c r="R2309">
        <v>50.3</v>
      </c>
      <c r="S2309">
        <v>39.5</v>
      </c>
      <c r="T2309">
        <v>30.7</v>
      </c>
      <c r="U2309">
        <v>66.7</v>
      </c>
      <c r="V2309">
        <v>6.5</v>
      </c>
      <c r="W2309" cm="1">
        <f t="array" ref="W2309">_xlfn.IFS(OR(X2309="N/A",X2309="NA"),0,OR(X2309="R64",X2309="R68"),1,X2309="R32",2,X2309="S16",3,X2309="E8",4,X2309="F4",5,X2309="2ND",6,X2309="Champions",7)</f>
        <v>1</v>
      </c>
      <c r="X2309" t="s">
        <v>422</v>
      </c>
      <c r="Y2309">
        <v>3</v>
      </c>
      <c r="Z2309">
        <v>2014</v>
      </c>
    </row>
    <row r="2310" spans="1:26" x14ac:dyDescent="0.3">
      <c r="A2310" t="s">
        <v>421</v>
      </c>
      <c r="B2310" t="s">
        <v>50</v>
      </c>
      <c r="C2310">
        <v>34</v>
      </c>
      <c r="D2310">
        <v>27</v>
      </c>
      <c r="E2310" s="1">
        <f t="shared" si="36"/>
        <v>0.79411764705882348</v>
      </c>
      <c r="F2310">
        <v>108.7</v>
      </c>
      <c r="G2310">
        <v>91.5</v>
      </c>
      <c r="H2310">
        <v>0.87829999999999997</v>
      </c>
      <c r="I2310">
        <v>47.7</v>
      </c>
      <c r="J2310">
        <v>44.8</v>
      </c>
      <c r="K2310">
        <v>17.399999999999999</v>
      </c>
      <c r="L2310">
        <v>22.4</v>
      </c>
      <c r="M2310">
        <v>39.1</v>
      </c>
      <c r="N2310">
        <v>32.299999999999997</v>
      </c>
      <c r="O2310">
        <v>38.700000000000003</v>
      </c>
      <c r="P2310">
        <v>36</v>
      </c>
      <c r="Q2310">
        <v>46.6</v>
      </c>
      <c r="R2310">
        <v>43.2</v>
      </c>
      <c r="S2310">
        <v>33.5</v>
      </c>
      <c r="T2310">
        <v>32</v>
      </c>
      <c r="U2310">
        <v>63.5</v>
      </c>
      <c r="V2310">
        <v>5.3</v>
      </c>
      <c r="W2310" cm="1">
        <f t="array" ref="W2310">_xlfn.IFS(OR(X2310="N/A",X2310="NA"),0,OR(X2310="R64",X2310="R68"),1,X2310="R32",2,X2310="S16",3,X2310="E8",4,X2310="F4",5,X2310="2ND",6,X2310="Champions",7)</f>
        <v>1</v>
      </c>
      <c r="X2310" t="s">
        <v>422</v>
      </c>
      <c r="Y2310">
        <v>5</v>
      </c>
      <c r="Z2310">
        <v>2014</v>
      </c>
    </row>
    <row r="2311" spans="1:26" x14ac:dyDescent="0.3">
      <c r="A2311" t="s">
        <v>84</v>
      </c>
      <c r="B2311" t="s">
        <v>35</v>
      </c>
      <c r="C2311">
        <v>33</v>
      </c>
      <c r="D2311">
        <v>23</v>
      </c>
      <c r="E2311" s="1">
        <f t="shared" si="36"/>
        <v>0.69696969696969702</v>
      </c>
      <c r="F2311">
        <v>118.2</v>
      </c>
      <c r="G2311">
        <v>99.4</v>
      </c>
      <c r="H2311">
        <v>0.87929999999999997</v>
      </c>
      <c r="I2311">
        <v>51.7</v>
      </c>
      <c r="J2311">
        <v>49.7</v>
      </c>
      <c r="K2311">
        <v>15.7</v>
      </c>
      <c r="L2311">
        <v>17.8</v>
      </c>
      <c r="M2311">
        <v>32.4</v>
      </c>
      <c r="N2311">
        <v>30.4</v>
      </c>
      <c r="O2311">
        <v>39.4</v>
      </c>
      <c r="P2311">
        <v>38.5</v>
      </c>
      <c r="Q2311">
        <v>48.7</v>
      </c>
      <c r="R2311">
        <v>48.8</v>
      </c>
      <c r="S2311">
        <v>37.9</v>
      </c>
      <c r="T2311">
        <v>34.200000000000003</v>
      </c>
      <c r="U2311">
        <v>71.599999999999994</v>
      </c>
      <c r="V2311">
        <v>4.0999999999999996</v>
      </c>
      <c r="W2311" cm="1">
        <f t="array" ref="W2311">_xlfn.IFS(OR(X2311="N/A",X2311="NA"),0,OR(X2311="R64",X2311="R68"),1,X2311="R32",2,X2311="S16",3,X2311="E8",4,X2311="F4",5,X2311="2ND",6,X2311="Champions",7)</f>
        <v>1</v>
      </c>
      <c r="X2311" t="s">
        <v>422</v>
      </c>
      <c r="Y2311">
        <v>5</v>
      </c>
      <c r="Z2311">
        <v>2014</v>
      </c>
    </row>
    <row r="2312" spans="1:26" x14ac:dyDescent="0.3">
      <c r="A2312" t="s">
        <v>102</v>
      </c>
      <c r="B2312" t="s">
        <v>45</v>
      </c>
      <c r="C2312">
        <v>35</v>
      </c>
      <c r="D2312">
        <v>26</v>
      </c>
      <c r="E2312" s="1">
        <f t="shared" si="36"/>
        <v>0.74285714285714288</v>
      </c>
      <c r="F2312">
        <v>108.3</v>
      </c>
      <c r="G2312">
        <v>89.8</v>
      </c>
      <c r="H2312">
        <v>0.89549999999999996</v>
      </c>
      <c r="I2312">
        <v>47.9</v>
      </c>
      <c r="J2312">
        <v>47.8</v>
      </c>
      <c r="K2312">
        <v>17.2</v>
      </c>
      <c r="L2312">
        <v>25.6</v>
      </c>
      <c r="M2312">
        <v>34.9</v>
      </c>
      <c r="N2312">
        <v>30.8</v>
      </c>
      <c r="O2312">
        <v>35.200000000000003</v>
      </c>
      <c r="P2312">
        <v>39.700000000000003</v>
      </c>
      <c r="Q2312">
        <v>45.6</v>
      </c>
      <c r="R2312">
        <v>48.8</v>
      </c>
      <c r="S2312">
        <v>34.9</v>
      </c>
      <c r="T2312">
        <v>30.3</v>
      </c>
      <c r="U2312">
        <v>70.8</v>
      </c>
      <c r="V2312">
        <v>3.6</v>
      </c>
      <c r="W2312" cm="1">
        <f t="array" ref="W2312">_xlfn.IFS(OR(X2312="N/A",X2312="NA"),0,OR(X2312="R64",X2312="R68"),1,X2312="R32",2,X2312="S16",3,X2312="E8",4,X2312="F4",5,X2312="2ND",6,X2312="Champions",7)</f>
        <v>1</v>
      </c>
      <c r="X2312" t="s">
        <v>422</v>
      </c>
      <c r="Y2312">
        <v>5</v>
      </c>
      <c r="Z2312">
        <v>2014</v>
      </c>
    </row>
    <row r="2313" spans="1:26" x14ac:dyDescent="0.3">
      <c r="A2313" t="s">
        <v>95</v>
      </c>
      <c r="B2313" t="s">
        <v>45</v>
      </c>
      <c r="C2313">
        <v>33</v>
      </c>
      <c r="D2313">
        <v>24</v>
      </c>
      <c r="E2313" s="1">
        <f t="shared" si="36"/>
        <v>0.72727272727272729</v>
      </c>
      <c r="F2313">
        <v>109</v>
      </c>
      <c r="G2313">
        <v>96.9</v>
      </c>
      <c r="H2313">
        <v>0.79520000000000002</v>
      </c>
      <c r="I2313">
        <v>50.4</v>
      </c>
      <c r="J2313">
        <v>46.6</v>
      </c>
      <c r="K2313">
        <v>18.8</v>
      </c>
      <c r="L2313">
        <v>18.7</v>
      </c>
      <c r="M2313">
        <v>34.299999999999997</v>
      </c>
      <c r="N2313">
        <v>31.7</v>
      </c>
      <c r="O2313">
        <v>39.200000000000003</v>
      </c>
      <c r="P2313">
        <v>37.200000000000003</v>
      </c>
      <c r="Q2313">
        <v>49.9</v>
      </c>
      <c r="R2313">
        <v>46.8</v>
      </c>
      <c r="S2313">
        <v>34.6</v>
      </c>
      <c r="T2313">
        <v>30.8</v>
      </c>
      <c r="U2313">
        <v>71.8</v>
      </c>
      <c r="V2313">
        <v>3.6</v>
      </c>
      <c r="W2313" cm="1">
        <f t="array" ref="W2313">_xlfn.IFS(OR(X2313="N/A",X2313="NA"),0,OR(X2313="R64",X2313="R68"),1,X2313="R32",2,X2313="S16",3,X2313="E8",4,X2313="F4",5,X2313="2ND",6,X2313="Champions",7)</f>
        <v>1</v>
      </c>
      <c r="X2313" t="s">
        <v>422</v>
      </c>
      <c r="Y2313">
        <v>6</v>
      </c>
      <c r="Z2313">
        <v>2014</v>
      </c>
    </row>
    <row r="2314" spans="1:26" x14ac:dyDescent="0.3">
      <c r="A2314" t="s">
        <v>80</v>
      </c>
      <c r="B2314" t="s">
        <v>31</v>
      </c>
      <c r="C2314">
        <v>35</v>
      </c>
      <c r="D2314">
        <v>25</v>
      </c>
      <c r="E2314" s="1">
        <f t="shared" si="36"/>
        <v>0.7142857142857143</v>
      </c>
      <c r="F2314">
        <v>108.4</v>
      </c>
      <c r="G2314">
        <v>88.5</v>
      </c>
      <c r="H2314">
        <v>0.91069999999999995</v>
      </c>
      <c r="I2314">
        <v>50.3</v>
      </c>
      <c r="J2314">
        <v>45.2</v>
      </c>
      <c r="K2314">
        <v>17.2</v>
      </c>
      <c r="L2314">
        <v>21.9</v>
      </c>
      <c r="M2314">
        <v>29.6</v>
      </c>
      <c r="N2314">
        <v>29.6</v>
      </c>
      <c r="O2314">
        <v>42.3</v>
      </c>
      <c r="P2314">
        <v>29.8</v>
      </c>
      <c r="Q2314">
        <v>51.1</v>
      </c>
      <c r="R2314">
        <v>45.9</v>
      </c>
      <c r="S2314">
        <v>32.4</v>
      </c>
      <c r="T2314">
        <v>29.3</v>
      </c>
      <c r="U2314">
        <v>65.400000000000006</v>
      </c>
      <c r="V2314">
        <v>4.5</v>
      </c>
      <c r="W2314" cm="1">
        <f t="array" ref="W2314">_xlfn.IFS(OR(X2314="N/A",X2314="NA"),0,OR(X2314="R64",X2314="R68"),1,X2314="R32",2,X2314="S16",3,X2314="E8",4,X2314="F4",5,X2314="2ND",6,X2314="Champions",7)</f>
        <v>1</v>
      </c>
      <c r="X2314" t="s">
        <v>422</v>
      </c>
      <c r="Y2314">
        <v>6</v>
      </c>
      <c r="Z2314">
        <v>2014</v>
      </c>
    </row>
    <row r="2315" spans="1:26" x14ac:dyDescent="0.3">
      <c r="A2315" t="s">
        <v>287</v>
      </c>
      <c r="B2315" t="s">
        <v>55</v>
      </c>
      <c r="C2315">
        <v>34</v>
      </c>
      <c r="D2315">
        <v>27</v>
      </c>
      <c r="E2315" s="1">
        <f t="shared" si="36"/>
        <v>0.79411764705882348</v>
      </c>
      <c r="F2315">
        <v>112.8</v>
      </c>
      <c r="G2315">
        <v>95.7</v>
      </c>
      <c r="H2315">
        <v>0.86929999999999996</v>
      </c>
      <c r="I2315">
        <v>51.1</v>
      </c>
      <c r="J2315">
        <v>45</v>
      </c>
      <c r="K2315">
        <v>15.9</v>
      </c>
      <c r="L2315">
        <v>14.9</v>
      </c>
      <c r="M2315">
        <v>32.5</v>
      </c>
      <c r="N2315">
        <v>28.2</v>
      </c>
      <c r="O2315">
        <v>46.7</v>
      </c>
      <c r="P2315">
        <v>31.3</v>
      </c>
      <c r="Q2315">
        <v>51.7</v>
      </c>
      <c r="R2315">
        <v>41.1</v>
      </c>
      <c r="S2315">
        <v>33.200000000000003</v>
      </c>
      <c r="T2315">
        <v>34.799999999999997</v>
      </c>
      <c r="U2315">
        <v>66.2</v>
      </c>
      <c r="V2315">
        <v>4.4000000000000004</v>
      </c>
      <c r="W2315" cm="1">
        <f t="array" ref="W2315">_xlfn.IFS(OR(X2315="N/A",X2315="NA"),0,OR(X2315="R64",X2315="R68"),1,X2315="R32",2,X2315="S16",3,X2315="E8",4,X2315="F4",5,X2315="2ND",6,X2315="Champions",7)</f>
        <v>1</v>
      </c>
      <c r="X2315" t="s">
        <v>422</v>
      </c>
      <c r="Y2315">
        <v>7</v>
      </c>
      <c r="Z2315">
        <v>2014</v>
      </c>
    </row>
    <row r="2316" spans="1:26" x14ac:dyDescent="0.3">
      <c r="A2316" t="s">
        <v>318</v>
      </c>
      <c r="B2316" t="s">
        <v>38</v>
      </c>
      <c r="C2316">
        <v>35</v>
      </c>
      <c r="D2316">
        <v>23</v>
      </c>
      <c r="E2316" s="1">
        <f t="shared" si="36"/>
        <v>0.65714285714285714</v>
      </c>
      <c r="F2316">
        <v>106.9</v>
      </c>
      <c r="G2316">
        <v>96</v>
      </c>
      <c r="H2316">
        <v>0.77400000000000002</v>
      </c>
      <c r="I2316">
        <v>48.3</v>
      </c>
      <c r="J2316">
        <v>49.4</v>
      </c>
      <c r="K2316">
        <v>19.7</v>
      </c>
      <c r="L2316">
        <v>17.8</v>
      </c>
      <c r="M2316">
        <v>34</v>
      </c>
      <c r="N2316">
        <v>26.1</v>
      </c>
      <c r="O2316">
        <v>48.3</v>
      </c>
      <c r="P2316">
        <v>30.2</v>
      </c>
      <c r="Q2316">
        <v>48.6</v>
      </c>
      <c r="R2316">
        <v>47.3</v>
      </c>
      <c r="S2316">
        <v>31.8</v>
      </c>
      <c r="T2316">
        <v>35.6</v>
      </c>
      <c r="U2316">
        <v>66.900000000000006</v>
      </c>
      <c r="V2316">
        <v>2.4</v>
      </c>
      <c r="W2316" cm="1">
        <f t="array" ref="W2316">_xlfn.IFS(OR(X2316="N/A",X2316="NA"),0,OR(X2316="R64",X2316="R68"),1,X2316="R32",2,X2316="S16",3,X2316="E8",4,X2316="F4",5,X2316="2ND",6,X2316="Champions",7)</f>
        <v>1</v>
      </c>
      <c r="X2316" t="s">
        <v>422</v>
      </c>
      <c r="Y2316">
        <v>8</v>
      </c>
      <c r="Z2316">
        <v>2014</v>
      </c>
    </row>
    <row r="2317" spans="1:26" x14ac:dyDescent="0.3">
      <c r="A2317" t="s">
        <v>68</v>
      </c>
      <c r="B2317" t="s">
        <v>35</v>
      </c>
      <c r="C2317">
        <v>33</v>
      </c>
      <c r="D2317">
        <v>20</v>
      </c>
      <c r="E2317" s="1">
        <f t="shared" si="36"/>
        <v>0.60606060606060608</v>
      </c>
      <c r="F2317">
        <v>107.9</v>
      </c>
      <c r="G2317">
        <v>92.9</v>
      </c>
      <c r="H2317">
        <v>0.84730000000000005</v>
      </c>
      <c r="I2317">
        <v>48.8</v>
      </c>
      <c r="J2317">
        <v>45.3</v>
      </c>
      <c r="K2317">
        <v>18.5</v>
      </c>
      <c r="L2317">
        <v>19</v>
      </c>
      <c r="M2317">
        <v>34.700000000000003</v>
      </c>
      <c r="N2317">
        <v>33.200000000000003</v>
      </c>
      <c r="O2317">
        <v>40.299999999999997</v>
      </c>
      <c r="P2317">
        <v>45.4</v>
      </c>
      <c r="Q2317">
        <v>48.3</v>
      </c>
      <c r="R2317">
        <v>45.9</v>
      </c>
      <c r="S2317">
        <v>33.1</v>
      </c>
      <c r="T2317">
        <v>29.3</v>
      </c>
      <c r="U2317">
        <v>64.8</v>
      </c>
      <c r="V2317">
        <v>0.5</v>
      </c>
      <c r="W2317" cm="1">
        <f t="array" ref="W2317">_xlfn.IFS(OR(X2317="N/A",X2317="NA"),0,OR(X2317="R64",X2317="R68"),1,X2317="R32",2,X2317="S16",3,X2317="E8",4,X2317="F4",5,X2317="2ND",6,X2317="Champions",7)</f>
        <v>1</v>
      </c>
      <c r="X2317" t="s">
        <v>422</v>
      </c>
      <c r="Y2317">
        <v>9</v>
      </c>
      <c r="Z2317">
        <v>2014</v>
      </c>
    </row>
    <row r="2318" spans="1:26" x14ac:dyDescent="0.3">
      <c r="A2318" t="s">
        <v>151</v>
      </c>
      <c r="B2318" t="s">
        <v>35</v>
      </c>
      <c r="C2318">
        <v>34</v>
      </c>
      <c r="D2318">
        <v>21</v>
      </c>
      <c r="E2318" s="1">
        <f t="shared" si="36"/>
        <v>0.61764705882352944</v>
      </c>
      <c r="F2318">
        <v>115.6</v>
      </c>
      <c r="G2318">
        <v>94.8</v>
      </c>
      <c r="H2318">
        <v>0.90669999999999995</v>
      </c>
      <c r="I2318">
        <v>52.4</v>
      </c>
      <c r="J2318">
        <v>46.3</v>
      </c>
      <c r="K2318">
        <v>14.7</v>
      </c>
      <c r="L2318">
        <v>20</v>
      </c>
      <c r="M2318">
        <v>28</v>
      </c>
      <c r="N2318">
        <v>32</v>
      </c>
      <c r="O2318">
        <v>49.7</v>
      </c>
      <c r="P2318">
        <v>41</v>
      </c>
      <c r="Q2318">
        <v>51.3</v>
      </c>
      <c r="R2318">
        <v>45</v>
      </c>
      <c r="S2318">
        <v>36.4</v>
      </c>
      <c r="T2318">
        <v>32.700000000000003</v>
      </c>
      <c r="U2318">
        <v>69.2</v>
      </c>
      <c r="V2318">
        <v>1.4</v>
      </c>
      <c r="W2318" cm="1">
        <f t="array" ref="W2318">_xlfn.IFS(OR(X2318="N/A",X2318="NA"),0,OR(X2318="R64",X2318="R68"),1,X2318="R32",2,X2318="S16",3,X2318="E8",4,X2318="F4",5,X2318="2ND",6,X2318="Champions",7)</f>
        <v>1</v>
      </c>
      <c r="X2318" t="s">
        <v>422</v>
      </c>
      <c r="Y2318">
        <v>9</v>
      </c>
      <c r="Z2318">
        <v>2014</v>
      </c>
    </row>
    <row r="2319" spans="1:26" x14ac:dyDescent="0.3">
      <c r="A2319" t="s">
        <v>316</v>
      </c>
      <c r="B2319" t="s">
        <v>38</v>
      </c>
      <c r="C2319">
        <v>33</v>
      </c>
      <c r="D2319">
        <v>21</v>
      </c>
      <c r="E2319" s="1">
        <f t="shared" si="36"/>
        <v>0.63636363636363635</v>
      </c>
      <c r="F2319">
        <v>110.3</v>
      </c>
      <c r="G2319">
        <v>96.4</v>
      </c>
      <c r="H2319">
        <v>0.82520000000000004</v>
      </c>
      <c r="I2319">
        <v>52.4</v>
      </c>
      <c r="J2319">
        <v>46.3</v>
      </c>
      <c r="K2319">
        <v>16.3</v>
      </c>
      <c r="L2319">
        <v>17</v>
      </c>
      <c r="M2319">
        <v>24.5</v>
      </c>
      <c r="N2319">
        <v>30.2</v>
      </c>
      <c r="O2319">
        <v>42.5</v>
      </c>
      <c r="P2319">
        <v>37.299999999999997</v>
      </c>
      <c r="Q2319">
        <v>48.8</v>
      </c>
      <c r="R2319">
        <v>45.3</v>
      </c>
      <c r="S2319">
        <v>39</v>
      </c>
      <c r="T2319">
        <v>32.6</v>
      </c>
      <c r="U2319">
        <v>69.3</v>
      </c>
      <c r="V2319">
        <v>1.2</v>
      </c>
      <c r="W2319" cm="1">
        <f t="array" ref="W2319">_xlfn.IFS(OR(X2319="N/A",X2319="NA"),0,OR(X2319="R64",X2319="R68"),1,X2319="R32",2,X2319="S16",3,X2319="E8",4,X2319="F4",5,X2319="2ND",6,X2319="Champions",7)</f>
        <v>1</v>
      </c>
      <c r="X2319" t="s">
        <v>422</v>
      </c>
      <c r="Y2319">
        <v>10</v>
      </c>
      <c r="Z2319">
        <v>2014</v>
      </c>
    </row>
    <row r="2320" spans="1:26" x14ac:dyDescent="0.3">
      <c r="A2320" t="s">
        <v>417</v>
      </c>
      <c r="B2320" t="s">
        <v>37</v>
      </c>
      <c r="C2320">
        <v>34</v>
      </c>
      <c r="D2320">
        <v>22</v>
      </c>
      <c r="E2320" s="1">
        <f t="shared" si="36"/>
        <v>0.6470588235294118</v>
      </c>
      <c r="F2320">
        <v>113.8</v>
      </c>
      <c r="G2320">
        <v>100.5</v>
      </c>
      <c r="H2320">
        <v>0.80779999999999996</v>
      </c>
      <c r="I2320">
        <v>50.6</v>
      </c>
      <c r="J2320">
        <v>49.1</v>
      </c>
      <c r="K2320">
        <v>15.3</v>
      </c>
      <c r="L2320">
        <v>16.600000000000001</v>
      </c>
      <c r="M2320">
        <v>34.9</v>
      </c>
      <c r="N2320">
        <v>28.6</v>
      </c>
      <c r="O2320">
        <v>47.6</v>
      </c>
      <c r="P2320">
        <v>36.799999999999997</v>
      </c>
      <c r="Q2320">
        <v>49.2</v>
      </c>
      <c r="R2320">
        <v>48.2</v>
      </c>
      <c r="S2320">
        <v>36.9</v>
      </c>
      <c r="T2320">
        <v>33.700000000000003</v>
      </c>
      <c r="U2320">
        <v>73</v>
      </c>
      <c r="V2320">
        <v>0.6</v>
      </c>
      <c r="W2320" cm="1">
        <f t="array" ref="W2320">_xlfn.IFS(OR(X2320="N/A",X2320="NA"),0,OR(X2320="R64",X2320="R68"),1,X2320="R32",2,X2320="S16",3,X2320="E8",4,X2320="F4",5,X2320="2ND",6,X2320="Champions",7)</f>
        <v>1</v>
      </c>
      <c r="X2320" t="s">
        <v>422</v>
      </c>
      <c r="Y2320">
        <v>10</v>
      </c>
      <c r="Z2320">
        <v>2014</v>
      </c>
    </row>
    <row r="2321" spans="1:26" x14ac:dyDescent="0.3">
      <c r="A2321" t="s">
        <v>98</v>
      </c>
      <c r="B2321" t="s">
        <v>45</v>
      </c>
      <c r="C2321">
        <v>34</v>
      </c>
      <c r="D2321">
        <v>24</v>
      </c>
      <c r="E2321" s="1">
        <f t="shared" si="36"/>
        <v>0.70588235294117652</v>
      </c>
      <c r="F2321">
        <v>113.8</v>
      </c>
      <c r="G2321">
        <v>97.5</v>
      </c>
      <c r="H2321">
        <v>0.85460000000000003</v>
      </c>
      <c r="I2321">
        <v>53.9</v>
      </c>
      <c r="J2321">
        <v>47.8</v>
      </c>
      <c r="K2321">
        <v>18.7</v>
      </c>
      <c r="L2321">
        <v>15.3</v>
      </c>
      <c r="M2321">
        <v>29.5</v>
      </c>
      <c r="N2321">
        <v>27.8</v>
      </c>
      <c r="O2321">
        <v>43.6</v>
      </c>
      <c r="P2321">
        <v>30.6</v>
      </c>
      <c r="Q2321">
        <v>52.3</v>
      </c>
      <c r="R2321">
        <v>46</v>
      </c>
      <c r="S2321">
        <v>37.9</v>
      </c>
      <c r="T2321">
        <v>34.200000000000003</v>
      </c>
      <c r="U2321">
        <v>65.900000000000006</v>
      </c>
      <c r="V2321">
        <v>2.1</v>
      </c>
      <c r="W2321" cm="1">
        <f t="array" ref="W2321">_xlfn.IFS(OR(X2321="N/A",X2321="NA"),0,OR(X2321="R64",X2321="R68"),1,X2321="R32",2,X2321="S16",3,X2321="E8",4,X2321="F4",5,X2321="2ND",6,X2321="Champions",7)</f>
        <v>1</v>
      </c>
      <c r="X2321" t="s">
        <v>422</v>
      </c>
      <c r="Y2321">
        <v>10</v>
      </c>
      <c r="Z2321">
        <v>2014</v>
      </c>
    </row>
    <row r="2322" spans="1:26" x14ac:dyDescent="0.3">
      <c r="A2322" t="s">
        <v>93</v>
      </c>
      <c r="B2322" t="s">
        <v>45</v>
      </c>
      <c r="C2322">
        <v>33</v>
      </c>
      <c r="D2322">
        <v>24</v>
      </c>
      <c r="E2322" s="1">
        <f t="shared" si="36"/>
        <v>0.72727272727272729</v>
      </c>
      <c r="F2322">
        <v>110.2</v>
      </c>
      <c r="G2322">
        <v>96.8</v>
      </c>
      <c r="H2322">
        <v>0.81510000000000005</v>
      </c>
      <c r="I2322">
        <v>51.5</v>
      </c>
      <c r="J2322">
        <v>47.2</v>
      </c>
      <c r="K2322">
        <v>19</v>
      </c>
      <c r="L2322">
        <v>19.600000000000001</v>
      </c>
      <c r="M2322">
        <v>35.1</v>
      </c>
      <c r="N2322">
        <v>31.4</v>
      </c>
      <c r="O2322">
        <v>46.6</v>
      </c>
      <c r="P2322">
        <v>33.4</v>
      </c>
      <c r="Q2322">
        <v>50.2</v>
      </c>
      <c r="R2322">
        <v>47.4</v>
      </c>
      <c r="S2322">
        <v>36.4</v>
      </c>
      <c r="T2322">
        <v>31.2</v>
      </c>
      <c r="U2322">
        <v>67.2</v>
      </c>
      <c r="V2322">
        <v>3.2</v>
      </c>
      <c r="W2322" cm="1">
        <f t="array" ref="W2322">_xlfn.IFS(OR(X2322="N/A",X2322="NA"),0,OR(X2322="R64",X2322="R68"),1,X2322="R32",2,X2322="S16",3,X2322="E8",4,X2322="F4",5,X2322="2ND",6,X2322="Champions",7)</f>
        <v>1</v>
      </c>
      <c r="X2322" t="s">
        <v>422</v>
      </c>
      <c r="Y2322">
        <v>11</v>
      </c>
      <c r="Z2322">
        <v>2014</v>
      </c>
    </row>
    <row r="2323" spans="1:26" x14ac:dyDescent="0.3">
      <c r="A2323" t="s">
        <v>143</v>
      </c>
      <c r="B2323" t="s">
        <v>31</v>
      </c>
      <c r="C2323">
        <v>32</v>
      </c>
      <c r="D2323">
        <v>19</v>
      </c>
      <c r="E2323" s="1">
        <f t="shared" si="36"/>
        <v>0.59375</v>
      </c>
      <c r="F2323">
        <v>108.2</v>
      </c>
      <c r="G2323">
        <v>95</v>
      </c>
      <c r="H2323">
        <v>0.81720000000000004</v>
      </c>
      <c r="I2323">
        <v>48.3</v>
      </c>
      <c r="J2323">
        <v>47.6</v>
      </c>
      <c r="K2323">
        <v>16.7</v>
      </c>
      <c r="L2323">
        <v>19</v>
      </c>
      <c r="M2323">
        <v>25.7</v>
      </c>
      <c r="N2323">
        <v>29</v>
      </c>
      <c r="O2323">
        <v>42.3</v>
      </c>
      <c r="P2323">
        <v>44.9</v>
      </c>
      <c r="Q2323">
        <v>47.4</v>
      </c>
      <c r="R2323">
        <v>47.8</v>
      </c>
      <c r="S2323">
        <v>33.299999999999997</v>
      </c>
      <c r="T2323">
        <v>31.5</v>
      </c>
      <c r="U2323">
        <v>66.400000000000006</v>
      </c>
      <c r="V2323">
        <v>1.3</v>
      </c>
      <c r="W2323" cm="1">
        <f t="array" ref="W2323">_xlfn.IFS(OR(X2323="N/A",X2323="NA"),0,OR(X2323="R64",X2323="R68"),1,X2323="R32",2,X2323="S16",3,X2323="E8",4,X2323="F4",5,X2323="2ND",6,X2323="Champions",7)</f>
        <v>1</v>
      </c>
      <c r="X2323" t="s">
        <v>422</v>
      </c>
      <c r="Y2323">
        <v>11</v>
      </c>
      <c r="Z2323">
        <v>2014</v>
      </c>
    </row>
    <row r="2324" spans="1:26" x14ac:dyDescent="0.3">
      <c r="A2324" t="s">
        <v>162</v>
      </c>
      <c r="B2324" t="s">
        <v>33</v>
      </c>
      <c r="C2324">
        <v>35</v>
      </c>
      <c r="D2324">
        <v>22</v>
      </c>
      <c r="E2324" s="1">
        <f t="shared" si="36"/>
        <v>0.62857142857142856</v>
      </c>
      <c r="F2324">
        <v>114.9</v>
      </c>
      <c r="G2324">
        <v>100.4</v>
      </c>
      <c r="H2324">
        <v>0.82489999999999997</v>
      </c>
      <c r="I2324">
        <v>48.3</v>
      </c>
      <c r="J2324">
        <v>48.9</v>
      </c>
      <c r="K2324">
        <v>17.3</v>
      </c>
      <c r="L2324">
        <v>16.399999999999999</v>
      </c>
      <c r="M2324">
        <v>35.299999999999997</v>
      </c>
      <c r="N2324">
        <v>30.8</v>
      </c>
      <c r="O2324">
        <v>41.9</v>
      </c>
      <c r="P2324">
        <v>33.700000000000003</v>
      </c>
      <c r="Q2324">
        <v>46.5</v>
      </c>
      <c r="R2324">
        <v>48.8</v>
      </c>
      <c r="S2324">
        <v>34.700000000000003</v>
      </c>
      <c r="T2324">
        <v>32.799999999999997</v>
      </c>
      <c r="U2324">
        <v>64.900000000000006</v>
      </c>
      <c r="V2324">
        <v>1.2</v>
      </c>
      <c r="W2324" cm="1">
        <f t="array" ref="W2324">_xlfn.IFS(OR(X2324="N/A",X2324="NA"),0,OR(X2324="R64",X2324="R68"),1,X2324="R32",2,X2324="S16",3,X2324="E8",4,X2324="F4",5,X2324="2ND",6,X2324="Champions",7)</f>
        <v>1</v>
      </c>
      <c r="X2324" t="s">
        <v>422</v>
      </c>
      <c r="Y2324">
        <v>11</v>
      </c>
      <c r="Z2324">
        <v>2014</v>
      </c>
    </row>
    <row r="2325" spans="1:26" x14ac:dyDescent="0.3">
      <c r="A2325" t="s">
        <v>110</v>
      </c>
      <c r="B2325" t="s">
        <v>26</v>
      </c>
      <c r="C2325">
        <v>36</v>
      </c>
      <c r="D2325">
        <v>22</v>
      </c>
      <c r="E2325" s="1">
        <f t="shared" si="36"/>
        <v>0.61111111111111116</v>
      </c>
      <c r="F2325">
        <v>114.8</v>
      </c>
      <c r="G2325">
        <v>101.4</v>
      </c>
      <c r="H2325">
        <v>0.80659999999999998</v>
      </c>
      <c r="I2325">
        <v>50</v>
      </c>
      <c r="J2325">
        <v>47.5</v>
      </c>
      <c r="K2325">
        <v>15.8</v>
      </c>
      <c r="L2325">
        <v>17.399999999999999</v>
      </c>
      <c r="M2325">
        <v>34.1</v>
      </c>
      <c r="N2325">
        <v>35.6</v>
      </c>
      <c r="O2325">
        <v>37</v>
      </c>
      <c r="P2325">
        <v>42.6</v>
      </c>
      <c r="Q2325">
        <v>51.5</v>
      </c>
      <c r="R2325">
        <v>47.3</v>
      </c>
      <c r="S2325">
        <v>30.5</v>
      </c>
      <c r="T2325">
        <v>32.1</v>
      </c>
      <c r="U2325">
        <v>66.5</v>
      </c>
      <c r="V2325">
        <v>0.6</v>
      </c>
      <c r="W2325" cm="1">
        <f t="array" ref="W2325">_xlfn.IFS(OR(X2325="N/A",X2325="NA"),0,OR(X2325="R64",X2325="R68"),1,X2325="R32",2,X2325="S16",3,X2325="E8",4,X2325="F4",5,X2325="2ND",6,X2325="Champions",7)</f>
        <v>1</v>
      </c>
      <c r="X2325" t="s">
        <v>422</v>
      </c>
      <c r="Y2325">
        <v>12</v>
      </c>
      <c r="Z2325">
        <v>2014</v>
      </c>
    </row>
    <row r="2326" spans="1:26" x14ac:dyDescent="0.3">
      <c r="A2326" t="s">
        <v>198</v>
      </c>
      <c r="B2326" t="s">
        <v>53</v>
      </c>
      <c r="C2326">
        <v>35</v>
      </c>
      <c r="D2326">
        <v>25</v>
      </c>
      <c r="E2326" s="1">
        <f t="shared" si="36"/>
        <v>0.7142857142857143</v>
      </c>
      <c r="F2326">
        <v>110.7</v>
      </c>
      <c r="G2326">
        <v>106</v>
      </c>
      <c r="H2326">
        <v>0.62370000000000003</v>
      </c>
      <c r="I2326">
        <v>50.4</v>
      </c>
      <c r="J2326">
        <v>49.4</v>
      </c>
      <c r="K2326">
        <v>13.4</v>
      </c>
      <c r="L2326">
        <v>16.8</v>
      </c>
      <c r="M2326">
        <v>29.1</v>
      </c>
      <c r="N2326">
        <v>32.799999999999997</v>
      </c>
      <c r="O2326">
        <v>43.9</v>
      </c>
      <c r="P2326">
        <v>38</v>
      </c>
      <c r="Q2326">
        <v>49.5</v>
      </c>
      <c r="R2326">
        <v>49.6</v>
      </c>
      <c r="S2326">
        <v>34.700000000000003</v>
      </c>
      <c r="T2326">
        <v>32.700000000000003</v>
      </c>
      <c r="U2326">
        <v>72.3</v>
      </c>
      <c r="V2326">
        <v>-1.4</v>
      </c>
      <c r="W2326" cm="1">
        <f t="array" ref="W2326">_xlfn.IFS(OR(X2326="N/A",X2326="NA"),0,OR(X2326="R64",X2326="R68"),1,X2326="R32",2,X2326="S16",3,X2326="E8",4,X2326="F4",5,X2326="2ND",6,X2326="Champions",7)</f>
        <v>1</v>
      </c>
      <c r="X2326" t="s">
        <v>422</v>
      </c>
      <c r="Y2326">
        <v>13</v>
      </c>
      <c r="Z2326">
        <v>2014</v>
      </c>
    </row>
    <row r="2327" spans="1:26" x14ac:dyDescent="0.3">
      <c r="A2327" t="s">
        <v>250</v>
      </c>
      <c r="B2327" t="s">
        <v>69</v>
      </c>
      <c r="C2327">
        <v>33</v>
      </c>
      <c r="D2327">
        <v>25</v>
      </c>
      <c r="E2327" s="1">
        <f t="shared" si="36"/>
        <v>0.75757575757575757</v>
      </c>
      <c r="F2327">
        <v>106.2</v>
      </c>
      <c r="G2327">
        <v>96.4</v>
      </c>
      <c r="H2327">
        <v>0.75190000000000001</v>
      </c>
      <c r="I2327">
        <v>50.7</v>
      </c>
      <c r="J2327">
        <v>45.4</v>
      </c>
      <c r="K2327">
        <v>19.7</v>
      </c>
      <c r="L2327">
        <v>21.7</v>
      </c>
      <c r="M2327">
        <v>34.4</v>
      </c>
      <c r="N2327">
        <v>33.299999999999997</v>
      </c>
      <c r="O2327">
        <v>55.5</v>
      </c>
      <c r="P2327">
        <v>52.8</v>
      </c>
      <c r="Q2327">
        <v>48.7</v>
      </c>
      <c r="R2327">
        <v>44</v>
      </c>
      <c r="S2327">
        <v>36.9</v>
      </c>
      <c r="T2327">
        <v>32.700000000000003</v>
      </c>
      <c r="U2327">
        <v>69.599999999999994</v>
      </c>
      <c r="V2327">
        <v>-0.5</v>
      </c>
      <c r="W2327" cm="1">
        <f t="array" ref="W2327">_xlfn.IFS(OR(X2327="N/A",X2327="NA"),0,OR(X2327="R64",X2327="R68"),1,X2327="R32",2,X2327="S16",3,X2327="E8",4,X2327="F4",5,X2327="2ND",6,X2327="Champions",7)</f>
        <v>1</v>
      </c>
      <c r="X2327" t="s">
        <v>422</v>
      </c>
      <c r="Y2327">
        <v>13</v>
      </c>
      <c r="Z2327">
        <v>2014</v>
      </c>
    </row>
    <row r="2328" spans="1:26" x14ac:dyDescent="0.3">
      <c r="A2328" t="s">
        <v>407</v>
      </c>
      <c r="B2328" t="s">
        <v>51</v>
      </c>
      <c r="C2328">
        <v>35</v>
      </c>
      <c r="D2328">
        <v>25</v>
      </c>
      <c r="E2328" s="1">
        <f t="shared" si="36"/>
        <v>0.7142857142857143</v>
      </c>
      <c r="F2328">
        <v>111.6</v>
      </c>
      <c r="G2328">
        <v>102</v>
      </c>
      <c r="H2328">
        <v>0.73850000000000005</v>
      </c>
      <c r="I2328">
        <v>53.2</v>
      </c>
      <c r="J2328">
        <v>44.4</v>
      </c>
      <c r="K2328">
        <v>18.7</v>
      </c>
      <c r="L2328">
        <v>16.100000000000001</v>
      </c>
      <c r="M2328">
        <v>37.700000000000003</v>
      </c>
      <c r="N2328">
        <v>33</v>
      </c>
      <c r="O2328">
        <v>53.9</v>
      </c>
      <c r="P2328">
        <v>34.1</v>
      </c>
      <c r="Q2328">
        <v>52.9</v>
      </c>
      <c r="R2328">
        <v>42.7</v>
      </c>
      <c r="S2328">
        <v>36.1</v>
      </c>
      <c r="T2328">
        <v>33.200000000000003</v>
      </c>
      <c r="U2328">
        <v>67.099999999999994</v>
      </c>
      <c r="V2328">
        <v>-2.2999999999999998</v>
      </c>
      <c r="W2328" cm="1">
        <f t="array" ref="W2328">_xlfn.IFS(OR(X2328="N/A",X2328="NA"),0,OR(X2328="R64",X2328="R68"),1,X2328="R32",2,X2328="S16",3,X2328="E8",4,X2328="F4",5,X2328="2ND",6,X2328="Champions",7)</f>
        <v>1</v>
      </c>
      <c r="X2328" t="s">
        <v>422</v>
      </c>
      <c r="Y2328">
        <v>13</v>
      </c>
      <c r="Z2328">
        <v>2014</v>
      </c>
    </row>
    <row r="2329" spans="1:26" x14ac:dyDescent="0.3">
      <c r="A2329" t="s">
        <v>127</v>
      </c>
      <c r="B2329" t="s">
        <v>40</v>
      </c>
      <c r="C2329">
        <v>34</v>
      </c>
      <c r="D2329">
        <v>21</v>
      </c>
      <c r="E2329" s="1">
        <f t="shared" si="36"/>
        <v>0.61764705882352944</v>
      </c>
      <c r="F2329">
        <v>105.6</v>
      </c>
      <c r="G2329">
        <v>95.8</v>
      </c>
      <c r="H2329">
        <v>0.75370000000000004</v>
      </c>
      <c r="I2329">
        <v>49.2</v>
      </c>
      <c r="J2329">
        <v>46.4</v>
      </c>
      <c r="K2329">
        <v>16.7</v>
      </c>
      <c r="L2329">
        <v>20.3</v>
      </c>
      <c r="M2329">
        <v>30.2</v>
      </c>
      <c r="N2329">
        <v>29.6</v>
      </c>
      <c r="O2329">
        <v>47.1</v>
      </c>
      <c r="P2329">
        <v>47.5</v>
      </c>
      <c r="Q2329">
        <v>49.2</v>
      </c>
      <c r="R2329">
        <v>43.2</v>
      </c>
      <c r="S2329">
        <v>32.700000000000003</v>
      </c>
      <c r="T2329">
        <v>35.200000000000003</v>
      </c>
      <c r="U2329">
        <v>68.400000000000006</v>
      </c>
      <c r="V2329">
        <v>-3.6</v>
      </c>
      <c r="W2329" cm="1">
        <f t="array" ref="W2329">_xlfn.IFS(OR(X2329="N/A",X2329="NA"),0,OR(X2329="R64",X2329="R68"),1,X2329="R32",2,X2329="S16",3,X2329="E8",4,X2329="F4",5,X2329="2ND",6,X2329="Champions",7)</f>
        <v>1</v>
      </c>
      <c r="X2329" t="s">
        <v>422</v>
      </c>
      <c r="Y2329">
        <v>13</v>
      </c>
      <c r="Z2329">
        <v>2014</v>
      </c>
    </row>
    <row r="2330" spans="1:26" x14ac:dyDescent="0.3">
      <c r="A2330" t="s">
        <v>340</v>
      </c>
      <c r="B2330" t="s">
        <v>58</v>
      </c>
      <c r="C2330">
        <v>32</v>
      </c>
      <c r="D2330">
        <v>20</v>
      </c>
      <c r="E2330" s="1">
        <f t="shared" si="36"/>
        <v>0.625</v>
      </c>
      <c r="F2330">
        <v>110.5</v>
      </c>
      <c r="G2330">
        <v>104.5</v>
      </c>
      <c r="H2330">
        <v>0.65569999999999995</v>
      </c>
      <c r="I2330">
        <v>51.5</v>
      </c>
      <c r="J2330">
        <v>50.4</v>
      </c>
      <c r="K2330">
        <v>18.8</v>
      </c>
      <c r="L2330">
        <v>18.5</v>
      </c>
      <c r="M2330">
        <v>36.5</v>
      </c>
      <c r="N2330">
        <v>31.8</v>
      </c>
      <c r="O2330">
        <v>44.3</v>
      </c>
      <c r="P2330">
        <v>44</v>
      </c>
      <c r="Q2330">
        <v>49.6</v>
      </c>
      <c r="R2330">
        <v>50.6</v>
      </c>
      <c r="S2330">
        <v>37.1</v>
      </c>
      <c r="T2330">
        <v>33.200000000000003</v>
      </c>
      <c r="U2330">
        <v>70</v>
      </c>
      <c r="V2330">
        <v>-3.8</v>
      </c>
      <c r="W2330" cm="1">
        <f t="array" ref="W2330">_xlfn.IFS(OR(X2330="N/A",X2330="NA"),0,OR(X2330="R64",X2330="R68"),1,X2330="R32",2,X2330="S16",3,X2330="E8",4,X2330="F4",5,X2330="2ND",6,X2330="Champions",7)</f>
        <v>1</v>
      </c>
      <c r="X2330" t="s">
        <v>422</v>
      </c>
      <c r="Y2330">
        <v>14</v>
      </c>
      <c r="Z2330">
        <v>2014</v>
      </c>
    </row>
    <row r="2331" spans="1:26" x14ac:dyDescent="0.3">
      <c r="A2331" t="s">
        <v>272</v>
      </c>
      <c r="B2331" t="s">
        <v>66</v>
      </c>
      <c r="C2331">
        <v>32</v>
      </c>
      <c r="D2331">
        <v>26</v>
      </c>
      <c r="E2331" s="1">
        <f t="shared" si="36"/>
        <v>0.8125</v>
      </c>
      <c r="F2331">
        <v>107.9</v>
      </c>
      <c r="G2331">
        <v>100.2</v>
      </c>
      <c r="H2331">
        <v>0.70179999999999998</v>
      </c>
      <c r="I2331">
        <v>50.2</v>
      </c>
      <c r="J2331">
        <v>44.4</v>
      </c>
      <c r="K2331">
        <v>17.2</v>
      </c>
      <c r="L2331">
        <v>23.7</v>
      </c>
      <c r="M2331">
        <v>35.4</v>
      </c>
      <c r="N2331">
        <v>33.1</v>
      </c>
      <c r="O2331">
        <v>49.5</v>
      </c>
      <c r="P2331">
        <v>44.8</v>
      </c>
      <c r="Q2331">
        <v>50.8</v>
      </c>
      <c r="R2331">
        <v>43.2</v>
      </c>
      <c r="S2331">
        <v>32.5</v>
      </c>
      <c r="T2331">
        <v>31</v>
      </c>
      <c r="U2331">
        <v>64.099999999999994</v>
      </c>
      <c r="V2331">
        <v>-0.6</v>
      </c>
      <c r="W2331" cm="1">
        <f t="array" ref="W2331">_xlfn.IFS(OR(X2331="N/A",X2331="NA"),0,OR(X2331="R64",X2331="R68"),1,X2331="R32",2,X2331="S16",3,X2331="E8",4,X2331="F4",5,X2331="2ND",6,X2331="Champions",7)</f>
        <v>1</v>
      </c>
      <c r="X2331" t="s">
        <v>422</v>
      </c>
      <c r="Y2331">
        <v>14</v>
      </c>
      <c r="Z2331">
        <v>2014</v>
      </c>
    </row>
    <row r="2332" spans="1:26" x14ac:dyDescent="0.3">
      <c r="A2332" t="s">
        <v>261</v>
      </c>
      <c r="B2332" t="s">
        <v>57</v>
      </c>
      <c r="C2332">
        <v>32</v>
      </c>
      <c r="D2332">
        <v>22</v>
      </c>
      <c r="E2332" s="1">
        <f t="shared" si="36"/>
        <v>0.6875</v>
      </c>
      <c r="F2332">
        <v>104.7</v>
      </c>
      <c r="G2332">
        <v>102.5</v>
      </c>
      <c r="H2332">
        <v>0.5605</v>
      </c>
      <c r="I2332">
        <v>52</v>
      </c>
      <c r="J2332">
        <v>47.6</v>
      </c>
      <c r="K2332">
        <v>20.9</v>
      </c>
      <c r="L2332">
        <v>18.5</v>
      </c>
      <c r="M2332">
        <v>31</v>
      </c>
      <c r="N2332">
        <v>32</v>
      </c>
      <c r="O2332">
        <v>51.4</v>
      </c>
      <c r="P2332">
        <v>34.700000000000003</v>
      </c>
      <c r="Q2332">
        <v>53.7</v>
      </c>
      <c r="R2332">
        <v>47.8</v>
      </c>
      <c r="S2332">
        <v>32.6</v>
      </c>
      <c r="T2332">
        <v>31.5</v>
      </c>
      <c r="U2332">
        <v>67</v>
      </c>
      <c r="V2332">
        <v>-2.9</v>
      </c>
      <c r="W2332" cm="1">
        <f t="array" ref="W2332">_xlfn.IFS(OR(X2332="N/A",X2332="NA"),0,OR(X2332="R64",X2332="R68"),1,X2332="R32",2,X2332="S16",3,X2332="E8",4,X2332="F4",5,X2332="2ND",6,X2332="Champions",7)</f>
        <v>1</v>
      </c>
      <c r="X2332" t="s">
        <v>422</v>
      </c>
      <c r="Y2332">
        <v>14</v>
      </c>
      <c r="Z2332">
        <v>2014</v>
      </c>
    </row>
    <row r="2333" spans="1:26" x14ac:dyDescent="0.3">
      <c r="A2333" t="s">
        <v>326</v>
      </c>
      <c r="B2333" t="s">
        <v>67</v>
      </c>
      <c r="C2333">
        <v>33</v>
      </c>
      <c r="D2333">
        <v>20</v>
      </c>
      <c r="E2333" s="1">
        <f t="shared" si="36"/>
        <v>0.60606060606060608</v>
      </c>
      <c r="F2333">
        <v>101.8</v>
      </c>
      <c r="G2333">
        <v>97.7</v>
      </c>
      <c r="H2333">
        <v>0.61780000000000002</v>
      </c>
      <c r="I2333">
        <v>55.8</v>
      </c>
      <c r="J2333">
        <v>46.4</v>
      </c>
      <c r="K2333">
        <v>23.1</v>
      </c>
      <c r="L2333">
        <v>19.600000000000001</v>
      </c>
      <c r="M2333">
        <v>26.5</v>
      </c>
      <c r="N2333">
        <v>29.7</v>
      </c>
      <c r="O2333">
        <v>35</v>
      </c>
      <c r="P2333">
        <v>40.700000000000003</v>
      </c>
      <c r="Q2333">
        <v>55.1</v>
      </c>
      <c r="R2333">
        <v>45.7</v>
      </c>
      <c r="S2333">
        <v>37.9</v>
      </c>
      <c r="T2333">
        <v>31.9</v>
      </c>
      <c r="U2333">
        <v>61.4</v>
      </c>
      <c r="V2333">
        <v>-5.5</v>
      </c>
      <c r="W2333" cm="1">
        <f t="array" ref="W2333">_xlfn.IFS(OR(X2333="N/A",X2333="NA"),0,OR(X2333="R64",X2333="R68"),1,X2333="R32",2,X2333="S16",3,X2333="E8",4,X2333="F4",5,X2333="2ND",6,X2333="Champions",7)</f>
        <v>1</v>
      </c>
      <c r="X2333" t="s">
        <v>422</v>
      </c>
      <c r="Y2333">
        <v>15</v>
      </c>
      <c r="Z2333">
        <v>2014</v>
      </c>
    </row>
    <row r="2334" spans="1:26" x14ac:dyDescent="0.3">
      <c r="A2334" t="s">
        <v>306</v>
      </c>
      <c r="B2334" t="s">
        <v>64</v>
      </c>
      <c r="C2334">
        <v>32</v>
      </c>
      <c r="D2334">
        <v>22</v>
      </c>
      <c r="E2334" s="1">
        <f t="shared" si="36"/>
        <v>0.6875</v>
      </c>
      <c r="F2334">
        <v>112.1</v>
      </c>
      <c r="G2334">
        <v>107.5</v>
      </c>
      <c r="H2334">
        <v>0.61770000000000003</v>
      </c>
      <c r="I2334">
        <v>56.7</v>
      </c>
      <c r="J2334">
        <v>55.7</v>
      </c>
      <c r="K2334">
        <v>15.8</v>
      </c>
      <c r="L2334">
        <v>24.2</v>
      </c>
      <c r="M2334">
        <v>23</v>
      </c>
      <c r="N2334">
        <v>34</v>
      </c>
      <c r="O2334">
        <v>43.2</v>
      </c>
      <c r="P2334">
        <v>54.9</v>
      </c>
      <c r="Q2334">
        <v>55.7</v>
      </c>
      <c r="R2334">
        <v>56.7</v>
      </c>
      <c r="S2334">
        <v>38.6</v>
      </c>
      <c r="T2334">
        <v>35.799999999999997</v>
      </c>
      <c r="U2334">
        <v>66</v>
      </c>
      <c r="V2334">
        <v>-3.3</v>
      </c>
      <c r="W2334" cm="1">
        <f t="array" ref="W2334">_xlfn.IFS(OR(X2334="N/A",X2334="NA"),0,OR(X2334="R64",X2334="R68"),1,X2334="R32",2,X2334="S16",3,X2334="E8",4,X2334="F4",5,X2334="2ND",6,X2334="Champions",7)</f>
        <v>1</v>
      </c>
      <c r="X2334" t="s">
        <v>422</v>
      </c>
      <c r="Y2334">
        <v>15</v>
      </c>
      <c r="Z2334">
        <v>2014</v>
      </c>
    </row>
    <row r="2335" spans="1:26" x14ac:dyDescent="0.3">
      <c r="A2335" t="s">
        <v>225</v>
      </c>
      <c r="B2335" t="s">
        <v>43</v>
      </c>
      <c r="C2335">
        <v>34</v>
      </c>
      <c r="D2335">
        <v>20</v>
      </c>
      <c r="E2335" s="1">
        <f t="shared" si="36"/>
        <v>0.58823529411764708</v>
      </c>
      <c r="F2335">
        <v>104.3</v>
      </c>
      <c r="G2335">
        <v>103.9</v>
      </c>
      <c r="H2335">
        <v>0.51229999999999998</v>
      </c>
      <c r="I2335">
        <v>49.1</v>
      </c>
      <c r="J2335">
        <v>49.1</v>
      </c>
      <c r="K2335">
        <v>19.899999999999999</v>
      </c>
      <c r="L2335">
        <v>18.5</v>
      </c>
      <c r="M2335">
        <v>28.6</v>
      </c>
      <c r="N2335">
        <v>31.2</v>
      </c>
      <c r="O2335">
        <v>44.7</v>
      </c>
      <c r="P2335">
        <v>36.5</v>
      </c>
      <c r="Q2335">
        <v>49.1</v>
      </c>
      <c r="R2335">
        <v>50.4</v>
      </c>
      <c r="S2335">
        <v>32.700000000000003</v>
      </c>
      <c r="T2335">
        <v>31</v>
      </c>
      <c r="U2335">
        <v>67.8</v>
      </c>
      <c r="V2335">
        <v>-6.1</v>
      </c>
      <c r="W2335" cm="1">
        <f t="array" ref="W2335">_xlfn.IFS(OR(X2335="N/A",X2335="NA"),0,OR(X2335="R64",X2335="R68"),1,X2335="R32",2,X2335="S16",3,X2335="E8",4,X2335="F4",5,X2335="2ND",6,X2335="Champions",7)</f>
        <v>1</v>
      </c>
      <c r="X2335" t="s">
        <v>422</v>
      </c>
      <c r="Y2335">
        <v>15</v>
      </c>
      <c r="Z2335">
        <v>2014</v>
      </c>
    </row>
    <row r="2336" spans="1:26" x14ac:dyDescent="0.3">
      <c r="A2336" t="s">
        <v>357</v>
      </c>
      <c r="B2336" t="s">
        <v>62</v>
      </c>
      <c r="C2336">
        <v>30</v>
      </c>
      <c r="D2336">
        <v>17</v>
      </c>
      <c r="E2336" s="1">
        <f t="shared" si="36"/>
        <v>0.56666666666666665</v>
      </c>
      <c r="F2336">
        <v>99.7</v>
      </c>
      <c r="G2336">
        <v>102.2</v>
      </c>
      <c r="H2336">
        <v>0.42749999999999999</v>
      </c>
      <c r="I2336">
        <v>48.8</v>
      </c>
      <c r="J2336">
        <v>49.5</v>
      </c>
      <c r="K2336">
        <v>16.399999999999999</v>
      </c>
      <c r="L2336">
        <v>19.7</v>
      </c>
      <c r="M2336">
        <v>30.9</v>
      </c>
      <c r="N2336">
        <v>29</v>
      </c>
      <c r="O2336">
        <v>33</v>
      </c>
      <c r="P2336">
        <v>39.4</v>
      </c>
      <c r="Q2336">
        <v>47.4</v>
      </c>
      <c r="R2336">
        <v>49.6</v>
      </c>
      <c r="S2336">
        <v>34.6</v>
      </c>
      <c r="T2336">
        <v>32.9</v>
      </c>
      <c r="U2336">
        <v>62.1</v>
      </c>
      <c r="V2336">
        <v>-6.5</v>
      </c>
      <c r="W2336" cm="1">
        <f t="array" ref="W2336">_xlfn.IFS(OR(X2336="N/A",X2336="NA"),0,OR(X2336="R64",X2336="R68"),1,X2336="R32",2,X2336="S16",3,X2336="E8",4,X2336="F4",5,X2336="2ND",6,X2336="Champions",7)</f>
        <v>1</v>
      </c>
      <c r="X2336" t="s">
        <v>422</v>
      </c>
      <c r="Y2336">
        <v>15</v>
      </c>
      <c r="Z2336">
        <v>2014</v>
      </c>
    </row>
    <row r="2337" spans="1:26" x14ac:dyDescent="0.3">
      <c r="A2337" t="s">
        <v>120</v>
      </c>
      <c r="B2337" t="s">
        <v>112</v>
      </c>
      <c r="C2337">
        <v>34</v>
      </c>
      <c r="D2337">
        <v>19</v>
      </c>
      <c r="E2337" s="1">
        <f t="shared" si="36"/>
        <v>0.55882352941176472</v>
      </c>
      <c r="F2337">
        <v>102.8</v>
      </c>
      <c r="G2337">
        <v>103.1</v>
      </c>
      <c r="H2337">
        <v>0.49</v>
      </c>
      <c r="I2337">
        <v>48.8</v>
      </c>
      <c r="J2337">
        <v>48.3</v>
      </c>
      <c r="K2337">
        <v>19.7</v>
      </c>
      <c r="L2337">
        <v>18.3</v>
      </c>
      <c r="M2337">
        <v>31.9</v>
      </c>
      <c r="N2337">
        <v>28.4</v>
      </c>
      <c r="O2337">
        <v>42</v>
      </c>
      <c r="P2337">
        <v>29.1</v>
      </c>
      <c r="Q2337">
        <v>47</v>
      </c>
      <c r="R2337">
        <v>46</v>
      </c>
      <c r="S2337">
        <v>36</v>
      </c>
      <c r="T2337">
        <v>34.9</v>
      </c>
      <c r="U2337">
        <v>63.2</v>
      </c>
      <c r="V2337">
        <v>-8.6</v>
      </c>
      <c r="W2337" cm="1">
        <f t="array" ref="W2337">_xlfn.IFS(OR(X2337="N/A",X2337="NA"),0,OR(X2337="R64",X2337="R68"),1,X2337="R32",2,X2337="S16",3,X2337="E8",4,X2337="F4",5,X2337="2ND",6,X2337="Champions",7)</f>
        <v>1</v>
      </c>
      <c r="X2337" t="s">
        <v>422</v>
      </c>
      <c r="Y2337">
        <v>16</v>
      </c>
      <c r="Z2337">
        <v>2014</v>
      </c>
    </row>
    <row r="2338" spans="1:26" x14ac:dyDescent="0.3">
      <c r="A2338" t="s">
        <v>188</v>
      </c>
      <c r="B2338" t="s">
        <v>48</v>
      </c>
      <c r="C2338">
        <v>32</v>
      </c>
      <c r="D2338">
        <v>12</v>
      </c>
      <c r="E2338" s="1">
        <f t="shared" si="36"/>
        <v>0.375</v>
      </c>
      <c r="F2338">
        <v>102</v>
      </c>
      <c r="G2338">
        <v>104.4</v>
      </c>
      <c r="H2338">
        <v>0.43559999999999999</v>
      </c>
      <c r="I2338">
        <v>46</v>
      </c>
      <c r="J2338">
        <v>49.3</v>
      </c>
      <c r="K2338">
        <v>14.7</v>
      </c>
      <c r="L2338">
        <v>18.100000000000001</v>
      </c>
      <c r="M2338">
        <v>30.9</v>
      </c>
      <c r="N2338">
        <v>33.200000000000003</v>
      </c>
      <c r="O2338">
        <v>33.200000000000003</v>
      </c>
      <c r="P2338">
        <v>42.9</v>
      </c>
      <c r="Q2338">
        <v>44.2</v>
      </c>
      <c r="R2338">
        <v>48.6</v>
      </c>
      <c r="S2338">
        <v>33</v>
      </c>
      <c r="T2338">
        <v>33.799999999999997</v>
      </c>
      <c r="U2338">
        <v>60.4</v>
      </c>
      <c r="V2338">
        <v>-10.7</v>
      </c>
      <c r="W2338" cm="1">
        <f t="array" ref="W2338">_xlfn.IFS(OR(X2338="N/A",X2338="NA"),0,OR(X2338="R64",X2338="R68"),1,X2338="R32",2,X2338="S16",3,X2338="E8",4,X2338="F4",5,X2338="2ND",6,X2338="Champions",7)</f>
        <v>1</v>
      </c>
      <c r="X2338" t="s">
        <v>422</v>
      </c>
      <c r="Y2338">
        <v>16</v>
      </c>
      <c r="Z2338">
        <v>2014</v>
      </c>
    </row>
    <row r="2339" spans="1:26" x14ac:dyDescent="0.3">
      <c r="A2339" t="s">
        <v>186</v>
      </c>
      <c r="B2339" t="s">
        <v>74</v>
      </c>
      <c r="C2339">
        <v>31</v>
      </c>
      <c r="D2339">
        <v>18</v>
      </c>
      <c r="E2339" s="1">
        <f t="shared" si="36"/>
        <v>0.58064516129032262</v>
      </c>
      <c r="F2339">
        <v>98.3</v>
      </c>
      <c r="G2339">
        <v>102</v>
      </c>
      <c r="H2339">
        <v>0.39460000000000001</v>
      </c>
      <c r="I2339">
        <v>48</v>
      </c>
      <c r="J2339">
        <v>47.5</v>
      </c>
      <c r="K2339">
        <v>20.2</v>
      </c>
      <c r="L2339">
        <v>18.3</v>
      </c>
      <c r="M2339">
        <v>34.200000000000003</v>
      </c>
      <c r="N2339">
        <v>29.3</v>
      </c>
      <c r="O2339">
        <v>38.6</v>
      </c>
      <c r="P2339">
        <v>39.6</v>
      </c>
      <c r="Q2339">
        <v>47.6</v>
      </c>
      <c r="R2339">
        <v>46.7</v>
      </c>
      <c r="S2339">
        <v>32.6</v>
      </c>
      <c r="T2339">
        <v>32.4</v>
      </c>
      <c r="U2339">
        <v>67.5</v>
      </c>
      <c r="V2339">
        <v>-7.7</v>
      </c>
      <c r="W2339" cm="1">
        <f t="array" ref="W2339">_xlfn.IFS(OR(X2339="N/A",X2339="NA"),0,OR(X2339="R64",X2339="R68"),1,X2339="R32",2,X2339="S16",3,X2339="E8",4,X2339="F4",5,X2339="2ND",6,X2339="Champions",7)</f>
        <v>1</v>
      </c>
      <c r="X2339" t="s">
        <v>422</v>
      </c>
      <c r="Y2339">
        <v>16</v>
      </c>
      <c r="Z2339">
        <v>2014</v>
      </c>
    </row>
    <row r="2340" spans="1:26" x14ac:dyDescent="0.3">
      <c r="A2340" t="s">
        <v>174</v>
      </c>
      <c r="B2340" t="s">
        <v>164</v>
      </c>
      <c r="C2340">
        <v>29</v>
      </c>
      <c r="D2340">
        <v>17</v>
      </c>
      <c r="E2340" s="1">
        <f t="shared" si="36"/>
        <v>0.58620689655172409</v>
      </c>
      <c r="F2340">
        <v>106</v>
      </c>
      <c r="G2340">
        <v>106.6</v>
      </c>
      <c r="H2340">
        <v>0.48309999999999997</v>
      </c>
      <c r="I2340">
        <v>54.1</v>
      </c>
      <c r="J2340">
        <v>47.8</v>
      </c>
      <c r="K2340">
        <v>19</v>
      </c>
      <c r="L2340">
        <v>13.8</v>
      </c>
      <c r="M2340">
        <v>28.4</v>
      </c>
      <c r="N2340">
        <v>28.7</v>
      </c>
      <c r="O2340">
        <v>49.7</v>
      </c>
      <c r="P2340">
        <v>35.1</v>
      </c>
      <c r="Q2340">
        <v>51.1</v>
      </c>
      <c r="R2340">
        <v>47</v>
      </c>
      <c r="S2340">
        <v>39.4</v>
      </c>
      <c r="T2340">
        <v>33.700000000000003</v>
      </c>
      <c r="U2340">
        <v>64.3</v>
      </c>
      <c r="V2340">
        <v>-6.9</v>
      </c>
      <c r="W2340" cm="1">
        <f t="array" ref="W2340">_xlfn.IFS(OR(X2340="N/A",X2340="NA"),0,OR(X2340="R64",X2340="R68"),1,X2340="R32",2,X2340="S16",3,X2340="E8",4,X2340="F4",5,X2340="2ND",6,X2340="Champions",7)</f>
        <v>1</v>
      </c>
      <c r="X2340" t="s">
        <v>422</v>
      </c>
      <c r="Y2340">
        <v>16</v>
      </c>
      <c r="Z2340">
        <v>2014</v>
      </c>
    </row>
    <row r="2341" spans="1:26" x14ac:dyDescent="0.3">
      <c r="A2341" t="s">
        <v>159</v>
      </c>
      <c r="B2341" t="s">
        <v>33</v>
      </c>
      <c r="C2341">
        <v>32</v>
      </c>
      <c r="D2341">
        <v>25</v>
      </c>
      <c r="E2341" s="1">
        <f t="shared" si="36"/>
        <v>0.78125</v>
      </c>
      <c r="F2341">
        <v>107.6</v>
      </c>
      <c r="G2341">
        <v>85</v>
      </c>
      <c r="H2341">
        <v>0.93810000000000004</v>
      </c>
      <c r="I2341">
        <v>51.1</v>
      </c>
      <c r="J2341">
        <v>43</v>
      </c>
      <c r="K2341">
        <v>20.100000000000001</v>
      </c>
      <c r="L2341">
        <v>22.4</v>
      </c>
      <c r="M2341">
        <v>30.4</v>
      </c>
      <c r="N2341">
        <v>31</v>
      </c>
      <c r="O2341">
        <v>36.799999999999997</v>
      </c>
      <c r="P2341">
        <v>35.299999999999997</v>
      </c>
      <c r="Q2341">
        <v>50.2</v>
      </c>
      <c r="R2341">
        <v>41.4</v>
      </c>
      <c r="S2341">
        <v>35.299999999999997</v>
      </c>
      <c r="T2341">
        <v>30.7</v>
      </c>
      <c r="U2341">
        <v>62.5</v>
      </c>
      <c r="V2341">
        <v>6.6</v>
      </c>
      <c r="W2341" cm="1">
        <f t="array" ref="W2341">_xlfn.IFS(OR(X2341="N/A",X2341="NA"),0,OR(X2341="R64",X2341="R68"),1,X2341="R32",2,X2341="S16",3,X2341="E8",4,X2341="F4",5,X2341="2ND",6,X2341="Champions",7)</f>
        <v>1</v>
      </c>
      <c r="X2341" t="s">
        <v>422</v>
      </c>
      <c r="Y2341">
        <v>2</v>
      </c>
      <c r="Z2341">
        <v>2013</v>
      </c>
    </row>
    <row r="2342" spans="1:26" x14ac:dyDescent="0.3">
      <c r="A2342" t="s">
        <v>287</v>
      </c>
      <c r="B2342" t="s">
        <v>55</v>
      </c>
      <c r="C2342">
        <v>35</v>
      </c>
      <c r="D2342">
        <v>29</v>
      </c>
      <c r="E2342" s="1">
        <f t="shared" si="36"/>
        <v>0.82857142857142863</v>
      </c>
      <c r="F2342">
        <v>107</v>
      </c>
      <c r="G2342">
        <v>91.1</v>
      </c>
      <c r="H2342">
        <v>0.86409999999999998</v>
      </c>
      <c r="I2342">
        <v>48.4</v>
      </c>
      <c r="J2342">
        <v>45.9</v>
      </c>
      <c r="K2342">
        <v>17.600000000000001</v>
      </c>
      <c r="L2342">
        <v>19.5</v>
      </c>
      <c r="M2342">
        <v>29.3</v>
      </c>
      <c r="N2342">
        <v>27.6</v>
      </c>
      <c r="O2342">
        <v>45.7</v>
      </c>
      <c r="P2342">
        <v>25.7</v>
      </c>
      <c r="Q2342">
        <v>46.1</v>
      </c>
      <c r="R2342">
        <v>42</v>
      </c>
      <c r="S2342">
        <v>35.1</v>
      </c>
      <c r="T2342">
        <v>34.6</v>
      </c>
      <c r="U2342">
        <v>65.400000000000006</v>
      </c>
      <c r="V2342">
        <v>6.9</v>
      </c>
      <c r="W2342" cm="1">
        <f t="array" ref="W2342">_xlfn.IFS(OR(X2342="N/A",X2342="NA"),0,OR(X2342="R64",X2342="R68"),1,X2342="R32",2,X2342="S16",3,X2342="E8",4,X2342="F4",5,X2342="2ND",6,X2342="Champions",7)</f>
        <v>1</v>
      </c>
      <c r="X2342" t="s">
        <v>422</v>
      </c>
      <c r="Y2342">
        <v>3</v>
      </c>
      <c r="Z2342">
        <v>2013</v>
      </c>
    </row>
    <row r="2343" spans="1:26" x14ac:dyDescent="0.3">
      <c r="A2343" t="s">
        <v>68</v>
      </c>
      <c r="B2343" t="s">
        <v>35</v>
      </c>
      <c r="C2343">
        <v>34</v>
      </c>
      <c r="D2343">
        <v>26</v>
      </c>
      <c r="E2343" s="1">
        <f t="shared" si="36"/>
        <v>0.76470588235294112</v>
      </c>
      <c r="F2343">
        <v>113.4</v>
      </c>
      <c r="G2343">
        <v>94.5</v>
      </c>
      <c r="H2343">
        <v>0.88959999999999995</v>
      </c>
      <c r="I2343">
        <v>49.1</v>
      </c>
      <c r="J2343">
        <v>47.5</v>
      </c>
      <c r="K2343">
        <v>18.2</v>
      </c>
      <c r="L2343">
        <v>22.2</v>
      </c>
      <c r="M2343">
        <v>38.5</v>
      </c>
      <c r="N2343">
        <v>33.799999999999997</v>
      </c>
      <c r="O2343">
        <v>31.7</v>
      </c>
      <c r="P2343">
        <v>36.799999999999997</v>
      </c>
      <c r="Q2343">
        <v>46.8</v>
      </c>
      <c r="R2343">
        <v>46.5</v>
      </c>
      <c r="S2343">
        <v>35.799999999999997</v>
      </c>
      <c r="T2343">
        <v>33.299999999999997</v>
      </c>
      <c r="U2343">
        <v>63</v>
      </c>
      <c r="V2343">
        <v>5.4</v>
      </c>
      <c r="W2343" cm="1">
        <f t="array" ref="W2343">_xlfn.IFS(OR(X2343="N/A",X2343="NA"),0,OR(X2343="R64",X2343="R68"),1,X2343="R32",2,X2343="S16",3,X2343="E8",4,X2343="F4",5,X2343="2ND",6,X2343="Champions",7)</f>
        <v>1</v>
      </c>
      <c r="X2343" t="s">
        <v>422</v>
      </c>
      <c r="Y2343">
        <v>4</v>
      </c>
      <c r="Z2343">
        <v>2013</v>
      </c>
    </row>
    <row r="2344" spans="1:26" x14ac:dyDescent="0.3">
      <c r="A2344" t="s">
        <v>30</v>
      </c>
      <c r="B2344" t="s">
        <v>31</v>
      </c>
      <c r="C2344">
        <v>35</v>
      </c>
      <c r="D2344">
        <v>23</v>
      </c>
      <c r="E2344" s="1">
        <f t="shared" si="36"/>
        <v>0.65714285714285714</v>
      </c>
      <c r="F2344">
        <v>107.2</v>
      </c>
      <c r="G2344">
        <v>84.3</v>
      </c>
      <c r="H2344">
        <v>0.94059999999999999</v>
      </c>
      <c r="I2344">
        <v>48.6</v>
      </c>
      <c r="J2344">
        <v>43</v>
      </c>
      <c r="K2344">
        <v>15.7</v>
      </c>
      <c r="L2344">
        <v>18</v>
      </c>
      <c r="M2344">
        <v>32.6</v>
      </c>
      <c r="N2344">
        <v>26.9</v>
      </c>
      <c r="O2344">
        <v>29.7</v>
      </c>
      <c r="P2344">
        <v>25.7</v>
      </c>
      <c r="Q2344">
        <v>48</v>
      </c>
      <c r="R2344">
        <v>42.8</v>
      </c>
      <c r="S2344">
        <v>33</v>
      </c>
      <c r="T2344">
        <v>28.9</v>
      </c>
      <c r="U2344">
        <v>61.9</v>
      </c>
      <c r="V2344">
        <v>4.5999999999999996</v>
      </c>
      <c r="W2344" cm="1">
        <f t="array" ref="W2344">_xlfn.IFS(OR(X2344="N/A",X2344="NA"),0,OR(X2344="R64",X2344="R68"),1,X2344="R32",2,X2344="S16",3,X2344="E8",4,X2344="F4",5,X2344="2ND",6,X2344="Champions",7)</f>
        <v>1</v>
      </c>
      <c r="X2344" t="s">
        <v>422</v>
      </c>
      <c r="Y2344">
        <v>5</v>
      </c>
      <c r="Z2344">
        <v>2013</v>
      </c>
    </row>
    <row r="2345" spans="1:26" x14ac:dyDescent="0.3">
      <c r="A2345" t="s">
        <v>151</v>
      </c>
      <c r="B2345" t="s">
        <v>35</v>
      </c>
      <c r="C2345">
        <v>33</v>
      </c>
      <c r="D2345">
        <v>24</v>
      </c>
      <c r="E2345" s="1">
        <f t="shared" si="36"/>
        <v>0.72727272727272729</v>
      </c>
      <c r="F2345">
        <v>107.1</v>
      </c>
      <c r="G2345">
        <v>88.6</v>
      </c>
      <c r="H2345">
        <v>0.89829999999999999</v>
      </c>
      <c r="I2345">
        <v>48.8</v>
      </c>
      <c r="J2345">
        <v>44.5</v>
      </c>
      <c r="K2345">
        <v>18.2</v>
      </c>
      <c r="L2345">
        <v>21.7</v>
      </c>
      <c r="M2345">
        <v>31.3</v>
      </c>
      <c r="N2345">
        <v>30.8</v>
      </c>
      <c r="O2345">
        <v>40.5</v>
      </c>
      <c r="P2345">
        <v>35.1</v>
      </c>
      <c r="Q2345">
        <v>49.5</v>
      </c>
      <c r="R2345">
        <v>42.4</v>
      </c>
      <c r="S2345">
        <v>31.6</v>
      </c>
      <c r="T2345">
        <v>32.4</v>
      </c>
      <c r="U2345">
        <v>67.3</v>
      </c>
      <c r="V2345">
        <v>3.2</v>
      </c>
      <c r="W2345" cm="1">
        <f t="array" ref="W2345">_xlfn.IFS(OR(X2345="N/A",X2345="NA"),0,OR(X2345="R64",X2345="R68"),1,X2345="R32",2,X2345="S16",3,X2345="E8",4,X2345="F4",5,X2345="2ND",6,X2345="Champions",7)</f>
        <v>1</v>
      </c>
      <c r="X2345" t="s">
        <v>422</v>
      </c>
      <c r="Y2345">
        <v>5</v>
      </c>
      <c r="Z2345">
        <v>2013</v>
      </c>
    </row>
    <row r="2346" spans="1:26" x14ac:dyDescent="0.3">
      <c r="A2346" t="s">
        <v>289</v>
      </c>
      <c r="B2346" t="s">
        <v>55</v>
      </c>
      <c r="C2346">
        <v>34</v>
      </c>
      <c r="D2346">
        <v>24</v>
      </c>
      <c r="E2346" s="1">
        <f t="shared" si="36"/>
        <v>0.70588235294117652</v>
      </c>
      <c r="F2346">
        <v>104.7</v>
      </c>
      <c r="G2346">
        <v>88.4</v>
      </c>
      <c r="H2346">
        <v>0.87490000000000001</v>
      </c>
      <c r="I2346">
        <v>48.9</v>
      </c>
      <c r="J2346">
        <v>44.1</v>
      </c>
      <c r="K2346">
        <v>20.2</v>
      </c>
      <c r="L2346">
        <v>18.5</v>
      </c>
      <c r="M2346">
        <v>33.299999999999997</v>
      </c>
      <c r="N2346">
        <v>27.1</v>
      </c>
      <c r="O2346">
        <v>36.700000000000003</v>
      </c>
      <c r="P2346">
        <v>29.6</v>
      </c>
      <c r="Q2346">
        <v>48.9</v>
      </c>
      <c r="R2346">
        <v>42.6</v>
      </c>
      <c r="S2346">
        <v>32.6</v>
      </c>
      <c r="T2346">
        <v>31.6</v>
      </c>
      <c r="U2346">
        <v>69.3</v>
      </c>
      <c r="V2346">
        <v>1.8</v>
      </c>
      <c r="W2346" cm="1">
        <f t="array" ref="W2346">_xlfn.IFS(OR(X2346="N/A",X2346="NA"),0,OR(X2346="R64",X2346="R68"),1,X2346="R32",2,X2346="S16",3,X2346="E8",4,X2346="F4",5,X2346="2ND",6,X2346="Champions",7)</f>
        <v>1</v>
      </c>
      <c r="X2346" t="s">
        <v>422</v>
      </c>
      <c r="Y2346">
        <v>5</v>
      </c>
      <c r="Z2346">
        <v>2013</v>
      </c>
    </row>
    <row r="2347" spans="1:26" x14ac:dyDescent="0.3">
      <c r="A2347" t="s">
        <v>324</v>
      </c>
      <c r="B2347" t="s">
        <v>38</v>
      </c>
      <c r="C2347">
        <v>35</v>
      </c>
      <c r="D2347">
        <v>25</v>
      </c>
      <c r="E2347" s="1">
        <f t="shared" si="36"/>
        <v>0.7142857142857143</v>
      </c>
      <c r="F2347">
        <v>110</v>
      </c>
      <c r="G2347">
        <v>94.8</v>
      </c>
      <c r="H2347">
        <v>0.84750000000000003</v>
      </c>
      <c r="I2347">
        <v>49.1</v>
      </c>
      <c r="J2347">
        <v>47.5</v>
      </c>
      <c r="K2347">
        <v>15.8</v>
      </c>
      <c r="L2347">
        <v>19.899999999999999</v>
      </c>
      <c r="M2347">
        <v>30.7</v>
      </c>
      <c r="N2347">
        <v>34</v>
      </c>
      <c r="O2347">
        <v>33.1</v>
      </c>
      <c r="P2347">
        <v>24.6</v>
      </c>
      <c r="Q2347">
        <v>48.9</v>
      </c>
      <c r="R2347">
        <v>46.9</v>
      </c>
      <c r="S2347">
        <v>33.299999999999997</v>
      </c>
      <c r="T2347">
        <v>32.4</v>
      </c>
      <c r="U2347">
        <v>69.599999999999994</v>
      </c>
      <c r="V2347">
        <v>3.3</v>
      </c>
      <c r="W2347" cm="1">
        <f t="array" ref="W2347">_xlfn.IFS(OR(X2347="N/A",X2347="NA"),0,OR(X2347="R64",X2347="R68"),1,X2347="R32",2,X2347="S16",3,X2347="E8",4,X2347="F4",5,X2347="2ND",6,X2347="Champions",7)</f>
        <v>1</v>
      </c>
      <c r="X2347" t="s">
        <v>422</v>
      </c>
      <c r="Y2347">
        <v>6</v>
      </c>
      <c r="Z2347">
        <v>2013</v>
      </c>
    </row>
    <row r="2348" spans="1:26" x14ac:dyDescent="0.3">
      <c r="A2348" t="s">
        <v>56</v>
      </c>
      <c r="B2348" t="s">
        <v>33</v>
      </c>
      <c r="C2348">
        <v>35</v>
      </c>
      <c r="D2348">
        <v>25</v>
      </c>
      <c r="E2348" s="1">
        <f t="shared" si="36"/>
        <v>0.7142857142857143</v>
      </c>
      <c r="F2348">
        <v>112.9</v>
      </c>
      <c r="G2348">
        <v>95.4</v>
      </c>
      <c r="H2348">
        <v>0.87480000000000002</v>
      </c>
      <c r="I2348">
        <v>52.2</v>
      </c>
      <c r="J2348">
        <v>46.8</v>
      </c>
      <c r="K2348">
        <v>17.600000000000001</v>
      </c>
      <c r="L2348">
        <v>16</v>
      </c>
      <c r="M2348">
        <v>34</v>
      </c>
      <c r="N2348">
        <v>29.5</v>
      </c>
      <c r="O2348">
        <v>32</v>
      </c>
      <c r="P2348">
        <v>24.6</v>
      </c>
      <c r="Q2348">
        <v>50.6</v>
      </c>
      <c r="R2348">
        <v>45.9</v>
      </c>
      <c r="S2348">
        <v>37</v>
      </c>
      <c r="T2348">
        <v>32.5</v>
      </c>
      <c r="U2348">
        <v>61.7</v>
      </c>
      <c r="V2348">
        <v>3.9</v>
      </c>
      <c r="W2348" cm="1">
        <f t="array" ref="W2348">_xlfn.IFS(OR(X2348="N/A",X2348="NA"),0,OR(X2348="R64",X2348="R68"),1,X2348="R32",2,X2348="S16",3,X2348="E8",4,X2348="F4",5,X2348="2ND",6,X2348="Champions",7)</f>
        <v>1</v>
      </c>
      <c r="X2348" t="s">
        <v>422</v>
      </c>
      <c r="Y2348">
        <v>7</v>
      </c>
      <c r="Z2348">
        <v>2013</v>
      </c>
    </row>
    <row r="2349" spans="1:26" x14ac:dyDescent="0.3">
      <c r="A2349" t="s">
        <v>107</v>
      </c>
      <c r="B2349" t="s">
        <v>33</v>
      </c>
      <c r="C2349">
        <v>33</v>
      </c>
      <c r="D2349">
        <v>24</v>
      </c>
      <c r="E2349" s="1">
        <f t="shared" si="36"/>
        <v>0.72727272727272729</v>
      </c>
      <c r="F2349">
        <v>112.8</v>
      </c>
      <c r="G2349">
        <v>91.1</v>
      </c>
      <c r="H2349">
        <v>0.92169999999999996</v>
      </c>
      <c r="I2349">
        <v>51.7</v>
      </c>
      <c r="J2349">
        <v>44.6</v>
      </c>
      <c r="K2349">
        <v>18.100000000000001</v>
      </c>
      <c r="L2349">
        <v>22</v>
      </c>
      <c r="M2349">
        <v>40.4</v>
      </c>
      <c r="N2349">
        <v>30</v>
      </c>
      <c r="O2349">
        <v>37.5</v>
      </c>
      <c r="P2349">
        <v>36.4</v>
      </c>
      <c r="Q2349">
        <v>51.5</v>
      </c>
      <c r="R2349">
        <v>44</v>
      </c>
      <c r="S2349">
        <v>34.9</v>
      </c>
      <c r="T2349">
        <v>30.4</v>
      </c>
      <c r="U2349">
        <v>60.3</v>
      </c>
      <c r="V2349">
        <v>3.1</v>
      </c>
      <c r="W2349" cm="1">
        <f t="array" ref="W2349">_xlfn.IFS(OR(X2349="N/A",X2349="NA"),0,OR(X2349="R64",X2349="R68"),1,X2349="R32",2,X2349="S16",3,X2349="E8",4,X2349="F4",5,X2349="2ND",6,X2349="Champions",7)</f>
        <v>1</v>
      </c>
      <c r="X2349" t="s">
        <v>422</v>
      </c>
      <c r="Y2349">
        <v>8</v>
      </c>
      <c r="Z2349">
        <v>2013</v>
      </c>
    </row>
    <row r="2350" spans="1:26" x14ac:dyDescent="0.3">
      <c r="A2350" t="s">
        <v>110</v>
      </c>
      <c r="B2350" t="s">
        <v>26</v>
      </c>
      <c r="C2350">
        <v>35</v>
      </c>
      <c r="D2350">
        <v>24</v>
      </c>
      <c r="E2350" s="1">
        <f t="shared" si="36"/>
        <v>0.68571428571428572</v>
      </c>
      <c r="F2350">
        <v>115.2</v>
      </c>
      <c r="G2350">
        <v>98</v>
      </c>
      <c r="H2350">
        <v>0.86499999999999999</v>
      </c>
      <c r="I2350">
        <v>54.2</v>
      </c>
      <c r="J2350">
        <v>46.8</v>
      </c>
      <c r="K2350">
        <v>18</v>
      </c>
      <c r="L2350">
        <v>16.600000000000001</v>
      </c>
      <c r="M2350">
        <v>34.700000000000003</v>
      </c>
      <c r="N2350">
        <v>32.6</v>
      </c>
      <c r="O2350">
        <v>40.9</v>
      </c>
      <c r="P2350">
        <v>29</v>
      </c>
      <c r="Q2350">
        <v>52.8</v>
      </c>
      <c r="R2350">
        <v>47.5</v>
      </c>
      <c r="S2350">
        <v>39.1</v>
      </c>
      <c r="T2350">
        <v>30.2</v>
      </c>
      <c r="U2350">
        <v>68.099999999999994</v>
      </c>
      <c r="V2350">
        <v>2.2000000000000002</v>
      </c>
      <c r="W2350" cm="1">
        <f t="array" ref="W2350">_xlfn.IFS(OR(X2350="N/A",X2350="NA"),0,OR(X2350="R64",X2350="R68"),1,X2350="R32",2,X2350="S16",3,X2350="E8",4,X2350="F4",5,X2350="2ND",6,X2350="Champions",7)</f>
        <v>1</v>
      </c>
      <c r="X2350" t="s">
        <v>422</v>
      </c>
      <c r="Y2350">
        <v>8</v>
      </c>
      <c r="Z2350">
        <v>2013</v>
      </c>
    </row>
    <row r="2351" spans="1:26" x14ac:dyDescent="0.3">
      <c r="A2351" t="s">
        <v>46</v>
      </c>
      <c r="B2351" t="s">
        <v>33</v>
      </c>
      <c r="C2351">
        <v>33</v>
      </c>
      <c r="D2351">
        <v>19</v>
      </c>
      <c r="E2351" s="1">
        <f t="shared" si="36"/>
        <v>0.5757575757575758</v>
      </c>
      <c r="F2351">
        <v>105.3</v>
      </c>
      <c r="G2351">
        <v>90.5</v>
      </c>
      <c r="H2351">
        <v>0.85070000000000001</v>
      </c>
      <c r="I2351">
        <v>47.3</v>
      </c>
      <c r="J2351">
        <v>47.3</v>
      </c>
      <c r="K2351">
        <v>22.9</v>
      </c>
      <c r="L2351">
        <v>22</v>
      </c>
      <c r="M2351">
        <v>33.1</v>
      </c>
      <c r="N2351">
        <v>29.5</v>
      </c>
      <c r="O2351">
        <v>50.6</v>
      </c>
      <c r="P2351">
        <v>40.9</v>
      </c>
      <c r="Q2351">
        <v>46</v>
      </c>
      <c r="R2351">
        <v>42.4</v>
      </c>
      <c r="S2351">
        <v>33.200000000000003</v>
      </c>
      <c r="T2351">
        <v>37.299999999999997</v>
      </c>
      <c r="U2351">
        <v>67.7</v>
      </c>
      <c r="V2351">
        <v>0.3</v>
      </c>
      <c r="W2351" cm="1">
        <f t="array" ref="W2351">_xlfn.IFS(OR(X2351="N/A",X2351="NA"),0,OR(X2351="R64",X2351="R68"),1,X2351="R32",2,X2351="S16",3,X2351="E8",4,X2351="F4",5,X2351="2ND",6,X2351="Champions",7)</f>
        <v>1</v>
      </c>
      <c r="X2351" t="s">
        <v>422</v>
      </c>
      <c r="Y2351">
        <v>9</v>
      </c>
      <c r="Z2351">
        <v>2013</v>
      </c>
    </row>
    <row r="2352" spans="1:26" x14ac:dyDescent="0.3">
      <c r="A2352" t="s">
        <v>360</v>
      </c>
      <c r="B2352" t="s">
        <v>29</v>
      </c>
      <c r="C2352">
        <v>34</v>
      </c>
      <c r="D2352">
        <v>23</v>
      </c>
      <c r="E2352" s="1">
        <f t="shared" si="36"/>
        <v>0.67647058823529416</v>
      </c>
      <c r="F2352">
        <v>113.3</v>
      </c>
      <c r="G2352">
        <v>95.2</v>
      </c>
      <c r="H2352">
        <v>0.88149999999999995</v>
      </c>
      <c r="I2352">
        <v>51.2</v>
      </c>
      <c r="J2352">
        <v>46.1</v>
      </c>
      <c r="K2352">
        <v>18.899999999999999</v>
      </c>
      <c r="L2352">
        <v>17.600000000000001</v>
      </c>
      <c r="M2352">
        <v>38.700000000000003</v>
      </c>
      <c r="N2352">
        <v>28.6</v>
      </c>
      <c r="O2352">
        <v>35</v>
      </c>
      <c r="P2352">
        <v>29.7</v>
      </c>
      <c r="Q2352">
        <v>51.4</v>
      </c>
      <c r="R2352">
        <v>44.1</v>
      </c>
      <c r="S2352">
        <v>33.9</v>
      </c>
      <c r="T2352">
        <v>33.200000000000003</v>
      </c>
      <c r="U2352">
        <v>67.7</v>
      </c>
      <c r="V2352">
        <v>1.2</v>
      </c>
      <c r="W2352" cm="1">
        <f t="array" ref="W2352">_xlfn.IFS(OR(X2352="N/A",X2352="NA"),0,OR(X2352="R64",X2352="R68"),1,X2352="R32",2,X2352="S16",3,X2352="E8",4,X2352="F4",5,X2352="2ND",6,X2352="Champions",7)</f>
        <v>1</v>
      </c>
      <c r="X2352" t="s">
        <v>422</v>
      </c>
      <c r="Y2352">
        <v>9</v>
      </c>
      <c r="Z2352">
        <v>2013</v>
      </c>
    </row>
    <row r="2353" spans="1:26" x14ac:dyDescent="0.3">
      <c r="A2353" t="s">
        <v>84</v>
      </c>
      <c r="B2353" t="s">
        <v>35</v>
      </c>
      <c r="C2353">
        <v>32</v>
      </c>
      <c r="D2353">
        <v>20</v>
      </c>
      <c r="E2353" s="1">
        <f t="shared" si="36"/>
        <v>0.625</v>
      </c>
      <c r="F2353">
        <v>110.3</v>
      </c>
      <c r="G2353">
        <v>95.6</v>
      </c>
      <c r="H2353">
        <v>0.83909999999999996</v>
      </c>
      <c r="I2353">
        <v>47.8</v>
      </c>
      <c r="J2353">
        <v>47.4</v>
      </c>
      <c r="K2353">
        <v>17.5</v>
      </c>
      <c r="L2353">
        <v>19.600000000000001</v>
      </c>
      <c r="M2353">
        <v>33.200000000000003</v>
      </c>
      <c r="N2353">
        <v>31.5</v>
      </c>
      <c r="O2353">
        <v>35.4</v>
      </c>
      <c r="P2353">
        <v>31.4</v>
      </c>
      <c r="Q2353">
        <v>47.6</v>
      </c>
      <c r="R2353">
        <v>46.4</v>
      </c>
      <c r="S2353">
        <v>32.299999999999997</v>
      </c>
      <c r="T2353">
        <v>32.9</v>
      </c>
      <c r="U2353">
        <v>66.7</v>
      </c>
      <c r="V2353">
        <v>0.3</v>
      </c>
      <c r="W2353" cm="1">
        <f t="array" ref="W2353">_xlfn.IFS(OR(X2353="N/A",X2353="NA"),0,OR(X2353="R64",X2353="R68"),1,X2353="R32",2,X2353="S16",3,X2353="E8",4,X2353="F4",5,X2353="2ND",6,X2353="Champions",7)</f>
        <v>1</v>
      </c>
      <c r="X2353" t="s">
        <v>422</v>
      </c>
      <c r="Y2353">
        <v>10</v>
      </c>
      <c r="Z2353">
        <v>2013</v>
      </c>
    </row>
    <row r="2354" spans="1:26" x14ac:dyDescent="0.3">
      <c r="A2354" t="s">
        <v>318</v>
      </c>
      <c r="B2354" t="s">
        <v>38</v>
      </c>
      <c r="C2354">
        <v>33</v>
      </c>
      <c r="D2354">
        <v>21</v>
      </c>
      <c r="E2354" s="1">
        <f t="shared" si="36"/>
        <v>0.63636363636363635</v>
      </c>
      <c r="F2354">
        <v>104.9</v>
      </c>
      <c r="G2354">
        <v>90.2</v>
      </c>
      <c r="H2354">
        <v>0.85129999999999995</v>
      </c>
      <c r="I2354">
        <v>48.3</v>
      </c>
      <c r="J2354">
        <v>45.9</v>
      </c>
      <c r="K2354">
        <v>20</v>
      </c>
      <c r="L2354">
        <v>19.399999999999999</v>
      </c>
      <c r="M2354">
        <v>33.6</v>
      </c>
      <c r="N2354">
        <v>30.4</v>
      </c>
      <c r="O2354">
        <v>40.9</v>
      </c>
      <c r="P2354">
        <v>25.3</v>
      </c>
      <c r="Q2354">
        <v>47</v>
      </c>
      <c r="R2354">
        <v>44.7</v>
      </c>
      <c r="S2354">
        <v>34.4</v>
      </c>
      <c r="T2354">
        <v>32</v>
      </c>
      <c r="U2354">
        <v>65.5</v>
      </c>
      <c r="V2354">
        <v>1.4</v>
      </c>
      <c r="W2354" cm="1">
        <f t="array" ref="W2354">_xlfn.IFS(OR(X2354="N/A",X2354="NA"),0,OR(X2354="R64",X2354="R68"),1,X2354="R32",2,X2354="S16",3,X2354="E8",4,X2354="F4",5,X2354="2ND",6,X2354="Champions",7)</f>
        <v>1</v>
      </c>
      <c r="X2354" t="s">
        <v>422</v>
      </c>
      <c r="Y2354">
        <v>10</v>
      </c>
      <c r="Z2354">
        <v>2013</v>
      </c>
    </row>
    <row r="2355" spans="1:26" x14ac:dyDescent="0.3">
      <c r="A2355" t="s">
        <v>421</v>
      </c>
      <c r="B2355" t="s">
        <v>33</v>
      </c>
      <c r="C2355">
        <v>34</v>
      </c>
      <c r="D2355">
        <v>22</v>
      </c>
      <c r="E2355" s="1">
        <f t="shared" si="36"/>
        <v>0.6470588235294118</v>
      </c>
      <c r="F2355">
        <v>104.5</v>
      </c>
      <c r="G2355">
        <v>88.3</v>
      </c>
      <c r="H2355">
        <v>0.873</v>
      </c>
      <c r="I2355">
        <v>46.2</v>
      </c>
      <c r="J2355">
        <v>43.3</v>
      </c>
      <c r="K2355">
        <v>19.399999999999999</v>
      </c>
      <c r="L2355">
        <v>20.3</v>
      </c>
      <c r="M2355">
        <v>38.700000000000003</v>
      </c>
      <c r="N2355">
        <v>29.8</v>
      </c>
      <c r="O2355">
        <v>35.5</v>
      </c>
      <c r="P2355">
        <v>32.700000000000003</v>
      </c>
      <c r="Q2355">
        <v>45.5</v>
      </c>
      <c r="R2355">
        <v>42.3</v>
      </c>
      <c r="S2355">
        <v>31.6</v>
      </c>
      <c r="T2355">
        <v>30.4</v>
      </c>
      <c r="U2355">
        <v>65.5</v>
      </c>
      <c r="V2355">
        <v>1.7</v>
      </c>
      <c r="W2355" cm="1">
        <f t="array" ref="W2355">_xlfn.IFS(OR(X2355="N/A",X2355="NA"),0,OR(X2355="R64",X2355="R68"),1,X2355="R32",2,X2355="S16",3,X2355="E8",4,X2355="F4",5,X2355="2ND",6,X2355="Champions",7)</f>
        <v>1</v>
      </c>
      <c r="X2355" t="s">
        <v>422</v>
      </c>
      <c r="Y2355">
        <v>10</v>
      </c>
      <c r="Z2355">
        <v>2013</v>
      </c>
    </row>
    <row r="2356" spans="1:26" x14ac:dyDescent="0.3">
      <c r="A2356" t="s">
        <v>315</v>
      </c>
      <c r="B2356" t="s">
        <v>64</v>
      </c>
      <c r="C2356">
        <v>31</v>
      </c>
      <c r="D2356">
        <v>24</v>
      </c>
      <c r="E2356" s="1">
        <f t="shared" si="36"/>
        <v>0.77419354838709675</v>
      </c>
      <c r="F2356">
        <v>108.9</v>
      </c>
      <c r="G2356">
        <v>96.2</v>
      </c>
      <c r="H2356">
        <v>0.80640000000000001</v>
      </c>
      <c r="I2356">
        <v>56.5</v>
      </c>
      <c r="J2356">
        <v>48</v>
      </c>
      <c r="K2356">
        <v>19.600000000000001</v>
      </c>
      <c r="L2356">
        <v>25</v>
      </c>
      <c r="M2356">
        <v>29.7</v>
      </c>
      <c r="N2356">
        <v>34.200000000000003</v>
      </c>
      <c r="O2356">
        <v>32.799999999999997</v>
      </c>
      <c r="P2356">
        <v>37</v>
      </c>
      <c r="Q2356">
        <v>56.9</v>
      </c>
      <c r="R2356">
        <v>46.7</v>
      </c>
      <c r="S2356">
        <v>37.200000000000003</v>
      </c>
      <c r="T2356">
        <v>33.5</v>
      </c>
      <c r="U2356">
        <v>67.400000000000006</v>
      </c>
      <c r="V2356">
        <v>0.1</v>
      </c>
      <c r="W2356" cm="1">
        <f t="array" ref="W2356">_xlfn.IFS(OR(X2356="N/A",X2356="NA"),0,OR(X2356="R64",X2356="R68"),1,X2356="R32",2,X2356="S16",3,X2356="E8",4,X2356="F4",5,X2356="2ND",6,X2356="Champions",7)</f>
        <v>1</v>
      </c>
      <c r="X2356" t="s">
        <v>422</v>
      </c>
      <c r="Y2356">
        <v>11</v>
      </c>
      <c r="Z2356">
        <v>2013</v>
      </c>
    </row>
    <row r="2357" spans="1:26" x14ac:dyDescent="0.3">
      <c r="A2357" t="s">
        <v>329</v>
      </c>
      <c r="B2357" t="s">
        <v>67</v>
      </c>
      <c r="C2357">
        <v>33</v>
      </c>
      <c r="D2357">
        <v>27</v>
      </c>
      <c r="E2357" s="1">
        <f t="shared" si="36"/>
        <v>0.81818181818181823</v>
      </c>
      <c r="F2357">
        <v>104.7</v>
      </c>
      <c r="G2357">
        <v>93.1</v>
      </c>
      <c r="H2357">
        <v>0.79359999999999997</v>
      </c>
      <c r="I2357">
        <v>49.6</v>
      </c>
      <c r="J2357">
        <v>42.5</v>
      </c>
      <c r="K2357">
        <v>15.1</v>
      </c>
      <c r="L2357">
        <v>14.1</v>
      </c>
      <c r="M2357">
        <v>29.3</v>
      </c>
      <c r="N2357">
        <v>24.3</v>
      </c>
      <c r="O2357">
        <v>35.700000000000003</v>
      </c>
      <c r="P2357">
        <v>29.4</v>
      </c>
      <c r="Q2357">
        <v>48.3</v>
      </c>
      <c r="R2357">
        <v>41.1</v>
      </c>
      <c r="S2357">
        <v>35.799999999999997</v>
      </c>
      <c r="T2357">
        <v>30.5</v>
      </c>
      <c r="U2357">
        <v>63.4</v>
      </c>
      <c r="V2357">
        <v>1</v>
      </c>
      <c r="W2357" cm="1">
        <f t="array" ref="W2357">_xlfn.IFS(OR(X2357="N/A",X2357="NA"),0,OR(X2357="R64",X2357="R68"),1,X2357="R32",2,X2357="S16",3,X2357="E8",4,X2357="F4",5,X2357="2ND",6,X2357="Champions",7)</f>
        <v>1</v>
      </c>
      <c r="X2357" t="s">
        <v>422</v>
      </c>
      <c r="Y2357">
        <v>11</v>
      </c>
      <c r="Z2357">
        <v>2013</v>
      </c>
    </row>
    <row r="2358" spans="1:26" x14ac:dyDescent="0.3">
      <c r="A2358" t="s">
        <v>413</v>
      </c>
      <c r="B2358" t="s">
        <v>37</v>
      </c>
      <c r="C2358">
        <v>34</v>
      </c>
      <c r="D2358">
        <v>27</v>
      </c>
      <c r="E2358" s="1">
        <f t="shared" si="36"/>
        <v>0.79411764705882348</v>
      </c>
      <c r="F2358">
        <v>113.9</v>
      </c>
      <c r="G2358">
        <v>94.9</v>
      </c>
      <c r="H2358">
        <v>0.89100000000000001</v>
      </c>
      <c r="I2358">
        <v>53.7</v>
      </c>
      <c r="J2358">
        <v>47.1</v>
      </c>
      <c r="K2358">
        <v>18.3</v>
      </c>
      <c r="L2358">
        <v>17.899999999999999</v>
      </c>
      <c r="M2358">
        <v>36.9</v>
      </c>
      <c r="N2358">
        <v>25</v>
      </c>
      <c r="O2358">
        <v>37</v>
      </c>
      <c r="P2358">
        <v>36.9</v>
      </c>
      <c r="Q2358">
        <v>52.3</v>
      </c>
      <c r="R2358">
        <v>44</v>
      </c>
      <c r="S2358">
        <v>37.299999999999997</v>
      </c>
      <c r="T2358">
        <v>36.700000000000003</v>
      </c>
      <c r="U2358">
        <v>64.8</v>
      </c>
      <c r="V2358">
        <v>2.5</v>
      </c>
      <c r="W2358" cm="1">
        <f t="array" ref="W2358">_xlfn.IFS(OR(X2358="N/A",X2358="NA"),0,OR(X2358="R64",X2358="R68"),1,X2358="R32",2,X2358="S16",3,X2358="E8",4,X2358="F4",5,X2358="2ND",6,X2358="Champions",7)</f>
        <v>1</v>
      </c>
      <c r="X2358" t="s">
        <v>422</v>
      </c>
      <c r="Y2358">
        <v>11</v>
      </c>
      <c r="Z2358">
        <v>2013</v>
      </c>
    </row>
    <row r="2359" spans="1:26" x14ac:dyDescent="0.3">
      <c r="A2359" t="s">
        <v>251</v>
      </c>
      <c r="B2359" t="s">
        <v>57</v>
      </c>
      <c r="C2359">
        <v>32</v>
      </c>
      <c r="D2359">
        <v>25</v>
      </c>
      <c r="E2359" s="1">
        <f t="shared" si="36"/>
        <v>0.78125</v>
      </c>
      <c r="F2359">
        <v>103.4</v>
      </c>
      <c r="G2359">
        <v>94.4</v>
      </c>
      <c r="H2359">
        <v>0.74019999999999997</v>
      </c>
      <c r="I2359">
        <v>51</v>
      </c>
      <c r="J2359">
        <v>44.6</v>
      </c>
      <c r="K2359">
        <v>20.8</v>
      </c>
      <c r="L2359">
        <v>20.2</v>
      </c>
      <c r="M2359">
        <v>37.6</v>
      </c>
      <c r="N2359">
        <v>30.5</v>
      </c>
      <c r="O2359">
        <v>36.9</v>
      </c>
      <c r="P2359">
        <v>35</v>
      </c>
      <c r="Q2359">
        <v>52.1</v>
      </c>
      <c r="R2359">
        <v>42.7</v>
      </c>
      <c r="S2359">
        <v>32.700000000000003</v>
      </c>
      <c r="T2359">
        <v>32.799999999999997</v>
      </c>
      <c r="U2359">
        <v>66.5</v>
      </c>
      <c r="V2359">
        <v>0.3</v>
      </c>
      <c r="W2359" cm="1">
        <f t="array" ref="W2359">_xlfn.IFS(OR(X2359="N/A",X2359="NA"),0,OR(X2359="R64",X2359="R68"),1,X2359="R32",2,X2359="S16",3,X2359="E8",4,X2359="F4",5,X2359="2ND",6,X2359="Champions",7)</f>
        <v>1</v>
      </c>
      <c r="X2359" t="s">
        <v>422</v>
      </c>
      <c r="Y2359">
        <v>12</v>
      </c>
      <c r="Z2359">
        <v>2013</v>
      </c>
    </row>
    <row r="2360" spans="1:26" x14ac:dyDescent="0.3">
      <c r="A2360" t="s">
        <v>386</v>
      </c>
      <c r="B2360" t="s">
        <v>72</v>
      </c>
      <c r="C2360">
        <v>32</v>
      </c>
      <c r="D2360">
        <v>22</v>
      </c>
      <c r="E2360" s="1">
        <f t="shared" si="36"/>
        <v>0.6875</v>
      </c>
      <c r="F2360">
        <v>109.7</v>
      </c>
      <c r="G2360">
        <v>103.7</v>
      </c>
      <c r="H2360">
        <v>0.6573</v>
      </c>
      <c r="I2360">
        <v>53.3</v>
      </c>
      <c r="J2360">
        <v>51.2</v>
      </c>
      <c r="K2360">
        <v>16.399999999999999</v>
      </c>
      <c r="L2360">
        <v>17.100000000000001</v>
      </c>
      <c r="M2360">
        <v>28.9</v>
      </c>
      <c r="N2360">
        <v>26.1</v>
      </c>
      <c r="O2360">
        <v>33</v>
      </c>
      <c r="P2360">
        <v>24.4</v>
      </c>
      <c r="Q2360">
        <v>50.4</v>
      </c>
      <c r="R2360">
        <v>49.8</v>
      </c>
      <c r="S2360">
        <v>38.9</v>
      </c>
      <c r="T2360">
        <v>35.799999999999997</v>
      </c>
      <c r="U2360">
        <v>64</v>
      </c>
      <c r="V2360">
        <v>-3.2</v>
      </c>
      <c r="W2360" cm="1">
        <f t="array" ref="W2360">_xlfn.IFS(OR(X2360="N/A",X2360="NA"),0,OR(X2360="R64",X2360="R68"),1,X2360="R32",2,X2360="S16",3,X2360="E8",4,X2360="F4",5,X2360="2ND",6,X2360="Champions",7)</f>
        <v>1</v>
      </c>
      <c r="X2360" t="s">
        <v>422</v>
      </c>
      <c r="Y2360">
        <v>13</v>
      </c>
      <c r="Z2360">
        <v>2013</v>
      </c>
    </row>
    <row r="2361" spans="1:26" x14ac:dyDescent="0.3">
      <c r="A2361" t="s">
        <v>166</v>
      </c>
      <c r="B2361" t="s">
        <v>164</v>
      </c>
      <c r="C2361">
        <v>30</v>
      </c>
      <c r="D2361">
        <v>23</v>
      </c>
      <c r="E2361" s="1">
        <f t="shared" si="36"/>
        <v>0.76666666666666672</v>
      </c>
      <c r="F2361">
        <v>101.6</v>
      </c>
      <c r="G2361">
        <v>101.8</v>
      </c>
      <c r="H2361">
        <v>0.4929</v>
      </c>
      <c r="I2361">
        <v>52.9</v>
      </c>
      <c r="J2361">
        <v>48.6</v>
      </c>
      <c r="K2361">
        <v>19.100000000000001</v>
      </c>
      <c r="L2361">
        <v>18.3</v>
      </c>
      <c r="M2361">
        <v>25.1</v>
      </c>
      <c r="N2361">
        <v>30.5</v>
      </c>
      <c r="O2361">
        <v>40.6</v>
      </c>
      <c r="P2361">
        <v>35.9</v>
      </c>
      <c r="Q2361">
        <v>52</v>
      </c>
      <c r="R2361">
        <v>48</v>
      </c>
      <c r="S2361">
        <v>36.4</v>
      </c>
      <c r="T2361">
        <v>33.299999999999997</v>
      </c>
      <c r="U2361">
        <v>63.9</v>
      </c>
      <c r="V2361">
        <v>-1.4</v>
      </c>
      <c r="W2361" cm="1">
        <f t="array" ref="W2361">_xlfn.IFS(OR(X2361="N/A",X2361="NA"),0,OR(X2361="R64",X2361="R68"),1,X2361="R32",2,X2361="S16",3,X2361="E8",4,X2361="F4",5,X2361="2ND",6,X2361="Champions",7)</f>
        <v>1</v>
      </c>
      <c r="X2361" t="s">
        <v>422</v>
      </c>
      <c r="Y2361">
        <v>13</v>
      </c>
      <c r="Z2361">
        <v>2013</v>
      </c>
    </row>
    <row r="2362" spans="1:26" x14ac:dyDescent="0.3">
      <c r="A2362" t="s">
        <v>407</v>
      </c>
      <c r="B2362" t="s">
        <v>51</v>
      </c>
      <c r="C2362">
        <v>34</v>
      </c>
      <c r="D2362">
        <v>23</v>
      </c>
      <c r="E2362" s="1">
        <f t="shared" si="36"/>
        <v>0.67647058823529416</v>
      </c>
      <c r="F2362">
        <v>102.5</v>
      </c>
      <c r="G2362">
        <v>95.3</v>
      </c>
      <c r="H2362">
        <v>0.69920000000000004</v>
      </c>
      <c r="I2362">
        <v>49.3</v>
      </c>
      <c r="J2362">
        <v>45.4</v>
      </c>
      <c r="K2362">
        <v>21.9</v>
      </c>
      <c r="L2362">
        <v>18.600000000000001</v>
      </c>
      <c r="M2362">
        <v>36.9</v>
      </c>
      <c r="N2362">
        <v>29.8</v>
      </c>
      <c r="O2362">
        <v>47</v>
      </c>
      <c r="P2362">
        <v>30.7</v>
      </c>
      <c r="Q2362">
        <v>49.8</v>
      </c>
      <c r="R2362">
        <v>43.2</v>
      </c>
      <c r="S2362">
        <v>31.8</v>
      </c>
      <c r="T2362">
        <v>33.9</v>
      </c>
      <c r="U2362">
        <v>65.099999999999994</v>
      </c>
      <c r="V2362">
        <v>-3.1</v>
      </c>
      <c r="W2362" cm="1">
        <f t="array" ref="W2362">_xlfn.IFS(OR(X2362="N/A",X2362="NA"),0,OR(X2362="R64",X2362="R68"),1,X2362="R32",2,X2362="S16",3,X2362="E8",4,X2362="F4",5,X2362="2ND",6,X2362="Champions",7)</f>
        <v>1</v>
      </c>
      <c r="X2362" t="s">
        <v>422</v>
      </c>
      <c r="Y2362">
        <v>13</v>
      </c>
      <c r="Z2362">
        <v>2013</v>
      </c>
    </row>
    <row r="2363" spans="1:26" x14ac:dyDescent="0.3">
      <c r="A2363" t="s">
        <v>376</v>
      </c>
      <c r="B2363" t="s">
        <v>61</v>
      </c>
      <c r="C2363">
        <v>28</v>
      </c>
      <c r="D2363">
        <v>19</v>
      </c>
      <c r="E2363" s="1">
        <f t="shared" si="36"/>
        <v>0.6785714285714286</v>
      </c>
      <c r="F2363">
        <v>104.8</v>
      </c>
      <c r="G2363">
        <v>102.1</v>
      </c>
      <c r="H2363">
        <v>0.57299999999999995</v>
      </c>
      <c r="I2363">
        <v>49</v>
      </c>
      <c r="J2363">
        <v>47.8</v>
      </c>
      <c r="K2363">
        <v>19.2</v>
      </c>
      <c r="L2363">
        <v>21.7</v>
      </c>
      <c r="M2363">
        <v>34.799999999999997</v>
      </c>
      <c r="N2363">
        <v>37.299999999999997</v>
      </c>
      <c r="O2363">
        <v>40.299999999999997</v>
      </c>
      <c r="P2363">
        <v>40.5</v>
      </c>
      <c r="Q2363">
        <v>50</v>
      </c>
      <c r="R2363">
        <v>46.8</v>
      </c>
      <c r="S2363">
        <v>31</v>
      </c>
      <c r="T2363">
        <v>33.9</v>
      </c>
      <c r="U2363">
        <v>73</v>
      </c>
      <c r="V2363">
        <v>-3.2</v>
      </c>
      <c r="W2363" cm="1">
        <f t="array" ref="W2363">_xlfn.IFS(OR(X2363="N/A",X2363="NA"),0,OR(X2363="R64",X2363="R68"),1,X2363="R32",2,X2363="S16",3,X2363="E8",4,X2363="F4",5,X2363="2ND",6,X2363="Champions",7)</f>
        <v>1</v>
      </c>
      <c r="X2363" t="s">
        <v>422</v>
      </c>
      <c r="Y2363">
        <v>14</v>
      </c>
      <c r="Z2363">
        <v>2013</v>
      </c>
    </row>
    <row r="2364" spans="1:26" x14ac:dyDescent="0.3">
      <c r="A2364" t="s">
        <v>101</v>
      </c>
      <c r="B2364" t="s">
        <v>62</v>
      </c>
      <c r="C2364">
        <v>33</v>
      </c>
      <c r="D2364">
        <v>25</v>
      </c>
      <c r="E2364" s="1">
        <f t="shared" si="36"/>
        <v>0.75757575757575757</v>
      </c>
      <c r="F2364">
        <v>110.6</v>
      </c>
      <c r="G2364">
        <v>98.3</v>
      </c>
      <c r="H2364">
        <v>0.79590000000000005</v>
      </c>
      <c r="I2364">
        <v>53.1</v>
      </c>
      <c r="J2364">
        <v>45.3</v>
      </c>
      <c r="K2364">
        <v>17</v>
      </c>
      <c r="L2364">
        <v>18.8</v>
      </c>
      <c r="M2364">
        <v>29</v>
      </c>
      <c r="N2364">
        <v>28.5</v>
      </c>
      <c r="O2364">
        <v>38.9</v>
      </c>
      <c r="P2364">
        <v>36.4</v>
      </c>
      <c r="Q2364">
        <v>52</v>
      </c>
      <c r="R2364">
        <v>44.3</v>
      </c>
      <c r="S2364">
        <v>36.6</v>
      </c>
      <c r="T2364">
        <v>32.1</v>
      </c>
      <c r="U2364">
        <v>65.2</v>
      </c>
      <c r="V2364">
        <v>-1.4</v>
      </c>
      <c r="W2364" cm="1">
        <f t="array" ref="W2364">_xlfn.IFS(OR(X2364="N/A",X2364="NA"),0,OR(X2364="R64",X2364="R68"),1,X2364="R32",2,X2364="S16",3,X2364="E8",4,X2364="F4",5,X2364="2ND",6,X2364="Champions",7)</f>
        <v>1</v>
      </c>
      <c r="X2364" t="s">
        <v>422</v>
      </c>
      <c r="Y2364">
        <v>14</v>
      </c>
      <c r="Z2364">
        <v>2013</v>
      </c>
    </row>
    <row r="2365" spans="1:26" x14ac:dyDescent="0.3">
      <c r="A2365" t="s">
        <v>229</v>
      </c>
      <c r="B2365" t="s">
        <v>43</v>
      </c>
      <c r="C2365">
        <v>33</v>
      </c>
      <c r="D2365">
        <v>25</v>
      </c>
      <c r="E2365" s="1">
        <f t="shared" si="36"/>
        <v>0.75757575757575757</v>
      </c>
      <c r="F2365">
        <v>107.8</v>
      </c>
      <c r="G2365">
        <v>97.9</v>
      </c>
      <c r="H2365">
        <v>0.75139999999999996</v>
      </c>
      <c r="I2365">
        <v>55.7</v>
      </c>
      <c r="J2365">
        <v>46.2</v>
      </c>
      <c r="K2365">
        <v>21.8</v>
      </c>
      <c r="L2365">
        <v>19.5</v>
      </c>
      <c r="M2365">
        <v>31.2</v>
      </c>
      <c r="N2365">
        <v>28.2</v>
      </c>
      <c r="O2365">
        <v>41.7</v>
      </c>
      <c r="P2365">
        <v>36.799999999999997</v>
      </c>
      <c r="Q2365">
        <v>55.7</v>
      </c>
      <c r="R2365">
        <v>44.5</v>
      </c>
      <c r="S2365">
        <v>37.1</v>
      </c>
      <c r="T2365">
        <v>33.799999999999997</v>
      </c>
      <c r="U2365">
        <v>65.599999999999994</v>
      </c>
      <c r="V2365">
        <v>-0.8</v>
      </c>
      <c r="W2365" cm="1">
        <f t="array" ref="W2365">_xlfn.IFS(OR(X2365="N/A",X2365="NA"),0,OR(X2365="R64",X2365="R68"),1,X2365="R32",2,X2365="S16",3,X2365="E8",4,X2365="F4",5,X2365="2ND",6,X2365="Champions",7)</f>
        <v>1</v>
      </c>
      <c r="X2365" t="s">
        <v>422</v>
      </c>
      <c r="Y2365">
        <v>14</v>
      </c>
      <c r="Z2365">
        <v>2013</v>
      </c>
    </row>
    <row r="2366" spans="1:26" x14ac:dyDescent="0.3">
      <c r="A2366" t="s">
        <v>410</v>
      </c>
      <c r="B2366" t="s">
        <v>48</v>
      </c>
      <c r="C2366">
        <v>33</v>
      </c>
      <c r="D2366">
        <v>20</v>
      </c>
      <c r="E2366" s="1">
        <f t="shared" si="36"/>
        <v>0.60606060606060608</v>
      </c>
      <c r="F2366">
        <v>104.7</v>
      </c>
      <c r="G2366">
        <v>101.1</v>
      </c>
      <c r="H2366">
        <v>0.59909999999999997</v>
      </c>
      <c r="I2366">
        <v>50.5</v>
      </c>
      <c r="J2366">
        <v>50</v>
      </c>
      <c r="K2366">
        <v>17.8</v>
      </c>
      <c r="L2366">
        <v>20</v>
      </c>
      <c r="M2366">
        <v>29.2</v>
      </c>
      <c r="N2366">
        <v>30.8</v>
      </c>
      <c r="O2366">
        <v>37.700000000000003</v>
      </c>
      <c r="P2366">
        <v>39.299999999999997</v>
      </c>
      <c r="Q2366">
        <v>46.8</v>
      </c>
      <c r="R2366">
        <v>48</v>
      </c>
      <c r="S2366">
        <v>38.9</v>
      </c>
      <c r="T2366">
        <v>35.4</v>
      </c>
      <c r="U2366">
        <v>63.4</v>
      </c>
      <c r="V2366">
        <v>-5.0999999999999996</v>
      </c>
      <c r="W2366" cm="1">
        <f t="array" ref="W2366">_xlfn.IFS(OR(X2366="N/A",X2366="NA"),0,OR(X2366="R64",X2366="R68"),1,X2366="R32",2,X2366="S16",3,X2366="E8",4,X2366="F4",5,X2366="2ND",6,X2366="Champions",7)</f>
        <v>1</v>
      </c>
      <c r="X2366" t="s">
        <v>422</v>
      </c>
      <c r="Y2366">
        <v>15</v>
      </c>
      <c r="Z2366">
        <v>2013</v>
      </c>
    </row>
    <row r="2367" spans="1:26" x14ac:dyDescent="0.3">
      <c r="A2367" t="s">
        <v>242</v>
      </c>
      <c r="B2367" t="s">
        <v>69</v>
      </c>
      <c r="C2367">
        <v>34</v>
      </c>
      <c r="D2367">
        <v>20</v>
      </c>
      <c r="E2367" s="1">
        <f t="shared" si="36"/>
        <v>0.58823529411764708</v>
      </c>
      <c r="F2367">
        <v>112.8</v>
      </c>
      <c r="G2367">
        <v>105</v>
      </c>
      <c r="H2367">
        <v>0.6956</v>
      </c>
      <c r="I2367">
        <v>52.1</v>
      </c>
      <c r="J2367">
        <v>51.6</v>
      </c>
      <c r="K2367">
        <v>17.100000000000001</v>
      </c>
      <c r="L2367">
        <v>19.3</v>
      </c>
      <c r="M2367">
        <v>32.799999999999997</v>
      </c>
      <c r="N2367">
        <v>33.4</v>
      </c>
      <c r="O2367">
        <v>32.700000000000003</v>
      </c>
      <c r="P2367">
        <v>32.200000000000003</v>
      </c>
      <c r="Q2367">
        <v>50.4</v>
      </c>
      <c r="R2367">
        <v>49.1</v>
      </c>
      <c r="S2367">
        <v>36.700000000000003</v>
      </c>
      <c r="T2367">
        <v>37.5</v>
      </c>
      <c r="U2367">
        <v>71.3</v>
      </c>
      <c r="V2367">
        <v>-5.9</v>
      </c>
      <c r="W2367" cm="1">
        <f t="array" ref="W2367">_xlfn.IFS(OR(X2367="N/A",X2367="NA"),0,OR(X2367="R64",X2367="R68"),1,X2367="R32",2,X2367="S16",3,X2367="E8",4,X2367="F4",5,X2367="2ND",6,X2367="Champions",7)</f>
        <v>1</v>
      </c>
      <c r="X2367" t="s">
        <v>422</v>
      </c>
      <c r="Y2367">
        <v>15</v>
      </c>
      <c r="Z2367">
        <v>2013</v>
      </c>
    </row>
    <row r="2368" spans="1:26" x14ac:dyDescent="0.3">
      <c r="A2368" t="s">
        <v>120</v>
      </c>
      <c r="B2368" t="s">
        <v>112</v>
      </c>
      <c r="C2368">
        <v>35</v>
      </c>
      <c r="D2368">
        <v>24</v>
      </c>
      <c r="E2368" s="1">
        <f t="shared" si="36"/>
        <v>0.68571428571428572</v>
      </c>
      <c r="F2368">
        <v>101.2</v>
      </c>
      <c r="G2368">
        <v>98.7</v>
      </c>
      <c r="H2368">
        <v>0.57220000000000004</v>
      </c>
      <c r="I2368">
        <v>49.6</v>
      </c>
      <c r="J2368">
        <v>48.3</v>
      </c>
      <c r="K2368">
        <v>21.2</v>
      </c>
      <c r="L2368">
        <v>19.899999999999999</v>
      </c>
      <c r="M2368">
        <v>31.7</v>
      </c>
      <c r="N2368">
        <v>28.2</v>
      </c>
      <c r="O2368">
        <v>40</v>
      </c>
      <c r="P2368">
        <v>27.8</v>
      </c>
      <c r="Q2368">
        <v>46.7</v>
      </c>
      <c r="R2368">
        <v>47.6</v>
      </c>
      <c r="S2368">
        <v>37</v>
      </c>
      <c r="T2368">
        <v>33.1</v>
      </c>
      <c r="U2368">
        <v>63.2</v>
      </c>
      <c r="V2368">
        <v>-4.5</v>
      </c>
      <c r="W2368" cm="1">
        <f t="array" ref="W2368">_xlfn.IFS(OR(X2368="N/A",X2368="NA"),0,OR(X2368="R64",X2368="R68"),1,X2368="R32",2,X2368="S16",3,X2368="E8",4,X2368="F4",5,X2368="2ND",6,X2368="Champions",7)</f>
        <v>1</v>
      </c>
      <c r="X2368" t="s">
        <v>422</v>
      </c>
      <c r="Y2368">
        <v>15</v>
      </c>
      <c r="Z2368">
        <v>2013</v>
      </c>
    </row>
    <row r="2369" spans="1:26" x14ac:dyDescent="0.3">
      <c r="A2369" t="s">
        <v>219</v>
      </c>
      <c r="B2369" t="s">
        <v>58</v>
      </c>
      <c r="C2369">
        <v>35</v>
      </c>
      <c r="D2369">
        <v>19</v>
      </c>
      <c r="E2369" s="1">
        <f t="shared" si="36"/>
        <v>0.54285714285714282</v>
      </c>
      <c r="F2369">
        <v>100.1</v>
      </c>
      <c r="G2369">
        <v>100.4</v>
      </c>
      <c r="H2369">
        <v>0.48949999999999999</v>
      </c>
      <c r="I2369">
        <v>48.6</v>
      </c>
      <c r="J2369">
        <v>47.9</v>
      </c>
      <c r="K2369">
        <v>22.2</v>
      </c>
      <c r="L2369">
        <v>20.8</v>
      </c>
      <c r="M2369">
        <v>34.799999999999997</v>
      </c>
      <c r="N2369">
        <v>30.7</v>
      </c>
      <c r="O2369">
        <v>37.6</v>
      </c>
      <c r="P2369">
        <v>37.799999999999997</v>
      </c>
      <c r="Q2369">
        <v>48.3</v>
      </c>
      <c r="R2369">
        <v>47.6</v>
      </c>
      <c r="S2369">
        <v>32.700000000000003</v>
      </c>
      <c r="T2369">
        <v>32.4</v>
      </c>
      <c r="U2369">
        <v>66</v>
      </c>
      <c r="V2369">
        <v>-8.4</v>
      </c>
      <c r="W2369" cm="1">
        <f t="array" ref="W2369">_xlfn.IFS(OR(X2369="N/A",X2369="NA"),0,OR(X2369="R64",X2369="R68"),1,X2369="R32",2,X2369="S16",3,X2369="E8",4,X2369="F4",5,X2369="2ND",6,X2369="Champions",7)</f>
        <v>1</v>
      </c>
      <c r="X2369" t="s">
        <v>422</v>
      </c>
      <c r="Y2369">
        <v>16</v>
      </c>
      <c r="Z2369">
        <v>2013</v>
      </c>
    </row>
    <row r="2370" spans="1:26" x14ac:dyDescent="0.3">
      <c r="A2370" t="s">
        <v>271</v>
      </c>
      <c r="B2370" t="s">
        <v>66</v>
      </c>
      <c r="C2370">
        <v>36</v>
      </c>
      <c r="D2370">
        <v>19</v>
      </c>
      <c r="E2370" s="1">
        <f t="shared" si="36"/>
        <v>0.52777777777777779</v>
      </c>
      <c r="F2370">
        <v>90.6</v>
      </c>
      <c r="G2370">
        <v>95.7</v>
      </c>
      <c r="H2370">
        <v>0.34589999999999999</v>
      </c>
      <c r="I2370">
        <v>45.7</v>
      </c>
      <c r="J2370">
        <v>45.2</v>
      </c>
      <c r="K2370">
        <v>22.7</v>
      </c>
      <c r="L2370">
        <v>23.4</v>
      </c>
      <c r="M2370">
        <v>29.8</v>
      </c>
      <c r="N2370">
        <v>33.200000000000003</v>
      </c>
      <c r="O2370">
        <v>42.6</v>
      </c>
      <c r="P2370">
        <v>41.1</v>
      </c>
      <c r="Q2370">
        <v>45.4</v>
      </c>
      <c r="R2370">
        <v>43.4</v>
      </c>
      <c r="S2370">
        <v>30.7</v>
      </c>
      <c r="T2370">
        <v>32</v>
      </c>
      <c r="U2370">
        <v>66.900000000000006</v>
      </c>
      <c r="V2370">
        <v>-11.5</v>
      </c>
      <c r="W2370" cm="1">
        <f t="array" ref="W2370">_xlfn.IFS(OR(X2370="N/A",X2370="NA"),0,OR(X2370="R64",X2370="R68"),1,X2370="R32",2,X2370="S16",3,X2370="E8",4,X2370="F4",5,X2370="2ND",6,X2370="Champions",7)</f>
        <v>1</v>
      </c>
      <c r="X2370" t="s">
        <v>422</v>
      </c>
      <c r="Y2370">
        <v>16</v>
      </c>
      <c r="Z2370">
        <v>2013</v>
      </c>
    </row>
    <row r="2371" spans="1:26" x14ac:dyDescent="0.3">
      <c r="A2371" t="s">
        <v>398</v>
      </c>
      <c r="B2371" t="s">
        <v>76</v>
      </c>
      <c r="C2371">
        <v>30</v>
      </c>
      <c r="D2371">
        <v>20</v>
      </c>
      <c r="E2371" s="1">
        <f t="shared" ref="E2371:E2434" si="37">D2371/C2371</f>
        <v>0.66666666666666663</v>
      </c>
      <c r="F2371">
        <v>95.9</v>
      </c>
      <c r="G2371">
        <v>96.7</v>
      </c>
      <c r="H2371">
        <v>0.47499999999999998</v>
      </c>
      <c r="I2371">
        <v>49.1</v>
      </c>
      <c r="J2371">
        <v>41.9</v>
      </c>
      <c r="K2371">
        <v>16.8</v>
      </c>
      <c r="L2371">
        <v>20.2</v>
      </c>
      <c r="M2371">
        <v>26.2</v>
      </c>
      <c r="N2371">
        <v>31.1</v>
      </c>
      <c r="O2371">
        <v>40.299999999999997</v>
      </c>
      <c r="P2371">
        <v>34.9</v>
      </c>
      <c r="Q2371">
        <v>46</v>
      </c>
      <c r="R2371">
        <v>40.5</v>
      </c>
      <c r="S2371">
        <v>36.700000000000003</v>
      </c>
      <c r="T2371">
        <v>30</v>
      </c>
      <c r="U2371">
        <v>65</v>
      </c>
      <c r="V2371">
        <v>-5.7</v>
      </c>
      <c r="W2371" cm="1">
        <f t="array" ref="W2371">_xlfn.IFS(OR(X2371="N/A",X2371="NA"),0,OR(X2371="R64",X2371="R68"),1,X2371="R32",2,X2371="S16",3,X2371="E8",4,X2371="F4",5,X2371="2ND",6,X2371="Champions",7)</f>
        <v>1</v>
      </c>
      <c r="X2371" t="s">
        <v>422</v>
      </c>
      <c r="Y2371">
        <v>16</v>
      </c>
      <c r="Z2371">
        <v>2013</v>
      </c>
    </row>
    <row r="2372" spans="1:26" x14ac:dyDescent="0.3">
      <c r="A2372" t="s">
        <v>202</v>
      </c>
      <c r="B2372" t="s">
        <v>53</v>
      </c>
      <c r="C2372">
        <v>36</v>
      </c>
      <c r="D2372">
        <v>21</v>
      </c>
      <c r="E2372" s="1">
        <f t="shared" si="37"/>
        <v>0.58333333333333337</v>
      </c>
      <c r="F2372">
        <v>98.5</v>
      </c>
      <c r="G2372">
        <v>99.4</v>
      </c>
      <c r="H2372">
        <v>0.47360000000000002</v>
      </c>
      <c r="I2372">
        <v>47.6</v>
      </c>
      <c r="J2372">
        <v>48.7</v>
      </c>
      <c r="K2372">
        <v>17.2</v>
      </c>
      <c r="L2372">
        <v>21.1</v>
      </c>
      <c r="M2372">
        <v>29.6</v>
      </c>
      <c r="N2372">
        <v>31.1</v>
      </c>
      <c r="O2372">
        <v>36.799999999999997</v>
      </c>
      <c r="P2372">
        <v>39.200000000000003</v>
      </c>
      <c r="Q2372">
        <v>46.2</v>
      </c>
      <c r="R2372">
        <v>46.9</v>
      </c>
      <c r="S2372">
        <v>33.6</v>
      </c>
      <c r="T2372">
        <v>34.700000000000003</v>
      </c>
      <c r="U2372">
        <v>64.2</v>
      </c>
      <c r="V2372">
        <v>-8.9</v>
      </c>
      <c r="W2372" cm="1">
        <f t="array" ref="W2372">_xlfn.IFS(OR(X2372="N/A",X2372="NA"),0,OR(X2372="R64",X2372="R68"),1,X2372="R32",2,X2372="S16",3,X2372="E8",4,X2372="F4",5,X2372="2ND",6,X2372="Champions",7)</f>
        <v>1</v>
      </c>
      <c r="X2372" t="s">
        <v>422</v>
      </c>
      <c r="Y2372">
        <v>16</v>
      </c>
      <c r="Z2372">
        <v>2013</v>
      </c>
    </row>
    <row r="2373" spans="1:26" x14ac:dyDescent="0.3">
      <c r="A2373" t="s">
        <v>109</v>
      </c>
      <c r="B2373" t="s">
        <v>26</v>
      </c>
      <c r="C2373">
        <v>33</v>
      </c>
      <c r="D2373">
        <v>19</v>
      </c>
      <c r="E2373" s="1">
        <f t="shared" si="37"/>
        <v>0.5757575757575758</v>
      </c>
      <c r="F2373">
        <v>122.4</v>
      </c>
      <c r="G2373">
        <v>102.6</v>
      </c>
      <c r="H2373">
        <v>0.8831</v>
      </c>
      <c r="I2373">
        <v>54.1</v>
      </c>
      <c r="J2373">
        <v>52.7</v>
      </c>
      <c r="K2373">
        <v>16.399999999999999</v>
      </c>
      <c r="L2373">
        <v>16.2</v>
      </c>
      <c r="M2373">
        <v>30.7</v>
      </c>
      <c r="N2373">
        <v>27.7</v>
      </c>
      <c r="O2373">
        <v>40.700000000000003</v>
      </c>
      <c r="P2373">
        <v>38</v>
      </c>
      <c r="Q2373">
        <v>52.1</v>
      </c>
      <c r="R2373">
        <v>52.1</v>
      </c>
      <c r="S2373">
        <v>38.5</v>
      </c>
      <c r="T2373">
        <v>35.799999999999997</v>
      </c>
      <c r="U2373">
        <v>72</v>
      </c>
      <c r="V2373">
        <v>1.3</v>
      </c>
      <c r="W2373" cm="1">
        <f t="array" ref="W2373">_xlfn.IFS(OR(X2373="N/A",X2373="NA"),0,OR(X2373="R64",X2373="R68"),1,X2373="R32",2,X2373="S16",3,X2373="E8",4,X2373="F4",5,X2373="2ND",6,X2373="Champions",7)</f>
        <v>1</v>
      </c>
      <c r="X2373" t="s">
        <v>423</v>
      </c>
      <c r="Y2373">
        <v>11</v>
      </c>
      <c r="Z2373">
        <v>2017</v>
      </c>
    </row>
    <row r="2374" spans="1:26" x14ac:dyDescent="0.3">
      <c r="A2374" t="s">
        <v>127</v>
      </c>
      <c r="B2374" t="s">
        <v>50</v>
      </c>
      <c r="C2374">
        <v>32</v>
      </c>
      <c r="D2374">
        <v>20</v>
      </c>
      <c r="E2374" s="1">
        <f t="shared" si="37"/>
        <v>0.625</v>
      </c>
      <c r="F2374">
        <v>109.5</v>
      </c>
      <c r="G2374">
        <v>99.6</v>
      </c>
      <c r="H2374">
        <v>0.74860000000000004</v>
      </c>
      <c r="I2374">
        <v>50.3</v>
      </c>
      <c r="J2374">
        <v>48.2</v>
      </c>
      <c r="K2374">
        <v>15.6</v>
      </c>
      <c r="L2374">
        <v>20.399999999999999</v>
      </c>
      <c r="M2374">
        <v>28</v>
      </c>
      <c r="N2374">
        <v>30.5</v>
      </c>
      <c r="O2374">
        <v>39.6</v>
      </c>
      <c r="P2374">
        <v>34.6</v>
      </c>
      <c r="Q2374">
        <v>51.1</v>
      </c>
      <c r="R2374">
        <v>45</v>
      </c>
      <c r="S2374">
        <v>32.6</v>
      </c>
      <c r="T2374">
        <v>35.9</v>
      </c>
      <c r="U2374">
        <v>69.400000000000006</v>
      </c>
      <c r="V2374">
        <v>-1.2</v>
      </c>
      <c r="W2374" cm="1">
        <f t="array" ref="W2374">_xlfn.IFS(OR(X2374="N/A",X2374="NA"),0,OR(X2374="R64",X2374="R68"),1,X2374="R32",2,X2374="S16",3,X2374="E8",4,X2374="F4",5,X2374="2ND",6,X2374="Champions",7)</f>
        <v>1</v>
      </c>
      <c r="X2374" t="s">
        <v>423</v>
      </c>
      <c r="Y2374">
        <v>11</v>
      </c>
      <c r="Z2374">
        <v>2016</v>
      </c>
    </row>
    <row r="2375" spans="1:26" x14ac:dyDescent="0.3">
      <c r="A2375" t="s">
        <v>125</v>
      </c>
      <c r="B2375" t="s">
        <v>50</v>
      </c>
      <c r="C2375">
        <v>33</v>
      </c>
      <c r="D2375">
        <v>23</v>
      </c>
      <c r="E2375" s="1">
        <f t="shared" si="37"/>
        <v>0.69696969696969702</v>
      </c>
      <c r="F2375">
        <v>109.4</v>
      </c>
      <c r="G2375">
        <v>97.6</v>
      </c>
      <c r="H2375">
        <v>0.78659999999999997</v>
      </c>
      <c r="I2375">
        <v>49.9</v>
      </c>
      <c r="J2375">
        <v>50.6</v>
      </c>
      <c r="K2375">
        <v>15.7</v>
      </c>
      <c r="L2375">
        <v>20.6</v>
      </c>
      <c r="M2375">
        <v>26.9</v>
      </c>
      <c r="N2375">
        <v>29.2</v>
      </c>
      <c r="O2375">
        <v>32.5</v>
      </c>
      <c r="P2375">
        <v>33.9</v>
      </c>
      <c r="Q2375">
        <v>50.1</v>
      </c>
      <c r="R2375">
        <v>51.5</v>
      </c>
      <c r="S2375">
        <v>33</v>
      </c>
      <c r="T2375">
        <v>32.9</v>
      </c>
      <c r="U2375">
        <v>70.2</v>
      </c>
      <c r="V2375">
        <v>1.8</v>
      </c>
      <c r="W2375" cm="1">
        <f t="array" ref="W2375">_xlfn.IFS(OR(X2375="N/A",X2375="NA"),0,OR(X2375="R64",X2375="R68"),1,X2375="R32",2,X2375="S16",3,X2375="E8",4,X2375="F4",5,X2375="2ND",6,X2375="Champions",7)</f>
        <v>1</v>
      </c>
      <c r="X2375" t="s">
        <v>423</v>
      </c>
      <c r="Y2375">
        <v>11</v>
      </c>
      <c r="Z2375">
        <v>2019</v>
      </c>
    </row>
    <row r="2376" spans="1:26" x14ac:dyDescent="0.3">
      <c r="A2376" t="s">
        <v>139</v>
      </c>
      <c r="B2376" t="s">
        <v>131</v>
      </c>
      <c r="C2376">
        <v>32</v>
      </c>
      <c r="D2376">
        <v>20</v>
      </c>
      <c r="E2376" s="1">
        <f t="shared" si="37"/>
        <v>0.625</v>
      </c>
      <c r="F2376">
        <v>105.2</v>
      </c>
      <c r="G2376">
        <v>105</v>
      </c>
      <c r="H2376">
        <v>0.50629999999999997</v>
      </c>
      <c r="I2376">
        <v>53.6</v>
      </c>
      <c r="J2376">
        <v>47.9</v>
      </c>
      <c r="K2376">
        <v>18.3</v>
      </c>
      <c r="L2376">
        <v>17.899999999999999</v>
      </c>
      <c r="M2376">
        <v>29.2</v>
      </c>
      <c r="N2376">
        <v>31.8</v>
      </c>
      <c r="O2376">
        <v>39.700000000000003</v>
      </c>
      <c r="P2376">
        <v>34.1</v>
      </c>
      <c r="Q2376">
        <v>51.1</v>
      </c>
      <c r="R2376">
        <v>48.3</v>
      </c>
      <c r="S2376">
        <v>38.1</v>
      </c>
      <c r="T2376">
        <v>31.3</v>
      </c>
      <c r="U2376">
        <v>67.5</v>
      </c>
      <c r="V2376">
        <v>-5.0999999999999996</v>
      </c>
      <c r="W2376" cm="1">
        <f t="array" ref="W2376">_xlfn.IFS(OR(X2376="N/A",X2376="NA"),0,OR(X2376="R64",X2376="R68"),1,X2376="R32",2,X2376="S16",3,X2376="E8",4,X2376="F4",5,X2376="2ND",6,X2376="Champions",7)</f>
        <v>1</v>
      </c>
      <c r="X2376" t="s">
        <v>423</v>
      </c>
      <c r="Y2376">
        <v>16</v>
      </c>
      <c r="Z2376">
        <v>2015</v>
      </c>
    </row>
    <row r="2377" spans="1:26" x14ac:dyDescent="0.3">
      <c r="A2377" t="s">
        <v>162</v>
      </c>
      <c r="B2377" t="s">
        <v>33</v>
      </c>
      <c r="C2377">
        <v>33</v>
      </c>
      <c r="D2377">
        <v>20</v>
      </c>
      <c r="E2377" s="1">
        <f t="shared" si="37"/>
        <v>0.60606060606060608</v>
      </c>
      <c r="F2377">
        <v>108.3</v>
      </c>
      <c r="G2377">
        <v>94.5</v>
      </c>
      <c r="H2377">
        <v>0.82779999999999998</v>
      </c>
      <c r="I2377">
        <v>51.4</v>
      </c>
      <c r="J2377">
        <v>49.6</v>
      </c>
      <c r="K2377">
        <v>18.399999999999999</v>
      </c>
      <c r="L2377">
        <v>20.3</v>
      </c>
      <c r="M2377">
        <v>26.4</v>
      </c>
      <c r="N2377">
        <v>28.6</v>
      </c>
      <c r="O2377">
        <v>38.1</v>
      </c>
      <c r="P2377">
        <v>30.5</v>
      </c>
      <c r="Q2377">
        <v>49.1</v>
      </c>
      <c r="R2377">
        <v>49.9</v>
      </c>
      <c r="S2377">
        <v>37.1</v>
      </c>
      <c r="T2377">
        <v>32.799999999999997</v>
      </c>
      <c r="U2377">
        <v>67.599999999999994</v>
      </c>
      <c r="V2377">
        <v>0.6</v>
      </c>
      <c r="W2377" cm="1">
        <f t="array" ref="W2377">_xlfn.IFS(OR(X2377="N/A",X2377="NA"),0,OR(X2377="R64",X2377="R68"),1,X2377="R32",2,X2377="S16",3,X2377="E8",4,X2377="F4",5,X2377="2ND",6,X2377="Champions",7)</f>
        <v>1</v>
      </c>
      <c r="X2377" t="s">
        <v>423</v>
      </c>
      <c r="Y2377">
        <v>11</v>
      </c>
      <c r="Z2377">
        <v>2017</v>
      </c>
    </row>
    <row r="2378" spans="1:26" x14ac:dyDescent="0.3">
      <c r="A2378" t="s">
        <v>160</v>
      </c>
      <c r="B2378" t="s">
        <v>33</v>
      </c>
      <c r="C2378">
        <v>34</v>
      </c>
      <c r="D2378">
        <v>21</v>
      </c>
      <c r="E2378" s="1">
        <f t="shared" si="37"/>
        <v>0.61764705882352944</v>
      </c>
      <c r="F2378">
        <v>107.4</v>
      </c>
      <c r="G2378">
        <v>99.5</v>
      </c>
      <c r="H2378">
        <v>0.70669999999999999</v>
      </c>
      <c r="I2378">
        <v>51.9</v>
      </c>
      <c r="J2378">
        <v>50.7</v>
      </c>
      <c r="K2378">
        <v>14.3</v>
      </c>
      <c r="L2378">
        <v>21.2</v>
      </c>
      <c r="M2378">
        <v>21.8</v>
      </c>
      <c r="N2378">
        <v>29.4</v>
      </c>
      <c r="O2378">
        <v>29.5</v>
      </c>
      <c r="P2378">
        <v>39.700000000000003</v>
      </c>
      <c r="Q2378">
        <v>50.7</v>
      </c>
      <c r="R2378">
        <v>50.3</v>
      </c>
      <c r="S2378">
        <v>35.799999999999997</v>
      </c>
      <c r="T2378">
        <v>34.200000000000003</v>
      </c>
      <c r="U2378">
        <v>72.3</v>
      </c>
      <c r="V2378">
        <v>-1.2</v>
      </c>
      <c r="W2378" cm="1">
        <f t="array" ref="W2378">_xlfn.IFS(OR(X2378="N/A",X2378="NA"),0,OR(X2378="R64",X2378="R68"),1,X2378="R32",2,X2378="S16",3,X2378="E8",4,X2378="F4",5,X2378="2ND",6,X2378="Champions",7)</f>
        <v>1</v>
      </c>
      <c r="X2378" t="s">
        <v>423</v>
      </c>
      <c r="Y2378">
        <v>11</v>
      </c>
      <c r="Z2378">
        <v>2019</v>
      </c>
    </row>
    <row r="2379" spans="1:26" x14ac:dyDescent="0.3">
      <c r="A2379" t="s">
        <v>250</v>
      </c>
      <c r="B2379" t="s">
        <v>69</v>
      </c>
      <c r="C2379">
        <v>33</v>
      </c>
      <c r="D2379">
        <v>19</v>
      </c>
      <c r="E2379" s="1">
        <f t="shared" si="37"/>
        <v>0.5757575757575758</v>
      </c>
      <c r="F2379">
        <v>100.2</v>
      </c>
      <c r="G2379">
        <v>99.4</v>
      </c>
      <c r="H2379">
        <v>0.52380000000000004</v>
      </c>
      <c r="I2379">
        <v>49.4</v>
      </c>
      <c r="J2379">
        <v>48.1</v>
      </c>
      <c r="K2379">
        <v>21.1</v>
      </c>
      <c r="L2379">
        <v>23.9</v>
      </c>
      <c r="M2379">
        <v>30.9</v>
      </c>
      <c r="N2379">
        <v>33.1</v>
      </c>
      <c r="O2379">
        <v>47.4</v>
      </c>
      <c r="P2379">
        <v>52.3</v>
      </c>
      <c r="Q2379">
        <v>48.8</v>
      </c>
      <c r="R2379">
        <v>48</v>
      </c>
      <c r="S2379">
        <v>33.6</v>
      </c>
      <c r="T2379">
        <v>32.4</v>
      </c>
      <c r="U2379">
        <v>68</v>
      </c>
      <c r="V2379">
        <v>-7.6</v>
      </c>
      <c r="W2379" cm="1">
        <f t="array" ref="W2379">_xlfn.IFS(OR(X2379="N/A",X2379="NA"),0,OR(X2379="R64",X2379="R68"),1,X2379="R32",2,X2379="S16",3,X2379="E8",4,X2379="F4",5,X2379="2ND",6,X2379="Champions",7)</f>
        <v>1</v>
      </c>
      <c r="X2379" t="s">
        <v>423</v>
      </c>
      <c r="Y2379">
        <v>16</v>
      </c>
      <c r="Z2379">
        <v>2015</v>
      </c>
    </row>
    <row r="2380" spans="1:26" x14ac:dyDescent="0.3">
      <c r="A2380" t="s">
        <v>272</v>
      </c>
      <c r="B2380" t="s">
        <v>66</v>
      </c>
      <c r="C2380">
        <v>31</v>
      </c>
      <c r="D2380">
        <v>25</v>
      </c>
      <c r="E2380" s="1">
        <f t="shared" si="37"/>
        <v>0.80645161290322576</v>
      </c>
      <c r="F2380">
        <v>101.4</v>
      </c>
      <c r="G2380">
        <v>101.3</v>
      </c>
      <c r="H2380">
        <v>0.50429999999999997</v>
      </c>
      <c r="I2380">
        <v>51.3</v>
      </c>
      <c r="J2380">
        <v>45.3</v>
      </c>
      <c r="K2380">
        <v>17.8</v>
      </c>
      <c r="L2380">
        <v>19.8</v>
      </c>
      <c r="M2380">
        <v>31.6</v>
      </c>
      <c r="N2380">
        <v>31.2</v>
      </c>
      <c r="O2380">
        <v>34.200000000000003</v>
      </c>
      <c r="P2380">
        <v>28</v>
      </c>
      <c r="Q2380">
        <v>52.7</v>
      </c>
      <c r="R2380">
        <v>46.1</v>
      </c>
      <c r="S2380">
        <v>32.700000000000003</v>
      </c>
      <c r="T2380">
        <v>29.2</v>
      </c>
      <c r="U2380">
        <v>68</v>
      </c>
      <c r="V2380">
        <v>-5.0999999999999996</v>
      </c>
      <c r="W2380" cm="1">
        <f t="array" ref="W2380">_xlfn.IFS(OR(X2380="N/A",X2380="NA"),0,OR(X2380="R64",X2380="R68"),1,X2380="R32",2,X2380="S16",3,X2380="E8",4,X2380="F4",5,X2380="2ND",6,X2380="Champions",7)</f>
        <v>1</v>
      </c>
      <c r="X2380" t="s">
        <v>423</v>
      </c>
      <c r="Y2380">
        <v>16</v>
      </c>
      <c r="Z2380">
        <v>2017</v>
      </c>
    </row>
    <row r="2381" spans="1:26" x14ac:dyDescent="0.3">
      <c r="A2381" t="s">
        <v>272</v>
      </c>
      <c r="B2381" t="s">
        <v>66</v>
      </c>
      <c r="C2381">
        <v>32</v>
      </c>
      <c r="D2381">
        <v>19</v>
      </c>
      <c r="E2381" s="1">
        <f t="shared" si="37"/>
        <v>0.59375</v>
      </c>
      <c r="F2381">
        <v>95</v>
      </c>
      <c r="G2381">
        <v>110.3</v>
      </c>
      <c r="H2381">
        <v>0.1522</v>
      </c>
      <c r="I2381">
        <v>50.4</v>
      </c>
      <c r="J2381">
        <v>48.5</v>
      </c>
      <c r="K2381">
        <v>20.8</v>
      </c>
      <c r="L2381">
        <v>16.8</v>
      </c>
      <c r="M2381">
        <v>32.9</v>
      </c>
      <c r="N2381">
        <v>29.7</v>
      </c>
      <c r="O2381">
        <v>30.3</v>
      </c>
      <c r="P2381">
        <v>34.299999999999997</v>
      </c>
      <c r="Q2381">
        <v>51.3</v>
      </c>
      <c r="R2381">
        <v>48.1</v>
      </c>
      <c r="S2381">
        <v>32.299999999999997</v>
      </c>
      <c r="T2381">
        <v>32.799999999999997</v>
      </c>
      <c r="U2381">
        <v>66.400000000000006</v>
      </c>
      <c r="V2381">
        <v>-12</v>
      </c>
      <c r="W2381" cm="1">
        <f t="array" ref="W2381">_xlfn.IFS(OR(X2381="N/A",X2381="NA"),0,OR(X2381="R64",X2381="R68"),1,X2381="R32",2,X2381="S16",3,X2381="E8",4,X2381="F4",5,X2381="2ND",6,X2381="Champions",7)</f>
        <v>1</v>
      </c>
      <c r="X2381" t="s">
        <v>423</v>
      </c>
      <c r="Y2381">
        <v>16</v>
      </c>
      <c r="Z2381">
        <v>2018</v>
      </c>
    </row>
    <row r="2382" spans="1:26" x14ac:dyDescent="0.3">
      <c r="A2382" t="s">
        <v>272</v>
      </c>
      <c r="B2382" t="s">
        <v>66</v>
      </c>
      <c r="C2382">
        <v>31</v>
      </c>
      <c r="D2382">
        <v>18</v>
      </c>
      <c r="E2382" s="1">
        <f t="shared" si="37"/>
        <v>0.58064516129032262</v>
      </c>
      <c r="F2382">
        <v>98</v>
      </c>
      <c r="G2382">
        <v>108.3</v>
      </c>
      <c r="H2382">
        <v>0.2414</v>
      </c>
      <c r="I2382">
        <v>49.9</v>
      </c>
      <c r="J2382">
        <v>49.9</v>
      </c>
      <c r="K2382">
        <v>22.7</v>
      </c>
      <c r="L2382">
        <v>17.5</v>
      </c>
      <c r="M2382">
        <v>34.799999999999997</v>
      </c>
      <c r="N2382">
        <v>26.9</v>
      </c>
      <c r="O2382">
        <v>33.5</v>
      </c>
      <c r="P2382">
        <v>31.4</v>
      </c>
      <c r="Q2382">
        <v>51.3</v>
      </c>
      <c r="R2382">
        <v>50.9</v>
      </c>
      <c r="S2382">
        <v>31.5</v>
      </c>
      <c r="T2382">
        <v>32</v>
      </c>
      <c r="U2382">
        <v>66.400000000000006</v>
      </c>
      <c r="V2382">
        <v>-10.9</v>
      </c>
      <c r="W2382" cm="1">
        <f t="array" ref="W2382">_xlfn.IFS(OR(X2382="N/A",X2382="NA"),0,OR(X2382="R64",X2382="R68"),1,X2382="R32",2,X2382="S16",3,X2382="E8",4,X2382="F4",5,X2382="2ND",6,X2382="Champions",7)</f>
        <v>1</v>
      </c>
      <c r="X2382" t="s">
        <v>423</v>
      </c>
      <c r="Y2382">
        <v>16</v>
      </c>
      <c r="Z2382">
        <v>2019</v>
      </c>
    </row>
    <row r="2383" spans="1:26" x14ac:dyDescent="0.3">
      <c r="A2383" t="s">
        <v>291</v>
      </c>
      <c r="B2383" t="s">
        <v>55</v>
      </c>
      <c r="C2383">
        <v>32</v>
      </c>
      <c r="D2383">
        <v>23</v>
      </c>
      <c r="E2383" s="1">
        <f t="shared" si="37"/>
        <v>0.71875</v>
      </c>
      <c r="F2383">
        <v>109.5</v>
      </c>
      <c r="G2383">
        <v>96</v>
      </c>
      <c r="H2383">
        <v>0.82099999999999995</v>
      </c>
      <c r="I2383">
        <v>53.2</v>
      </c>
      <c r="J2383">
        <v>47.6</v>
      </c>
      <c r="K2383">
        <v>16.100000000000001</v>
      </c>
      <c r="L2383">
        <v>19.399999999999999</v>
      </c>
      <c r="M2383">
        <v>27.8</v>
      </c>
      <c r="N2383">
        <v>25.6</v>
      </c>
      <c r="O2383">
        <v>32.4</v>
      </c>
      <c r="P2383">
        <v>31.6</v>
      </c>
      <c r="Q2383">
        <v>49.6</v>
      </c>
      <c r="R2383">
        <v>48.1</v>
      </c>
      <c r="S2383">
        <v>38.9</v>
      </c>
      <c r="T2383">
        <v>31.3</v>
      </c>
      <c r="U2383">
        <v>63.4</v>
      </c>
      <c r="V2383">
        <v>0.2</v>
      </c>
      <c r="W2383" cm="1">
        <f t="array" ref="W2383">_xlfn.IFS(OR(X2383="N/A",X2383="NA"),0,OR(X2383="R64",X2383="R68"),1,X2383="R32",2,X2383="S16",3,X2383="E8",4,X2383="F4",5,X2383="2ND",6,X2383="Champions",7)</f>
        <v>1</v>
      </c>
      <c r="X2383" t="s">
        <v>423</v>
      </c>
      <c r="Y2383">
        <v>11</v>
      </c>
      <c r="Z2383">
        <v>2015</v>
      </c>
    </row>
    <row r="2384" spans="1:26" x14ac:dyDescent="0.3">
      <c r="A2384" t="s">
        <v>296</v>
      </c>
      <c r="B2384" t="s">
        <v>77</v>
      </c>
      <c r="C2384">
        <v>32</v>
      </c>
      <c r="D2384">
        <v>17</v>
      </c>
      <c r="E2384" s="1">
        <f t="shared" si="37"/>
        <v>0.53125</v>
      </c>
      <c r="F2384">
        <v>103</v>
      </c>
      <c r="G2384">
        <v>115.6</v>
      </c>
      <c r="H2384">
        <v>0.20899999999999999</v>
      </c>
      <c r="I2384">
        <v>51.2</v>
      </c>
      <c r="J2384">
        <v>52.4</v>
      </c>
      <c r="K2384">
        <v>17.7</v>
      </c>
      <c r="L2384">
        <v>21</v>
      </c>
      <c r="M2384">
        <v>28.4</v>
      </c>
      <c r="N2384">
        <v>35.799999999999997</v>
      </c>
      <c r="O2384">
        <v>33.299999999999997</v>
      </c>
      <c r="P2384">
        <v>46.9</v>
      </c>
      <c r="Q2384">
        <v>49.5</v>
      </c>
      <c r="R2384">
        <v>52.1</v>
      </c>
      <c r="S2384">
        <v>36.4</v>
      </c>
      <c r="T2384">
        <v>35.4</v>
      </c>
      <c r="U2384">
        <v>72.5</v>
      </c>
      <c r="V2384">
        <v>-9.9</v>
      </c>
      <c r="W2384" cm="1">
        <f t="array" ref="W2384">_xlfn.IFS(OR(X2384="N/A",X2384="NA"),0,OR(X2384="R64",X2384="R68"),1,X2384="R32",2,X2384="S16",3,X2384="E8",4,X2384="F4",5,X2384="2ND",6,X2384="Champions",7)</f>
        <v>1</v>
      </c>
      <c r="X2384" t="s">
        <v>423</v>
      </c>
      <c r="Y2384">
        <v>16</v>
      </c>
      <c r="Z2384">
        <v>2016</v>
      </c>
    </row>
    <row r="2385" spans="1:26" x14ac:dyDescent="0.3">
      <c r="A2385" t="s">
        <v>297</v>
      </c>
      <c r="B2385" t="s">
        <v>77</v>
      </c>
      <c r="C2385">
        <v>34</v>
      </c>
      <c r="D2385">
        <v>18</v>
      </c>
      <c r="E2385" s="1">
        <f t="shared" si="37"/>
        <v>0.52941176470588236</v>
      </c>
      <c r="F2385">
        <v>101.9</v>
      </c>
      <c r="G2385">
        <v>109.9</v>
      </c>
      <c r="H2385">
        <v>0.29370000000000002</v>
      </c>
      <c r="I2385">
        <v>52.1</v>
      </c>
      <c r="J2385">
        <v>50</v>
      </c>
      <c r="K2385">
        <v>19.5</v>
      </c>
      <c r="L2385">
        <v>16.5</v>
      </c>
      <c r="M2385">
        <v>29.4</v>
      </c>
      <c r="N2385">
        <v>29.8</v>
      </c>
      <c r="O2385">
        <v>38.700000000000003</v>
      </c>
      <c r="P2385">
        <v>31.8</v>
      </c>
      <c r="Q2385">
        <v>52.3</v>
      </c>
      <c r="R2385">
        <v>50.5</v>
      </c>
      <c r="S2385">
        <v>34.6</v>
      </c>
      <c r="T2385">
        <v>32.799999999999997</v>
      </c>
      <c r="U2385">
        <v>72.8</v>
      </c>
      <c r="V2385">
        <v>-13.2</v>
      </c>
      <c r="W2385" cm="1">
        <f t="array" ref="W2385">_xlfn.IFS(OR(X2385="N/A",X2385="NA"),0,OR(X2385="R64",X2385="R68"),1,X2385="R32",2,X2385="S16",3,X2385="E8",4,X2385="F4",5,X2385="2ND",6,X2385="Champions",7)</f>
        <v>1</v>
      </c>
      <c r="X2385" t="s">
        <v>423</v>
      </c>
      <c r="Y2385">
        <v>16</v>
      </c>
      <c r="Z2385">
        <v>2018</v>
      </c>
    </row>
    <row r="2386" spans="1:26" x14ac:dyDescent="0.3">
      <c r="A2386" t="s">
        <v>316</v>
      </c>
      <c r="B2386" t="s">
        <v>38</v>
      </c>
      <c r="C2386">
        <v>32</v>
      </c>
      <c r="D2386">
        <v>20</v>
      </c>
      <c r="E2386" s="1">
        <f t="shared" si="37"/>
        <v>0.625</v>
      </c>
      <c r="F2386">
        <v>115.7</v>
      </c>
      <c r="G2386">
        <v>102.1</v>
      </c>
      <c r="H2386">
        <v>0.80889999999999995</v>
      </c>
      <c r="I2386">
        <v>53.8</v>
      </c>
      <c r="J2386">
        <v>50.6</v>
      </c>
      <c r="K2386">
        <v>14.7</v>
      </c>
      <c r="L2386">
        <v>20.399999999999999</v>
      </c>
      <c r="M2386">
        <v>28</v>
      </c>
      <c r="N2386">
        <v>30.6</v>
      </c>
      <c r="O2386">
        <v>41.3</v>
      </c>
      <c r="P2386">
        <v>32.700000000000003</v>
      </c>
      <c r="Q2386">
        <v>53.2</v>
      </c>
      <c r="R2386">
        <v>50.2</v>
      </c>
      <c r="S2386">
        <v>36.4</v>
      </c>
      <c r="T2386">
        <v>34.200000000000003</v>
      </c>
      <c r="U2386">
        <v>72.7</v>
      </c>
      <c r="V2386">
        <v>-1.2</v>
      </c>
      <c r="W2386" cm="1">
        <f t="array" ref="W2386">_xlfn.IFS(OR(X2386="N/A",X2386="NA"),0,OR(X2386="R64",X2386="R68"),1,X2386="R32",2,X2386="S16",3,X2386="E8",4,X2386="F4",5,X2386="2ND",6,X2386="Champions",7)</f>
        <v>1</v>
      </c>
      <c r="X2386" t="s">
        <v>423</v>
      </c>
      <c r="Y2386">
        <v>11</v>
      </c>
      <c r="Z2386">
        <v>2018</v>
      </c>
    </row>
    <row r="2387" spans="1:26" x14ac:dyDescent="0.3">
      <c r="A2387" t="s">
        <v>324</v>
      </c>
      <c r="B2387" t="s">
        <v>38</v>
      </c>
      <c r="C2387">
        <v>33</v>
      </c>
      <c r="D2387">
        <v>21</v>
      </c>
      <c r="E2387" s="1">
        <f t="shared" si="37"/>
        <v>0.63636363636363635</v>
      </c>
      <c r="F2387">
        <v>113.7</v>
      </c>
      <c r="G2387">
        <v>100.6</v>
      </c>
      <c r="H2387">
        <v>0.80289999999999995</v>
      </c>
      <c r="I2387">
        <v>53.7</v>
      </c>
      <c r="J2387">
        <v>49.1</v>
      </c>
      <c r="K2387">
        <v>16.600000000000001</v>
      </c>
      <c r="L2387">
        <v>14.5</v>
      </c>
      <c r="M2387">
        <v>28.5</v>
      </c>
      <c r="N2387">
        <v>26.9</v>
      </c>
      <c r="O2387">
        <v>35.5</v>
      </c>
      <c r="P2387">
        <v>29.7</v>
      </c>
      <c r="Q2387">
        <v>51.4</v>
      </c>
      <c r="R2387">
        <v>47.3</v>
      </c>
      <c r="S2387">
        <v>38.1</v>
      </c>
      <c r="T2387">
        <v>34.6</v>
      </c>
      <c r="U2387">
        <v>71.5</v>
      </c>
      <c r="V2387">
        <v>0</v>
      </c>
      <c r="W2387" cm="1">
        <f t="array" ref="W2387">_xlfn.IFS(OR(X2387="N/A",X2387="NA"),0,OR(X2387="R64",X2387="R68"),1,X2387="R32",2,X2387="S16",3,X2387="E8",4,X2387="F4",5,X2387="2ND",6,X2387="Champions",7)</f>
        <v>1</v>
      </c>
      <c r="X2387" t="s">
        <v>423</v>
      </c>
      <c r="Y2387">
        <v>11</v>
      </c>
      <c r="Z2387">
        <v>2018</v>
      </c>
    </row>
    <row r="2388" spans="1:26" x14ac:dyDescent="0.3">
      <c r="A2388" t="s">
        <v>363</v>
      </c>
      <c r="B2388" t="s">
        <v>29</v>
      </c>
      <c r="C2388">
        <v>33</v>
      </c>
      <c r="D2388">
        <v>19</v>
      </c>
      <c r="E2388" s="1">
        <f t="shared" si="37"/>
        <v>0.5757575757575758</v>
      </c>
      <c r="F2388">
        <v>114.5</v>
      </c>
      <c r="G2388">
        <v>93.2</v>
      </c>
      <c r="H2388">
        <v>0.91479999999999995</v>
      </c>
      <c r="I2388">
        <v>52.9</v>
      </c>
      <c r="J2388">
        <v>43.1</v>
      </c>
      <c r="K2388">
        <v>16.8</v>
      </c>
      <c r="L2388">
        <v>14.2</v>
      </c>
      <c r="M2388">
        <v>27.2</v>
      </c>
      <c r="N2388">
        <v>29.3</v>
      </c>
      <c r="O2388">
        <v>39.799999999999997</v>
      </c>
      <c r="P2388">
        <v>34.4</v>
      </c>
      <c r="Q2388">
        <v>50.1</v>
      </c>
      <c r="R2388">
        <v>42.6</v>
      </c>
      <c r="S2388">
        <v>38.200000000000003</v>
      </c>
      <c r="T2388">
        <v>29.4</v>
      </c>
      <c r="U2388">
        <v>68.7</v>
      </c>
      <c r="V2388">
        <v>-0.3</v>
      </c>
      <c r="W2388" cm="1">
        <f t="array" ref="W2388">_xlfn.IFS(OR(X2388="N/A",X2388="NA"),0,OR(X2388="R64",X2388="R68"),1,X2388="R32",2,X2388="S16",3,X2388="E8",4,X2388="F4",5,X2388="2ND",6,X2388="Champions",7)</f>
        <v>1</v>
      </c>
      <c r="X2388" t="s">
        <v>423</v>
      </c>
      <c r="Y2388">
        <v>11</v>
      </c>
      <c r="Z2388">
        <v>2016</v>
      </c>
    </row>
    <row r="2389" spans="1:26" x14ac:dyDescent="0.3">
      <c r="A2389" t="s">
        <v>374</v>
      </c>
      <c r="B2389" t="s">
        <v>61</v>
      </c>
      <c r="C2389">
        <v>29</v>
      </c>
      <c r="D2389">
        <v>20</v>
      </c>
      <c r="E2389" s="1">
        <f t="shared" si="37"/>
        <v>0.68965517241379315</v>
      </c>
      <c r="F2389">
        <v>99.6</v>
      </c>
      <c r="G2389">
        <v>101.2</v>
      </c>
      <c r="H2389">
        <v>0.45379999999999998</v>
      </c>
      <c r="I2389">
        <v>50.2</v>
      </c>
      <c r="J2389">
        <v>50.3</v>
      </c>
      <c r="K2389">
        <v>23.7</v>
      </c>
      <c r="L2389">
        <v>22.4</v>
      </c>
      <c r="M2389">
        <v>36.1</v>
      </c>
      <c r="N2389">
        <v>32.6</v>
      </c>
      <c r="O2389">
        <v>42.8</v>
      </c>
      <c r="P2389">
        <v>34.700000000000003</v>
      </c>
      <c r="Q2389">
        <v>51.6</v>
      </c>
      <c r="R2389">
        <v>51.8</v>
      </c>
      <c r="S2389">
        <v>30.7</v>
      </c>
      <c r="T2389">
        <v>31.9</v>
      </c>
      <c r="U2389">
        <v>67.7</v>
      </c>
      <c r="V2389">
        <v>-6.3</v>
      </c>
      <c r="W2389" cm="1">
        <f t="array" ref="W2389">_xlfn.IFS(OR(X2389="N/A",X2389="NA"),0,OR(X2389="R64",X2389="R68"),1,X2389="R32",2,X2389="S16",3,X2389="E8",4,X2389="F4",5,X2389="2ND",6,X2389="Champions",7)</f>
        <v>1</v>
      </c>
      <c r="X2389" t="s">
        <v>423</v>
      </c>
      <c r="Y2389">
        <v>16</v>
      </c>
      <c r="Z2389">
        <v>2017</v>
      </c>
    </row>
    <row r="2390" spans="1:26" x14ac:dyDescent="0.3">
      <c r="A2390" t="s">
        <v>398</v>
      </c>
      <c r="B2390" t="s">
        <v>76</v>
      </c>
      <c r="C2390">
        <v>32</v>
      </c>
      <c r="D2390">
        <v>19</v>
      </c>
      <c r="E2390" s="1">
        <f t="shared" si="37"/>
        <v>0.59375</v>
      </c>
      <c r="F2390">
        <v>98.9</v>
      </c>
      <c r="G2390">
        <v>106.2</v>
      </c>
      <c r="H2390">
        <v>0.30649999999999999</v>
      </c>
      <c r="I2390">
        <v>48.5</v>
      </c>
      <c r="J2390">
        <v>47.9</v>
      </c>
      <c r="K2390">
        <v>16.3</v>
      </c>
      <c r="L2390">
        <v>19.600000000000001</v>
      </c>
      <c r="M2390">
        <v>28.1</v>
      </c>
      <c r="N2390">
        <v>31.2</v>
      </c>
      <c r="O2390">
        <v>38.1</v>
      </c>
      <c r="P2390">
        <v>39.9</v>
      </c>
      <c r="Q2390">
        <v>47.6</v>
      </c>
      <c r="R2390">
        <v>47.7</v>
      </c>
      <c r="S2390">
        <v>33.799999999999997</v>
      </c>
      <c r="T2390">
        <v>32.200000000000003</v>
      </c>
      <c r="U2390">
        <v>69.5</v>
      </c>
      <c r="V2390">
        <v>-8.1</v>
      </c>
      <c r="W2390" cm="1">
        <f t="array" ref="W2390">_xlfn.IFS(OR(X2390="N/A",X2390="NA"),0,OR(X2390="R64",X2390="R68"),1,X2390="R32",2,X2390="S16",3,X2390="E8",4,X2390="F4",5,X2390="2ND",6,X2390="Champions",7)</f>
        <v>1</v>
      </c>
      <c r="X2390" t="s">
        <v>423</v>
      </c>
      <c r="Y2390">
        <v>16</v>
      </c>
      <c r="Z2390">
        <v>2016</v>
      </c>
    </row>
    <row r="2391" spans="1:26" x14ac:dyDescent="0.3">
      <c r="A2391" t="s">
        <v>397</v>
      </c>
      <c r="B2391" t="s">
        <v>76</v>
      </c>
      <c r="C2391">
        <v>34</v>
      </c>
      <c r="D2391">
        <v>22</v>
      </c>
      <c r="E2391" s="1">
        <f t="shared" si="37"/>
        <v>0.6470588235294118</v>
      </c>
      <c r="F2391">
        <v>101.7</v>
      </c>
      <c r="G2391">
        <v>105.7</v>
      </c>
      <c r="H2391">
        <v>0.3911</v>
      </c>
      <c r="I2391">
        <v>49</v>
      </c>
      <c r="J2391">
        <v>51.2</v>
      </c>
      <c r="K2391">
        <v>17.399999999999999</v>
      </c>
      <c r="L2391">
        <v>24.7</v>
      </c>
      <c r="M2391">
        <v>29.7</v>
      </c>
      <c r="N2391">
        <v>34.299999999999997</v>
      </c>
      <c r="O2391">
        <v>43.1</v>
      </c>
      <c r="P2391">
        <v>46.2</v>
      </c>
      <c r="Q2391">
        <v>49.2</v>
      </c>
      <c r="R2391">
        <v>53.7</v>
      </c>
      <c r="S2391">
        <v>32.4</v>
      </c>
      <c r="T2391">
        <v>31.2</v>
      </c>
      <c r="U2391">
        <v>72.2</v>
      </c>
      <c r="V2391">
        <v>-7.1</v>
      </c>
      <c r="W2391" cm="1">
        <f t="array" ref="W2391">_xlfn.IFS(OR(X2391="N/A",X2391="NA"),0,OR(X2391="R64",X2391="R68"),1,X2391="R32",2,X2391="S16",3,X2391="E8",4,X2391="F4",5,X2391="2ND",6,X2391="Champions",7)</f>
        <v>1</v>
      </c>
      <c r="X2391" t="s">
        <v>423</v>
      </c>
      <c r="Y2391">
        <v>16</v>
      </c>
      <c r="Z2391">
        <v>2019</v>
      </c>
    </row>
    <row r="2392" spans="1:26" x14ac:dyDescent="0.3">
      <c r="A2392" t="s">
        <v>417</v>
      </c>
      <c r="B2392" t="s">
        <v>37</v>
      </c>
      <c r="C2392">
        <v>33</v>
      </c>
      <c r="D2392">
        <v>23</v>
      </c>
      <c r="E2392" s="1">
        <f t="shared" si="37"/>
        <v>0.69696969696969702</v>
      </c>
      <c r="F2392">
        <v>118.3</v>
      </c>
      <c r="G2392">
        <v>100.3</v>
      </c>
      <c r="H2392">
        <v>0.86990000000000001</v>
      </c>
      <c r="I2392">
        <v>53.2</v>
      </c>
      <c r="J2392">
        <v>49.6</v>
      </c>
      <c r="K2392">
        <v>16.399999999999999</v>
      </c>
      <c r="L2392">
        <v>17.7</v>
      </c>
      <c r="M2392">
        <v>33.4</v>
      </c>
      <c r="N2392">
        <v>28.4</v>
      </c>
      <c r="O2392">
        <v>42.5</v>
      </c>
      <c r="P2392">
        <v>39.200000000000003</v>
      </c>
      <c r="Q2392">
        <v>50.2</v>
      </c>
      <c r="R2392">
        <v>49.6</v>
      </c>
      <c r="S2392">
        <v>39</v>
      </c>
      <c r="T2392">
        <v>33.1</v>
      </c>
      <c r="U2392">
        <v>70.8</v>
      </c>
      <c r="V2392">
        <v>0.8</v>
      </c>
      <c r="W2392" cm="1">
        <f t="array" ref="W2392">_xlfn.IFS(OR(X2392="N/A",X2392="NA"),0,OR(X2392="R64",X2392="R68"),1,X2392="R32",2,X2392="S16",3,X2392="E8",4,X2392="F4",5,X2392="2ND",6,X2392="Champions",7)</f>
        <v>1</v>
      </c>
      <c r="X2392" t="s">
        <v>423</v>
      </c>
      <c r="Y2392">
        <v>11</v>
      </c>
      <c r="Z2392">
        <v>2015</v>
      </c>
    </row>
    <row r="2393" spans="1:26" x14ac:dyDescent="0.3">
      <c r="A2393" t="s">
        <v>148</v>
      </c>
      <c r="B2393" t="s">
        <v>31</v>
      </c>
      <c r="C2393">
        <v>33</v>
      </c>
      <c r="D2393">
        <v>20</v>
      </c>
      <c r="E2393" s="1">
        <f t="shared" si="37"/>
        <v>0.60606060606060608</v>
      </c>
      <c r="F2393">
        <v>121.2</v>
      </c>
      <c r="G2393">
        <v>99.2</v>
      </c>
      <c r="H2393">
        <v>0.90890000000000004</v>
      </c>
      <c r="I2393">
        <v>51.1</v>
      </c>
      <c r="J2393">
        <v>47.4</v>
      </c>
      <c r="K2393">
        <v>15.9</v>
      </c>
      <c r="L2393">
        <v>18.8</v>
      </c>
      <c r="M2393">
        <v>37.6</v>
      </c>
      <c r="N2393">
        <v>29</v>
      </c>
      <c r="O2393">
        <v>45.3</v>
      </c>
      <c r="P2393">
        <v>35.4</v>
      </c>
      <c r="Q2393">
        <v>50.6</v>
      </c>
      <c r="R2393">
        <v>47.3</v>
      </c>
      <c r="S2393">
        <v>35</v>
      </c>
      <c r="T2393">
        <v>31.7</v>
      </c>
      <c r="U2393">
        <v>70.900000000000006</v>
      </c>
      <c r="V2393">
        <v>1.2</v>
      </c>
      <c r="W2393" cm="1">
        <f t="array" ref="W2393">_xlfn.IFS(OR(X2393="N/A",X2393="NA"),0,OR(X2393="R64",X2393="R68"),1,X2393="R32",2,X2393="S16",3,X2393="E8",4,X2393="F4",5,X2393="2ND",6,X2393="Champions",7)</f>
        <v>1</v>
      </c>
      <c r="X2393" t="s">
        <v>423</v>
      </c>
      <c r="Y2393">
        <v>11</v>
      </c>
      <c r="Z2393">
        <v>2014</v>
      </c>
    </row>
    <row r="2394" spans="1:26" x14ac:dyDescent="0.3">
      <c r="A2394" t="s">
        <v>70</v>
      </c>
      <c r="B2394" t="s">
        <v>33</v>
      </c>
      <c r="C2394">
        <v>34</v>
      </c>
      <c r="D2394">
        <v>21</v>
      </c>
      <c r="E2394" s="1">
        <f t="shared" si="37"/>
        <v>0.61764705882352944</v>
      </c>
      <c r="F2394">
        <v>112</v>
      </c>
      <c r="G2394">
        <v>99.5</v>
      </c>
      <c r="H2394">
        <v>0.79649999999999999</v>
      </c>
      <c r="I2394">
        <v>51.7</v>
      </c>
      <c r="J2394">
        <v>49.4</v>
      </c>
      <c r="K2394">
        <v>18.7</v>
      </c>
      <c r="L2394">
        <v>16.899999999999999</v>
      </c>
      <c r="M2394">
        <v>34.1</v>
      </c>
      <c r="N2394">
        <v>28.7</v>
      </c>
      <c r="O2394">
        <v>41.6</v>
      </c>
      <c r="P2394">
        <v>39.5</v>
      </c>
      <c r="Q2394">
        <v>51.5</v>
      </c>
      <c r="R2394">
        <v>47.4</v>
      </c>
      <c r="S2394">
        <v>34.799999999999997</v>
      </c>
      <c r="T2394">
        <v>35.200000000000003</v>
      </c>
      <c r="U2394">
        <v>66</v>
      </c>
      <c r="V2394">
        <v>1.4</v>
      </c>
      <c r="W2394" cm="1">
        <f t="array" ref="W2394">_xlfn.IFS(OR(X2394="N/A",X2394="NA"),0,OR(X2394="R64",X2394="R68"),1,X2394="R32",2,X2394="S16",3,X2394="E8",4,X2394="F4",5,X2394="2ND",6,X2394="Champions",7)</f>
        <v>1</v>
      </c>
      <c r="X2394" t="s">
        <v>423</v>
      </c>
      <c r="Y2394">
        <v>12</v>
      </c>
      <c r="Z2394">
        <v>2014</v>
      </c>
    </row>
    <row r="2395" spans="1:26" x14ac:dyDescent="0.3">
      <c r="A2395" t="s">
        <v>298</v>
      </c>
      <c r="B2395" t="s">
        <v>77</v>
      </c>
      <c r="C2395">
        <v>33</v>
      </c>
      <c r="D2395">
        <v>16</v>
      </c>
      <c r="E2395" s="1">
        <f t="shared" si="37"/>
        <v>0.48484848484848486</v>
      </c>
      <c r="F2395">
        <v>107.1</v>
      </c>
      <c r="G2395">
        <v>111</v>
      </c>
      <c r="H2395">
        <v>0.39860000000000001</v>
      </c>
      <c r="I2395">
        <v>51.5</v>
      </c>
      <c r="J2395">
        <v>53.5</v>
      </c>
      <c r="K2395">
        <v>16.7</v>
      </c>
      <c r="L2395">
        <v>18.8</v>
      </c>
      <c r="M2395">
        <v>27.8</v>
      </c>
      <c r="N2395">
        <v>33</v>
      </c>
      <c r="O2395">
        <v>36.700000000000003</v>
      </c>
      <c r="P2395">
        <v>34.5</v>
      </c>
      <c r="Q2395">
        <v>50.2</v>
      </c>
      <c r="R2395">
        <v>54.6</v>
      </c>
      <c r="S2395">
        <v>35.5</v>
      </c>
      <c r="T2395">
        <v>33.4</v>
      </c>
      <c r="U2395">
        <v>69.900000000000006</v>
      </c>
      <c r="V2395">
        <v>-9.4</v>
      </c>
      <c r="W2395" cm="1">
        <f t="array" ref="W2395">_xlfn.IFS(OR(X2395="N/A",X2395="NA"),0,OR(X2395="R64",X2395="R68"),1,X2395="R32",2,X2395="S16",3,X2395="E8",4,X2395="F4",5,X2395="2ND",6,X2395="Champions",7)</f>
        <v>1</v>
      </c>
      <c r="X2395" t="s">
        <v>423</v>
      </c>
      <c r="Y2395">
        <v>16</v>
      </c>
      <c r="Z2395">
        <v>2014</v>
      </c>
    </row>
    <row r="2396" spans="1:26" x14ac:dyDescent="0.3">
      <c r="A2396" t="s">
        <v>399</v>
      </c>
      <c r="B2396" t="s">
        <v>76</v>
      </c>
      <c r="C2396">
        <v>33</v>
      </c>
      <c r="D2396">
        <v>18</v>
      </c>
      <c r="E2396" s="1">
        <f t="shared" si="37"/>
        <v>0.54545454545454541</v>
      </c>
      <c r="F2396">
        <v>106.1</v>
      </c>
      <c r="G2396">
        <v>112.9</v>
      </c>
      <c r="H2396">
        <v>0.32929999999999998</v>
      </c>
      <c r="I2396">
        <v>51.7</v>
      </c>
      <c r="J2396">
        <v>50.2</v>
      </c>
      <c r="K2396">
        <v>19.3</v>
      </c>
      <c r="L2396">
        <v>15.8</v>
      </c>
      <c r="M2396">
        <v>33.6</v>
      </c>
      <c r="N2396">
        <v>31.2</v>
      </c>
      <c r="O2396">
        <v>49.3</v>
      </c>
      <c r="P2396">
        <v>29.8</v>
      </c>
      <c r="Q2396">
        <v>50.7</v>
      </c>
      <c r="R2396">
        <v>48.9</v>
      </c>
      <c r="S2396">
        <v>35.799999999999997</v>
      </c>
      <c r="T2396">
        <v>35.6</v>
      </c>
      <c r="U2396">
        <v>67.599999999999994</v>
      </c>
      <c r="V2396">
        <v>-9.6999999999999993</v>
      </c>
      <c r="W2396" cm="1">
        <f t="array" ref="W2396">_xlfn.IFS(OR(X2396="N/A",X2396="NA"),0,OR(X2396="R64",X2396="R68"),1,X2396="R32",2,X2396="S16",3,X2396="E8",4,X2396="F4",5,X2396="2ND",6,X2396="Champions",7)</f>
        <v>1</v>
      </c>
      <c r="X2396" t="s">
        <v>423</v>
      </c>
      <c r="Y2396">
        <v>16</v>
      </c>
      <c r="Z2396">
        <v>2014</v>
      </c>
    </row>
    <row r="2397" spans="1:26" x14ac:dyDescent="0.3">
      <c r="A2397" t="s">
        <v>212</v>
      </c>
      <c r="B2397" t="s">
        <v>58</v>
      </c>
      <c r="C2397">
        <v>34</v>
      </c>
      <c r="D2397">
        <v>28</v>
      </c>
      <c r="E2397" s="1">
        <f t="shared" si="37"/>
        <v>0.82352941176470584</v>
      </c>
      <c r="F2397">
        <v>105.1</v>
      </c>
      <c r="G2397">
        <v>91</v>
      </c>
      <c r="H2397">
        <v>0.83960000000000001</v>
      </c>
      <c r="I2397">
        <v>51.1</v>
      </c>
      <c r="J2397">
        <v>44.4</v>
      </c>
      <c r="K2397">
        <v>20.7</v>
      </c>
      <c r="L2397">
        <v>23.6</v>
      </c>
      <c r="M2397">
        <v>36.5</v>
      </c>
      <c r="N2397">
        <v>29</v>
      </c>
      <c r="O2397">
        <v>41.4</v>
      </c>
      <c r="P2397">
        <v>42.8</v>
      </c>
      <c r="Q2397">
        <v>49.2</v>
      </c>
      <c r="R2397">
        <v>43.9</v>
      </c>
      <c r="S2397">
        <v>37.700000000000003</v>
      </c>
      <c r="T2397">
        <v>30.3</v>
      </c>
      <c r="U2397">
        <v>64.900000000000006</v>
      </c>
      <c r="V2397">
        <v>0.7</v>
      </c>
      <c r="W2397" cm="1">
        <f t="array" ref="W2397">_xlfn.IFS(OR(X2397="N/A",X2397="NA"),0,OR(X2397="R64",X2397="R68"),1,X2397="R32",2,X2397="S16",3,X2397="E8",4,X2397="F4",5,X2397="2ND",6,X2397="Champions",7)</f>
        <v>1</v>
      </c>
      <c r="X2397" t="s">
        <v>423</v>
      </c>
      <c r="Y2397">
        <v>11</v>
      </c>
      <c r="Z2397">
        <v>2013</v>
      </c>
    </row>
    <row r="2398" spans="1:26" x14ac:dyDescent="0.3">
      <c r="A2398" t="s">
        <v>291</v>
      </c>
      <c r="B2398" t="s">
        <v>55</v>
      </c>
      <c r="C2398">
        <v>30</v>
      </c>
      <c r="D2398">
        <v>19</v>
      </c>
      <c r="E2398" s="1">
        <f t="shared" si="37"/>
        <v>0.6333333333333333</v>
      </c>
      <c r="F2398">
        <v>112</v>
      </c>
      <c r="G2398">
        <v>97.4</v>
      </c>
      <c r="H2398">
        <v>0.83320000000000005</v>
      </c>
      <c r="I2398">
        <v>51.8</v>
      </c>
      <c r="J2398">
        <v>51.4</v>
      </c>
      <c r="K2398">
        <v>18.399999999999999</v>
      </c>
      <c r="L2398">
        <v>20</v>
      </c>
      <c r="M2398">
        <v>30.3</v>
      </c>
      <c r="N2398">
        <v>24.4</v>
      </c>
      <c r="O2398">
        <v>33.700000000000003</v>
      </c>
      <c r="P2398">
        <v>42.2</v>
      </c>
      <c r="Q2398">
        <v>48.4</v>
      </c>
      <c r="R2398">
        <v>51</v>
      </c>
      <c r="S2398">
        <v>38.700000000000003</v>
      </c>
      <c r="T2398">
        <v>34.799999999999997</v>
      </c>
      <c r="U2398">
        <v>66.2</v>
      </c>
      <c r="V2398">
        <v>-0.2</v>
      </c>
      <c r="W2398" cm="1">
        <f t="array" ref="W2398">_xlfn.IFS(OR(X2398="N/A",X2398="NA"),0,OR(X2398="R64",X2398="R68"),1,X2398="R32",2,X2398="S16",3,X2398="E8",4,X2398="F4",5,X2398="2ND",6,X2398="Champions",7)</f>
        <v>1</v>
      </c>
      <c r="X2398" t="s">
        <v>423</v>
      </c>
      <c r="Y2398">
        <v>13</v>
      </c>
      <c r="Z2398">
        <v>2013</v>
      </c>
    </row>
    <row r="2399" spans="1:26" x14ac:dyDescent="0.3">
      <c r="A2399" t="s">
        <v>297</v>
      </c>
      <c r="B2399" t="s">
        <v>77</v>
      </c>
      <c r="C2399">
        <v>34</v>
      </c>
      <c r="D2399">
        <v>20</v>
      </c>
      <c r="E2399" s="1">
        <f t="shared" si="37"/>
        <v>0.58823529411764708</v>
      </c>
      <c r="F2399">
        <v>108.1</v>
      </c>
      <c r="G2399">
        <v>111.2</v>
      </c>
      <c r="H2399">
        <v>0.41949999999999998</v>
      </c>
      <c r="I2399">
        <v>54.4</v>
      </c>
      <c r="J2399">
        <v>52.6</v>
      </c>
      <c r="K2399">
        <v>20.3</v>
      </c>
      <c r="L2399">
        <v>18.399999999999999</v>
      </c>
      <c r="M2399">
        <v>35.200000000000003</v>
      </c>
      <c r="N2399">
        <v>33.5</v>
      </c>
      <c r="O2399">
        <v>45.6</v>
      </c>
      <c r="P2399">
        <v>31.6</v>
      </c>
      <c r="Q2399">
        <v>53.1</v>
      </c>
      <c r="R2399">
        <v>51.1</v>
      </c>
      <c r="S2399">
        <v>38</v>
      </c>
      <c r="T2399">
        <v>37.200000000000003</v>
      </c>
      <c r="U2399">
        <v>69.3</v>
      </c>
      <c r="V2399">
        <v>-8.6</v>
      </c>
      <c r="W2399" cm="1">
        <f t="array" ref="W2399">_xlfn.IFS(OR(X2399="N/A",X2399="NA"),0,OR(X2399="R64",X2399="R68"),1,X2399="R32",2,X2399="S16",3,X2399="E8",4,X2399="F4",5,X2399="2ND",6,X2399="Champions",7)</f>
        <v>1</v>
      </c>
      <c r="X2399" t="s">
        <v>423</v>
      </c>
      <c r="Y2399">
        <v>16</v>
      </c>
      <c r="Z2399">
        <v>2013</v>
      </c>
    </row>
    <row r="2400" spans="1:26" x14ac:dyDescent="0.3">
      <c r="A2400" t="s">
        <v>180</v>
      </c>
      <c r="B2400" t="s">
        <v>74</v>
      </c>
      <c r="C2400">
        <v>33</v>
      </c>
      <c r="D2400">
        <v>12</v>
      </c>
      <c r="E2400" s="1">
        <f t="shared" si="37"/>
        <v>0.36363636363636365</v>
      </c>
      <c r="F2400">
        <v>100.1</v>
      </c>
      <c r="G2400">
        <v>109.7</v>
      </c>
      <c r="H2400">
        <v>0.2591</v>
      </c>
      <c r="I2400">
        <v>48.5</v>
      </c>
      <c r="J2400">
        <v>47.8</v>
      </c>
      <c r="K2400">
        <v>19.8</v>
      </c>
      <c r="L2400">
        <v>15.1</v>
      </c>
      <c r="M2400">
        <v>29</v>
      </c>
      <c r="N2400">
        <v>32.6</v>
      </c>
      <c r="O2400">
        <v>38.4</v>
      </c>
      <c r="P2400">
        <v>38.5</v>
      </c>
      <c r="Q2400">
        <v>44.9</v>
      </c>
      <c r="R2400">
        <v>48.6</v>
      </c>
      <c r="S2400">
        <v>37</v>
      </c>
      <c r="T2400">
        <v>30.9</v>
      </c>
      <c r="U2400">
        <v>65.7</v>
      </c>
      <c r="V2400">
        <v>-15.6</v>
      </c>
      <c r="W2400" cm="1">
        <f t="array" ref="W2400">_xlfn.IFS(OR(X2400="N/A",X2400="NA"),0,OR(X2400="R64",X2400="R68"),1,X2400="R32",2,X2400="S16",3,X2400="E8",4,X2400="F4",5,X2400="2ND",6,X2400="Champions",7)</f>
        <v>1</v>
      </c>
      <c r="X2400" t="s">
        <v>423</v>
      </c>
      <c r="Y2400">
        <v>16</v>
      </c>
      <c r="Z2400">
        <v>2013</v>
      </c>
    </row>
    <row r="2401" spans="1:26" x14ac:dyDescent="0.3">
      <c r="A2401" t="s">
        <v>27</v>
      </c>
      <c r="B2401" t="s">
        <v>26</v>
      </c>
      <c r="C2401">
        <v>38</v>
      </c>
      <c r="D2401">
        <v>26</v>
      </c>
      <c r="E2401" s="1">
        <f t="shared" si="37"/>
        <v>0.68421052631578949</v>
      </c>
      <c r="F2401">
        <v>119.6</v>
      </c>
      <c r="G2401">
        <v>92.5</v>
      </c>
      <c r="H2401">
        <v>0.95069999999999999</v>
      </c>
      <c r="I2401">
        <v>51.6</v>
      </c>
      <c r="J2401">
        <v>45.4</v>
      </c>
      <c r="K2401">
        <v>18.2</v>
      </c>
      <c r="L2401">
        <v>17.7</v>
      </c>
      <c r="M2401">
        <v>40</v>
      </c>
      <c r="N2401">
        <v>31.2</v>
      </c>
      <c r="O2401">
        <v>35.200000000000003</v>
      </c>
      <c r="P2401">
        <v>37.799999999999997</v>
      </c>
      <c r="Q2401">
        <v>50.9</v>
      </c>
      <c r="R2401">
        <v>45.6</v>
      </c>
      <c r="S2401">
        <v>35.799999999999997</v>
      </c>
      <c r="T2401">
        <v>30</v>
      </c>
      <c r="U2401">
        <v>69.900000000000006</v>
      </c>
      <c r="V2401">
        <v>6.5</v>
      </c>
      <c r="W2401" cm="1">
        <f t="array" ref="W2401">_xlfn.IFS(OR(X2401="N/A",X2401="NA"),0,OR(X2401="R64",X2401="R68"),1,X2401="R32",2,X2401="S16",3,X2401="E8",4,X2401="F4",5,X2401="2ND",6,X2401="Champions",7)</f>
        <v>3</v>
      </c>
      <c r="X2401" t="s">
        <v>424</v>
      </c>
      <c r="Y2401">
        <v>4</v>
      </c>
      <c r="Z2401">
        <v>2015</v>
      </c>
    </row>
    <row r="2402" spans="1:26" x14ac:dyDescent="0.3">
      <c r="A2402" t="s">
        <v>110</v>
      </c>
      <c r="B2402" t="s">
        <v>26</v>
      </c>
      <c r="C2402">
        <v>36</v>
      </c>
      <c r="D2402">
        <v>22</v>
      </c>
      <c r="E2402" s="1">
        <f t="shared" si="37"/>
        <v>0.61111111111111116</v>
      </c>
      <c r="F2402">
        <v>114.1</v>
      </c>
      <c r="G2402">
        <v>96.8</v>
      </c>
      <c r="H2402">
        <v>0.86839999999999995</v>
      </c>
      <c r="I2402">
        <v>49.3</v>
      </c>
      <c r="J2402">
        <v>45.5</v>
      </c>
      <c r="K2402">
        <v>16</v>
      </c>
      <c r="L2402">
        <v>14.9</v>
      </c>
      <c r="M2402">
        <v>33.9</v>
      </c>
      <c r="N2402">
        <v>30.2</v>
      </c>
      <c r="O2402">
        <v>35.299999999999997</v>
      </c>
      <c r="P2402">
        <v>34.700000000000003</v>
      </c>
      <c r="Q2402">
        <v>47.3</v>
      </c>
      <c r="R2402">
        <v>43.6</v>
      </c>
      <c r="S2402">
        <v>35.6</v>
      </c>
      <c r="T2402">
        <v>33</v>
      </c>
      <c r="U2402">
        <v>64.7</v>
      </c>
      <c r="V2402">
        <v>1.1000000000000001</v>
      </c>
      <c r="W2402" cm="1">
        <f t="array" ref="W2402">_xlfn.IFS(OR(X2402="N/A",X2402="NA"),0,OR(X2402="R64",X2402="R68"),1,X2402="R32",2,X2402="S16",3,X2402="E8",4,X2402="F4",5,X2402="2ND",6,X2402="Champions",7)</f>
        <v>3</v>
      </c>
      <c r="X2402" t="s">
        <v>424</v>
      </c>
      <c r="Y2402">
        <v>8</v>
      </c>
      <c r="Z2402">
        <v>2015</v>
      </c>
    </row>
    <row r="2403" spans="1:26" x14ac:dyDescent="0.3">
      <c r="A2403" t="s">
        <v>41</v>
      </c>
      <c r="B2403" t="s">
        <v>26</v>
      </c>
      <c r="C2403">
        <v>36</v>
      </c>
      <c r="D2403">
        <v>25</v>
      </c>
      <c r="E2403" s="1">
        <f t="shared" si="37"/>
        <v>0.69444444444444442</v>
      </c>
      <c r="F2403">
        <v>121.2</v>
      </c>
      <c r="G2403">
        <v>98.9</v>
      </c>
      <c r="H2403">
        <v>0.91220000000000001</v>
      </c>
      <c r="I2403">
        <v>53.7</v>
      </c>
      <c r="J2403">
        <v>49.5</v>
      </c>
      <c r="K2403">
        <v>14.3</v>
      </c>
      <c r="L2403">
        <v>17.399999999999999</v>
      </c>
      <c r="M2403">
        <v>33.200000000000003</v>
      </c>
      <c r="N2403">
        <v>34.700000000000003</v>
      </c>
      <c r="O2403">
        <v>40.6</v>
      </c>
      <c r="P2403">
        <v>25.3</v>
      </c>
      <c r="Q2403">
        <v>51</v>
      </c>
      <c r="R2403">
        <v>48.9</v>
      </c>
      <c r="S2403">
        <v>38.5</v>
      </c>
      <c r="T2403">
        <v>34</v>
      </c>
      <c r="U2403">
        <v>68.7</v>
      </c>
      <c r="V2403">
        <v>4.2</v>
      </c>
      <c r="W2403" cm="1">
        <f t="array" ref="W2403">_xlfn.IFS(OR(X2403="N/A",X2403="NA"),0,OR(X2403="R64",X2403="R68"),1,X2403="R32",2,X2403="S16",3,X2403="E8",4,X2403="F4",5,X2403="2ND",6,X2403="Champions",7)</f>
        <v>3</v>
      </c>
      <c r="X2403" t="s">
        <v>424</v>
      </c>
      <c r="Y2403">
        <v>4</v>
      </c>
      <c r="Z2403">
        <v>2016</v>
      </c>
    </row>
    <row r="2404" spans="1:26" x14ac:dyDescent="0.3">
      <c r="A2404" t="s">
        <v>106</v>
      </c>
      <c r="B2404" t="s">
        <v>26</v>
      </c>
      <c r="C2404">
        <v>35</v>
      </c>
      <c r="D2404">
        <v>27</v>
      </c>
      <c r="E2404" s="1">
        <f t="shared" si="37"/>
        <v>0.77142857142857146</v>
      </c>
      <c r="F2404">
        <v>119.4</v>
      </c>
      <c r="G2404">
        <v>96.5</v>
      </c>
      <c r="H2404">
        <v>0.92030000000000001</v>
      </c>
      <c r="I2404">
        <v>54.2</v>
      </c>
      <c r="J2404">
        <v>48.3</v>
      </c>
      <c r="K2404">
        <v>16.5</v>
      </c>
      <c r="L2404">
        <v>17.399999999999999</v>
      </c>
      <c r="M2404">
        <v>30.1</v>
      </c>
      <c r="N2404">
        <v>29.5</v>
      </c>
      <c r="O2404">
        <v>40.700000000000003</v>
      </c>
      <c r="P2404">
        <v>29.1</v>
      </c>
      <c r="Q2404">
        <v>53.2</v>
      </c>
      <c r="R2404">
        <v>46.9</v>
      </c>
      <c r="S2404">
        <v>37.5</v>
      </c>
      <c r="T2404">
        <v>34.4</v>
      </c>
      <c r="U2404">
        <v>67</v>
      </c>
      <c r="V2404">
        <v>6.9</v>
      </c>
      <c r="W2404" cm="1">
        <f t="array" ref="W2404">_xlfn.IFS(OR(X2404="N/A",X2404="NA"),0,OR(X2404="R64",X2404="R68"),1,X2404="R32",2,X2404="S16",3,X2404="E8",4,X2404="F4",5,X2404="2ND",6,X2404="Champions",7)</f>
        <v>3</v>
      </c>
      <c r="X2404" t="s">
        <v>424</v>
      </c>
      <c r="Y2404">
        <v>3</v>
      </c>
      <c r="Z2404">
        <v>2016</v>
      </c>
    </row>
    <row r="2405" spans="1:26" x14ac:dyDescent="0.3">
      <c r="A2405" t="s">
        <v>104</v>
      </c>
      <c r="B2405" t="s">
        <v>26</v>
      </c>
      <c r="C2405">
        <v>35</v>
      </c>
      <c r="D2405">
        <v>25</v>
      </c>
      <c r="E2405" s="1">
        <f t="shared" si="37"/>
        <v>0.7142857142857143</v>
      </c>
      <c r="F2405">
        <v>112.5</v>
      </c>
      <c r="G2405">
        <v>93.1</v>
      </c>
      <c r="H2405">
        <v>0.89839999999999998</v>
      </c>
      <c r="I2405">
        <v>52.9</v>
      </c>
      <c r="J2405">
        <v>47.2</v>
      </c>
      <c r="K2405">
        <v>17.399999999999999</v>
      </c>
      <c r="L2405">
        <v>17.399999999999999</v>
      </c>
      <c r="M2405">
        <v>27.2</v>
      </c>
      <c r="N2405">
        <v>26.3</v>
      </c>
      <c r="O2405">
        <v>33.5</v>
      </c>
      <c r="P2405">
        <v>27.2</v>
      </c>
      <c r="Q2405">
        <v>51.6</v>
      </c>
      <c r="R2405">
        <v>43.9</v>
      </c>
      <c r="S2405">
        <v>36.6</v>
      </c>
      <c r="T2405">
        <v>35.200000000000003</v>
      </c>
      <c r="U2405">
        <v>67.2</v>
      </c>
      <c r="V2405">
        <v>3.9</v>
      </c>
      <c r="W2405" cm="1">
        <f t="array" ref="W2405">_xlfn.IFS(OR(X2405="N/A",X2405="NA"),0,OR(X2405="R64",X2405="R68"),1,X2405="R32",2,X2405="S16",3,X2405="E8",4,X2405="F4",5,X2405="2ND",6,X2405="Champions",7)</f>
        <v>3</v>
      </c>
      <c r="X2405" t="s">
        <v>424</v>
      </c>
      <c r="Y2405">
        <v>5</v>
      </c>
      <c r="Z2405">
        <v>2018</v>
      </c>
    </row>
    <row r="2406" spans="1:26" x14ac:dyDescent="0.3">
      <c r="A2406" t="s">
        <v>82</v>
      </c>
      <c r="B2406" t="s">
        <v>26</v>
      </c>
      <c r="C2406">
        <v>37</v>
      </c>
      <c r="D2406">
        <v>23</v>
      </c>
      <c r="E2406" s="1">
        <f t="shared" si="37"/>
        <v>0.6216216216216216</v>
      </c>
      <c r="F2406">
        <v>106</v>
      </c>
      <c r="G2406">
        <v>92.1</v>
      </c>
      <c r="H2406">
        <v>0.83440000000000003</v>
      </c>
      <c r="I2406">
        <v>46.9</v>
      </c>
      <c r="J2406">
        <v>46.2</v>
      </c>
      <c r="K2406">
        <v>19.100000000000001</v>
      </c>
      <c r="L2406">
        <v>19.5</v>
      </c>
      <c r="M2406">
        <v>34.700000000000003</v>
      </c>
      <c r="N2406">
        <v>30.4</v>
      </c>
      <c r="O2406">
        <v>40.5</v>
      </c>
      <c r="P2406">
        <v>31.4</v>
      </c>
      <c r="Q2406">
        <v>46.6</v>
      </c>
      <c r="R2406">
        <v>45.1</v>
      </c>
      <c r="S2406">
        <v>31.7</v>
      </c>
      <c r="T2406">
        <v>31.8</v>
      </c>
      <c r="U2406">
        <v>64</v>
      </c>
      <c r="V2406">
        <v>-0.4</v>
      </c>
      <c r="W2406" cm="1">
        <f t="array" ref="W2406">_xlfn.IFS(OR(X2406="N/A",X2406="NA"),0,OR(X2406="R64",X2406="R68"),1,X2406="R32",2,X2406="S16",3,X2406="E8",4,X2406="F4",5,X2406="2ND",6,X2406="Champions",7)</f>
        <v>3</v>
      </c>
      <c r="X2406" t="s">
        <v>424</v>
      </c>
      <c r="Y2406">
        <v>11</v>
      </c>
      <c r="Z2406">
        <v>2018</v>
      </c>
    </row>
    <row r="2407" spans="1:26" x14ac:dyDescent="0.3">
      <c r="A2407" t="s">
        <v>60</v>
      </c>
      <c r="B2407" t="s">
        <v>26</v>
      </c>
      <c r="C2407">
        <v>37</v>
      </c>
      <c r="D2407">
        <v>29</v>
      </c>
      <c r="E2407" s="1">
        <f t="shared" si="37"/>
        <v>0.78378378378378377</v>
      </c>
      <c r="F2407">
        <v>111.7</v>
      </c>
      <c r="G2407">
        <v>90.9</v>
      </c>
      <c r="H2407">
        <v>0.91459999999999997</v>
      </c>
      <c r="I2407">
        <v>50.5</v>
      </c>
      <c r="J2407">
        <v>47.2</v>
      </c>
      <c r="K2407">
        <v>18.899999999999999</v>
      </c>
      <c r="L2407">
        <v>20.3</v>
      </c>
      <c r="M2407">
        <v>32.799999999999997</v>
      </c>
      <c r="N2407">
        <v>27</v>
      </c>
      <c r="O2407">
        <v>35.799999999999997</v>
      </c>
      <c r="P2407">
        <v>35.700000000000003</v>
      </c>
      <c r="Q2407">
        <v>50.9</v>
      </c>
      <c r="R2407">
        <v>45.3</v>
      </c>
      <c r="S2407">
        <v>33.200000000000003</v>
      </c>
      <c r="T2407">
        <v>33.5</v>
      </c>
      <c r="U2407">
        <v>70</v>
      </c>
      <c r="V2407">
        <v>7.6</v>
      </c>
      <c r="W2407" cm="1">
        <f t="array" ref="W2407">_xlfn.IFS(OR(X2407="N/A",X2407="NA"),0,OR(X2407="R64",X2407="R68"),1,X2407="R32",2,X2407="S16",3,X2407="E8",4,X2407="F4",5,X2407="2ND",6,X2407="Champions",7)</f>
        <v>3</v>
      </c>
      <c r="X2407" t="s">
        <v>424</v>
      </c>
      <c r="Y2407">
        <v>4</v>
      </c>
      <c r="Z2407">
        <v>2019</v>
      </c>
    </row>
    <row r="2408" spans="1:26" x14ac:dyDescent="0.3">
      <c r="A2408" t="s">
        <v>27</v>
      </c>
      <c r="B2408" t="s">
        <v>26</v>
      </c>
      <c r="C2408">
        <v>36</v>
      </c>
      <c r="D2408">
        <v>29</v>
      </c>
      <c r="E2408" s="1">
        <f t="shared" si="37"/>
        <v>0.80555555555555558</v>
      </c>
      <c r="F2408">
        <v>120.1</v>
      </c>
      <c r="G2408">
        <v>91.4</v>
      </c>
      <c r="H2408">
        <v>0.95820000000000005</v>
      </c>
      <c r="I2408">
        <v>52.9</v>
      </c>
      <c r="J2408">
        <v>48.9</v>
      </c>
      <c r="K2408">
        <v>17.2</v>
      </c>
      <c r="L2408">
        <v>18.3</v>
      </c>
      <c r="M2408">
        <v>35.299999999999997</v>
      </c>
      <c r="N2408">
        <v>22.8</v>
      </c>
      <c r="O2408">
        <v>30.2</v>
      </c>
      <c r="P2408">
        <v>28.4</v>
      </c>
      <c r="Q2408">
        <v>52.1</v>
      </c>
      <c r="R2408">
        <v>47.9</v>
      </c>
      <c r="S2408">
        <v>36.200000000000003</v>
      </c>
      <c r="T2408">
        <v>33.5</v>
      </c>
      <c r="U2408">
        <v>76</v>
      </c>
      <c r="V2408">
        <v>10</v>
      </c>
      <c r="W2408" cm="1">
        <f t="array" ref="W2408">_xlfn.IFS(OR(X2408="N/A",X2408="NA"),0,OR(X2408="R64",X2408="R68"),1,X2408="R32",2,X2408="S16",3,X2408="E8",4,X2408="F4",5,X2408="2ND",6,X2408="Champions",7)</f>
        <v>3</v>
      </c>
      <c r="X2408" t="s">
        <v>424</v>
      </c>
      <c r="Y2408">
        <v>1</v>
      </c>
      <c r="Z2408">
        <v>2019</v>
      </c>
    </row>
    <row r="2409" spans="1:26" x14ac:dyDescent="0.3">
      <c r="A2409" t="s">
        <v>108</v>
      </c>
      <c r="B2409" t="s">
        <v>26</v>
      </c>
      <c r="C2409">
        <v>35</v>
      </c>
      <c r="D2409">
        <v>26</v>
      </c>
      <c r="E2409" s="1">
        <f t="shared" si="37"/>
        <v>0.74285714285714288</v>
      </c>
      <c r="F2409">
        <v>117.8</v>
      </c>
      <c r="G2409">
        <v>93.4</v>
      </c>
      <c r="H2409">
        <v>0.93569999999999998</v>
      </c>
      <c r="I2409">
        <v>55.6</v>
      </c>
      <c r="J2409">
        <v>49</v>
      </c>
      <c r="K2409">
        <v>17.3</v>
      </c>
      <c r="L2409">
        <v>21.6</v>
      </c>
      <c r="M2409">
        <v>29.6</v>
      </c>
      <c r="N2409">
        <v>27.2</v>
      </c>
      <c r="O2409">
        <v>31.9</v>
      </c>
      <c r="P2409">
        <v>26.3</v>
      </c>
      <c r="Q2409">
        <v>52.9</v>
      </c>
      <c r="R2409">
        <v>49</v>
      </c>
      <c r="S2409">
        <v>39.4</v>
      </c>
      <c r="T2409">
        <v>32.700000000000003</v>
      </c>
      <c r="U2409">
        <v>65.099999999999994</v>
      </c>
      <c r="V2409">
        <v>5</v>
      </c>
      <c r="W2409" cm="1">
        <f t="array" ref="W2409">_xlfn.IFS(OR(X2409="N/A",X2409="NA"),0,OR(X2409="R64",X2409="R68"),1,X2409="R32",2,X2409="S16",3,X2409="E8",4,X2409="F4",5,X2409="2ND",6,X2409="Champions",7)</f>
        <v>3</v>
      </c>
      <c r="X2409" t="s">
        <v>424</v>
      </c>
      <c r="Y2409">
        <v>4</v>
      </c>
      <c r="Z2409">
        <v>2019</v>
      </c>
    </row>
    <row r="2410" spans="1:26" x14ac:dyDescent="0.3">
      <c r="A2410" t="s">
        <v>122</v>
      </c>
      <c r="B2410" t="s">
        <v>50</v>
      </c>
      <c r="C2410">
        <v>37</v>
      </c>
      <c r="D2410">
        <v>33</v>
      </c>
      <c r="E2410" s="1">
        <f t="shared" si="37"/>
        <v>0.89189189189189189</v>
      </c>
      <c r="F2410">
        <v>115.7</v>
      </c>
      <c r="G2410">
        <v>90.5</v>
      </c>
      <c r="H2410">
        <v>0.94389999999999996</v>
      </c>
      <c r="I2410">
        <v>52.1</v>
      </c>
      <c r="J2410">
        <v>42.5</v>
      </c>
      <c r="K2410">
        <v>16.5</v>
      </c>
      <c r="L2410">
        <v>18.2</v>
      </c>
      <c r="M2410">
        <v>34.4</v>
      </c>
      <c r="N2410">
        <v>26</v>
      </c>
      <c r="O2410">
        <v>31.6</v>
      </c>
      <c r="P2410">
        <v>37.299999999999997</v>
      </c>
      <c r="Q2410">
        <v>51.3</v>
      </c>
      <c r="R2410">
        <v>43</v>
      </c>
      <c r="S2410">
        <v>35.5</v>
      </c>
      <c r="T2410">
        <v>27.9</v>
      </c>
      <c r="U2410">
        <v>67.3</v>
      </c>
      <c r="V2410">
        <v>7.8</v>
      </c>
      <c r="W2410" cm="1">
        <f t="array" ref="W2410">_xlfn.IFS(OR(X2410="N/A",X2410="NA"),0,OR(X2410="R64",X2410="R68"),1,X2410="R32",2,X2410="S16",3,X2410="E8",4,X2410="F4",5,X2410="2ND",6,X2410="Champions",7)</f>
        <v>3</v>
      </c>
      <c r="X2410" t="s">
        <v>424</v>
      </c>
      <c r="Y2410">
        <v>3</v>
      </c>
      <c r="Z2410">
        <v>2019</v>
      </c>
    </row>
    <row r="2411" spans="1:26" x14ac:dyDescent="0.3">
      <c r="A2411" t="s">
        <v>147</v>
      </c>
      <c r="B2411" t="s">
        <v>31</v>
      </c>
      <c r="C2411">
        <v>35</v>
      </c>
      <c r="D2411">
        <v>27</v>
      </c>
      <c r="E2411" s="1">
        <f t="shared" si="37"/>
        <v>0.77142857142857146</v>
      </c>
      <c r="F2411">
        <v>121.3</v>
      </c>
      <c r="G2411">
        <v>98.4</v>
      </c>
      <c r="H2411">
        <v>0.91679999999999995</v>
      </c>
      <c r="I2411">
        <v>58.7</v>
      </c>
      <c r="J2411">
        <v>49.8</v>
      </c>
      <c r="K2411">
        <v>19.600000000000001</v>
      </c>
      <c r="L2411">
        <v>18.899999999999999</v>
      </c>
      <c r="M2411">
        <v>37.200000000000003</v>
      </c>
      <c r="N2411">
        <v>29.2</v>
      </c>
      <c r="O2411">
        <v>33.9</v>
      </c>
      <c r="P2411">
        <v>30.2</v>
      </c>
      <c r="Q2411">
        <v>56.1</v>
      </c>
      <c r="R2411">
        <v>49</v>
      </c>
      <c r="S2411">
        <v>41.6</v>
      </c>
      <c r="T2411">
        <v>34.299999999999997</v>
      </c>
      <c r="U2411">
        <v>69.5</v>
      </c>
      <c r="V2411">
        <v>3.2</v>
      </c>
      <c r="W2411" cm="1">
        <f t="array" ref="W2411">_xlfn.IFS(OR(X2411="N/A",X2411="NA"),0,OR(X2411="R64",X2411="R68"),1,X2411="R32",2,X2411="S16",3,X2411="E8",4,X2411="F4",5,X2411="2ND",6,X2411="Champions",7)</f>
        <v>3</v>
      </c>
      <c r="X2411" t="s">
        <v>424</v>
      </c>
      <c r="Y2411">
        <v>5</v>
      </c>
      <c r="Z2411">
        <v>2016</v>
      </c>
    </row>
    <row r="2412" spans="1:26" x14ac:dyDescent="0.3">
      <c r="A2412" t="s">
        <v>149</v>
      </c>
      <c r="B2412" t="s">
        <v>31</v>
      </c>
      <c r="C2412">
        <v>35</v>
      </c>
      <c r="D2412">
        <v>26</v>
      </c>
      <c r="E2412" s="1">
        <f t="shared" si="37"/>
        <v>0.74285714285714288</v>
      </c>
      <c r="F2412">
        <v>114.9</v>
      </c>
      <c r="G2412">
        <v>96.3</v>
      </c>
      <c r="H2412">
        <v>0.88390000000000002</v>
      </c>
      <c r="I2412">
        <v>55.2</v>
      </c>
      <c r="J2412">
        <v>46.5</v>
      </c>
      <c r="K2412">
        <v>18.899999999999999</v>
      </c>
      <c r="L2412">
        <v>16.399999999999999</v>
      </c>
      <c r="M2412">
        <v>29.1</v>
      </c>
      <c r="N2412">
        <v>29.9</v>
      </c>
      <c r="O2412">
        <v>37</v>
      </c>
      <c r="P2412">
        <v>27</v>
      </c>
      <c r="Q2412">
        <v>55.8</v>
      </c>
      <c r="R2412">
        <v>45.5</v>
      </c>
      <c r="S2412">
        <v>36.200000000000003</v>
      </c>
      <c r="T2412">
        <v>32.1</v>
      </c>
      <c r="U2412">
        <v>67.900000000000006</v>
      </c>
      <c r="V2412">
        <v>4</v>
      </c>
      <c r="W2412" cm="1">
        <f t="array" ref="W2412">_xlfn.IFS(OR(X2412="N/A",X2412="NA"),0,OR(X2412="R64",X2412="R68"),1,X2412="R32",2,X2412="S16",3,X2412="E8",4,X2412="F4",5,X2412="2ND",6,X2412="Champions",7)</f>
        <v>3</v>
      </c>
      <c r="X2412" t="s">
        <v>424</v>
      </c>
      <c r="Y2412">
        <v>5</v>
      </c>
      <c r="Z2412">
        <v>2016</v>
      </c>
    </row>
    <row r="2413" spans="1:26" x14ac:dyDescent="0.3">
      <c r="A2413" t="s">
        <v>30</v>
      </c>
      <c r="B2413" t="s">
        <v>31</v>
      </c>
      <c r="C2413">
        <v>35</v>
      </c>
      <c r="D2413">
        <v>22</v>
      </c>
      <c r="E2413" s="1">
        <f t="shared" si="37"/>
        <v>0.62857142857142856</v>
      </c>
      <c r="F2413">
        <v>108.8</v>
      </c>
      <c r="G2413">
        <v>93.5</v>
      </c>
      <c r="H2413">
        <v>0.85089999999999999</v>
      </c>
      <c r="I2413">
        <v>48.5</v>
      </c>
      <c r="J2413">
        <v>48.1</v>
      </c>
      <c r="K2413">
        <v>17.100000000000001</v>
      </c>
      <c r="L2413">
        <v>18.600000000000001</v>
      </c>
      <c r="M2413">
        <v>33.1</v>
      </c>
      <c r="N2413">
        <v>27.7</v>
      </c>
      <c r="O2413">
        <v>38</v>
      </c>
      <c r="P2413">
        <v>33.6</v>
      </c>
      <c r="Q2413">
        <v>46.6</v>
      </c>
      <c r="R2413">
        <v>44.8</v>
      </c>
      <c r="S2413">
        <v>34.9</v>
      </c>
      <c r="T2413">
        <v>37.4</v>
      </c>
      <c r="U2413">
        <v>64.099999999999994</v>
      </c>
      <c r="V2413">
        <v>0.4</v>
      </c>
      <c r="W2413" cm="1">
        <f t="array" ref="W2413">_xlfn.IFS(OR(X2413="N/A",X2413="NA"),0,OR(X2413="R64",X2413="R68"),1,X2413="R32",2,X2413="S16",3,X2413="E8",4,X2413="F4",5,X2413="2ND",6,X2413="Champions",7)</f>
        <v>3</v>
      </c>
      <c r="X2413" t="s">
        <v>424</v>
      </c>
      <c r="Y2413">
        <v>7</v>
      </c>
      <c r="Z2413">
        <v>2016</v>
      </c>
    </row>
    <row r="2414" spans="1:26" x14ac:dyDescent="0.3">
      <c r="A2414" t="s">
        <v>32</v>
      </c>
      <c r="B2414" t="s">
        <v>31</v>
      </c>
      <c r="C2414">
        <v>38</v>
      </c>
      <c r="D2414">
        <v>26</v>
      </c>
      <c r="E2414" s="1">
        <f t="shared" si="37"/>
        <v>0.68421052631578949</v>
      </c>
      <c r="F2414">
        <v>123.3</v>
      </c>
      <c r="G2414">
        <v>97.6</v>
      </c>
      <c r="H2414">
        <v>0.93659999999999999</v>
      </c>
      <c r="I2414">
        <v>57</v>
      </c>
      <c r="J2414">
        <v>51.9</v>
      </c>
      <c r="K2414">
        <v>14.2</v>
      </c>
      <c r="L2414">
        <v>19.5</v>
      </c>
      <c r="M2414">
        <v>24.7</v>
      </c>
      <c r="N2414">
        <v>30</v>
      </c>
      <c r="O2414">
        <v>30.1</v>
      </c>
      <c r="P2414">
        <v>27.2</v>
      </c>
      <c r="Q2414">
        <v>56.3</v>
      </c>
      <c r="R2414">
        <v>50</v>
      </c>
      <c r="S2414">
        <v>38.5</v>
      </c>
      <c r="T2414">
        <v>37.799999999999997</v>
      </c>
      <c r="U2414">
        <v>64</v>
      </c>
      <c r="V2414">
        <v>3.8</v>
      </c>
      <c r="W2414" cm="1">
        <f t="array" ref="W2414">_xlfn.IFS(OR(X2414="N/A",X2414="NA"),0,OR(X2414="R64",X2414="R68"),1,X2414="R32",2,X2414="S16",3,X2414="E8",4,X2414="F4",5,X2414="2ND",6,X2414="Champions",7)</f>
        <v>3</v>
      </c>
      <c r="X2414" t="s">
        <v>424</v>
      </c>
      <c r="Y2414">
        <v>7</v>
      </c>
      <c r="Z2414">
        <v>2017</v>
      </c>
    </row>
    <row r="2415" spans="1:26" x14ac:dyDescent="0.3">
      <c r="A2415" t="s">
        <v>63</v>
      </c>
      <c r="B2415" t="s">
        <v>31</v>
      </c>
      <c r="C2415">
        <v>35</v>
      </c>
      <c r="D2415">
        <v>27</v>
      </c>
      <c r="E2415" s="1">
        <f t="shared" si="37"/>
        <v>0.77142857142857146</v>
      </c>
      <c r="F2415">
        <v>116.6</v>
      </c>
      <c r="G2415">
        <v>93.1</v>
      </c>
      <c r="H2415">
        <v>0.92969999999999997</v>
      </c>
      <c r="I2415">
        <v>55.7</v>
      </c>
      <c r="J2415">
        <v>47.7</v>
      </c>
      <c r="K2415">
        <v>18.3</v>
      </c>
      <c r="L2415">
        <v>16.600000000000001</v>
      </c>
      <c r="M2415">
        <v>30.8</v>
      </c>
      <c r="N2415">
        <v>24.4</v>
      </c>
      <c r="O2415">
        <v>33.299999999999997</v>
      </c>
      <c r="P2415">
        <v>22.9</v>
      </c>
      <c r="Q2415">
        <v>52.7</v>
      </c>
      <c r="R2415">
        <v>46.6</v>
      </c>
      <c r="S2415">
        <v>40.299999999999997</v>
      </c>
      <c r="T2415">
        <v>33.200000000000003</v>
      </c>
      <c r="U2415">
        <v>70.400000000000006</v>
      </c>
      <c r="V2415">
        <v>5.6</v>
      </c>
      <c r="W2415" cm="1">
        <f t="array" ref="W2415">_xlfn.IFS(OR(X2415="N/A",X2415="NA"),0,OR(X2415="R64",X2415="R68"),1,X2415="R32",2,X2415="S16",3,X2415="E8",4,X2415="F4",5,X2415="2ND",6,X2415="Champions",7)</f>
        <v>3</v>
      </c>
      <c r="X2415" t="s">
        <v>424</v>
      </c>
      <c r="Y2415">
        <v>4</v>
      </c>
      <c r="Z2415">
        <v>2017</v>
      </c>
    </row>
    <row r="2416" spans="1:26" x14ac:dyDescent="0.3">
      <c r="A2416" t="s">
        <v>30</v>
      </c>
      <c r="B2416" t="s">
        <v>31</v>
      </c>
      <c r="C2416">
        <v>37</v>
      </c>
      <c r="D2416">
        <v>27</v>
      </c>
      <c r="E2416" s="1">
        <f t="shared" si="37"/>
        <v>0.72972972972972971</v>
      </c>
      <c r="F2416">
        <v>114.5</v>
      </c>
      <c r="G2416">
        <v>92</v>
      </c>
      <c r="H2416">
        <v>0.92549999999999999</v>
      </c>
      <c r="I2416">
        <v>52.1</v>
      </c>
      <c r="J2416">
        <v>47.5</v>
      </c>
      <c r="K2416">
        <v>17</v>
      </c>
      <c r="L2416">
        <v>19.5</v>
      </c>
      <c r="M2416">
        <v>35.9</v>
      </c>
      <c r="N2416">
        <v>25.9</v>
      </c>
      <c r="O2416">
        <v>32.9</v>
      </c>
      <c r="P2416">
        <v>28</v>
      </c>
      <c r="Q2416">
        <v>51.1</v>
      </c>
      <c r="R2416">
        <v>43.1</v>
      </c>
      <c r="S2416">
        <v>35.9</v>
      </c>
      <c r="T2416">
        <v>37.6</v>
      </c>
      <c r="U2416">
        <v>64.400000000000006</v>
      </c>
      <c r="V2416">
        <v>5.0999999999999996</v>
      </c>
      <c r="W2416" cm="1">
        <f t="array" ref="W2416">_xlfn.IFS(OR(X2416="N/A",X2416="NA"),0,OR(X2416="R64",X2416="R68"),1,X2416="R32",2,X2416="S16",3,X2416="E8",4,X2416="F4",5,X2416="2ND",6,X2416="Champions",7)</f>
        <v>3</v>
      </c>
      <c r="X2416" t="s">
        <v>424</v>
      </c>
      <c r="Y2416">
        <v>8</v>
      </c>
      <c r="Z2416">
        <v>2017</v>
      </c>
    </row>
    <row r="2417" spans="1:26" x14ac:dyDescent="0.3">
      <c r="A2417" t="s">
        <v>63</v>
      </c>
      <c r="B2417" t="s">
        <v>31</v>
      </c>
      <c r="C2417">
        <v>37</v>
      </c>
      <c r="D2417">
        <v>30</v>
      </c>
      <c r="E2417" s="1">
        <f t="shared" si="37"/>
        <v>0.81081081081081086</v>
      </c>
      <c r="F2417">
        <v>123.2</v>
      </c>
      <c r="G2417">
        <v>95.7</v>
      </c>
      <c r="H2417">
        <v>0.94840000000000002</v>
      </c>
      <c r="I2417">
        <v>57.7</v>
      </c>
      <c r="J2417">
        <v>47</v>
      </c>
      <c r="K2417">
        <v>15.8</v>
      </c>
      <c r="L2417">
        <v>17.7</v>
      </c>
      <c r="M2417">
        <v>28</v>
      </c>
      <c r="N2417">
        <v>28</v>
      </c>
      <c r="O2417">
        <v>35.6</v>
      </c>
      <c r="P2417">
        <v>24.2</v>
      </c>
      <c r="Q2417">
        <v>54.1</v>
      </c>
      <c r="R2417">
        <v>45.5</v>
      </c>
      <c r="S2417">
        <v>42</v>
      </c>
      <c r="T2417">
        <v>33.200000000000003</v>
      </c>
      <c r="U2417">
        <v>68.7</v>
      </c>
      <c r="V2417">
        <v>7.6</v>
      </c>
      <c r="W2417" cm="1">
        <f t="array" ref="W2417">_xlfn.IFS(OR(X2417="N/A",X2417="NA"),0,OR(X2417="R64",X2417="R68"),1,X2417="R32",2,X2417="S16",3,X2417="E8",4,X2417="F4",5,X2417="2ND",6,X2417="Champions",7)</f>
        <v>3</v>
      </c>
      <c r="X2417" t="s">
        <v>424</v>
      </c>
      <c r="Y2417">
        <v>2</v>
      </c>
      <c r="Z2417">
        <v>2018</v>
      </c>
    </row>
    <row r="2418" spans="1:26" x14ac:dyDescent="0.3">
      <c r="A2418" t="s">
        <v>32</v>
      </c>
      <c r="B2418" t="s">
        <v>31</v>
      </c>
      <c r="C2418">
        <v>37</v>
      </c>
      <c r="D2418">
        <v>30</v>
      </c>
      <c r="E2418" s="1">
        <f t="shared" si="37"/>
        <v>0.81081081081081086</v>
      </c>
      <c r="F2418">
        <v>114.6</v>
      </c>
      <c r="G2418">
        <v>85.6</v>
      </c>
      <c r="H2418">
        <v>0.96650000000000003</v>
      </c>
      <c r="I2418">
        <v>51.6</v>
      </c>
      <c r="J2418">
        <v>44.1</v>
      </c>
      <c r="K2418">
        <v>13.9</v>
      </c>
      <c r="L2418">
        <v>18</v>
      </c>
      <c r="M2418">
        <v>24.7</v>
      </c>
      <c r="N2418">
        <v>24.8</v>
      </c>
      <c r="O2418">
        <v>27.5</v>
      </c>
      <c r="P2418">
        <v>24.1</v>
      </c>
      <c r="Q2418">
        <v>51.8</v>
      </c>
      <c r="R2418">
        <v>44.3</v>
      </c>
      <c r="S2418">
        <v>34.200000000000003</v>
      </c>
      <c r="T2418">
        <v>29.1</v>
      </c>
      <c r="U2418">
        <v>65.900000000000006</v>
      </c>
      <c r="V2418">
        <v>9.1999999999999993</v>
      </c>
      <c r="W2418" cm="1">
        <f t="array" ref="W2418">_xlfn.IFS(OR(X2418="N/A",X2418="NA"),0,OR(X2418="R64",X2418="R68"),1,X2418="R32",2,X2418="S16",3,X2418="E8",4,X2418="F4",5,X2418="2ND",6,X2418="Champions",7)</f>
        <v>3</v>
      </c>
      <c r="X2418" t="s">
        <v>424</v>
      </c>
      <c r="Y2418">
        <v>2</v>
      </c>
      <c r="Z2418">
        <v>2019</v>
      </c>
    </row>
    <row r="2419" spans="1:26" x14ac:dyDescent="0.3">
      <c r="A2419" t="s">
        <v>84</v>
      </c>
      <c r="B2419" t="s">
        <v>35</v>
      </c>
      <c r="C2419">
        <v>35</v>
      </c>
      <c r="D2419">
        <v>24</v>
      </c>
      <c r="E2419" s="1">
        <f t="shared" si="37"/>
        <v>0.68571428571428572</v>
      </c>
      <c r="F2419">
        <v>111.6</v>
      </c>
      <c r="G2419">
        <v>88.5</v>
      </c>
      <c r="H2419">
        <v>0.93489999999999995</v>
      </c>
      <c r="I2419">
        <v>49.3</v>
      </c>
      <c r="J2419">
        <v>44.1</v>
      </c>
      <c r="K2419">
        <v>17.600000000000001</v>
      </c>
      <c r="L2419">
        <v>19.7</v>
      </c>
      <c r="M2419">
        <v>31.5</v>
      </c>
      <c r="N2419">
        <v>31.4</v>
      </c>
      <c r="O2419">
        <v>32.799999999999997</v>
      </c>
      <c r="P2419">
        <v>28.4</v>
      </c>
      <c r="Q2419">
        <v>48.2</v>
      </c>
      <c r="R2419">
        <v>42.2</v>
      </c>
      <c r="S2419">
        <v>34.299999999999997</v>
      </c>
      <c r="T2419">
        <v>31.7</v>
      </c>
      <c r="U2419">
        <v>67.5</v>
      </c>
      <c r="V2419">
        <v>4.5</v>
      </c>
      <c r="W2419" cm="1">
        <f t="array" ref="W2419">_xlfn.IFS(OR(X2419="N/A",X2419="NA"),0,OR(X2419="R64",X2419="R68"),1,X2419="R32",2,X2419="S16",3,X2419="E8",4,X2419="F4",5,X2419="2ND",6,X2419="Champions",7)</f>
        <v>3</v>
      </c>
      <c r="X2419" t="s">
        <v>424</v>
      </c>
      <c r="Y2419">
        <v>3</v>
      </c>
      <c r="Z2419">
        <v>2015</v>
      </c>
    </row>
    <row r="2420" spans="1:26" x14ac:dyDescent="0.3">
      <c r="A2420" t="s">
        <v>155</v>
      </c>
      <c r="B2420" t="s">
        <v>35</v>
      </c>
      <c r="C2420">
        <v>35</v>
      </c>
      <c r="D2420">
        <v>25</v>
      </c>
      <c r="E2420" s="1">
        <f t="shared" si="37"/>
        <v>0.7142857142857143</v>
      </c>
      <c r="F2420">
        <v>110.3</v>
      </c>
      <c r="G2420">
        <v>93.3</v>
      </c>
      <c r="H2420">
        <v>0.87329999999999997</v>
      </c>
      <c r="I2420">
        <v>46.1</v>
      </c>
      <c r="J2420">
        <v>52.7</v>
      </c>
      <c r="K2420">
        <v>18.7</v>
      </c>
      <c r="L2420">
        <v>28</v>
      </c>
      <c r="M2420">
        <v>40.1</v>
      </c>
      <c r="N2420">
        <v>31.1</v>
      </c>
      <c r="O2420">
        <v>40.4</v>
      </c>
      <c r="P2420">
        <v>55.5</v>
      </c>
      <c r="Q2420">
        <v>45.5</v>
      </c>
      <c r="R2420">
        <v>51.8</v>
      </c>
      <c r="S2420">
        <v>31.6</v>
      </c>
      <c r="T2420">
        <v>36.5</v>
      </c>
      <c r="U2420">
        <v>68.599999999999994</v>
      </c>
      <c r="V2420">
        <v>4.0999999999999996</v>
      </c>
      <c r="W2420" cm="1">
        <f t="array" ref="W2420">_xlfn.IFS(OR(X2420="N/A",X2420="NA"),0,OR(X2420="R64",X2420="R68"),1,X2420="R32",2,X2420="S16",3,X2420="E8",4,X2420="F4",5,X2420="2ND",6,X2420="Champions",7)</f>
        <v>3</v>
      </c>
      <c r="X2420" t="s">
        <v>424</v>
      </c>
      <c r="Y2420">
        <v>5</v>
      </c>
      <c r="Z2420">
        <v>2015</v>
      </c>
    </row>
    <row r="2421" spans="1:26" x14ac:dyDescent="0.3">
      <c r="A2421" t="s">
        <v>154</v>
      </c>
      <c r="B2421" t="s">
        <v>35</v>
      </c>
      <c r="C2421">
        <v>35</v>
      </c>
      <c r="D2421">
        <v>23</v>
      </c>
      <c r="E2421" s="1">
        <f t="shared" si="37"/>
        <v>0.65714285714285714</v>
      </c>
      <c r="F2421">
        <v>121.4</v>
      </c>
      <c r="G2421">
        <v>98.6</v>
      </c>
      <c r="H2421">
        <v>0.91620000000000001</v>
      </c>
      <c r="I2421">
        <v>57.1</v>
      </c>
      <c r="J2421">
        <v>49.8</v>
      </c>
      <c r="K2421">
        <v>15.7</v>
      </c>
      <c r="L2421">
        <v>16.8</v>
      </c>
      <c r="M2421">
        <v>26.2</v>
      </c>
      <c r="N2421">
        <v>30.1</v>
      </c>
      <c r="O2421">
        <v>26.1</v>
      </c>
      <c r="P2421">
        <v>24.9</v>
      </c>
      <c r="Q2421">
        <v>56.7</v>
      </c>
      <c r="R2421">
        <v>49.5</v>
      </c>
      <c r="S2421">
        <v>38.700000000000003</v>
      </c>
      <c r="T2421">
        <v>33.5</v>
      </c>
      <c r="U2421">
        <v>72.3</v>
      </c>
      <c r="V2421">
        <v>3.6</v>
      </c>
      <c r="W2421" cm="1">
        <f t="array" ref="W2421">_xlfn.IFS(OR(X2421="N/A",X2421="NA"),0,OR(X2421="R64",X2421="R68"),1,X2421="R32",2,X2421="S16",3,X2421="E8",4,X2421="F4",5,X2421="2ND",6,X2421="Champions",7)</f>
        <v>3</v>
      </c>
      <c r="X2421" t="s">
        <v>424</v>
      </c>
      <c r="Y2421">
        <v>3</v>
      </c>
      <c r="Z2421">
        <v>2016</v>
      </c>
    </row>
    <row r="2422" spans="1:26" x14ac:dyDescent="0.3">
      <c r="A2422" t="s">
        <v>153</v>
      </c>
      <c r="B2422" t="s">
        <v>35</v>
      </c>
      <c r="C2422">
        <v>34</v>
      </c>
      <c r="D2422">
        <v>27</v>
      </c>
      <c r="E2422" s="1">
        <f t="shared" si="37"/>
        <v>0.79411764705882348</v>
      </c>
      <c r="F2422">
        <v>116.4</v>
      </c>
      <c r="G2422">
        <v>93.9</v>
      </c>
      <c r="H2422">
        <v>0.92259999999999998</v>
      </c>
      <c r="I2422">
        <v>52.5</v>
      </c>
      <c r="J2422">
        <v>46.1</v>
      </c>
      <c r="K2422">
        <v>20.6</v>
      </c>
      <c r="L2422">
        <v>17.100000000000001</v>
      </c>
      <c r="M2422">
        <v>39.799999999999997</v>
      </c>
      <c r="N2422">
        <v>29.4</v>
      </c>
      <c r="O2422">
        <v>33.9</v>
      </c>
      <c r="P2422">
        <v>30.1</v>
      </c>
      <c r="Q2422">
        <v>52.2</v>
      </c>
      <c r="R2422">
        <v>45</v>
      </c>
      <c r="S2422">
        <v>35.299999999999997</v>
      </c>
      <c r="T2422">
        <v>32.200000000000003</v>
      </c>
      <c r="U2422">
        <v>65.099999999999994</v>
      </c>
      <c r="V2422">
        <v>7.9</v>
      </c>
      <c r="W2422" cm="1">
        <f t="array" ref="W2422">_xlfn.IFS(OR(X2422="N/A",X2422="NA"),0,OR(X2422="R64",X2422="R68"),1,X2422="R32",2,X2422="S16",3,X2422="E8",4,X2422="F4",5,X2422="2ND",6,X2422="Champions",7)</f>
        <v>3</v>
      </c>
      <c r="X2422" t="s">
        <v>424</v>
      </c>
      <c r="Y2422">
        <v>3</v>
      </c>
      <c r="Z2422">
        <v>2017</v>
      </c>
    </row>
    <row r="2423" spans="1:26" x14ac:dyDescent="0.3">
      <c r="A2423" t="s">
        <v>155</v>
      </c>
      <c r="B2423" t="s">
        <v>35</v>
      </c>
      <c r="C2423">
        <v>37</v>
      </c>
      <c r="D2423">
        <v>28</v>
      </c>
      <c r="E2423" s="1">
        <f t="shared" si="37"/>
        <v>0.7567567567567568</v>
      </c>
      <c r="F2423">
        <v>115.4</v>
      </c>
      <c r="G2423">
        <v>89.3</v>
      </c>
      <c r="H2423">
        <v>0.94979999999999998</v>
      </c>
      <c r="I2423">
        <v>51.3</v>
      </c>
      <c r="J2423">
        <v>48.8</v>
      </c>
      <c r="K2423">
        <v>17</v>
      </c>
      <c r="L2423">
        <v>27.6</v>
      </c>
      <c r="M2423">
        <v>37.9</v>
      </c>
      <c r="N2423">
        <v>31.9</v>
      </c>
      <c r="O2423">
        <v>38.9</v>
      </c>
      <c r="P2423">
        <v>42.5</v>
      </c>
      <c r="Q2423">
        <v>49.8</v>
      </c>
      <c r="R2423">
        <v>46.5</v>
      </c>
      <c r="S2423">
        <v>36.200000000000003</v>
      </c>
      <c r="T2423">
        <v>35.299999999999997</v>
      </c>
      <c r="U2423">
        <v>72.2</v>
      </c>
      <c r="V2423">
        <v>6.4</v>
      </c>
      <c r="W2423" cm="1">
        <f t="array" ref="W2423">_xlfn.IFS(OR(X2423="N/A",X2423="NA"),0,OR(X2423="R64",X2423="R68"),1,X2423="R32",2,X2423="S16",3,X2423="E8",4,X2423="F4",5,X2423="2ND",6,X2423="Champions",7)</f>
        <v>3</v>
      </c>
      <c r="X2423" t="s">
        <v>424</v>
      </c>
      <c r="Y2423">
        <v>4</v>
      </c>
      <c r="Z2423">
        <v>2017</v>
      </c>
    </row>
    <row r="2424" spans="1:26" x14ac:dyDescent="0.3">
      <c r="A2424" t="s">
        <v>155</v>
      </c>
      <c r="B2424" t="s">
        <v>35</v>
      </c>
      <c r="C2424">
        <v>37</v>
      </c>
      <c r="D2424">
        <v>26</v>
      </c>
      <c r="E2424" s="1">
        <f t="shared" si="37"/>
        <v>0.70270270270270274</v>
      </c>
      <c r="F2424">
        <v>120.9</v>
      </c>
      <c r="G2424">
        <v>95.8</v>
      </c>
      <c r="H2424">
        <v>0.93530000000000002</v>
      </c>
      <c r="I2424">
        <v>50.4</v>
      </c>
      <c r="J2424">
        <v>49.9</v>
      </c>
      <c r="K2424">
        <v>16.5</v>
      </c>
      <c r="L2424">
        <v>23.3</v>
      </c>
      <c r="M2424">
        <v>37</v>
      </c>
      <c r="N2424">
        <v>30.1</v>
      </c>
      <c r="O2424">
        <v>31.3</v>
      </c>
      <c r="P2424">
        <v>44.1</v>
      </c>
      <c r="Q2424">
        <v>48.8</v>
      </c>
      <c r="R2424">
        <v>45.4</v>
      </c>
      <c r="S2424">
        <v>35.299999999999997</v>
      </c>
      <c r="T2424">
        <v>38</v>
      </c>
      <c r="U2424">
        <v>71.2</v>
      </c>
      <c r="V2424">
        <v>4.5999999999999996</v>
      </c>
      <c r="W2424" cm="1">
        <f t="array" ref="W2424">_xlfn.IFS(OR(X2424="N/A",X2424="NA"),0,OR(X2424="R64",X2424="R68"),1,X2424="R32",2,X2424="S16",3,X2424="E8",4,X2424="F4",5,X2424="2ND",6,X2424="Champions",7)</f>
        <v>3</v>
      </c>
      <c r="X2424" t="s">
        <v>424</v>
      </c>
      <c r="Y2424">
        <v>5</v>
      </c>
      <c r="Z2424">
        <v>2018</v>
      </c>
    </row>
    <row r="2425" spans="1:26" x14ac:dyDescent="0.3">
      <c r="A2425" t="s">
        <v>70</v>
      </c>
      <c r="B2425" t="s">
        <v>33</v>
      </c>
      <c r="C2425">
        <v>37</v>
      </c>
      <c r="D2425">
        <v>23</v>
      </c>
      <c r="E2425" s="1">
        <f t="shared" si="37"/>
        <v>0.6216216216216216</v>
      </c>
      <c r="F2425">
        <v>115.7</v>
      </c>
      <c r="G2425">
        <v>95.1</v>
      </c>
      <c r="H2425">
        <v>0.90490000000000004</v>
      </c>
      <c r="I2425">
        <v>53.3</v>
      </c>
      <c r="J2425">
        <v>50</v>
      </c>
      <c r="K2425">
        <v>18.100000000000001</v>
      </c>
      <c r="L2425">
        <v>18.8</v>
      </c>
      <c r="M2425">
        <v>31.3</v>
      </c>
      <c r="N2425">
        <v>27.3</v>
      </c>
      <c r="O2425">
        <v>38.5</v>
      </c>
      <c r="P2425">
        <v>33.299999999999997</v>
      </c>
      <c r="Q2425">
        <v>53.7</v>
      </c>
      <c r="R2425">
        <v>48.9</v>
      </c>
      <c r="S2425">
        <v>35.1</v>
      </c>
      <c r="T2425">
        <v>34.6</v>
      </c>
      <c r="U2425">
        <v>65.5</v>
      </c>
      <c r="V2425">
        <v>1.3</v>
      </c>
      <c r="W2425" cm="1">
        <f t="array" ref="W2425">_xlfn.IFS(OR(X2425="N/A",X2425="NA"),0,OR(X2425="R64",X2425="R68"),1,X2425="R32",2,X2425="S16",3,X2425="E8",4,X2425="F4",5,X2425="2ND",6,X2425="Champions",7)</f>
        <v>3</v>
      </c>
      <c r="X2425" t="s">
        <v>424</v>
      </c>
      <c r="Y2425">
        <v>6</v>
      </c>
      <c r="Z2425">
        <v>2015</v>
      </c>
    </row>
    <row r="2426" spans="1:26" x14ac:dyDescent="0.3">
      <c r="A2426" t="s">
        <v>161</v>
      </c>
      <c r="B2426" t="s">
        <v>33</v>
      </c>
      <c r="C2426">
        <v>34</v>
      </c>
      <c r="D2426">
        <v>25</v>
      </c>
      <c r="E2426" s="1">
        <f t="shared" si="37"/>
        <v>0.73529411764705888</v>
      </c>
      <c r="F2426">
        <v>117.7</v>
      </c>
      <c r="G2426">
        <v>96.9</v>
      </c>
      <c r="H2426">
        <v>0.90380000000000005</v>
      </c>
      <c r="I2426">
        <v>54.6</v>
      </c>
      <c r="J2426">
        <v>50.8</v>
      </c>
      <c r="K2426">
        <v>15</v>
      </c>
      <c r="L2426">
        <v>19.600000000000001</v>
      </c>
      <c r="M2426">
        <v>27.2</v>
      </c>
      <c r="N2426">
        <v>27</v>
      </c>
      <c r="O2426">
        <v>37.1</v>
      </c>
      <c r="P2426">
        <v>37</v>
      </c>
      <c r="Q2426">
        <v>54.5</v>
      </c>
      <c r="R2426">
        <v>51.3</v>
      </c>
      <c r="S2426">
        <v>36.6</v>
      </c>
      <c r="T2426">
        <v>33.299999999999997</v>
      </c>
      <c r="U2426">
        <v>67.2</v>
      </c>
      <c r="V2426">
        <v>5.5</v>
      </c>
      <c r="W2426" cm="1">
        <f t="array" ref="W2426">_xlfn.IFS(OR(X2426="N/A",X2426="NA"),0,OR(X2426="R64",X2426="R68"),1,X2426="R32",2,X2426="S16",3,X2426="E8",4,X2426="F4",5,X2426="2ND",6,X2426="Champions",7)</f>
        <v>3</v>
      </c>
      <c r="X2426" t="s">
        <v>424</v>
      </c>
      <c r="Y2426">
        <v>4</v>
      </c>
      <c r="Z2426">
        <v>2017</v>
      </c>
    </row>
    <row r="2427" spans="1:26" x14ac:dyDescent="0.3">
      <c r="A2427" t="s">
        <v>88</v>
      </c>
      <c r="B2427" t="s">
        <v>47</v>
      </c>
      <c r="C2427">
        <v>34</v>
      </c>
      <c r="D2427">
        <v>29</v>
      </c>
      <c r="E2427" s="1">
        <f t="shared" si="37"/>
        <v>0.8529411764705882</v>
      </c>
      <c r="F2427">
        <v>114.3</v>
      </c>
      <c r="G2427">
        <v>91.5</v>
      </c>
      <c r="H2427">
        <v>0.92769999999999997</v>
      </c>
      <c r="I2427">
        <v>50.3</v>
      </c>
      <c r="J2427">
        <v>45.8</v>
      </c>
      <c r="K2427">
        <v>15</v>
      </c>
      <c r="L2427">
        <v>21.3</v>
      </c>
      <c r="M2427">
        <v>34.5</v>
      </c>
      <c r="N2427">
        <v>27.4</v>
      </c>
      <c r="O2427">
        <v>36.200000000000003</v>
      </c>
      <c r="P2427">
        <v>36.6</v>
      </c>
      <c r="Q2427">
        <v>48.9</v>
      </c>
      <c r="R2427">
        <v>42.6</v>
      </c>
      <c r="S2427">
        <v>35.4</v>
      </c>
      <c r="T2427">
        <v>35.299999999999997</v>
      </c>
      <c r="U2427">
        <v>62.6</v>
      </c>
      <c r="V2427">
        <v>4.2</v>
      </c>
      <c r="W2427" cm="1">
        <f t="array" ref="W2427">_xlfn.IFS(OR(X2427="N/A",X2427="NA"),0,OR(X2427="R64",X2427="R68"),1,X2427="R32",2,X2427="S16",3,X2427="E8",4,X2427="F4",5,X2427="2ND",6,X2427="Champions",7)</f>
        <v>3</v>
      </c>
      <c r="X2427" t="s">
        <v>424</v>
      </c>
      <c r="Y2427">
        <v>7</v>
      </c>
      <c r="Z2427">
        <v>2015</v>
      </c>
    </row>
    <row r="2428" spans="1:26" x14ac:dyDescent="0.3">
      <c r="A2428" t="s">
        <v>286</v>
      </c>
      <c r="B2428" t="s">
        <v>55</v>
      </c>
      <c r="C2428">
        <v>37</v>
      </c>
      <c r="D2428">
        <v>29</v>
      </c>
      <c r="E2428" s="1">
        <f t="shared" si="37"/>
        <v>0.78378378378378377</v>
      </c>
      <c r="F2428">
        <v>118.9</v>
      </c>
      <c r="G2428">
        <v>102.5</v>
      </c>
      <c r="H2428">
        <v>0.84619999999999995</v>
      </c>
      <c r="I2428">
        <v>54.8</v>
      </c>
      <c r="J2428">
        <v>49.4</v>
      </c>
      <c r="K2428">
        <v>13.5</v>
      </c>
      <c r="L2428">
        <v>18</v>
      </c>
      <c r="M2428">
        <v>26.7</v>
      </c>
      <c r="N2428">
        <v>29.3</v>
      </c>
      <c r="O2428">
        <v>36.299999999999997</v>
      </c>
      <c r="P2428">
        <v>30.1</v>
      </c>
      <c r="Q2428">
        <v>52.1</v>
      </c>
      <c r="R2428">
        <v>50.7</v>
      </c>
      <c r="S2428">
        <v>39.200000000000003</v>
      </c>
      <c r="T2428">
        <v>31.7</v>
      </c>
      <c r="U2428">
        <v>70.7</v>
      </c>
      <c r="V2428">
        <v>2.5</v>
      </c>
      <c r="W2428" cm="1">
        <f t="array" ref="W2428">_xlfn.IFS(OR(X2428="N/A",X2428="NA"),0,OR(X2428="R64",X2428="R68"),1,X2428="R32",2,X2428="S16",3,X2428="E8",4,X2428="F4",5,X2428="2ND",6,X2428="Champions",7)</f>
        <v>3</v>
      </c>
      <c r="X2428" t="s">
        <v>424</v>
      </c>
      <c r="Y2428">
        <v>7</v>
      </c>
      <c r="Z2428">
        <v>2018</v>
      </c>
    </row>
    <row r="2429" spans="1:26" x14ac:dyDescent="0.3">
      <c r="A2429" t="s">
        <v>324</v>
      </c>
      <c r="B2429" t="s">
        <v>38</v>
      </c>
      <c r="C2429">
        <v>36</v>
      </c>
      <c r="D2429">
        <v>22</v>
      </c>
      <c r="E2429" s="1">
        <f t="shared" si="37"/>
        <v>0.61111111111111116</v>
      </c>
      <c r="F2429">
        <v>111.8</v>
      </c>
      <c r="G2429">
        <v>96.6</v>
      </c>
      <c r="H2429">
        <v>0.84250000000000003</v>
      </c>
      <c r="I2429">
        <v>49.6</v>
      </c>
      <c r="J2429">
        <v>48.5</v>
      </c>
      <c r="K2429">
        <v>17.600000000000001</v>
      </c>
      <c r="L2429">
        <v>17.899999999999999</v>
      </c>
      <c r="M2429">
        <v>33.799999999999997</v>
      </c>
      <c r="N2429">
        <v>28.6</v>
      </c>
      <c r="O2429">
        <v>35.700000000000003</v>
      </c>
      <c r="P2429">
        <v>32.299999999999997</v>
      </c>
      <c r="Q2429">
        <v>47.4</v>
      </c>
      <c r="R2429">
        <v>45.4</v>
      </c>
      <c r="S2429">
        <v>36.799999999999997</v>
      </c>
      <c r="T2429">
        <v>35.6</v>
      </c>
      <c r="U2429">
        <v>66.8</v>
      </c>
      <c r="V2429">
        <v>0</v>
      </c>
      <c r="W2429" cm="1">
        <f t="array" ref="W2429">_xlfn.IFS(OR(X2429="N/A",X2429="NA"),0,OR(X2429="R64",X2429="R68"),1,X2429="R32",2,X2429="S16",3,X2429="E8",4,X2429="F4",5,X2429="2ND",6,X2429="Champions",7)</f>
        <v>3</v>
      </c>
      <c r="X2429" t="s">
        <v>424</v>
      </c>
      <c r="Y2429">
        <v>11</v>
      </c>
      <c r="Z2429">
        <v>2015</v>
      </c>
    </row>
    <row r="2430" spans="1:26" x14ac:dyDescent="0.3">
      <c r="A2430" t="s">
        <v>325</v>
      </c>
      <c r="B2430" t="s">
        <v>38</v>
      </c>
      <c r="C2430">
        <v>34</v>
      </c>
      <c r="D2430">
        <v>25</v>
      </c>
      <c r="E2430" s="1">
        <f t="shared" si="37"/>
        <v>0.73529411764705888</v>
      </c>
      <c r="F2430">
        <v>114.9</v>
      </c>
      <c r="G2430">
        <v>88.7</v>
      </c>
      <c r="H2430">
        <v>0.95130000000000003</v>
      </c>
      <c r="I2430">
        <v>55.2</v>
      </c>
      <c r="J2430">
        <v>43</v>
      </c>
      <c r="K2430">
        <v>18.2</v>
      </c>
      <c r="L2430">
        <v>18.3</v>
      </c>
      <c r="M2430">
        <v>31.3</v>
      </c>
      <c r="N2430">
        <v>28.4</v>
      </c>
      <c r="O2430">
        <v>43.4</v>
      </c>
      <c r="P2430">
        <v>34.299999999999997</v>
      </c>
      <c r="Q2430">
        <v>52.3</v>
      </c>
      <c r="R2430">
        <v>41.4</v>
      </c>
      <c r="S2430">
        <v>40.1</v>
      </c>
      <c r="T2430">
        <v>31.2</v>
      </c>
      <c r="U2430">
        <v>61.4</v>
      </c>
      <c r="V2430">
        <v>3.7</v>
      </c>
      <c r="W2430" cm="1">
        <f t="array" ref="W2430">_xlfn.IFS(OR(X2430="N/A",X2430="NA"),0,OR(X2430="R64",X2430="R68"),1,X2430="R32",2,X2430="S16",3,X2430="E8",4,X2430="F4",5,X2430="2ND",6,X2430="Champions",7)</f>
        <v>3</v>
      </c>
      <c r="X2430" t="s">
        <v>424</v>
      </c>
      <c r="Y2430">
        <v>5</v>
      </c>
      <c r="Z2430">
        <v>2015</v>
      </c>
    </row>
    <row r="2431" spans="1:26" x14ac:dyDescent="0.3">
      <c r="A2431" t="s">
        <v>71</v>
      </c>
      <c r="B2431" t="s">
        <v>38</v>
      </c>
      <c r="C2431">
        <v>37</v>
      </c>
      <c r="D2431">
        <v>32</v>
      </c>
      <c r="E2431" s="1">
        <f t="shared" si="37"/>
        <v>0.86486486486486491</v>
      </c>
      <c r="F2431">
        <v>117.6</v>
      </c>
      <c r="G2431">
        <v>95.6</v>
      </c>
      <c r="H2431">
        <v>0.91569999999999996</v>
      </c>
      <c r="I2431">
        <v>53.7</v>
      </c>
      <c r="J2431">
        <v>47.7</v>
      </c>
      <c r="K2431">
        <v>16.600000000000001</v>
      </c>
      <c r="L2431">
        <v>17.399999999999999</v>
      </c>
      <c r="M2431">
        <v>33.200000000000003</v>
      </c>
      <c r="N2431">
        <v>26</v>
      </c>
      <c r="O2431">
        <v>40.5</v>
      </c>
      <c r="P2431">
        <v>28.6</v>
      </c>
      <c r="Q2431">
        <v>51.5</v>
      </c>
      <c r="R2431">
        <v>48.4</v>
      </c>
      <c r="S2431">
        <v>39</v>
      </c>
      <c r="T2431">
        <v>31</v>
      </c>
      <c r="U2431">
        <v>67.099999999999994</v>
      </c>
      <c r="V2431">
        <v>7.9</v>
      </c>
      <c r="W2431" cm="1">
        <f t="array" ref="W2431">_xlfn.IFS(OR(X2431="N/A",X2431="NA"),0,OR(X2431="R64",X2431="R68"),1,X2431="R32",2,X2431="S16",3,X2431="E8",4,X2431="F4",5,X2431="2ND",6,X2431="Champions",7)</f>
        <v>3</v>
      </c>
      <c r="X2431" t="s">
        <v>424</v>
      </c>
      <c r="Y2431">
        <v>2</v>
      </c>
      <c r="Z2431">
        <v>2017</v>
      </c>
    </row>
    <row r="2432" spans="1:26" x14ac:dyDescent="0.3">
      <c r="A2432" t="s">
        <v>324</v>
      </c>
      <c r="B2432" t="s">
        <v>38</v>
      </c>
      <c r="C2432">
        <v>36</v>
      </c>
      <c r="D2432">
        <v>31</v>
      </c>
      <c r="E2432" s="1">
        <f t="shared" si="37"/>
        <v>0.86111111111111116</v>
      </c>
      <c r="F2432">
        <v>122.8</v>
      </c>
      <c r="G2432">
        <v>99.6</v>
      </c>
      <c r="H2432">
        <v>0.91749999999999998</v>
      </c>
      <c r="I2432">
        <v>59.8</v>
      </c>
      <c r="J2432">
        <v>48.7</v>
      </c>
      <c r="K2432">
        <v>15.1</v>
      </c>
      <c r="L2432">
        <v>15.8</v>
      </c>
      <c r="M2432">
        <v>29.1</v>
      </c>
      <c r="N2432">
        <v>28.6</v>
      </c>
      <c r="O2432">
        <v>26.8</v>
      </c>
      <c r="P2432">
        <v>25.4</v>
      </c>
      <c r="Q2432">
        <v>59.1</v>
      </c>
      <c r="R2432">
        <v>45.3</v>
      </c>
      <c r="S2432">
        <v>40.6</v>
      </c>
      <c r="T2432">
        <v>36.5</v>
      </c>
      <c r="U2432">
        <v>74.599999999999994</v>
      </c>
      <c r="V2432">
        <v>6.6</v>
      </c>
      <c r="W2432" cm="1">
        <f t="array" ref="W2432">_xlfn.IFS(OR(X2432="N/A",X2432="NA"),0,OR(X2432="R64",X2432="R68"),1,X2432="R32",2,X2432="S16",3,X2432="E8",4,X2432="F4",5,X2432="2ND",6,X2432="Champions",7)</f>
        <v>3</v>
      </c>
      <c r="X2432" t="s">
        <v>424</v>
      </c>
      <c r="Y2432">
        <v>3</v>
      </c>
      <c r="Z2432">
        <v>2017</v>
      </c>
    </row>
    <row r="2433" spans="1:26" x14ac:dyDescent="0.3">
      <c r="A2433" t="s">
        <v>73</v>
      </c>
      <c r="B2433" t="s">
        <v>38</v>
      </c>
      <c r="C2433">
        <v>38</v>
      </c>
      <c r="D2433">
        <v>25</v>
      </c>
      <c r="E2433" s="1">
        <f t="shared" si="37"/>
        <v>0.65789473684210531</v>
      </c>
      <c r="F2433">
        <v>108.1</v>
      </c>
      <c r="G2433">
        <v>91.7</v>
      </c>
      <c r="H2433">
        <v>0.86870000000000003</v>
      </c>
      <c r="I2433">
        <v>52</v>
      </c>
      <c r="J2433">
        <v>46.4</v>
      </c>
      <c r="K2433">
        <v>17.8</v>
      </c>
      <c r="L2433">
        <v>20.9</v>
      </c>
      <c r="M2433">
        <v>29.6</v>
      </c>
      <c r="N2433">
        <v>28.8</v>
      </c>
      <c r="O2433">
        <v>29.4</v>
      </c>
      <c r="P2433">
        <v>33.9</v>
      </c>
      <c r="Q2433">
        <v>51.6</v>
      </c>
      <c r="R2433">
        <v>48.8</v>
      </c>
      <c r="S2433">
        <v>35.1</v>
      </c>
      <c r="T2433">
        <v>29</v>
      </c>
      <c r="U2433">
        <v>65.400000000000006</v>
      </c>
      <c r="V2433">
        <v>-1.1000000000000001</v>
      </c>
      <c r="W2433" cm="1">
        <f t="array" ref="W2433">_xlfn.IFS(OR(X2433="N/A",X2433="NA"),0,OR(X2433="R64",X2433="R68"),1,X2433="R32",2,X2433="S16",3,X2433="E8",4,X2433="F4",5,X2433="2ND",6,X2433="Champions",7)</f>
        <v>3</v>
      </c>
      <c r="X2433" t="s">
        <v>424</v>
      </c>
      <c r="Y2433">
        <v>12</v>
      </c>
      <c r="Z2433">
        <v>2019</v>
      </c>
    </row>
    <row r="2434" spans="1:26" x14ac:dyDescent="0.3">
      <c r="A2434" t="s">
        <v>362</v>
      </c>
      <c r="B2434" t="s">
        <v>29</v>
      </c>
      <c r="C2434">
        <v>37</v>
      </c>
      <c r="D2434">
        <v>28</v>
      </c>
      <c r="E2434" s="1">
        <f t="shared" si="37"/>
        <v>0.7567567567567568</v>
      </c>
      <c r="F2434">
        <v>113</v>
      </c>
      <c r="G2434">
        <v>92.2</v>
      </c>
      <c r="H2434">
        <v>0.91259999999999997</v>
      </c>
      <c r="I2434">
        <v>51.2</v>
      </c>
      <c r="J2434">
        <v>47.4</v>
      </c>
      <c r="K2434">
        <v>17.399999999999999</v>
      </c>
      <c r="L2434">
        <v>20.7</v>
      </c>
      <c r="M2434">
        <v>34.799999999999997</v>
      </c>
      <c r="N2434">
        <v>29.2</v>
      </c>
      <c r="O2434">
        <v>38.1</v>
      </c>
      <c r="P2434">
        <v>32.299999999999997</v>
      </c>
      <c r="Q2434">
        <v>51.3</v>
      </c>
      <c r="R2434">
        <v>45.6</v>
      </c>
      <c r="S2434">
        <v>34.1</v>
      </c>
      <c r="T2434">
        <v>33.299999999999997</v>
      </c>
      <c r="U2434">
        <v>68.400000000000006</v>
      </c>
      <c r="V2434">
        <v>5.2</v>
      </c>
      <c r="W2434" cm="1">
        <f t="array" ref="W2434">_xlfn.IFS(OR(X2434="N/A",X2434="NA"),0,OR(X2434="R64",X2434="R68"),1,X2434="R32",2,X2434="S16",3,X2434="E8",4,X2434="F4",5,X2434="2ND",6,X2434="Champions",7)</f>
        <v>3</v>
      </c>
      <c r="X2434" t="s">
        <v>424</v>
      </c>
      <c r="Y2434">
        <v>3</v>
      </c>
      <c r="Z2434">
        <v>2016</v>
      </c>
    </row>
    <row r="2435" spans="1:26" x14ac:dyDescent="0.3">
      <c r="A2435" t="s">
        <v>39</v>
      </c>
      <c r="B2435" t="s">
        <v>29</v>
      </c>
      <c r="C2435">
        <v>37</v>
      </c>
      <c r="D2435">
        <v>26</v>
      </c>
      <c r="E2435" s="1">
        <f t="shared" ref="E2435:E2498" si="38">D2435/C2435</f>
        <v>0.70270270270270274</v>
      </c>
      <c r="F2435">
        <v>115.8</v>
      </c>
      <c r="G2435">
        <v>95.6</v>
      </c>
      <c r="H2435">
        <v>0.9</v>
      </c>
      <c r="I2435">
        <v>51.8</v>
      </c>
      <c r="J2435">
        <v>46.8</v>
      </c>
      <c r="K2435">
        <v>18.600000000000001</v>
      </c>
      <c r="L2435">
        <v>16.8</v>
      </c>
      <c r="M2435">
        <v>35.700000000000003</v>
      </c>
      <c r="N2435">
        <v>31</v>
      </c>
      <c r="O2435">
        <v>44</v>
      </c>
      <c r="P2435">
        <v>32.299999999999997</v>
      </c>
      <c r="Q2435">
        <v>51.2</v>
      </c>
      <c r="R2435">
        <v>48</v>
      </c>
      <c r="S2435">
        <v>35.700000000000003</v>
      </c>
      <c r="T2435">
        <v>30.1</v>
      </c>
      <c r="U2435">
        <v>70</v>
      </c>
      <c r="V2435">
        <v>4.3</v>
      </c>
      <c r="W2435" cm="1">
        <f t="array" ref="W2435">_xlfn.IFS(OR(X2435="N/A",X2435="NA"),0,OR(X2435="R64",X2435="R68"),1,X2435="R32",2,X2435="S16",3,X2435="E8",4,X2435="F4",5,X2435="2ND",6,X2435="Champions",7)</f>
        <v>3</v>
      </c>
      <c r="X2435" t="s">
        <v>424</v>
      </c>
      <c r="Y2435">
        <v>5</v>
      </c>
      <c r="Z2435">
        <v>2018</v>
      </c>
    </row>
    <row r="2436" spans="1:26" x14ac:dyDescent="0.3">
      <c r="A2436" t="s">
        <v>362</v>
      </c>
      <c r="B2436" t="s">
        <v>29</v>
      </c>
      <c r="C2436">
        <v>35</v>
      </c>
      <c r="D2436">
        <v>22</v>
      </c>
      <c r="E2436" s="1">
        <f t="shared" si="38"/>
        <v>0.62857142857142856</v>
      </c>
      <c r="F2436">
        <v>111.2</v>
      </c>
      <c r="G2436">
        <v>94.7</v>
      </c>
      <c r="H2436">
        <v>0.86399999999999999</v>
      </c>
      <c r="I2436">
        <v>51.4</v>
      </c>
      <c r="J2436">
        <v>46.9</v>
      </c>
      <c r="K2436">
        <v>19.2</v>
      </c>
      <c r="L2436">
        <v>15.3</v>
      </c>
      <c r="M2436">
        <v>33.9</v>
      </c>
      <c r="N2436">
        <v>27.3</v>
      </c>
      <c r="O2436">
        <v>32</v>
      </c>
      <c r="P2436">
        <v>27.6</v>
      </c>
      <c r="Q2436">
        <v>52.5</v>
      </c>
      <c r="R2436">
        <v>45.7</v>
      </c>
      <c r="S2436">
        <v>32.9</v>
      </c>
      <c r="T2436">
        <v>32.6</v>
      </c>
      <c r="U2436">
        <v>70.3</v>
      </c>
      <c r="V2436">
        <v>1.9</v>
      </c>
      <c r="W2436" cm="1">
        <f t="array" ref="W2436">_xlfn.IFS(OR(X2436="N/A",X2436="NA"),0,OR(X2436="R64",X2436="R68"),1,X2436="R32",2,X2436="S16",3,X2436="E8",4,X2436="F4",5,X2436="2ND",6,X2436="Champions",7)</f>
        <v>3</v>
      </c>
      <c r="X2436" t="s">
        <v>424</v>
      </c>
      <c r="Y2436">
        <v>7</v>
      </c>
      <c r="Z2436">
        <v>2018</v>
      </c>
    </row>
    <row r="2437" spans="1:26" x14ac:dyDescent="0.3">
      <c r="A2437" t="s">
        <v>366</v>
      </c>
      <c r="B2437" t="s">
        <v>29</v>
      </c>
      <c r="C2437">
        <v>35</v>
      </c>
      <c r="D2437">
        <v>28</v>
      </c>
      <c r="E2437" s="1">
        <f t="shared" si="38"/>
        <v>0.8</v>
      </c>
      <c r="F2437">
        <v>117.9</v>
      </c>
      <c r="G2437">
        <v>96.6</v>
      </c>
      <c r="H2437">
        <v>0.90810000000000002</v>
      </c>
      <c r="I2437">
        <v>51.2</v>
      </c>
      <c r="J2437">
        <v>49.9</v>
      </c>
      <c r="K2437">
        <v>17.899999999999999</v>
      </c>
      <c r="L2437">
        <v>20.100000000000001</v>
      </c>
      <c r="M2437">
        <v>36.700000000000003</v>
      </c>
      <c r="N2437">
        <v>30.8</v>
      </c>
      <c r="O2437">
        <v>37.1</v>
      </c>
      <c r="P2437">
        <v>33.1</v>
      </c>
      <c r="Q2437">
        <v>52.9</v>
      </c>
      <c r="R2437">
        <v>49.4</v>
      </c>
      <c r="S2437">
        <v>31.9</v>
      </c>
      <c r="T2437">
        <v>33.700000000000003</v>
      </c>
      <c r="U2437">
        <v>71.2</v>
      </c>
      <c r="V2437">
        <v>7.3</v>
      </c>
      <c r="W2437" cm="1">
        <f t="array" ref="W2437">_xlfn.IFS(OR(X2437="N/A",X2437="NA"),0,OR(X2437="R64",X2437="R68"),1,X2437="R32",2,X2437="S16",3,X2437="E8",4,X2437="F4",5,X2437="2ND",6,X2437="Champions",7)</f>
        <v>3</v>
      </c>
      <c r="X2437" t="s">
        <v>424</v>
      </c>
      <c r="Y2437">
        <v>3</v>
      </c>
      <c r="Z2437">
        <v>2019</v>
      </c>
    </row>
    <row r="2438" spans="1:26" x14ac:dyDescent="0.3">
      <c r="A2438" t="s">
        <v>361</v>
      </c>
      <c r="B2438" t="s">
        <v>29</v>
      </c>
      <c r="C2438">
        <v>36</v>
      </c>
      <c r="D2438">
        <v>31</v>
      </c>
      <c r="E2438" s="1">
        <f t="shared" si="38"/>
        <v>0.86111111111111116</v>
      </c>
      <c r="F2438">
        <v>122.8</v>
      </c>
      <c r="G2438">
        <v>95.2</v>
      </c>
      <c r="H2438">
        <v>0.94879999999999998</v>
      </c>
      <c r="I2438">
        <v>55.3</v>
      </c>
      <c r="J2438">
        <v>48.1</v>
      </c>
      <c r="K2438">
        <v>15.8</v>
      </c>
      <c r="L2438">
        <v>18</v>
      </c>
      <c r="M2438">
        <v>31.6</v>
      </c>
      <c r="N2438">
        <v>30.2</v>
      </c>
      <c r="O2438">
        <v>33.299999999999997</v>
      </c>
      <c r="P2438">
        <v>34.9</v>
      </c>
      <c r="Q2438">
        <v>55.4</v>
      </c>
      <c r="R2438">
        <v>44.7</v>
      </c>
      <c r="S2438">
        <v>36.700000000000003</v>
      </c>
      <c r="T2438">
        <v>35.4</v>
      </c>
      <c r="U2438">
        <v>68.8</v>
      </c>
      <c r="V2438">
        <v>9.9</v>
      </c>
      <c r="W2438" cm="1">
        <f t="array" ref="W2438">_xlfn.IFS(OR(X2438="N/A",X2438="NA"),0,OR(X2438="R64",X2438="R68"),1,X2438="R32",2,X2438="S16",3,X2438="E8",4,X2438="F4",5,X2438="2ND",6,X2438="Champions",7)</f>
        <v>3</v>
      </c>
      <c r="X2438" t="s">
        <v>424</v>
      </c>
      <c r="Y2438">
        <v>2</v>
      </c>
      <c r="Z2438">
        <v>2019</v>
      </c>
    </row>
    <row r="2439" spans="1:26" x14ac:dyDescent="0.3">
      <c r="A2439" t="s">
        <v>36</v>
      </c>
      <c r="B2439" t="s">
        <v>37</v>
      </c>
      <c r="C2439">
        <v>35</v>
      </c>
      <c r="D2439">
        <v>27</v>
      </c>
      <c r="E2439" s="1">
        <f t="shared" si="38"/>
        <v>0.77142857142857146</v>
      </c>
      <c r="F2439">
        <v>117.4</v>
      </c>
      <c r="G2439">
        <v>94.5</v>
      </c>
      <c r="H2439">
        <v>0.92379999999999995</v>
      </c>
      <c r="I2439">
        <v>55.2</v>
      </c>
      <c r="J2439">
        <v>44.8</v>
      </c>
      <c r="K2439">
        <v>17.100000000000001</v>
      </c>
      <c r="L2439">
        <v>15.1</v>
      </c>
      <c r="M2439">
        <v>32.1</v>
      </c>
      <c r="N2439">
        <v>26</v>
      </c>
      <c r="O2439">
        <v>34.4</v>
      </c>
      <c r="P2439">
        <v>28.1</v>
      </c>
      <c r="Q2439">
        <v>54.3</v>
      </c>
      <c r="R2439">
        <v>44.4</v>
      </c>
      <c r="S2439">
        <v>37.799999999999997</v>
      </c>
      <c r="T2439">
        <v>30.3</v>
      </c>
      <c r="U2439">
        <v>68.2</v>
      </c>
      <c r="V2439">
        <v>2.1</v>
      </c>
      <c r="W2439" cm="1">
        <f t="array" ref="W2439">_xlfn.IFS(OR(X2439="N/A",X2439="NA"),0,OR(X2439="R64",X2439="R68"),1,X2439="R32",2,X2439="S16",3,X2439="E8",4,X2439="F4",5,X2439="2ND",6,X2439="Champions",7)</f>
        <v>3</v>
      </c>
      <c r="X2439" t="s">
        <v>424</v>
      </c>
      <c r="Y2439">
        <v>11</v>
      </c>
      <c r="Z2439">
        <v>2016</v>
      </c>
    </row>
    <row r="2440" spans="1:26" x14ac:dyDescent="0.3">
      <c r="A2440" t="s">
        <v>36</v>
      </c>
      <c r="B2440" t="s">
        <v>37</v>
      </c>
      <c r="C2440">
        <v>37</v>
      </c>
      <c r="D2440">
        <v>32</v>
      </c>
      <c r="E2440" s="1">
        <f t="shared" si="38"/>
        <v>0.86486486486486491</v>
      </c>
      <c r="F2440">
        <v>117.2</v>
      </c>
      <c r="G2440">
        <v>94.9</v>
      </c>
      <c r="H2440">
        <v>0.91920000000000002</v>
      </c>
      <c r="I2440">
        <v>57</v>
      </c>
      <c r="J2440">
        <v>47.1</v>
      </c>
      <c r="K2440">
        <v>16.100000000000001</v>
      </c>
      <c r="L2440">
        <v>17.399999999999999</v>
      </c>
      <c r="M2440">
        <v>33</v>
      </c>
      <c r="N2440">
        <v>23.1</v>
      </c>
      <c r="O2440">
        <v>32.1</v>
      </c>
      <c r="P2440">
        <v>29.1</v>
      </c>
      <c r="Q2440">
        <v>58.2</v>
      </c>
      <c r="R2440">
        <v>44.1</v>
      </c>
      <c r="S2440">
        <v>36.799999999999997</v>
      </c>
      <c r="T2440">
        <v>35</v>
      </c>
      <c r="U2440">
        <v>70.5</v>
      </c>
      <c r="V2440">
        <v>4.9000000000000004</v>
      </c>
      <c r="W2440" cm="1">
        <f t="array" ref="W2440">_xlfn.IFS(OR(X2440="N/A",X2440="NA"),0,OR(X2440="R64",X2440="R68"),1,X2440="R32",2,X2440="S16",3,X2440="E8",4,X2440="F4",5,X2440="2ND",6,X2440="Champions",7)</f>
        <v>3</v>
      </c>
      <c r="X2440" t="s">
        <v>424</v>
      </c>
      <c r="Y2440">
        <v>4</v>
      </c>
      <c r="Z2440">
        <v>2018</v>
      </c>
    </row>
    <row r="2441" spans="1:26" x14ac:dyDescent="0.3">
      <c r="A2441" t="s">
        <v>44</v>
      </c>
      <c r="B2441" t="s">
        <v>26</v>
      </c>
      <c r="C2441">
        <v>37</v>
      </c>
      <c r="D2441">
        <v>30</v>
      </c>
      <c r="E2441" s="1">
        <f t="shared" si="38"/>
        <v>0.81081081081081086</v>
      </c>
      <c r="F2441">
        <v>114.6</v>
      </c>
      <c r="G2441">
        <v>89.5</v>
      </c>
      <c r="H2441">
        <v>0.94489999999999996</v>
      </c>
      <c r="I2441">
        <v>50.8</v>
      </c>
      <c r="J2441">
        <v>44.2</v>
      </c>
      <c r="K2441">
        <v>16.5</v>
      </c>
      <c r="L2441">
        <v>18.399999999999999</v>
      </c>
      <c r="M2441">
        <v>33.9</v>
      </c>
      <c r="N2441">
        <v>25.8</v>
      </c>
      <c r="O2441">
        <v>42</v>
      </c>
      <c r="P2441">
        <v>32.5</v>
      </c>
      <c r="Q2441">
        <v>49</v>
      </c>
      <c r="R2441">
        <v>42.1</v>
      </c>
      <c r="S2441">
        <v>36.9</v>
      </c>
      <c r="T2441">
        <v>32.299999999999997</v>
      </c>
      <c r="U2441">
        <v>61.2</v>
      </c>
      <c r="V2441">
        <v>8.1999999999999993</v>
      </c>
      <c r="W2441" cm="1">
        <f t="array" ref="W2441">_xlfn.IFS(OR(X2441="N/A",X2441="NA"),0,OR(X2441="R64",X2441="R68"),1,X2441="R32",2,X2441="S16",3,X2441="E8",4,X2441="F4",5,X2441="2ND",6,X2441="Champions",7)</f>
        <v>3</v>
      </c>
      <c r="X2441" t="s">
        <v>424</v>
      </c>
      <c r="Y2441">
        <v>1</v>
      </c>
      <c r="Z2441">
        <v>2014</v>
      </c>
    </row>
    <row r="2442" spans="1:26" x14ac:dyDescent="0.3">
      <c r="A2442" t="s">
        <v>154</v>
      </c>
      <c r="B2442" t="s">
        <v>35</v>
      </c>
      <c r="C2442">
        <v>36</v>
      </c>
      <c r="D2442">
        <v>28</v>
      </c>
      <c r="E2442" s="1">
        <f t="shared" si="38"/>
        <v>0.77777777777777779</v>
      </c>
      <c r="F2442">
        <v>118.6</v>
      </c>
      <c r="G2442">
        <v>98.8</v>
      </c>
      <c r="H2442">
        <v>0.89029999999999998</v>
      </c>
      <c r="I2442">
        <v>54.2</v>
      </c>
      <c r="J2442">
        <v>47.7</v>
      </c>
      <c r="K2442">
        <v>14.5</v>
      </c>
      <c r="L2442">
        <v>15.9</v>
      </c>
      <c r="M2442">
        <v>28.8</v>
      </c>
      <c r="N2442">
        <v>28.5</v>
      </c>
      <c r="O2442">
        <v>36.4</v>
      </c>
      <c r="P2442">
        <v>30.7</v>
      </c>
      <c r="Q2442">
        <v>54.4</v>
      </c>
      <c r="R2442">
        <v>46</v>
      </c>
      <c r="S2442">
        <v>35.799999999999997</v>
      </c>
      <c r="T2442">
        <v>34.1</v>
      </c>
      <c r="U2442">
        <v>71.599999999999994</v>
      </c>
      <c r="V2442">
        <v>7.5</v>
      </c>
      <c r="W2442" cm="1">
        <f t="array" ref="W2442">_xlfn.IFS(OR(X2442="N/A",X2442="NA"),0,OR(X2442="R64",X2442="R68"),1,X2442="R32",2,X2442="S16",3,X2442="E8",4,X2442="F4",5,X2442="2ND",6,X2442="Champions",7)</f>
        <v>3</v>
      </c>
      <c r="X2442" t="s">
        <v>424</v>
      </c>
      <c r="Y2442">
        <v>3</v>
      </c>
      <c r="Z2442">
        <v>2014</v>
      </c>
    </row>
    <row r="2443" spans="1:26" x14ac:dyDescent="0.3">
      <c r="A2443" t="s">
        <v>52</v>
      </c>
      <c r="B2443" t="s">
        <v>50</v>
      </c>
      <c r="C2443">
        <v>37</v>
      </c>
      <c r="D2443">
        <v>31</v>
      </c>
      <c r="E2443" s="1">
        <f t="shared" si="38"/>
        <v>0.83783783783783783</v>
      </c>
      <c r="F2443">
        <v>118.8</v>
      </c>
      <c r="G2443">
        <v>87.6</v>
      </c>
      <c r="H2443">
        <v>0.97099999999999997</v>
      </c>
      <c r="I2443">
        <v>53.5</v>
      </c>
      <c r="J2443">
        <v>43.9</v>
      </c>
      <c r="K2443">
        <v>15.3</v>
      </c>
      <c r="L2443">
        <v>25</v>
      </c>
      <c r="M2443">
        <v>37.1</v>
      </c>
      <c r="N2443">
        <v>32.700000000000003</v>
      </c>
      <c r="O2443">
        <v>41.2</v>
      </c>
      <c r="P2443">
        <v>38.4</v>
      </c>
      <c r="Q2443">
        <v>52.7</v>
      </c>
      <c r="R2443">
        <v>44.3</v>
      </c>
      <c r="S2443">
        <v>36.799999999999997</v>
      </c>
      <c r="T2443">
        <v>28.6</v>
      </c>
      <c r="U2443">
        <v>68.8</v>
      </c>
      <c r="V2443">
        <v>5.3</v>
      </c>
      <c r="W2443" cm="1">
        <f t="array" ref="W2443">_xlfn.IFS(OR(X2443="N/A",X2443="NA"),0,OR(X2443="R64",X2443="R68"),1,X2443="R32",2,X2443="S16",3,X2443="E8",4,X2443="F4",5,X2443="2ND",6,X2443="Champions",7)</f>
        <v>3</v>
      </c>
      <c r="X2443" t="s">
        <v>424</v>
      </c>
      <c r="Y2443">
        <v>4</v>
      </c>
      <c r="Z2443">
        <v>2014</v>
      </c>
    </row>
    <row r="2444" spans="1:26" x14ac:dyDescent="0.3">
      <c r="A2444" t="s">
        <v>292</v>
      </c>
      <c r="B2444" t="s">
        <v>55</v>
      </c>
      <c r="C2444">
        <v>34</v>
      </c>
      <c r="D2444">
        <v>29</v>
      </c>
      <c r="E2444" s="1">
        <f t="shared" si="38"/>
        <v>0.8529411764705882</v>
      </c>
      <c r="F2444">
        <v>109.4</v>
      </c>
      <c r="G2444">
        <v>90.7</v>
      </c>
      <c r="H2444">
        <v>0.89600000000000002</v>
      </c>
      <c r="I2444">
        <v>46.7</v>
      </c>
      <c r="J2444">
        <v>44.4</v>
      </c>
      <c r="K2444">
        <v>15.2</v>
      </c>
      <c r="L2444">
        <v>20.6</v>
      </c>
      <c r="M2444">
        <v>36.1</v>
      </c>
      <c r="N2444">
        <v>29.4</v>
      </c>
      <c r="O2444">
        <v>45.1</v>
      </c>
      <c r="P2444">
        <v>32.4</v>
      </c>
      <c r="Q2444">
        <v>45.1</v>
      </c>
      <c r="R2444">
        <v>43.5</v>
      </c>
      <c r="S2444">
        <v>34.200000000000003</v>
      </c>
      <c r="T2444">
        <v>30.8</v>
      </c>
      <c r="U2444">
        <v>64</v>
      </c>
      <c r="V2444">
        <v>6</v>
      </c>
      <c r="W2444" cm="1">
        <f t="array" ref="W2444">_xlfn.IFS(OR(X2444="N/A",X2444="NA"),0,OR(X2444="R64",X2444="R68"),1,X2444="R32",2,X2444="S16",3,X2444="E8",4,X2444="F4",5,X2444="2ND",6,X2444="Champions",7)</f>
        <v>3</v>
      </c>
      <c r="X2444" t="s">
        <v>424</v>
      </c>
      <c r="Y2444">
        <v>4</v>
      </c>
      <c r="Z2444">
        <v>2014</v>
      </c>
    </row>
    <row r="2445" spans="1:26" x14ac:dyDescent="0.3">
      <c r="A2445" t="s">
        <v>324</v>
      </c>
      <c r="B2445" t="s">
        <v>38</v>
      </c>
      <c r="C2445">
        <v>37</v>
      </c>
      <c r="D2445">
        <v>28</v>
      </c>
      <c r="E2445" s="1">
        <f t="shared" si="38"/>
        <v>0.7567567567567568</v>
      </c>
      <c r="F2445">
        <v>119</v>
      </c>
      <c r="G2445">
        <v>96.6</v>
      </c>
      <c r="H2445">
        <v>0.91669999999999996</v>
      </c>
      <c r="I2445">
        <v>54.1</v>
      </c>
      <c r="J2445">
        <v>49.9</v>
      </c>
      <c r="K2445">
        <v>14.5</v>
      </c>
      <c r="L2445">
        <v>20.3</v>
      </c>
      <c r="M2445">
        <v>29.8</v>
      </c>
      <c r="N2445">
        <v>28.6</v>
      </c>
      <c r="O2445">
        <v>38.200000000000003</v>
      </c>
      <c r="P2445">
        <v>35.700000000000003</v>
      </c>
      <c r="Q2445">
        <v>53</v>
      </c>
      <c r="R2445">
        <v>48.6</v>
      </c>
      <c r="S2445">
        <v>38</v>
      </c>
      <c r="T2445">
        <v>34.4</v>
      </c>
      <c r="U2445">
        <v>70.2</v>
      </c>
      <c r="V2445">
        <v>4.5</v>
      </c>
      <c r="W2445" cm="1">
        <f t="array" ref="W2445">_xlfn.IFS(OR(X2445="N/A",X2445="NA"),0,OR(X2445="R64",X2445="R68"),1,X2445="R32",2,X2445="S16",3,X2445="E8",4,X2445="F4",5,X2445="2ND",6,X2445="Champions",7)</f>
        <v>3</v>
      </c>
      <c r="X2445" t="s">
        <v>424</v>
      </c>
      <c r="Y2445">
        <v>4</v>
      </c>
      <c r="Z2445">
        <v>2014</v>
      </c>
    </row>
    <row r="2446" spans="1:26" x14ac:dyDescent="0.3">
      <c r="A2446" t="s">
        <v>153</v>
      </c>
      <c r="B2446" t="s">
        <v>35</v>
      </c>
      <c r="C2446">
        <v>36</v>
      </c>
      <c r="D2446">
        <v>24</v>
      </c>
      <c r="E2446" s="1">
        <f t="shared" si="38"/>
        <v>0.66666666666666663</v>
      </c>
      <c r="F2446">
        <v>119.2</v>
      </c>
      <c r="G2446">
        <v>99.5</v>
      </c>
      <c r="H2446">
        <v>0.88849999999999996</v>
      </c>
      <c r="I2446">
        <v>51.3</v>
      </c>
      <c r="J2446">
        <v>48.7</v>
      </c>
      <c r="K2446">
        <v>17.8</v>
      </c>
      <c r="L2446">
        <v>15.8</v>
      </c>
      <c r="M2446">
        <v>40.1</v>
      </c>
      <c r="N2446">
        <v>32</v>
      </c>
      <c r="O2446">
        <v>44.8</v>
      </c>
      <c r="P2446">
        <v>32.299999999999997</v>
      </c>
      <c r="Q2446">
        <v>48.3</v>
      </c>
      <c r="R2446">
        <v>46.4</v>
      </c>
      <c r="S2446">
        <v>38</v>
      </c>
      <c r="T2446">
        <v>35.6</v>
      </c>
      <c r="U2446">
        <v>62.9</v>
      </c>
      <c r="V2446">
        <v>3.1</v>
      </c>
      <c r="W2446" cm="1">
        <f t="array" ref="W2446">_xlfn.IFS(OR(X2446="N/A",X2446="NA"),0,OR(X2446="R64",X2446="R68"),1,X2446="R32",2,X2446="S16",3,X2446="E8",4,X2446="F4",5,X2446="2ND",6,X2446="Champions",7)</f>
        <v>3</v>
      </c>
      <c r="X2446" t="s">
        <v>424</v>
      </c>
      <c r="Y2446">
        <v>6</v>
      </c>
      <c r="Z2446">
        <v>2014</v>
      </c>
    </row>
    <row r="2447" spans="1:26" x14ac:dyDescent="0.3">
      <c r="A2447" t="s">
        <v>320</v>
      </c>
      <c r="B2447" t="s">
        <v>38</v>
      </c>
      <c r="C2447">
        <v>36</v>
      </c>
      <c r="D2447">
        <v>23</v>
      </c>
      <c r="E2447" s="1">
        <f t="shared" si="38"/>
        <v>0.63888888888888884</v>
      </c>
      <c r="F2447">
        <v>111.7</v>
      </c>
      <c r="G2447">
        <v>96.5</v>
      </c>
      <c r="H2447">
        <v>0.84360000000000002</v>
      </c>
      <c r="I2447">
        <v>51.3</v>
      </c>
      <c r="J2447">
        <v>48</v>
      </c>
      <c r="K2447">
        <v>17</v>
      </c>
      <c r="L2447">
        <v>17</v>
      </c>
      <c r="M2447">
        <v>29.3</v>
      </c>
      <c r="N2447">
        <v>28.1</v>
      </c>
      <c r="O2447">
        <v>45</v>
      </c>
      <c r="P2447">
        <v>37</v>
      </c>
      <c r="Q2447">
        <v>49.9</v>
      </c>
      <c r="R2447">
        <v>45.8</v>
      </c>
      <c r="S2447">
        <v>36.4</v>
      </c>
      <c r="T2447">
        <v>34.9</v>
      </c>
      <c r="U2447">
        <v>67.2</v>
      </c>
      <c r="V2447">
        <v>1.1000000000000001</v>
      </c>
      <c r="W2447" cm="1">
        <f t="array" ref="W2447">_xlfn.IFS(OR(X2447="N/A",X2447="NA"),0,OR(X2447="R64",X2447="R68"),1,X2447="R32",2,X2447="S16",3,X2447="E8",4,X2447="F4",5,X2447="2ND",6,X2447="Champions",7)</f>
        <v>3</v>
      </c>
      <c r="X2447" t="s">
        <v>424</v>
      </c>
      <c r="Y2447">
        <v>10</v>
      </c>
      <c r="Z2447">
        <v>2014</v>
      </c>
    </row>
    <row r="2448" spans="1:26" x14ac:dyDescent="0.3">
      <c r="A2448" t="s">
        <v>361</v>
      </c>
      <c r="B2448" t="s">
        <v>29</v>
      </c>
      <c r="C2448">
        <v>36</v>
      </c>
      <c r="D2448">
        <v>23</v>
      </c>
      <c r="E2448" s="1">
        <f t="shared" si="38"/>
        <v>0.63888888888888884</v>
      </c>
      <c r="F2448">
        <v>118.1</v>
      </c>
      <c r="G2448">
        <v>93.4</v>
      </c>
      <c r="H2448">
        <v>0.93740000000000001</v>
      </c>
      <c r="I2448">
        <v>49.8</v>
      </c>
      <c r="J2448">
        <v>46.5</v>
      </c>
      <c r="K2448">
        <v>16.8</v>
      </c>
      <c r="L2448">
        <v>16.899999999999999</v>
      </c>
      <c r="M2448">
        <v>39.700000000000003</v>
      </c>
      <c r="N2448">
        <v>27.5</v>
      </c>
      <c r="O2448">
        <v>41.8</v>
      </c>
      <c r="P2448">
        <v>31.5</v>
      </c>
      <c r="Q2448">
        <v>50.6</v>
      </c>
      <c r="R2448">
        <v>44.5</v>
      </c>
      <c r="S2448">
        <v>31.9</v>
      </c>
      <c r="T2448">
        <v>34.5</v>
      </c>
      <c r="U2448">
        <v>63.1</v>
      </c>
      <c r="V2448">
        <v>0.4</v>
      </c>
      <c r="W2448" cm="1">
        <f t="array" ref="W2448">_xlfn.IFS(OR(X2448="N/A",X2448="NA"),0,OR(X2448="R64",X2448="R68"),1,X2448="R32",2,X2448="S16",3,X2448="E8",4,X2448="F4",5,X2448="2ND",6,X2448="Champions",7)</f>
        <v>3</v>
      </c>
      <c r="X2448" t="s">
        <v>424</v>
      </c>
      <c r="Y2448">
        <v>11</v>
      </c>
      <c r="Z2448">
        <v>2014</v>
      </c>
    </row>
    <row r="2449" spans="1:26" x14ac:dyDescent="0.3">
      <c r="A2449" t="s">
        <v>147</v>
      </c>
      <c r="B2449" t="s">
        <v>31</v>
      </c>
      <c r="C2449">
        <v>36</v>
      </c>
      <c r="D2449">
        <v>29</v>
      </c>
      <c r="E2449" s="1">
        <f t="shared" si="38"/>
        <v>0.80555555555555558</v>
      </c>
      <c r="F2449">
        <v>121</v>
      </c>
      <c r="G2449">
        <v>89.7</v>
      </c>
      <c r="H2449">
        <v>0.96919999999999995</v>
      </c>
      <c r="I2449">
        <v>54.7</v>
      </c>
      <c r="J2449">
        <v>44</v>
      </c>
      <c r="K2449">
        <v>19.3</v>
      </c>
      <c r="L2449">
        <v>20.9</v>
      </c>
      <c r="M2449">
        <v>39</v>
      </c>
      <c r="N2449">
        <v>31.4</v>
      </c>
      <c r="O2449">
        <v>45.8</v>
      </c>
      <c r="P2449">
        <v>27</v>
      </c>
      <c r="Q2449">
        <v>52</v>
      </c>
      <c r="R2449">
        <v>43.2</v>
      </c>
      <c r="S2449">
        <v>40.299999999999997</v>
      </c>
      <c r="T2449">
        <v>30.4</v>
      </c>
      <c r="U2449">
        <v>67.8</v>
      </c>
      <c r="V2449">
        <v>7.8</v>
      </c>
      <c r="W2449" cm="1">
        <f t="array" ref="W2449">_xlfn.IFS(OR(X2449="N/A",X2449="NA"),0,OR(X2449="R64",X2449="R68"),1,X2449="R32",2,X2449="S16",3,X2449="E8",4,X2449="F4",5,X2449="2ND",6,X2449="Champions",7)</f>
        <v>3</v>
      </c>
      <c r="X2449" t="s">
        <v>424</v>
      </c>
      <c r="Y2449">
        <v>1</v>
      </c>
      <c r="Z2449">
        <v>2013</v>
      </c>
    </row>
    <row r="2450" spans="1:26" x14ac:dyDescent="0.3">
      <c r="A2450" t="s">
        <v>65</v>
      </c>
      <c r="B2450" t="s">
        <v>35</v>
      </c>
      <c r="C2450">
        <v>37</v>
      </c>
      <c r="D2450">
        <v>31</v>
      </c>
      <c r="E2450" s="1">
        <f t="shared" si="38"/>
        <v>0.83783783783783783</v>
      </c>
      <c r="F2450">
        <v>111.6</v>
      </c>
      <c r="G2450">
        <v>86.2</v>
      </c>
      <c r="H2450">
        <v>0.95140000000000002</v>
      </c>
      <c r="I2450">
        <v>53.3</v>
      </c>
      <c r="J2450">
        <v>41.5</v>
      </c>
      <c r="K2450">
        <v>20.3</v>
      </c>
      <c r="L2450">
        <v>18.399999999999999</v>
      </c>
      <c r="M2450">
        <v>33.799999999999997</v>
      </c>
      <c r="N2450">
        <v>29.3</v>
      </c>
      <c r="O2450">
        <v>39.5</v>
      </c>
      <c r="P2450">
        <v>32</v>
      </c>
      <c r="Q2450">
        <v>52.9</v>
      </c>
      <c r="R2450">
        <v>39.299999999999997</v>
      </c>
      <c r="S2450">
        <v>36.4</v>
      </c>
      <c r="T2450">
        <v>30.3</v>
      </c>
      <c r="U2450">
        <v>67.7</v>
      </c>
      <c r="V2450">
        <v>7.5</v>
      </c>
      <c r="W2450" cm="1">
        <f t="array" ref="W2450">_xlfn.IFS(OR(X2450="N/A",X2450="NA"),0,OR(X2450="R64",X2450="R68"),1,X2450="R32",2,X2450="S16",3,X2450="E8",4,X2450="F4",5,X2450="2ND",6,X2450="Champions",7)</f>
        <v>3</v>
      </c>
      <c r="X2450" t="s">
        <v>424</v>
      </c>
      <c r="Y2450">
        <v>1</v>
      </c>
      <c r="Z2450">
        <v>2013</v>
      </c>
    </row>
    <row r="2451" spans="1:26" x14ac:dyDescent="0.3">
      <c r="A2451" t="s">
        <v>106</v>
      </c>
      <c r="B2451" t="s">
        <v>26</v>
      </c>
      <c r="C2451">
        <v>36</v>
      </c>
      <c r="D2451">
        <v>29</v>
      </c>
      <c r="E2451" s="1">
        <f t="shared" si="38"/>
        <v>0.80555555555555558</v>
      </c>
      <c r="F2451">
        <v>112.4</v>
      </c>
      <c r="G2451">
        <v>90.8</v>
      </c>
      <c r="H2451">
        <v>0.92069999999999996</v>
      </c>
      <c r="I2451">
        <v>51.9</v>
      </c>
      <c r="J2451">
        <v>45.7</v>
      </c>
      <c r="K2451">
        <v>16.7</v>
      </c>
      <c r="L2451">
        <v>18.399999999999999</v>
      </c>
      <c r="M2451">
        <v>31.3</v>
      </c>
      <c r="N2451">
        <v>28.4</v>
      </c>
      <c r="O2451">
        <v>34.6</v>
      </c>
      <c r="P2451">
        <v>28.3</v>
      </c>
      <c r="Q2451">
        <v>50.6</v>
      </c>
      <c r="R2451">
        <v>44</v>
      </c>
      <c r="S2451">
        <v>36.200000000000003</v>
      </c>
      <c r="T2451">
        <v>32.6</v>
      </c>
      <c r="U2451">
        <v>63</v>
      </c>
      <c r="V2451">
        <v>6.3</v>
      </c>
      <c r="W2451" cm="1">
        <f t="array" ref="W2451">_xlfn.IFS(OR(X2451="N/A",X2451="NA"),0,OR(X2451="R64",X2451="R68"),1,X2451="R32",2,X2451="S16",3,X2451="E8",4,X2451="F4",5,X2451="2ND",6,X2451="Champions",7)</f>
        <v>3</v>
      </c>
      <c r="X2451" t="s">
        <v>424</v>
      </c>
      <c r="Y2451">
        <v>2</v>
      </c>
      <c r="Z2451">
        <v>2013</v>
      </c>
    </row>
    <row r="2452" spans="1:26" x14ac:dyDescent="0.3">
      <c r="A2452" t="s">
        <v>78</v>
      </c>
      <c r="B2452" t="s">
        <v>31</v>
      </c>
      <c r="C2452">
        <v>35</v>
      </c>
      <c r="D2452">
        <v>26</v>
      </c>
      <c r="E2452" s="1">
        <f t="shared" si="38"/>
        <v>0.74285714285714288</v>
      </c>
      <c r="F2452">
        <v>111.4</v>
      </c>
      <c r="G2452">
        <v>87.8</v>
      </c>
      <c r="H2452">
        <v>0.93920000000000003</v>
      </c>
      <c r="I2452">
        <v>50.6</v>
      </c>
      <c r="J2452">
        <v>44.5</v>
      </c>
      <c r="K2452">
        <v>20.8</v>
      </c>
      <c r="L2452">
        <v>19.2</v>
      </c>
      <c r="M2452">
        <v>36.1</v>
      </c>
      <c r="N2452">
        <v>27.6</v>
      </c>
      <c r="O2452">
        <v>36.6</v>
      </c>
      <c r="P2452">
        <v>32.4</v>
      </c>
      <c r="Q2452">
        <v>50.4</v>
      </c>
      <c r="R2452">
        <v>44.3</v>
      </c>
      <c r="S2452">
        <v>34.1</v>
      </c>
      <c r="T2452">
        <v>30.1</v>
      </c>
      <c r="U2452">
        <v>64.400000000000006</v>
      </c>
      <c r="V2452">
        <v>6.7</v>
      </c>
      <c r="W2452" cm="1">
        <f t="array" ref="W2452">_xlfn.IFS(OR(X2452="N/A",X2452="NA"),0,OR(X2452="R64",X2452="R68"),1,X2452="R32",2,X2452="S16",3,X2452="E8",4,X2452="F4",5,X2452="2ND",6,X2452="Champions",7)</f>
        <v>3</v>
      </c>
      <c r="X2452" t="s">
        <v>424</v>
      </c>
      <c r="Y2452">
        <v>3</v>
      </c>
      <c r="Z2452">
        <v>2013</v>
      </c>
    </row>
    <row r="2453" spans="1:26" x14ac:dyDescent="0.3">
      <c r="A2453" t="s">
        <v>71</v>
      </c>
      <c r="B2453" t="s">
        <v>38</v>
      </c>
      <c r="C2453">
        <v>35</v>
      </c>
      <c r="D2453">
        <v>27</v>
      </c>
      <c r="E2453" s="1">
        <f t="shared" si="38"/>
        <v>0.77142857142857146</v>
      </c>
      <c r="F2453">
        <v>114.4</v>
      </c>
      <c r="G2453">
        <v>92.2</v>
      </c>
      <c r="H2453">
        <v>0.92290000000000005</v>
      </c>
      <c r="I2453">
        <v>52.5</v>
      </c>
      <c r="J2453">
        <v>46.6</v>
      </c>
      <c r="K2453">
        <v>19.5</v>
      </c>
      <c r="L2453">
        <v>19.8</v>
      </c>
      <c r="M2453">
        <v>35</v>
      </c>
      <c r="N2453">
        <v>26.7</v>
      </c>
      <c r="O2453">
        <v>37.4</v>
      </c>
      <c r="P2453">
        <v>32.9</v>
      </c>
      <c r="Q2453">
        <v>50.6</v>
      </c>
      <c r="R2453">
        <v>43.4</v>
      </c>
      <c r="S2453">
        <v>37.1</v>
      </c>
      <c r="T2453">
        <v>35.799999999999997</v>
      </c>
      <c r="U2453">
        <v>66.8</v>
      </c>
      <c r="V2453">
        <v>4.5999999999999996</v>
      </c>
      <c r="W2453" cm="1">
        <f t="array" ref="W2453">_xlfn.IFS(OR(X2453="N/A",X2453="NA"),0,OR(X2453="R64",X2453="R68"),1,X2453="R32",2,X2453="S16",3,X2453="E8",4,X2453="F4",5,X2453="2ND",6,X2453="Champions",7)</f>
        <v>3</v>
      </c>
      <c r="X2453" t="s">
        <v>424</v>
      </c>
      <c r="Y2453">
        <v>6</v>
      </c>
      <c r="Z2453">
        <v>2013</v>
      </c>
    </row>
    <row r="2454" spans="1:26" x14ac:dyDescent="0.3">
      <c r="A2454" t="s">
        <v>73</v>
      </c>
      <c r="B2454" t="s">
        <v>38</v>
      </c>
      <c r="C2454">
        <v>37</v>
      </c>
      <c r="D2454">
        <v>28</v>
      </c>
      <c r="E2454" s="1">
        <f t="shared" si="38"/>
        <v>0.7567567567567568</v>
      </c>
      <c r="F2454">
        <v>104.8</v>
      </c>
      <c r="G2454">
        <v>88.6</v>
      </c>
      <c r="H2454">
        <v>0.87280000000000002</v>
      </c>
      <c r="I2454">
        <v>49.3</v>
      </c>
      <c r="J2454">
        <v>46.4</v>
      </c>
      <c r="K2454">
        <v>21.4</v>
      </c>
      <c r="L2454">
        <v>22</v>
      </c>
      <c r="M2454">
        <v>35.799999999999997</v>
      </c>
      <c r="N2454">
        <v>27.2</v>
      </c>
      <c r="O2454">
        <v>38.4</v>
      </c>
      <c r="P2454">
        <v>33.299999999999997</v>
      </c>
      <c r="Q2454">
        <v>49.1</v>
      </c>
      <c r="R2454">
        <v>44.9</v>
      </c>
      <c r="S2454">
        <v>33.299999999999997</v>
      </c>
      <c r="T2454">
        <v>33.4</v>
      </c>
      <c r="U2454">
        <v>69.2</v>
      </c>
      <c r="V2454">
        <v>2.9</v>
      </c>
      <c r="W2454" cm="1">
        <f t="array" ref="W2454">_xlfn.IFS(OR(X2454="N/A",X2454="NA"),0,OR(X2454="R64",X2454="R68"),1,X2454="R32",2,X2454="S16",3,X2454="E8",4,X2454="F4",5,X2454="2ND",6,X2454="Champions",7)</f>
        <v>3</v>
      </c>
      <c r="X2454" t="s">
        <v>424</v>
      </c>
      <c r="Y2454">
        <v>12</v>
      </c>
      <c r="Z2454">
        <v>2013</v>
      </c>
    </row>
    <row r="2455" spans="1:26" x14ac:dyDescent="0.3">
      <c r="A2455" t="s">
        <v>94</v>
      </c>
      <c r="B2455" t="s">
        <v>45</v>
      </c>
      <c r="C2455">
        <v>34</v>
      </c>
      <c r="D2455">
        <v>24</v>
      </c>
      <c r="E2455" s="1">
        <f t="shared" si="38"/>
        <v>0.70588235294117652</v>
      </c>
      <c r="F2455">
        <v>112</v>
      </c>
      <c r="G2455">
        <v>96.2</v>
      </c>
      <c r="H2455">
        <v>0.85160000000000002</v>
      </c>
      <c r="I2455">
        <v>51.9</v>
      </c>
      <c r="J2455">
        <v>49.3</v>
      </c>
      <c r="K2455">
        <v>17.100000000000001</v>
      </c>
      <c r="L2455">
        <v>21.3</v>
      </c>
      <c r="M2455">
        <v>29</v>
      </c>
      <c r="N2455">
        <v>34.200000000000003</v>
      </c>
      <c r="O2455">
        <v>31.3</v>
      </c>
      <c r="P2455">
        <v>28.5</v>
      </c>
      <c r="Q2455">
        <v>49.3</v>
      </c>
      <c r="R2455">
        <v>50.6</v>
      </c>
      <c r="S2455">
        <v>37.700000000000003</v>
      </c>
      <c r="T2455">
        <v>30.2</v>
      </c>
      <c r="U2455">
        <v>66</v>
      </c>
      <c r="V2455">
        <v>0.3</v>
      </c>
      <c r="W2455" cm="1">
        <f t="array" ref="W2455">_xlfn.IFS(OR(X2455="N/A",X2455="NA"),0,OR(X2455="R64",X2455="R68"),1,X2455="R32",2,X2455="S16",3,X2455="E8",4,X2455="F4",5,X2455="2ND",6,X2455="Champions",7)</f>
        <v>3</v>
      </c>
      <c r="X2455" t="s">
        <v>424</v>
      </c>
      <c r="Y2455">
        <v>13</v>
      </c>
      <c r="Z2455">
        <v>2013</v>
      </c>
    </row>
    <row r="2456" spans="1:26" x14ac:dyDescent="0.3">
      <c r="A2456" t="s">
        <v>130</v>
      </c>
      <c r="B2456" t="s">
        <v>131</v>
      </c>
      <c r="C2456">
        <v>35</v>
      </c>
      <c r="D2456">
        <v>24</v>
      </c>
      <c r="E2456" s="1">
        <f t="shared" si="38"/>
        <v>0.68571428571428572</v>
      </c>
      <c r="F2456">
        <v>103.4</v>
      </c>
      <c r="G2456">
        <v>96.3</v>
      </c>
      <c r="H2456">
        <v>0.69520000000000004</v>
      </c>
      <c r="I2456">
        <v>51.6</v>
      </c>
      <c r="J2456">
        <v>46.9</v>
      </c>
      <c r="K2456">
        <v>21</v>
      </c>
      <c r="L2456">
        <v>22.1</v>
      </c>
      <c r="M2456">
        <v>32.5</v>
      </c>
      <c r="N2456">
        <v>32.799999999999997</v>
      </c>
      <c r="O2456">
        <v>35.200000000000003</v>
      </c>
      <c r="P2456">
        <v>32.700000000000003</v>
      </c>
      <c r="Q2456">
        <v>52.3</v>
      </c>
      <c r="R2456">
        <v>46.9</v>
      </c>
      <c r="S2456">
        <v>33.4</v>
      </c>
      <c r="T2456">
        <v>31.3</v>
      </c>
      <c r="U2456">
        <v>69.099999999999994</v>
      </c>
      <c r="V2456">
        <v>-4</v>
      </c>
      <c r="W2456" cm="1">
        <f t="array" ref="W2456">_xlfn.IFS(OR(X2456="N/A",X2456="NA"),0,OR(X2456="R64",X2456="R68"),1,X2456="R32",2,X2456="S16",3,X2456="E8",4,X2456="F4",5,X2456="2ND",6,X2456="Champions",7)</f>
        <v>3</v>
      </c>
      <c r="X2456" t="s">
        <v>424</v>
      </c>
      <c r="Y2456">
        <v>15</v>
      </c>
      <c r="Z2456">
        <v>2013</v>
      </c>
    </row>
    <row r="2457" spans="1:26" x14ac:dyDescent="0.3">
      <c r="A2457" t="s">
        <v>32</v>
      </c>
      <c r="B2457" t="s">
        <v>31</v>
      </c>
      <c r="C2457">
        <v>24</v>
      </c>
      <c r="D2457">
        <v>20</v>
      </c>
      <c r="E2457" s="1">
        <f t="shared" si="38"/>
        <v>0.83333333333333337</v>
      </c>
      <c r="F2457">
        <v>118.1</v>
      </c>
      <c r="G2457">
        <v>91.1</v>
      </c>
      <c r="H2457">
        <v>0.95209999999999995</v>
      </c>
      <c r="I2457">
        <v>54.9</v>
      </c>
      <c r="J2457">
        <v>44.9</v>
      </c>
      <c r="K2457">
        <v>16.3</v>
      </c>
      <c r="L2457">
        <v>15.1</v>
      </c>
      <c r="M2457">
        <v>29.4</v>
      </c>
      <c r="N2457">
        <v>24.8</v>
      </c>
      <c r="O2457">
        <v>28.9</v>
      </c>
      <c r="P2457">
        <v>24.5</v>
      </c>
      <c r="Q2457">
        <v>53.3</v>
      </c>
      <c r="R2457">
        <v>42.3</v>
      </c>
      <c r="S2457">
        <v>38.700000000000003</v>
      </c>
      <c r="T2457">
        <v>33.5</v>
      </c>
      <c r="U2457">
        <v>66.900000000000006</v>
      </c>
      <c r="V2457">
        <v>7.2</v>
      </c>
      <c r="W2457" cm="1">
        <f t="array" ref="W2457">_xlfn.IFS(OR(X2457="N/A",X2457="NA"),0,OR(X2457="R64",X2457="R68"),1,X2457="R32",2,X2457="S16",3,X2457="E8",4,X2457="F4",5,X2457="2ND",6,X2457="Champions",7)</f>
        <v>4</v>
      </c>
      <c r="X2457" t="s">
        <v>54</v>
      </c>
      <c r="Y2457">
        <v>1</v>
      </c>
      <c r="Z2457">
        <v>2021</v>
      </c>
    </row>
    <row r="2458" spans="1:26" x14ac:dyDescent="0.3">
      <c r="A2458" t="s">
        <v>153</v>
      </c>
      <c r="B2458" t="s">
        <v>35</v>
      </c>
      <c r="C2458">
        <v>24</v>
      </c>
      <c r="D2458">
        <v>22</v>
      </c>
      <c r="E2458" s="1">
        <f t="shared" si="38"/>
        <v>0.91666666666666663</v>
      </c>
      <c r="F2458">
        <v>123.2</v>
      </c>
      <c r="G2458">
        <v>94.5</v>
      </c>
      <c r="H2458">
        <v>0.95479999999999998</v>
      </c>
      <c r="I2458">
        <v>57.5</v>
      </c>
      <c r="J2458">
        <v>49.1</v>
      </c>
      <c r="K2458">
        <v>17.600000000000001</v>
      </c>
      <c r="L2458">
        <v>24.6</v>
      </c>
      <c r="M2458">
        <v>37.5</v>
      </c>
      <c r="N2458">
        <v>30.9</v>
      </c>
      <c r="O2458">
        <v>27</v>
      </c>
      <c r="P2458">
        <v>31.7</v>
      </c>
      <c r="Q2458">
        <v>54.1</v>
      </c>
      <c r="R2458">
        <v>48.1</v>
      </c>
      <c r="S2458">
        <v>41.8</v>
      </c>
      <c r="T2458">
        <v>34</v>
      </c>
      <c r="U2458">
        <v>68.8</v>
      </c>
      <c r="V2458">
        <v>6.6</v>
      </c>
      <c r="W2458" cm="1">
        <f t="array" ref="W2458">_xlfn.IFS(OR(X2458="N/A",X2458="NA"),0,OR(X2458="R64",X2458="R68"),1,X2458="R32",2,X2458="S16",3,X2458="E8",4,X2458="F4",5,X2458="2ND",6,X2458="Champions",7)</f>
        <v>7</v>
      </c>
      <c r="X2458" t="s">
        <v>42</v>
      </c>
      <c r="Y2458">
        <v>1</v>
      </c>
      <c r="Z2458">
        <v>2021</v>
      </c>
    </row>
    <row r="2459" spans="1:26" x14ac:dyDescent="0.3">
      <c r="A2459" t="s">
        <v>141</v>
      </c>
      <c r="B2459" t="s">
        <v>31</v>
      </c>
      <c r="C2459">
        <v>29</v>
      </c>
      <c r="D2459">
        <v>23</v>
      </c>
      <c r="E2459" s="1">
        <f t="shared" si="38"/>
        <v>0.7931034482758621</v>
      </c>
      <c r="F2459">
        <v>117.7</v>
      </c>
      <c r="G2459">
        <v>90.4</v>
      </c>
      <c r="H2459">
        <v>0.95389999999999997</v>
      </c>
      <c r="I2459">
        <v>55.6</v>
      </c>
      <c r="J2459">
        <v>46.6</v>
      </c>
      <c r="K2459">
        <v>18.2</v>
      </c>
      <c r="L2459">
        <v>16.100000000000001</v>
      </c>
      <c r="M2459">
        <v>33</v>
      </c>
      <c r="N2459">
        <v>22.2</v>
      </c>
      <c r="O2459">
        <v>39.200000000000003</v>
      </c>
      <c r="P2459">
        <v>30.5</v>
      </c>
      <c r="Q2459">
        <v>55.3</v>
      </c>
      <c r="R2459">
        <v>45.4</v>
      </c>
      <c r="S2459">
        <v>37.6</v>
      </c>
      <c r="T2459">
        <v>32.700000000000003</v>
      </c>
      <c r="U2459">
        <v>70.7</v>
      </c>
      <c r="V2459">
        <v>8.9</v>
      </c>
      <c r="W2459" cm="1">
        <f t="array" ref="W2459">_xlfn.IFS(OR(X2459="N/A",X2459="NA"),0,OR(X2459="R64",X2459="R68"),1,X2459="R32",2,X2459="S16",3,X2459="E8",4,X2459="F4",5,X2459="2ND",6,X2459="Champions",7)</f>
        <v>2</v>
      </c>
      <c r="X2459" t="s">
        <v>420</v>
      </c>
      <c r="Y2459">
        <v>1</v>
      </c>
      <c r="Z2459">
        <v>2021</v>
      </c>
    </row>
    <row r="2460" spans="1:26" x14ac:dyDescent="0.3">
      <c r="A2460" t="s">
        <v>36</v>
      </c>
      <c r="B2460" t="s">
        <v>37</v>
      </c>
      <c r="C2460">
        <v>26</v>
      </c>
      <c r="D2460">
        <v>26</v>
      </c>
      <c r="E2460" s="1">
        <f t="shared" si="38"/>
        <v>1</v>
      </c>
      <c r="F2460">
        <v>125.4</v>
      </c>
      <c r="G2460">
        <v>89.8</v>
      </c>
      <c r="H2460">
        <v>0.97909999999999997</v>
      </c>
      <c r="I2460">
        <v>61</v>
      </c>
      <c r="J2460">
        <v>47.5</v>
      </c>
      <c r="K2460">
        <v>16.100000000000001</v>
      </c>
      <c r="L2460">
        <v>20.3</v>
      </c>
      <c r="M2460">
        <v>30.4</v>
      </c>
      <c r="N2460">
        <v>23.4</v>
      </c>
      <c r="O2460">
        <v>36.700000000000003</v>
      </c>
      <c r="P2460">
        <v>25.9</v>
      </c>
      <c r="Q2460">
        <v>64</v>
      </c>
      <c r="R2460">
        <v>46.8</v>
      </c>
      <c r="S2460">
        <v>36.5</v>
      </c>
      <c r="T2460">
        <v>32.5</v>
      </c>
      <c r="U2460">
        <v>74.599999999999994</v>
      </c>
      <c r="V2460">
        <v>8.5</v>
      </c>
      <c r="W2460" cm="1">
        <f t="array" ref="W2460">_xlfn.IFS(OR(X2460="N/A",X2460="NA"),0,OR(X2460="R64",X2460="R68"),1,X2460="R32",2,X2460="S16",3,X2460="E8",4,X2460="F4",5,X2460="2ND",6,X2460="Champions",7)</f>
        <v>6</v>
      </c>
      <c r="X2460" t="s">
        <v>28</v>
      </c>
      <c r="Y2460">
        <v>1</v>
      </c>
      <c r="Z2460">
        <v>2021</v>
      </c>
    </row>
    <row r="2461" spans="1:26" x14ac:dyDescent="0.3">
      <c r="A2461" t="s">
        <v>148</v>
      </c>
      <c r="B2461" t="s">
        <v>31</v>
      </c>
      <c r="C2461">
        <v>29</v>
      </c>
      <c r="D2461">
        <v>21</v>
      </c>
      <c r="E2461" s="1">
        <f t="shared" si="38"/>
        <v>0.72413793103448276</v>
      </c>
      <c r="F2461">
        <v>123.5</v>
      </c>
      <c r="G2461">
        <v>95.7</v>
      </c>
      <c r="H2461">
        <v>0.94910000000000005</v>
      </c>
      <c r="I2461">
        <v>54.6</v>
      </c>
      <c r="J2461">
        <v>48.3</v>
      </c>
      <c r="K2461">
        <v>13.3</v>
      </c>
      <c r="L2461">
        <v>16.3</v>
      </c>
      <c r="M2461">
        <v>30.7</v>
      </c>
      <c r="N2461">
        <v>28.6</v>
      </c>
      <c r="O2461">
        <v>32</v>
      </c>
      <c r="P2461">
        <v>22.6</v>
      </c>
      <c r="Q2461">
        <v>52.4</v>
      </c>
      <c r="R2461">
        <v>45.8</v>
      </c>
      <c r="S2461">
        <v>38.6</v>
      </c>
      <c r="T2461">
        <v>34.799999999999997</v>
      </c>
      <c r="U2461">
        <v>70</v>
      </c>
      <c r="V2461">
        <v>5.6</v>
      </c>
      <c r="W2461" cm="1">
        <f t="array" ref="W2461">_xlfn.IFS(OR(X2461="N/A",X2461="NA"),0,OR(X2461="R64",X2461="R68"),1,X2461="R32",2,X2461="S16",3,X2461="E8",4,X2461="F4",5,X2461="2ND",6,X2461="Champions",7)</f>
        <v>2</v>
      </c>
      <c r="X2461" t="s">
        <v>420</v>
      </c>
      <c r="Y2461">
        <v>2</v>
      </c>
      <c r="Z2461">
        <v>2021</v>
      </c>
    </row>
    <row r="2462" spans="1:26" x14ac:dyDescent="0.3">
      <c r="A2462" t="s">
        <v>80</v>
      </c>
      <c r="B2462" t="s">
        <v>31</v>
      </c>
      <c r="C2462">
        <v>30</v>
      </c>
      <c r="D2462">
        <v>21</v>
      </c>
      <c r="E2462" s="1">
        <f t="shared" si="38"/>
        <v>0.7</v>
      </c>
      <c r="F2462">
        <v>122.1</v>
      </c>
      <c r="G2462">
        <v>97</v>
      </c>
      <c r="H2462">
        <v>0.93400000000000005</v>
      </c>
      <c r="I2462">
        <v>53.1</v>
      </c>
      <c r="J2462">
        <v>48.9</v>
      </c>
      <c r="K2462">
        <v>15.3</v>
      </c>
      <c r="L2462">
        <v>15</v>
      </c>
      <c r="M2462">
        <v>29.1</v>
      </c>
      <c r="N2462">
        <v>27.4</v>
      </c>
      <c r="O2462">
        <v>37.6</v>
      </c>
      <c r="P2462">
        <v>33.799999999999997</v>
      </c>
      <c r="Q2462">
        <v>52.1</v>
      </c>
      <c r="R2462">
        <v>47.4</v>
      </c>
      <c r="S2462">
        <v>36.5</v>
      </c>
      <c r="T2462">
        <v>34.1</v>
      </c>
      <c r="U2462">
        <v>66.900000000000006</v>
      </c>
      <c r="V2462">
        <v>6</v>
      </c>
      <c r="W2462" cm="1">
        <f t="array" ref="W2462">_xlfn.IFS(OR(X2462="N/A",X2462="NA"),0,OR(X2462="R64",X2462="R68"),1,X2462="R32",2,X2462="S16",3,X2462="E8",4,X2462="F4",5,X2462="2ND",6,X2462="Champions",7)</f>
        <v>1</v>
      </c>
      <c r="X2462" t="s">
        <v>422</v>
      </c>
      <c r="Y2462">
        <v>2</v>
      </c>
      <c r="Z2462">
        <v>2021</v>
      </c>
    </row>
    <row r="2463" spans="1:26" x14ac:dyDescent="0.3">
      <c r="A2463" t="s">
        <v>122</v>
      </c>
      <c r="B2463" t="s">
        <v>50</v>
      </c>
      <c r="C2463">
        <v>26</v>
      </c>
      <c r="D2463">
        <v>24</v>
      </c>
      <c r="E2463" s="1">
        <f t="shared" si="38"/>
        <v>0.92307692307692313</v>
      </c>
      <c r="F2463">
        <v>120.6</v>
      </c>
      <c r="G2463">
        <v>90.9</v>
      </c>
      <c r="H2463">
        <v>0.96260000000000001</v>
      </c>
      <c r="I2463">
        <v>51.3</v>
      </c>
      <c r="J2463">
        <v>42.9</v>
      </c>
      <c r="K2463">
        <v>16.3</v>
      </c>
      <c r="L2463">
        <v>21.6</v>
      </c>
      <c r="M2463">
        <v>39.4</v>
      </c>
      <c r="N2463">
        <v>28</v>
      </c>
      <c r="O2463">
        <v>30.7</v>
      </c>
      <c r="P2463">
        <v>42.4</v>
      </c>
      <c r="Q2463">
        <v>49.9</v>
      </c>
      <c r="R2463">
        <v>43</v>
      </c>
      <c r="S2463">
        <v>35.5</v>
      </c>
      <c r="T2463">
        <v>28.5</v>
      </c>
      <c r="U2463">
        <v>65</v>
      </c>
      <c r="V2463">
        <v>4</v>
      </c>
      <c r="W2463" cm="1">
        <f t="array" ref="W2463">_xlfn.IFS(OR(X2463="N/A",X2463="NA"),0,OR(X2463="R64",X2463="R68"),1,X2463="R32",2,X2463="S16",3,X2463="E8",4,X2463="F4",5,X2463="2ND",6,X2463="Champions",7)</f>
        <v>5</v>
      </c>
      <c r="X2463" t="s">
        <v>83</v>
      </c>
      <c r="Y2463">
        <v>2</v>
      </c>
      <c r="Z2463">
        <v>2021</v>
      </c>
    </row>
    <row r="2464" spans="1:26" x14ac:dyDescent="0.3">
      <c r="A2464" t="s">
        <v>358</v>
      </c>
      <c r="B2464" t="s">
        <v>29</v>
      </c>
      <c r="C2464">
        <v>30</v>
      </c>
      <c r="D2464">
        <v>24</v>
      </c>
      <c r="E2464" s="1">
        <f t="shared" si="38"/>
        <v>0.8</v>
      </c>
      <c r="F2464">
        <v>111</v>
      </c>
      <c r="G2464">
        <v>88.1</v>
      </c>
      <c r="H2464">
        <v>0.93430000000000002</v>
      </c>
      <c r="I2464">
        <v>51.3</v>
      </c>
      <c r="J2464">
        <v>45.3</v>
      </c>
      <c r="K2464">
        <v>18.600000000000001</v>
      </c>
      <c r="L2464">
        <v>21.1</v>
      </c>
      <c r="M2464">
        <v>31.5</v>
      </c>
      <c r="N2464">
        <v>29.8</v>
      </c>
      <c r="O2464">
        <v>28.6</v>
      </c>
      <c r="P2464">
        <v>31.9</v>
      </c>
      <c r="Q2464">
        <v>50.1</v>
      </c>
      <c r="R2464">
        <v>46.4</v>
      </c>
      <c r="S2464">
        <v>35.1</v>
      </c>
      <c r="T2464">
        <v>28.8</v>
      </c>
      <c r="U2464">
        <v>73.900000000000006</v>
      </c>
      <c r="V2464">
        <v>6.8</v>
      </c>
      <c r="W2464" cm="1">
        <f t="array" ref="W2464">_xlfn.IFS(OR(X2464="N/A",X2464="NA"),0,OR(X2464="R64",X2464="R68"),1,X2464="R32",2,X2464="S16",3,X2464="E8",4,X2464="F4",5,X2464="2ND",6,X2464="Champions",7)</f>
        <v>3</v>
      </c>
      <c r="X2464" t="s">
        <v>424</v>
      </c>
      <c r="Y2464">
        <v>2</v>
      </c>
      <c r="Z2464">
        <v>2021</v>
      </c>
    </row>
    <row r="2465" spans="1:26" x14ac:dyDescent="0.3">
      <c r="A2465" t="s">
        <v>155</v>
      </c>
      <c r="B2465" t="s">
        <v>35</v>
      </c>
      <c r="C2465">
        <v>27</v>
      </c>
      <c r="D2465">
        <v>18</v>
      </c>
      <c r="E2465" s="1">
        <f t="shared" si="38"/>
        <v>0.66666666666666663</v>
      </c>
      <c r="F2465">
        <v>115.9</v>
      </c>
      <c r="G2465">
        <v>95.3</v>
      </c>
      <c r="H2465">
        <v>0.90459999999999996</v>
      </c>
      <c r="I2465">
        <v>48.7</v>
      </c>
      <c r="J2465">
        <v>50.2</v>
      </c>
      <c r="K2465">
        <v>17</v>
      </c>
      <c r="L2465">
        <v>20.7</v>
      </c>
      <c r="M2465">
        <v>35.6</v>
      </c>
      <c r="N2465">
        <v>31.3</v>
      </c>
      <c r="O2465">
        <v>39.4</v>
      </c>
      <c r="P2465">
        <v>28.5</v>
      </c>
      <c r="Q2465">
        <v>46.4</v>
      </c>
      <c r="R2465">
        <v>51.3</v>
      </c>
      <c r="S2465">
        <v>35.700000000000003</v>
      </c>
      <c r="T2465">
        <v>32.299999999999997</v>
      </c>
      <c r="U2465">
        <v>69.599999999999994</v>
      </c>
      <c r="V2465">
        <v>3</v>
      </c>
      <c r="W2465" cm="1">
        <f t="array" ref="W2465">_xlfn.IFS(OR(X2465="N/A",X2465="NA"),0,OR(X2465="R64",X2465="R68"),1,X2465="R32",2,X2465="S16",3,X2465="E8",4,X2465="F4",5,X2465="2ND",6,X2465="Champions",7)</f>
        <v>2</v>
      </c>
      <c r="X2465" t="s">
        <v>420</v>
      </c>
      <c r="Y2465">
        <v>3</v>
      </c>
      <c r="Z2465">
        <v>2021</v>
      </c>
    </row>
    <row r="2466" spans="1:26" x14ac:dyDescent="0.3">
      <c r="A2466" t="s">
        <v>152</v>
      </c>
      <c r="B2466" t="s">
        <v>35</v>
      </c>
      <c r="C2466">
        <v>26</v>
      </c>
      <c r="D2466">
        <v>19</v>
      </c>
      <c r="E2466" s="1">
        <f t="shared" si="38"/>
        <v>0.73076923076923073</v>
      </c>
      <c r="F2466">
        <v>113.8</v>
      </c>
      <c r="G2466">
        <v>93.5</v>
      </c>
      <c r="H2466">
        <v>0.90580000000000005</v>
      </c>
      <c r="I2466">
        <v>52.9</v>
      </c>
      <c r="J2466">
        <v>46.7</v>
      </c>
      <c r="K2466">
        <v>20.2</v>
      </c>
      <c r="L2466">
        <v>17.8</v>
      </c>
      <c r="M2466">
        <v>31.3</v>
      </c>
      <c r="N2466">
        <v>26.9</v>
      </c>
      <c r="O2466">
        <v>34</v>
      </c>
      <c r="P2466">
        <v>36.700000000000003</v>
      </c>
      <c r="Q2466">
        <v>52.4</v>
      </c>
      <c r="R2466">
        <v>45.8</v>
      </c>
      <c r="S2466">
        <v>35.700000000000003</v>
      </c>
      <c r="T2466">
        <v>32.299999999999997</v>
      </c>
      <c r="U2466">
        <v>69.099999999999994</v>
      </c>
      <c r="V2466">
        <v>4.2</v>
      </c>
      <c r="W2466" cm="1">
        <f t="array" ref="W2466">_xlfn.IFS(OR(X2466="N/A",X2466="NA"),0,OR(X2466="R64",X2466="R68"),1,X2466="R32",2,X2466="S16",3,X2466="E8",4,X2466="F4",5,X2466="2ND",6,X2466="Champions",7)</f>
        <v>1</v>
      </c>
      <c r="X2466" t="s">
        <v>422</v>
      </c>
      <c r="Y2466">
        <v>3</v>
      </c>
      <c r="Z2466">
        <v>2021</v>
      </c>
    </row>
    <row r="2467" spans="1:26" x14ac:dyDescent="0.3">
      <c r="A2467" t="s">
        <v>65</v>
      </c>
      <c r="B2467" t="s">
        <v>35</v>
      </c>
      <c r="C2467">
        <v>27</v>
      </c>
      <c r="D2467">
        <v>20</v>
      </c>
      <c r="E2467" s="1">
        <f t="shared" si="38"/>
        <v>0.7407407407407407</v>
      </c>
      <c r="F2467">
        <v>108.5</v>
      </c>
      <c r="G2467">
        <v>90</v>
      </c>
      <c r="H2467">
        <v>0.89639999999999997</v>
      </c>
      <c r="I2467">
        <v>49.8</v>
      </c>
      <c r="J2467">
        <v>47</v>
      </c>
      <c r="K2467">
        <v>17.7</v>
      </c>
      <c r="L2467">
        <v>20</v>
      </c>
      <c r="M2467">
        <v>30.9</v>
      </c>
      <c r="N2467">
        <v>26.9</v>
      </c>
      <c r="O2467">
        <v>30.5</v>
      </c>
      <c r="P2467">
        <v>26.5</v>
      </c>
      <c r="Q2467">
        <v>49.3</v>
      </c>
      <c r="R2467">
        <v>45.9</v>
      </c>
      <c r="S2467">
        <v>33.799999999999997</v>
      </c>
      <c r="T2467">
        <v>32.6</v>
      </c>
      <c r="U2467">
        <v>68.2</v>
      </c>
      <c r="V2467">
        <v>4.2</v>
      </c>
      <c r="W2467" cm="1">
        <f t="array" ref="W2467">_xlfn.IFS(OR(X2467="N/A",X2467="NA"),0,OR(X2467="R64",X2467="R68"),1,X2467="R32",2,X2467="S16",3,X2467="E8",4,X2467="F4",5,X2467="2ND",6,X2467="Champions",7)</f>
        <v>2</v>
      </c>
      <c r="X2467" t="s">
        <v>420</v>
      </c>
      <c r="Y2467">
        <v>3</v>
      </c>
      <c r="Z2467">
        <v>2021</v>
      </c>
    </row>
    <row r="2468" spans="1:26" x14ac:dyDescent="0.3">
      <c r="A2468" t="s">
        <v>364</v>
      </c>
      <c r="B2468" t="s">
        <v>29</v>
      </c>
      <c r="C2468">
        <v>28</v>
      </c>
      <c r="D2468">
        <v>22</v>
      </c>
      <c r="E2468" s="1">
        <f t="shared" si="38"/>
        <v>0.7857142857142857</v>
      </c>
      <c r="F2468">
        <v>110.4</v>
      </c>
      <c r="G2468">
        <v>91.2</v>
      </c>
      <c r="H2468">
        <v>0.89970000000000006</v>
      </c>
      <c r="I2468">
        <v>51.5</v>
      </c>
      <c r="J2468">
        <v>47.6</v>
      </c>
      <c r="K2468">
        <v>17.399999999999999</v>
      </c>
      <c r="L2468">
        <v>20.3</v>
      </c>
      <c r="M2468">
        <v>31.7</v>
      </c>
      <c r="N2468">
        <v>26.2</v>
      </c>
      <c r="O2468">
        <v>32.700000000000003</v>
      </c>
      <c r="P2468">
        <v>29.3</v>
      </c>
      <c r="Q2468">
        <v>51.9</v>
      </c>
      <c r="R2468">
        <v>46.9</v>
      </c>
      <c r="S2468">
        <v>33.9</v>
      </c>
      <c r="T2468">
        <v>32.6</v>
      </c>
      <c r="U2468">
        <v>73.099999999999994</v>
      </c>
      <c r="V2468">
        <v>4.5999999999999996</v>
      </c>
      <c r="W2468" cm="1">
        <f t="array" ref="W2468">_xlfn.IFS(OR(X2468="N/A",X2468="NA"),0,OR(X2468="R64",X2468="R68"),1,X2468="R32",2,X2468="S16",3,X2468="E8",4,X2468="F4",5,X2468="2ND",6,X2468="Champions",7)</f>
        <v>4</v>
      </c>
      <c r="X2468" t="s">
        <v>54</v>
      </c>
      <c r="Y2468">
        <v>3</v>
      </c>
      <c r="Z2468">
        <v>2021</v>
      </c>
    </row>
    <row r="2469" spans="1:26" x14ac:dyDescent="0.3">
      <c r="A2469" t="s">
        <v>60</v>
      </c>
      <c r="B2469" t="s">
        <v>26</v>
      </c>
      <c r="C2469">
        <v>22</v>
      </c>
      <c r="D2469">
        <v>16</v>
      </c>
      <c r="E2469" s="1">
        <f t="shared" si="38"/>
        <v>0.72727272727272729</v>
      </c>
      <c r="F2469">
        <v>117.8</v>
      </c>
      <c r="G2469">
        <v>94</v>
      </c>
      <c r="H2469">
        <v>0.93049999999999999</v>
      </c>
      <c r="I2469">
        <v>54.4</v>
      </c>
      <c r="J2469">
        <v>46.5</v>
      </c>
      <c r="K2469">
        <v>20.100000000000001</v>
      </c>
      <c r="L2469">
        <v>19.600000000000001</v>
      </c>
      <c r="M2469">
        <v>35.4</v>
      </c>
      <c r="N2469">
        <v>31.4</v>
      </c>
      <c r="O2469">
        <v>32.700000000000003</v>
      </c>
      <c r="P2469">
        <v>36.299999999999997</v>
      </c>
      <c r="Q2469">
        <v>52.1</v>
      </c>
      <c r="R2469">
        <v>44.2</v>
      </c>
      <c r="S2469">
        <v>39</v>
      </c>
      <c r="T2469">
        <v>33.299999999999997</v>
      </c>
      <c r="U2469">
        <v>70.400000000000006</v>
      </c>
      <c r="V2469">
        <v>2.5</v>
      </c>
      <c r="W2469" cm="1">
        <f t="array" ref="W2469">_xlfn.IFS(OR(X2469="N/A",X2469="NA"),0,OR(X2469="R64",X2469="R68"),1,X2469="R32",2,X2469="S16",3,X2469="E8",4,X2469="F4",5,X2469="2ND",6,X2469="Champions",7)</f>
        <v>3</v>
      </c>
      <c r="X2469" t="s">
        <v>424</v>
      </c>
      <c r="Y2469">
        <v>4</v>
      </c>
      <c r="Z2469">
        <v>2021</v>
      </c>
    </row>
    <row r="2470" spans="1:26" x14ac:dyDescent="0.3">
      <c r="A2470" t="s">
        <v>44</v>
      </c>
      <c r="B2470" t="s">
        <v>26</v>
      </c>
      <c r="C2470">
        <v>24</v>
      </c>
      <c r="D2470">
        <v>18</v>
      </c>
      <c r="E2470" s="1">
        <f t="shared" si="38"/>
        <v>0.75</v>
      </c>
      <c r="F2470">
        <v>114.6</v>
      </c>
      <c r="G2470">
        <v>93.9</v>
      </c>
      <c r="H2470">
        <v>0.90790000000000004</v>
      </c>
      <c r="I2470">
        <v>56.1</v>
      </c>
      <c r="J2470">
        <v>47.9</v>
      </c>
      <c r="K2470">
        <v>15.4</v>
      </c>
      <c r="L2470">
        <v>15.2</v>
      </c>
      <c r="M2470">
        <v>23.1</v>
      </c>
      <c r="N2470">
        <v>22.6</v>
      </c>
      <c r="O2470">
        <v>22</v>
      </c>
      <c r="P2470">
        <v>24.6</v>
      </c>
      <c r="Q2470">
        <v>55.3</v>
      </c>
      <c r="R2470">
        <v>46.1</v>
      </c>
      <c r="S2470">
        <v>38.1</v>
      </c>
      <c r="T2470">
        <v>34</v>
      </c>
      <c r="U2470">
        <v>59.9</v>
      </c>
      <c r="V2470">
        <v>3.4</v>
      </c>
      <c r="W2470" cm="1">
        <f t="array" ref="W2470">_xlfn.IFS(OR(X2470="N/A",X2470="NA"),0,OR(X2470="R64",X2470="R68"),1,X2470="R32",2,X2470="S16",3,X2470="E8",4,X2470="F4",5,X2470="2ND",6,X2470="Champions",7)</f>
        <v>1</v>
      </c>
      <c r="X2470" t="s">
        <v>422</v>
      </c>
      <c r="Y2470">
        <v>4</v>
      </c>
      <c r="Z2470">
        <v>2021</v>
      </c>
    </row>
    <row r="2471" spans="1:26" x14ac:dyDescent="0.3">
      <c r="A2471" t="s">
        <v>63</v>
      </c>
      <c r="B2471" t="s">
        <v>31</v>
      </c>
      <c r="C2471">
        <v>27</v>
      </c>
      <c r="D2471">
        <v>18</v>
      </c>
      <c r="E2471" s="1">
        <f t="shared" si="38"/>
        <v>0.66666666666666663</v>
      </c>
      <c r="F2471">
        <v>112.4</v>
      </c>
      <c r="G2471">
        <v>92.9</v>
      </c>
      <c r="H2471">
        <v>0.89939999999999998</v>
      </c>
      <c r="I2471">
        <v>51.4</v>
      </c>
      <c r="J2471">
        <v>48.6</v>
      </c>
      <c r="K2471">
        <v>18.7</v>
      </c>
      <c r="L2471">
        <v>16.899999999999999</v>
      </c>
      <c r="M2471">
        <v>32.200000000000003</v>
      </c>
      <c r="N2471">
        <v>24.1</v>
      </c>
      <c r="O2471">
        <v>32.200000000000003</v>
      </c>
      <c r="P2471">
        <v>30.3</v>
      </c>
      <c r="Q2471">
        <v>52.1</v>
      </c>
      <c r="R2471">
        <v>49.7</v>
      </c>
      <c r="S2471">
        <v>33.5</v>
      </c>
      <c r="T2471">
        <v>31.5</v>
      </c>
      <c r="U2471">
        <v>66.599999999999994</v>
      </c>
      <c r="V2471">
        <v>3.8</v>
      </c>
      <c r="W2471" cm="1">
        <f t="array" ref="W2471">_xlfn.IFS(OR(X2471="N/A",X2471="NA"),0,OR(X2471="R64",X2471="R68"),1,X2471="R32",2,X2471="S16",3,X2471="E8",4,X2471="F4",5,X2471="2ND",6,X2471="Champions",7)</f>
        <v>1</v>
      </c>
      <c r="X2471" t="s">
        <v>422</v>
      </c>
      <c r="Y2471">
        <v>4</v>
      </c>
      <c r="Z2471">
        <v>2021</v>
      </c>
    </row>
    <row r="2472" spans="1:26" x14ac:dyDescent="0.3">
      <c r="A2472" t="s">
        <v>151</v>
      </c>
      <c r="B2472" t="s">
        <v>35</v>
      </c>
      <c r="C2472">
        <v>28</v>
      </c>
      <c r="D2472">
        <v>20</v>
      </c>
      <c r="E2472" s="1">
        <f t="shared" si="38"/>
        <v>0.7142857142857143</v>
      </c>
      <c r="F2472">
        <v>109.3</v>
      </c>
      <c r="G2472">
        <v>92.3</v>
      </c>
      <c r="H2472">
        <v>0.875</v>
      </c>
      <c r="I2472">
        <v>52.1</v>
      </c>
      <c r="J2472">
        <v>47.2</v>
      </c>
      <c r="K2472">
        <v>21.4</v>
      </c>
      <c r="L2472">
        <v>19.3</v>
      </c>
      <c r="M2472">
        <v>31.9</v>
      </c>
      <c r="N2472">
        <v>30.2</v>
      </c>
      <c r="O2472">
        <v>36.4</v>
      </c>
      <c r="P2472">
        <v>30.5</v>
      </c>
      <c r="Q2472">
        <v>52.8</v>
      </c>
      <c r="R2472">
        <v>46.9</v>
      </c>
      <c r="S2472">
        <v>33.799999999999997</v>
      </c>
      <c r="T2472">
        <v>31.7</v>
      </c>
      <c r="U2472">
        <v>71.599999999999994</v>
      </c>
      <c r="V2472">
        <v>4.5999999999999996</v>
      </c>
      <c r="W2472" cm="1">
        <f t="array" ref="W2472">_xlfn.IFS(OR(X2472="N/A",X2472="NA"),0,OR(X2472="R64",X2472="R68"),1,X2472="R32",2,X2472="S16",3,X2472="E8",4,X2472="F4",5,X2472="2ND",6,X2472="Champions",7)</f>
        <v>2</v>
      </c>
      <c r="X2472" t="s">
        <v>420</v>
      </c>
      <c r="Y2472">
        <v>4</v>
      </c>
      <c r="Z2472">
        <v>2021</v>
      </c>
    </row>
    <row r="2473" spans="1:26" x14ac:dyDescent="0.3">
      <c r="A2473" t="s">
        <v>46</v>
      </c>
      <c r="B2473" t="s">
        <v>33</v>
      </c>
      <c r="C2473">
        <v>22</v>
      </c>
      <c r="D2473">
        <v>16</v>
      </c>
      <c r="E2473" s="1">
        <f t="shared" si="38"/>
        <v>0.72727272727272729</v>
      </c>
      <c r="F2473">
        <v>117.9</v>
      </c>
      <c r="G2473">
        <v>96.7</v>
      </c>
      <c r="H2473">
        <v>0.90759999999999996</v>
      </c>
      <c r="I2473">
        <v>52.8</v>
      </c>
      <c r="J2473">
        <v>51.8</v>
      </c>
      <c r="K2473">
        <v>13.5</v>
      </c>
      <c r="L2473">
        <v>19</v>
      </c>
      <c r="M2473">
        <v>27.9</v>
      </c>
      <c r="N2473">
        <v>24.8</v>
      </c>
      <c r="O2473">
        <v>30</v>
      </c>
      <c r="P2473">
        <v>25.8</v>
      </c>
      <c r="Q2473">
        <v>52.8</v>
      </c>
      <c r="R2473">
        <v>51</v>
      </c>
      <c r="S2473">
        <v>35.200000000000003</v>
      </c>
      <c r="T2473">
        <v>35.4</v>
      </c>
      <c r="U2473">
        <v>65.099999999999994</v>
      </c>
      <c r="V2473">
        <v>3.2</v>
      </c>
      <c r="W2473" cm="1">
        <f t="array" ref="W2473">_xlfn.IFS(OR(X2473="N/A",X2473="NA"),0,OR(X2473="R64",X2473="R68"),1,X2473="R32",2,X2473="S16",3,X2473="E8",4,X2473="F4",5,X2473="2ND",6,X2473="Champions",7)</f>
        <v>3</v>
      </c>
      <c r="X2473" t="s">
        <v>424</v>
      </c>
      <c r="Y2473">
        <v>5</v>
      </c>
      <c r="Z2473">
        <v>2021</v>
      </c>
    </row>
    <row r="2474" spans="1:26" x14ac:dyDescent="0.3">
      <c r="A2474" t="s">
        <v>361</v>
      </c>
      <c r="B2474" t="s">
        <v>29</v>
      </c>
      <c r="C2474">
        <v>26</v>
      </c>
      <c r="D2474">
        <v>18</v>
      </c>
      <c r="E2474" s="1">
        <f t="shared" si="38"/>
        <v>0.69230769230769229</v>
      </c>
      <c r="F2474">
        <v>108.8</v>
      </c>
      <c r="G2474">
        <v>89.2</v>
      </c>
      <c r="H2474">
        <v>0.90720000000000001</v>
      </c>
      <c r="I2474">
        <v>50.1</v>
      </c>
      <c r="J2474">
        <v>45.9</v>
      </c>
      <c r="K2474">
        <v>18.2</v>
      </c>
      <c r="L2474">
        <v>22.9</v>
      </c>
      <c r="M2474">
        <v>31.4</v>
      </c>
      <c r="N2474">
        <v>28.6</v>
      </c>
      <c r="O2474">
        <v>35.1</v>
      </c>
      <c r="P2474">
        <v>31.1</v>
      </c>
      <c r="Q2474">
        <v>49.8</v>
      </c>
      <c r="R2474">
        <v>44.8</v>
      </c>
      <c r="S2474">
        <v>33.799999999999997</v>
      </c>
      <c r="T2474">
        <v>31.8</v>
      </c>
      <c r="U2474">
        <v>66.900000000000006</v>
      </c>
      <c r="V2474">
        <v>2.4</v>
      </c>
      <c r="W2474" cm="1">
        <f t="array" ref="W2474">_xlfn.IFS(OR(X2474="N/A",X2474="NA"),0,OR(X2474="R64",X2474="R68"),1,X2474="R32",2,X2474="S16",3,X2474="E8",4,X2474="F4",5,X2474="2ND",6,X2474="Champions",7)</f>
        <v>1</v>
      </c>
      <c r="X2474" t="s">
        <v>422</v>
      </c>
      <c r="Y2474">
        <v>5</v>
      </c>
      <c r="Z2474">
        <v>2021</v>
      </c>
    </row>
    <row r="2475" spans="1:26" x14ac:dyDescent="0.3">
      <c r="A2475" t="s">
        <v>156</v>
      </c>
      <c r="B2475" t="s">
        <v>33</v>
      </c>
      <c r="C2475">
        <v>28</v>
      </c>
      <c r="D2475">
        <v>20</v>
      </c>
      <c r="E2475" s="1">
        <f t="shared" si="38"/>
        <v>0.7142857142857143</v>
      </c>
      <c r="F2475">
        <v>114.4</v>
      </c>
      <c r="G2475">
        <v>94.3</v>
      </c>
      <c r="H2475">
        <v>0.90249999999999997</v>
      </c>
      <c r="I2475">
        <v>55.7</v>
      </c>
      <c r="J2475">
        <v>46.9</v>
      </c>
      <c r="K2475">
        <v>15.8</v>
      </c>
      <c r="L2475">
        <v>17.8</v>
      </c>
      <c r="M2475">
        <v>24.8</v>
      </c>
      <c r="N2475">
        <v>28.2</v>
      </c>
      <c r="O2475">
        <v>26.9</v>
      </c>
      <c r="P2475">
        <v>25.7</v>
      </c>
      <c r="Q2475">
        <v>56.3</v>
      </c>
      <c r="R2475">
        <v>46.1</v>
      </c>
      <c r="S2475">
        <v>36.700000000000003</v>
      </c>
      <c r="T2475">
        <v>32.1</v>
      </c>
      <c r="U2475">
        <v>69.099999999999994</v>
      </c>
      <c r="V2475">
        <v>3.5</v>
      </c>
      <c r="W2475" cm="1">
        <f t="array" ref="W2475">_xlfn.IFS(OR(X2475="N/A",X2475="NA"),0,OR(X2475="R64",X2475="R68"),1,X2475="R32",2,X2475="S16",3,X2475="E8",4,X2475="F4",5,X2475="2ND",6,X2475="Champions",7)</f>
        <v>3</v>
      </c>
      <c r="X2475" t="s">
        <v>424</v>
      </c>
      <c r="Y2475">
        <v>5</v>
      </c>
      <c r="Z2475">
        <v>2021</v>
      </c>
    </row>
    <row r="2476" spans="1:26" x14ac:dyDescent="0.3">
      <c r="A2476" t="s">
        <v>318</v>
      </c>
      <c r="B2476" t="s">
        <v>38</v>
      </c>
      <c r="C2476">
        <v>30</v>
      </c>
      <c r="D2476">
        <v>22</v>
      </c>
      <c r="E2476" s="1">
        <f t="shared" si="38"/>
        <v>0.73333333333333328</v>
      </c>
      <c r="F2476">
        <v>113.7</v>
      </c>
      <c r="G2476">
        <v>93.5</v>
      </c>
      <c r="H2476">
        <v>0.90449999999999997</v>
      </c>
      <c r="I2476">
        <v>52</v>
      </c>
      <c r="J2476">
        <v>47.7</v>
      </c>
      <c r="K2476">
        <v>16.8</v>
      </c>
      <c r="L2476">
        <v>19.8</v>
      </c>
      <c r="M2476">
        <v>30.9</v>
      </c>
      <c r="N2476">
        <v>25.6</v>
      </c>
      <c r="O2476">
        <v>29.9</v>
      </c>
      <c r="P2476">
        <v>28</v>
      </c>
      <c r="Q2476">
        <v>50.3</v>
      </c>
      <c r="R2476">
        <v>46.5</v>
      </c>
      <c r="S2476">
        <v>36.700000000000003</v>
      </c>
      <c r="T2476">
        <v>33.299999999999997</v>
      </c>
      <c r="U2476">
        <v>66.3</v>
      </c>
      <c r="V2476">
        <v>2.6</v>
      </c>
      <c r="W2476" cm="1">
        <f t="array" ref="W2476">_xlfn.IFS(OR(X2476="N/A",X2476="NA"),0,OR(X2476="R64",X2476="R68"),1,X2476="R32",2,X2476="S16",3,X2476="E8",4,X2476="F4",5,X2476="2ND",6,X2476="Champions",7)</f>
        <v>2</v>
      </c>
      <c r="X2476" t="s">
        <v>420</v>
      </c>
      <c r="Y2476">
        <v>5</v>
      </c>
      <c r="Z2476">
        <v>2021</v>
      </c>
    </row>
    <row r="2477" spans="1:26" x14ac:dyDescent="0.3">
      <c r="A2477" t="s">
        <v>34</v>
      </c>
      <c r="B2477" t="s">
        <v>35</v>
      </c>
      <c r="C2477">
        <v>27</v>
      </c>
      <c r="D2477">
        <v>17</v>
      </c>
      <c r="E2477" s="1">
        <f t="shared" si="38"/>
        <v>0.62962962962962965</v>
      </c>
      <c r="F2477">
        <v>112.3</v>
      </c>
      <c r="G2477">
        <v>92.2</v>
      </c>
      <c r="H2477">
        <v>0.90569999999999995</v>
      </c>
      <c r="I2477">
        <v>49.7</v>
      </c>
      <c r="J2477">
        <v>47.9</v>
      </c>
      <c r="K2477">
        <v>16.2</v>
      </c>
      <c r="L2477">
        <v>23.8</v>
      </c>
      <c r="M2477">
        <v>33.799999999999997</v>
      </c>
      <c r="N2477">
        <v>29.7</v>
      </c>
      <c r="O2477">
        <v>39.299999999999997</v>
      </c>
      <c r="P2477">
        <v>36.4</v>
      </c>
      <c r="Q2477">
        <v>48.7</v>
      </c>
      <c r="R2477">
        <v>44.8</v>
      </c>
      <c r="S2477">
        <v>34.700000000000003</v>
      </c>
      <c r="T2477">
        <v>35.1</v>
      </c>
      <c r="U2477">
        <v>65.7</v>
      </c>
      <c r="V2477">
        <v>0.9</v>
      </c>
      <c r="W2477" cm="1">
        <f t="array" ref="W2477">_xlfn.IFS(OR(X2477="N/A",X2477="NA"),0,OR(X2477="R64",X2477="R68"),1,X2477="R32",2,X2477="S16",3,X2477="E8",4,X2477="F4",5,X2477="2ND",6,X2477="Champions",7)</f>
        <v>2</v>
      </c>
      <c r="X2477" t="s">
        <v>420</v>
      </c>
      <c r="Y2477">
        <v>6</v>
      </c>
      <c r="Z2477">
        <v>2021</v>
      </c>
    </row>
    <row r="2478" spans="1:26" x14ac:dyDescent="0.3">
      <c r="A2478" t="s">
        <v>417</v>
      </c>
      <c r="B2478" t="s">
        <v>37</v>
      </c>
      <c r="C2478">
        <v>25</v>
      </c>
      <c r="D2478">
        <v>20</v>
      </c>
      <c r="E2478" s="1">
        <f t="shared" si="38"/>
        <v>0.8</v>
      </c>
      <c r="F2478">
        <v>112.8</v>
      </c>
      <c r="G2478">
        <v>93.3</v>
      </c>
      <c r="H2478">
        <v>0.89910000000000001</v>
      </c>
      <c r="I2478">
        <v>55</v>
      </c>
      <c r="J2478">
        <v>46.6</v>
      </c>
      <c r="K2478">
        <v>19</v>
      </c>
      <c r="L2478">
        <v>16</v>
      </c>
      <c r="M2478">
        <v>28.6</v>
      </c>
      <c r="N2478">
        <v>23.3</v>
      </c>
      <c r="O2478">
        <v>27.8</v>
      </c>
      <c r="P2478">
        <v>29.4</v>
      </c>
      <c r="Q2478">
        <v>54.5</v>
      </c>
      <c r="R2478">
        <v>45.5</v>
      </c>
      <c r="S2478">
        <v>37.299999999999997</v>
      </c>
      <c r="T2478">
        <v>32.4</v>
      </c>
      <c r="U2478">
        <v>68.2</v>
      </c>
      <c r="V2478">
        <v>3.3</v>
      </c>
      <c r="W2478" cm="1">
        <f t="array" ref="W2478">_xlfn.IFS(OR(X2478="N/A",X2478="NA"),0,OR(X2478="R64",X2478="R68"),1,X2478="R32",2,X2478="S16",3,X2478="E8",4,X2478="F4",5,X2478="2ND",6,X2478="Champions",7)</f>
        <v>1</v>
      </c>
      <c r="X2478" t="s">
        <v>422</v>
      </c>
      <c r="Y2478">
        <v>6</v>
      </c>
      <c r="Z2478">
        <v>2021</v>
      </c>
    </row>
    <row r="2479" spans="1:26" x14ac:dyDescent="0.3">
      <c r="A2479" t="s">
        <v>321</v>
      </c>
      <c r="B2479" t="s">
        <v>38</v>
      </c>
      <c r="C2479">
        <v>29</v>
      </c>
      <c r="D2479">
        <v>22</v>
      </c>
      <c r="E2479" s="1">
        <f t="shared" si="38"/>
        <v>0.75862068965517238</v>
      </c>
      <c r="F2479">
        <v>112</v>
      </c>
      <c r="G2479">
        <v>92</v>
      </c>
      <c r="H2479">
        <v>0.9052</v>
      </c>
      <c r="I2479">
        <v>52.1</v>
      </c>
      <c r="J2479">
        <v>45.4</v>
      </c>
      <c r="K2479">
        <v>18.100000000000001</v>
      </c>
      <c r="L2479">
        <v>17.399999999999999</v>
      </c>
      <c r="M2479">
        <v>35.700000000000003</v>
      </c>
      <c r="N2479">
        <v>27.3</v>
      </c>
      <c r="O2479">
        <v>37.5</v>
      </c>
      <c r="P2479">
        <v>24.8</v>
      </c>
      <c r="Q2479">
        <v>52.1</v>
      </c>
      <c r="R2479">
        <v>42.2</v>
      </c>
      <c r="S2479">
        <v>34.799999999999997</v>
      </c>
      <c r="T2479">
        <v>34.200000000000003</v>
      </c>
      <c r="U2479">
        <v>67.2</v>
      </c>
      <c r="V2479">
        <v>3.6</v>
      </c>
      <c r="W2479" cm="1">
        <f t="array" ref="W2479">_xlfn.IFS(OR(X2479="N/A",X2479="NA"),0,OR(X2479="R64",X2479="R68"),1,X2479="R32",2,X2479="S16",3,X2479="E8",4,X2479="F4",5,X2479="2ND",6,X2479="Champions",7)</f>
        <v>4</v>
      </c>
      <c r="X2479" t="s">
        <v>54</v>
      </c>
      <c r="Y2479">
        <v>6</v>
      </c>
      <c r="Z2479">
        <v>2021</v>
      </c>
    </row>
    <row r="2480" spans="1:26" x14ac:dyDescent="0.3">
      <c r="A2480" t="s">
        <v>292</v>
      </c>
      <c r="B2480" t="s">
        <v>55</v>
      </c>
      <c r="C2480">
        <v>26</v>
      </c>
      <c r="D2480">
        <v>23</v>
      </c>
      <c r="E2480" s="1">
        <f t="shared" si="38"/>
        <v>0.88461538461538458</v>
      </c>
      <c r="F2480">
        <v>111.1</v>
      </c>
      <c r="G2480">
        <v>90</v>
      </c>
      <c r="H2480">
        <v>0.91910000000000003</v>
      </c>
      <c r="I2480">
        <v>52.7</v>
      </c>
      <c r="J2480">
        <v>46.7</v>
      </c>
      <c r="K2480">
        <v>16.899999999999999</v>
      </c>
      <c r="L2480">
        <v>22.5</v>
      </c>
      <c r="M2480">
        <v>29.9</v>
      </c>
      <c r="N2480">
        <v>24.4</v>
      </c>
      <c r="O2480">
        <v>34.299999999999997</v>
      </c>
      <c r="P2480">
        <v>32.700000000000003</v>
      </c>
      <c r="Q2480">
        <v>50.5</v>
      </c>
      <c r="R2480">
        <v>44.6</v>
      </c>
      <c r="S2480">
        <v>37.5</v>
      </c>
      <c r="T2480">
        <v>32.799999999999997</v>
      </c>
      <c r="U2480">
        <v>66</v>
      </c>
      <c r="V2480">
        <v>2.8</v>
      </c>
      <c r="W2480" cm="1">
        <f t="array" ref="W2480">_xlfn.IFS(OR(X2480="N/A",X2480="NA"),0,OR(X2480="R64",X2480="R68"),1,X2480="R32",2,X2480="S16",3,X2480="E8",4,X2480="F4",5,X2480="2ND",6,X2480="Champions",7)</f>
        <v>1</v>
      </c>
      <c r="X2480" t="s">
        <v>422</v>
      </c>
      <c r="Y2480">
        <v>6</v>
      </c>
      <c r="Z2480">
        <v>2021</v>
      </c>
    </row>
    <row r="2481" spans="1:26" x14ac:dyDescent="0.3">
      <c r="A2481" t="s">
        <v>75</v>
      </c>
      <c r="B2481" t="s">
        <v>29</v>
      </c>
      <c r="C2481">
        <v>23</v>
      </c>
      <c r="D2481">
        <v>14</v>
      </c>
      <c r="E2481" s="1">
        <f t="shared" si="38"/>
        <v>0.60869565217391308</v>
      </c>
      <c r="F2481">
        <v>110.6</v>
      </c>
      <c r="G2481">
        <v>93.4</v>
      </c>
      <c r="H2481">
        <v>0.87480000000000002</v>
      </c>
      <c r="I2481">
        <v>52.5</v>
      </c>
      <c r="J2481">
        <v>47.5</v>
      </c>
      <c r="K2481">
        <v>20.7</v>
      </c>
      <c r="L2481">
        <v>20.5</v>
      </c>
      <c r="M2481">
        <v>30.7</v>
      </c>
      <c r="N2481">
        <v>31.5</v>
      </c>
      <c r="O2481">
        <v>33.799999999999997</v>
      </c>
      <c r="P2481">
        <v>34.799999999999997</v>
      </c>
      <c r="Q2481">
        <v>51.9</v>
      </c>
      <c r="R2481">
        <v>48.4</v>
      </c>
      <c r="S2481">
        <v>35.700000000000003</v>
      </c>
      <c r="T2481">
        <v>30.6</v>
      </c>
      <c r="U2481">
        <v>68.599999999999994</v>
      </c>
      <c r="V2481">
        <v>1.4</v>
      </c>
      <c r="W2481" cm="1">
        <f t="array" ref="W2481">_xlfn.IFS(OR(X2481="N/A",X2481="NA"),0,OR(X2481="R64",X2481="R68"),1,X2481="R32",2,X2481="S16",3,X2481="E8",4,X2481="F4",5,X2481="2ND",6,X2481="Champions",7)</f>
        <v>2</v>
      </c>
      <c r="X2481" t="s">
        <v>420</v>
      </c>
      <c r="Y2481">
        <v>7</v>
      </c>
      <c r="Z2481">
        <v>2021</v>
      </c>
    </row>
    <row r="2482" spans="1:26" x14ac:dyDescent="0.3">
      <c r="A2482" t="s">
        <v>49</v>
      </c>
      <c r="B2482" t="s">
        <v>33</v>
      </c>
      <c r="C2482">
        <v>22</v>
      </c>
      <c r="D2482">
        <v>15</v>
      </c>
      <c r="E2482" s="1">
        <f t="shared" si="38"/>
        <v>0.68181818181818177</v>
      </c>
      <c r="F2482">
        <v>114.6</v>
      </c>
      <c r="G2482">
        <v>92.8</v>
      </c>
      <c r="H2482">
        <v>0.91879999999999995</v>
      </c>
      <c r="I2482">
        <v>49.5</v>
      </c>
      <c r="J2482">
        <v>46.2</v>
      </c>
      <c r="K2482">
        <v>17.600000000000001</v>
      </c>
      <c r="L2482">
        <v>19.600000000000001</v>
      </c>
      <c r="M2482">
        <v>36.9</v>
      </c>
      <c r="N2482">
        <v>29.8</v>
      </c>
      <c r="O2482">
        <v>29.6</v>
      </c>
      <c r="P2482">
        <v>36.9</v>
      </c>
      <c r="Q2482">
        <v>49</v>
      </c>
      <c r="R2482">
        <v>45.6</v>
      </c>
      <c r="S2482">
        <v>33.6</v>
      </c>
      <c r="T2482">
        <v>31.6</v>
      </c>
      <c r="U2482">
        <v>65.7</v>
      </c>
      <c r="V2482">
        <v>2.1</v>
      </c>
      <c r="W2482" cm="1">
        <f t="array" ref="W2482">_xlfn.IFS(OR(X2482="N/A",X2482="NA"),0,OR(X2482="R64",X2482="R68"),1,X2482="R32",2,X2482="S16",3,X2482="E8",4,X2482="F4",5,X2482="2ND",6,X2482="Champions",7)</f>
        <v>1</v>
      </c>
      <c r="X2482" t="s">
        <v>422</v>
      </c>
      <c r="Y2482">
        <v>7</v>
      </c>
      <c r="Z2482">
        <v>2021</v>
      </c>
    </row>
    <row r="2483" spans="1:26" x14ac:dyDescent="0.3">
      <c r="A2483" t="s">
        <v>104</v>
      </c>
      <c r="B2483" t="s">
        <v>26</v>
      </c>
      <c r="C2483">
        <v>23</v>
      </c>
      <c r="D2483">
        <v>16</v>
      </c>
      <c r="E2483" s="1">
        <f t="shared" si="38"/>
        <v>0.69565217391304346</v>
      </c>
      <c r="F2483">
        <v>105.9</v>
      </c>
      <c r="G2483">
        <v>91.9</v>
      </c>
      <c r="H2483">
        <v>0.83740000000000003</v>
      </c>
      <c r="I2483">
        <v>50.4</v>
      </c>
      <c r="J2483">
        <v>48.7</v>
      </c>
      <c r="K2483">
        <v>19.5</v>
      </c>
      <c r="L2483">
        <v>21.6</v>
      </c>
      <c r="M2483">
        <v>26.6</v>
      </c>
      <c r="N2483">
        <v>26.6</v>
      </c>
      <c r="O2483">
        <v>23.6</v>
      </c>
      <c r="P2483">
        <v>29.6</v>
      </c>
      <c r="Q2483">
        <v>49.2</v>
      </c>
      <c r="R2483">
        <v>47.5</v>
      </c>
      <c r="S2483">
        <v>34.6</v>
      </c>
      <c r="T2483">
        <v>33.700000000000003</v>
      </c>
      <c r="U2483">
        <v>64.400000000000006</v>
      </c>
      <c r="V2483">
        <v>2.9</v>
      </c>
      <c r="W2483" cm="1">
        <f t="array" ref="W2483">_xlfn.IFS(OR(X2483="N/A",X2483="NA"),0,OR(X2483="R64",X2483="R68"),1,X2483="R32",2,X2483="S16",3,X2483="E8",4,X2483="F4",5,X2483="2ND",6,X2483="Champions",7)</f>
        <v>1</v>
      </c>
      <c r="X2483" t="s">
        <v>422</v>
      </c>
      <c r="Y2483">
        <v>7</v>
      </c>
      <c r="Z2483">
        <v>2021</v>
      </c>
    </row>
    <row r="2484" spans="1:26" x14ac:dyDescent="0.3">
      <c r="A2484" t="s">
        <v>73</v>
      </c>
      <c r="B2484" t="s">
        <v>38</v>
      </c>
      <c r="C2484">
        <v>26</v>
      </c>
      <c r="D2484">
        <v>20</v>
      </c>
      <c r="E2484" s="1">
        <f t="shared" si="38"/>
        <v>0.76923076923076927</v>
      </c>
      <c r="F2484">
        <v>113.1</v>
      </c>
      <c r="G2484">
        <v>98.2</v>
      </c>
      <c r="H2484">
        <v>0.83499999999999996</v>
      </c>
      <c r="I2484">
        <v>54.4</v>
      </c>
      <c r="J2484">
        <v>50.1</v>
      </c>
      <c r="K2484">
        <v>16.8</v>
      </c>
      <c r="L2484">
        <v>20.3</v>
      </c>
      <c r="M2484">
        <v>28.3</v>
      </c>
      <c r="N2484">
        <v>27.2</v>
      </c>
      <c r="O2484">
        <v>26.8</v>
      </c>
      <c r="P2484">
        <v>27.1</v>
      </c>
      <c r="Q2484">
        <v>52.9</v>
      </c>
      <c r="R2484">
        <v>49.9</v>
      </c>
      <c r="S2484">
        <v>37.9</v>
      </c>
      <c r="T2484">
        <v>33.6</v>
      </c>
      <c r="U2484">
        <v>67.2</v>
      </c>
      <c r="V2484">
        <v>3</v>
      </c>
      <c r="W2484" cm="1">
        <f t="array" ref="W2484">_xlfn.IFS(OR(X2484="N/A",X2484="NA"),0,OR(X2484="R64",X2484="R68"),1,X2484="R32",2,X2484="S16",3,X2484="E8",4,X2484="F4",5,X2484="2ND",6,X2484="Champions",7)</f>
        <v>3</v>
      </c>
      <c r="X2484" t="s">
        <v>424</v>
      </c>
      <c r="Y2484">
        <v>7</v>
      </c>
      <c r="Z2484">
        <v>2021</v>
      </c>
    </row>
    <row r="2485" spans="1:26" x14ac:dyDescent="0.3">
      <c r="A2485" t="s">
        <v>84</v>
      </c>
      <c r="B2485" t="s">
        <v>35</v>
      </c>
      <c r="C2485">
        <v>25</v>
      </c>
      <c r="D2485">
        <v>15</v>
      </c>
      <c r="E2485" s="1">
        <f t="shared" si="38"/>
        <v>0.6</v>
      </c>
      <c r="F2485">
        <v>111</v>
      </c>
      <c r="G2485">
        <v>94.5</v>
      </c>
      <c r="H2485">
        <v>0.86419999999999997</v>
      </c>
      <c r="I2485">
        <v>50.8</v>
      </c>
      <c r="J2485">
        <v>48.9</v>
      </c>
      <c r="K2485">
        <v>15.8</v>
      </c>
      <c r="L2485">
        <v>18.7</v>
      </c>
      <c r="M2485">
        <v>27.3</v>
      </c>
      <c r="N2485">
        <v>27.5</v>
      </c>
      <c r="O2485">
        <v>29.1</v>
      </c>
      <c r="P2485">
        <v>22.8</v>
      </c>
      <c r="Q2485">
        <v>50.8</v>
      </c>
      <c r="R2485">
        <v>46.3</v>
      </c>
      <c r="S2485">
        <v>33.799999999999997</v>
      </c>
      <c r="T2485">
        <v>35.4</v>
      </c>
      <c r="U2485">
        <v>67.599999999999994</v>
      </c>
      <c r="V2485">
        <v>0.3</v>
      </c>
      <c r="W2485" cm="1">
        <f t="array" ref="W2485">_xlfn.IFS(OR(X2485="N/A",X2485="NA"),0,OR(X2485="R64",X2485="R68"),1,X2485="R32",2,X2485="S16",3,X2485="E8",4,X2485="F4",5,X2485="2ND",6,X2485="Champions",7)</f>
        <v>2</v>
      </c>
      <c r="X2485" t="s">
        <v>420</v>
      </c>
      <c r="Y2485">
        <v>8</v>
      </c>
      <c r="Z2485">
        <v>2021</v>
      </c>
    </row>
    <row r="2486" spans="1:26" x14ac:dyDescent="0.3">
      <c r="A2486" t="s">
        <v>27</v>
      </c>
      <c r="B2486" t="s">
        <v>26</v>
      </c>
      <c r="C2486">
        <v>28</v>
      </c>
      <c r="D2486">
        <v>18</v>
      </c>
      <c r="E2486" s="1">
        <f t="shared" si="38"/>
        <v>0.6428571428571429</v>
      </c>
      <c r="F2486">
        <v>108.8</v>
      </c>
      <c r="G2486">
        <v>91.6</v>
      </c>
      <c r="H2486">
        <v>0.87770000000000004</v>
      </c>
      <c r="I2486">
        <v>48.5</v>
      </c>
      <c r="J2486">
        <v>48.7</v>
      </c>
      <c r="K2486">
        <v>20.5</v>
      </c>
      <c r="L2486">
        <v>19.3</v>
      </c>
      <c r="M2486">
        <v>41.2</v>
      </c>
      <c r="N2486">
        <v>26.3</v>
      </c>
      <c r="O2486">
        <v>34.9</v>
      </c>
      <c r="P2486">
        <v>27.1</v>
      </c>
      <c r="Q2486">
        <v>48.9</v>
      </c>
      <c r="R2486">
        <v>46.8</v>
      </c>
      <c r="S2486">
        <v>31.7</v>
      </c>
      <c r="T2486">
        <v>34.4</v>
      </c>
      <c r="U2486">
        <v>71.8</v>
      </c>
      <c r="V2486">
        <v>2.2999999999999998</v>
      </c>
      <c r="W2486" cm="1">
        <f t="array" ref="W2486">_xlfn.IFS(OR(X2486="N/A",X2486="NA"),0,OR(X2486="R64",X2486="R68"),1,X2486="R32",2,X2486="S16",3,X2486="E8",4,X2486="F4",5,X2486="2ND",6,X2486="Champions",7)</f>
        <v>1</v>
      </c>
      <c r="X2486" t="s">
        <v>422</v>
      </c>
      <c r="Y2486">
        <v>8</v>
      </c>
      <c r="Z2486">
        <v>2021</v>
      </c>
    </row>
    <row r="2487" spans="1:26" x14ac:dyDescent="0.3">
      <c r="A2487" t="s">
        <v>366</v>
      </c>
      <c r="B2487" t="s">
        <v>29</v>
      </c>
      <c r="C2487">
        <v>27</v>
      </c>
      <c r="D2487">
        <v>18</v>
      </c>
      <c r="E2487" s="1">
        <f t="shared" si="38"/>
        <v>0.66666666666666663</v>
      </c>
      <c r="F2487">
        <v>119.3</v>
      </c>
      <c r="G2487">
        <v>99.8</v>
      </c>
      <c r="H2487">
        <v>0.88680000000000003</v>
      </c>
      <c r="I2487">
        <v>52.8</v>
      </c>
      <c r="J2487">
        <v>48.5</v>
      </c>
      <c r="K2487">
        <v>16.100000000000001</v>
      </c>
      <c r="L2487">
        <v>18.399999999999999</v>
      </c>
      <c r="M2487">
        <v>31.5</v>
      </c>
      <c r="N2487">
        <v>32.799999999999997</v>
      </c>
      <c r="O2487">
        <v>33.9</v>
      </c>
      <c r="P2487">
        <v>29.1</v>
      </c>
      <c r="Q2487">
        <v>53</v>
      </c>
      <c r="R2487">
        <v>51.3</v>
      </c>
      <c r="S2487">
        <v>35</v>
      </c>
      <c r="T2487">
        <v>30</v>
      </c>
      <c r="U2487">
        <v>70.400000000000006</v>
      </c>
      <c r="V2487">
        <v>2.4</v>
      </c>
      <c r="W2487" cm="1">
        <f t="array" ref="W2487">_xlfn.IFS(OR(X2487="N/A",X2487="NA"),0,OR(X2487="R64",X2487="R68"),1,X2487="R32",2,X2487="S16",3,X2487="E8",4,X2487="F4",5,X2487="2ND",6,X2487="Champions",7)</f>
        <v>2</v>
      </c>
      <c r="X2487" t="s">
        <v>420</v>
      </c>
      <c r="Y2487">
        <v>8</v>
      </c>
      <c r="Z2487">
        <v>2021</v>
      </c>
    </row>
    <row r="2488" spans="1:26" x14ac:dyDescent="0.3">
      <c r="A2488" t="s">
        <v>85</v>
      </c>
      <c r="B2488" t="s">
        <v>47</v>
      </c>
      <c r="C2488">
        <v>26</v>
      </c>
      <c r="D2488">
        <v>24</v>
      </c>
      <c r="E2488" s="1">
        <f t="shared" si="38"/>
        <v>0.92307692307692313</v>
      </c>
      <c r="F2488">
        <v>108.5</v>
      </c>
      <c r="G2488">
        <v>88.3</v>
      </c>
      <c r="H2488">
        <v>0.91359999999999997</v>
      </c>
      <c r="I2488">
        <v>56.3</v>
      </c>
      <c r="J2488">
        <v>46.7</v>
      </c>
      <c r="K2488">
        <v>18.5</v>
      </c>
      <c r="L2488">
        <v>21.6</v>
      </c>
      <c r="M2488">
        <v>26</v>
      </c>
      <c r="N2488">
        <v>21</v>
      </c>
      <c r="O2488">
        <v>30.7</v>
      </c>
      <c r="P2488">
        <v>22.4</v>
      </c>
      <c r="Q2488">
        <v>58</v>
      </c>
      <c r="R2488">
        <v>45.5</v>
      </c>
      <c r="S2488">
        <v>35.700000000000003</v>
      </c>
      <c r="T2488">
        <v>32.5</v>
      </c>
      <c r="U2488">
        <v>63.9</v>
      </c>
      <c r="V2488">
        <v>1.7</v>
      </c>
      <c r="W2488" cm="1">
        <f t="array" ref="W2488">_xlfn.IFS(OR(X2488="N/A",X2488="NA"),0,OR(X2488="R64",X2488="R68"),1,X2488="R32",2,X2488="S16",3,X2488="E8",4,X2488="F4",5,X2488="2ND",6,X2488="Champions",7)</f>
        <v>3</v>
      </c>
      <c r="X2488" t="s">
        <v>424</v>
      </c>
      <c r="Y2488">
        <v>8</v>
      </c>
      <c r="Z2488">
        <v>2021</v>
      </c>
    </row>
    <row r="2489" spans="1:26" x14ac:dyDescent="0.3">
      <c r="A2489" t="s">
        <v>100</v>
      </c>
      <c r="B2489" t="s">
        <v>45</v>
      </c>
      <c r="C2489">
        <v>20</v>
      </c>
      <c r="D2489">
        <v>16</v>
      </c>
      <c r="E2489" s="1">
        <f t="shared" si="38"/>
        <v>0.8</v>
      </c>
      <c r="F2489">
        <v>111.1</v>
      </c>
      <c r="G2489">
        <v>92.9</v>
      </c>
      <c r="H2489">
        <v>0.88639999999999997</v>
      </c>
      <c r="I2489">
        <v>50.5</v>
      </c>
      <c r="J2489">
        <v>45.5</v>
      </c>
      <c r="K2489">
        <v>16.899999999999999</v>
      </c>
      <c r="L2489">
        <v>19.5</v>
      </c>
      <c r="M2489">
        <v>33.6</v>
      </c>
      <c r="N2489">
        <v>28.4</v>
      </c>
      <c r="O2489">
        <v>27.8</v>
      </c>
      <c r="P2489">
        <v>28.3</v>
      </c>
      <c r="Q2489">
        <v>49.3</v>
      </c>
      <c r="R2489">
        <v>45.1</v>
      </c>
      <c r="S2489">
        <v>35.4</v>
      </c>
      <c r="T2489">
        <v>30.6</v>
      </c>
      <c r="U2489">
        <v>64.7</v>
      </c>
      <c r="V2489">
        <v>2.1</v>
      </c>
      <c r="W2489" cm="1">
        <f t="array" ref="W2489">_xlfn.IFS(OR(X2489="N/A",X2489="NA"),0,OR(X2489="R64",X2489="R68"),1,X2489="R32",2,X2489="S16",3,X2489="E8",4,X2489="F4",5,X2489="2ND",6,X2489="Champions",7)</f>
        <v>1</v>
      </c>
      <c r="X2489" t="s">
        <v>422</v>
      </c>
      <c r="Y2489">
        <v>9</v>
      </c>
      <c r="Z2489">
        <v>2021</v>
      </c>
    </row>
    <row r="2490" spans="1:26" x14ac:dyDescent="0.3">
      <c r="A2490" t="s">
        <v>360</v>
      </c>
      <c r="B2490" t="s">
        <v>29</v>
      </c>
      <c r="C2490">
        <v>25</v>
      </c>
      <c r="D2490">
        <v>16</v>
      </c>
      <c r="E2490" s="1">
        <f t="shared" si="38"/>
        <v>0.64</v>
      </c>
      <c r="F2490">
        <v>111.3</v>
      </c>
      <c r="G2490">
        <v>95</v>
      </c>
      <c r="H2490">
        <v>0.8599</v>
      </c>
      <c r="I2490">
        <v>50.9</v>
      </c>
      <c r="J2490">
        <v>48.5</v>
      </c>
      <c r="K2490">
        <v>18.899999999999999</v>
      </c>
      <c r="L2490">
        <v>18.399999999999999</v>
      </c>
      <c r="M2490">
        <v>28.6</v>
      </c>
      <c r="N2490">
        <v>29.2</v>
      </c>
      <c r="O2490">
        <v>37.5</v>
      </c>
      <c r="P2490">
        <v>36.4</v>
      </c>
      <c r="Q2490">
        <v>52.6</v>
      </c>
      <c r="R2490">
        <v>48.3</v>
      </c>
      <c r="S2490">
        <v>32</v>
      </c>
      <c r="T2490">
        <v>32.700000000000003</v>
      </c>
      <c r="U2490">
        <v>68.599999999999994</v>
      </c>
      <c r="V2490">
        <v>2.1</v>
      </c>
      <c r="W2490" cm="1">
        <f t="array" ref="W2490">_xlfn.IFS(OR(X2490="N/A",X2490="NA"),0,OR(X2490="R64",X2490="R68"),1,X2490="R32",2,X2490="S16",3,X2490="E8",4,X2490="F4",5,X2490="2ND",6,X2490="Champions",7)</f>
        <v>1</v>
      </c>
      <c r="X2490" t="s">
        <v>422</v>
      </c>
      <c r="Y2490">
        <v>9</v>
      </c>
      <c r="Z2490">
        <v>2021</v>
      </c>
    </row>
    <row r="2491" spans="1:26" x14ac:dyDescent="0.3">
      <c r="A2491" t="s">
        <v>30</v>
      </c>
      <c r="B2491" t="s">
        <v>31</v>
      </c>
      <c r="C2491">
        <v>29</v>
      </c>
      <c r="D2491">
        <v>17</v>
      </c>
      <c r="E2491" s="1">
        <f t="shared" si="38"/>
        <v>0.58620689655172409</v>
      </c>
      <c r="F2491">
        <v>111.3</v>
      </c>
      <c r="G2491">
        <v>90.4</v>
      </c>
      <c r="H2491">
        <v>0.9163</v>
      </c>
      <c r="I2491">
        <v>49.4</v>
      </c>
      <c r="J2491">
        <v>47.9</v>
      </c>
      <c r="K2491">
        <v>13.5</v>
      </c>
      <c r="L2491">
        <v>17.8</v>
      </c>
      <c r="M2491">
        <v>23.7</v>
      </c>
      <c r="N2491">
        <v>25.1</v>
      </c>
      <c r="O2491">
        <v>26.9</v>
      </c>
      <c r="P2491">
        <v>28.5</v>
      </c>
      <c r="Q2491">
        <v>46.3</v>
      </c>
      <c r="R2491">
        <v>47.1</v>
      </c>
      <c r="S2491">
        <v>36</v>
      </c>
      <c r="T2491">
        <v>33</v>
      </c>
      <c r="U2491">
        <v>65</v>
      </c>
      <c r="V2491">
        <v>2.2000000000000002</v>
      </c>
      <c r="W2491" cm="1">
        <f t="array" ref="W2491">_xlfn.IFS(OR(X2491="N/A",X2491="NA"),0,OR(X2491="R64",X2491="R68"),1,X2491="R32",2,X2491="S16",3,X2491="E8",4,X2491="F4",5,X2491="2ND",6,X2491="Champions",7)</f>
        <v>2</v>
      </c>
      <c r="X2491" t="s">
        <v>420</v>
      </c>
      <c r="Y2491">
        <v>9</v>
      </c>
      <c r="Z2491">
        <v>2021</v>
      </c>
    </row>
    <row r="2492" spans="1:26" x14ac:dyDescent="0.3">
      <c r="A2492" t="s">
        <v>105</v>
      </c>
      <c r="B2492" t="s">
        <v>26</v>
      </c>
      <c r="C2492">
        <v>25</v>
      </c>
      <c r="D2492">
        <v>17</v>
      </c>
      <c r="E2492" s="1">
        <f t="shared" si="38"/>
        <v>0.68</v>
      </c>
      <c r="F2492">
        <v>113</v>
      </c>
      <c r="G2492">
        <v>94.8</v>
      </c>
      <c r="H2492">
        <v>0.88200000000000001</v>
      </c>
      <c r="I2492">
        <v>53.9</v>
      </c>
      <c r="J2492">
        <v>52.2</v>
      </c>
      <c r="K2492">
        <v>15.9</v>
      </c>
      <c r="L2492">
        <v>22.7</v>
      </c>
      <c r="M2492">
        <v>24.8</v>
      </c>
      <c r="N2492">
        <v>29.7</v>
      </c>
      <c r="O2492">
        <v>29</v>
      </c>
      <c r="P2492">
        <v>28.9</v>
      </c>
      <c r="Q2492">
        <v>54.8</v>
      </c>
      <c r="R2492">
        <v>50.7</v>
      </c>
      <c r="S2492">
        <v>34.9</v>
      </c>
      <c r="T2492">
        <v>36.700000000000003</v>
      </c>
      <c r="U2492">
        <v>67.7</v>
      </c>
      <c r="V2492">
        <v>1.9</v>
      </c>
      <c r="W2492" cm="1">
        <f t="array" ref="W2492">_xlfn.IFS(OR(X2492="N/A",X2492="NA"),0,OR(X2492="R64",X2492="R68"),1,X2492="R32",2,X2492="S16",3,X2492="E8",4,X2492="F4",5,X2492="2ND",6,X2492="Champions",7)</f>
        <v>1</v>
      </c>
      <c r="X2492" t="s">
        <v>422</v>
      </c>
      <c r="Y2492">
        <v>9</v>
      </c>
      <c r="Z2492">
        <v>2021</v>
      </c>
    </row>
    <row r="2493" spans="1:26" x14ac:dyDescent="0.3">
      <c r="A2493" t="s">
        <v>146</v>
      </c>
      <c r="B2493" t="s">
        <v>31</v>
      </c>
      <c r="C2493">
        <v>26</v>
      </c>
      <c r="D2493">
        <v>15</v>
      </c>
      <c r="E2493" s="1">
        <f t="shared" si="38"/>
        <v>0.57692307692307687</v>
      </c>
      <c r="F2493">
        <v>106.7</v>
      </c>
      <c r="G2493">
        <v>91.9</v>
      </c>
      <c r="H2493">
        <v>0.84699999999999998</v>
      </c>
      <c r="I2493">
        <v>50.2</v>
      </c>
      <c r="J2493">
        <v>47.7</v>
      </c>
      <c r="K2493">
        <v>16.399999999999999</v>
      </c>
      <c r="L2493">
        <v>18.899999999999999</v>
      </c>
      <c r="M2493">
        <v>27.4</v>
      </c>
      <c r="N2493">
        <v>29.1</v>
      </c>
      <c r="O2493">
        <v>27.7</v>
      </c>
      <c r="P2493">
        <v>33.200000000000003</v>
      </c>
      <c r="Q2493">
        <v>51.9</v>
      </c>
      <c r="R2493">
        <v>47.4</v>
      </c>
      <c r="S2493">
        <v>31.1</v>
      </c>
      <c r="T2493">
        <v>32.1</v>
      </c>
      <c r="U2493">
        <v>67.8</v>
      </c>
      <c r="V2493">
        <v>1.9</v>
      </c>
      <c r="W2493" cm="1">
        <f t="array" ref="W2493">_xlfn.IFS(OR(X2493="N/A",X2493="NA"),0,OR(X2493="R64",X2493="R68"),1,X2493="R32",2,X2493="S16",3,X2493="E8",4,X2493="F4",5,X2493="2ND",6,X2493="Champions",7)</f>
        <v>2</v>
      </c>
      <c r="X2493" t="s">
        <v>420</v>
      </c>
      <c r="Y2493">
        <v>10</v>
      </c>
      <c r="Z2493">
        <v>2021</v>
      </c>
    </row>
    <row r="2494" spans="1:26" x14ac:dyDescent="0.3">
      <c r="A2494" t="s">
        <v>108</v>
      </c>
      <c r="B2494" t="s">
        <v>26</v>
      </c>
      <c r="C2494">
        <v>21</v>
      </c>
      <c r="D2494">
        <v>15</v>
      </c>
      <c r="E2494" s="1">
        <f t="shared" si="38"/>
        <v>0.7142857142857143</v>
      </c>
      <c r="F2494">
        <v>109.3</v>
      </c>
      <c r="G2494">
        <v>94.5</v>
      </c>
      <c r="H2494">
        <v>0.84260000000000002</v>
      </c>
      <c r="I2494">
        <v>52.5</v>
      </c>
      <c r="J2494">
        <v>48.4</v>
      </c>
      <c r="K2494">
        <v>17.3</v>
      </c>
      <c r="L2494">
        <v>17.600000000000001</v>
      </c>
      <c r="M2494">
        <v>28.4</v>
      </c>
      <c r="N2494">
        <v>24.3</v>
      </c>
      <c r="O2494">
        <v>33.200000000000003</v>
      </c>
      <c r="P2494">
        <v>30.9</v>
      </c>
      <c r="Q2494">
        <v>51.7</v>
      </c>
      <c r="R2494">
        <v>47.6</v>
      </c>
      <c r="S2494">
        <v>35.700000000000003</v>
      </c>
      <c r="T2494">
        <v>33</v>
      </c>
      <c r="U2494">
        <v>66.5</v>
      </c>
      <c r="V2494">
        <v>0.9</v>
      </c>
      <c r="W2494" cm="1">
        <f t="array" ref="W2494">_xlfn.IFS(OR(X2494="N/A",X2494="NA"),0,OR(X2494="R64",X2494="R68"),1,X2494="R32",2,X2494="S16",3,X2494="E8",4,X2494="F4",5,X2494="2ND",6,X2494="Champions",7)</f>
        <v>1</v>
      </c>
      <c r="X2494" t="s">
        <v>422</v>
      </c>
      <c r="Y2494">
        <v>10</v>
      </c>
      <c r="Z2494">
        <v>2021</v>
      </c>
    </row>
    <row r="2495" spans="1:26" x14ac:dyDescent="0.3">
      <c r="A2495" t="s">
        <v>149</v>
      </c>
      <c r="B2495" t="s">
        <v>31</v>
      </c>
      <c r="C2495">
        <v>28</v>
      </c>
      <c r="D2495">
        <v>16</v>
      </c>
      <c r="E2495" s="1">
        <f t="shared" si="38"/>
        <v>0.5714285714285714</v>
      </c>
      <c r="F2495">
        <v>110</v>
      </c>
      <c r="G2495">
        <v>93</v>
      </c>
      <c r="H2495">
        <v>0.87350000000000005</v>
      </c>
      <c r="I2495">
        <v>52.6</v>
      </c>
      <c r="J2495">
        <v>48.5</v>
      </c>
      <c r="K2495">
        <v>16.8</v>
      </c>
      <c r="L2495">
        <v>16.899999999999999</v>
      </c>
      <c r="M2495">
        <v>20.9</v>
      </c>
      <c r="N2495">
        <v>24.8</v>
      </c>
      <c r="O2495">
        <v>32.6</v>
      </c>
      <c r="P2495">
        <v>25.6</v>
      </c>
      <c r="Q2495">
        <v>52.8</v>
      </c>
      <c r="R2495">
        <v>46.4</v>
      </c>
      <c r="S2495">
        <v>34.9</v>
      </c>
      <c r="T2495">
        <v>34.299999999999997</v>
      </c>
      <c r="U2495">
        <v>65.400000000000006</v>
      </c>
      <c r="V2495">
        <v>0.2</v>
      </c>
      <c r="W2495" cm="1">
        <f t="array" ref="W2495">_xlfn.IFS(OR(X2495="N/A",X2495="NA"),0,OR(X2495="R64",X2495="R68"),1,X2495="R32",2,X2495="S16",3,X2495="E8",4,X2495="F4",5,X2495="2ND",6,X2495="Champions",7)</f>
        <v>2</v>
      </c>
      <c r="X2495" t="s">
        <v>420</v>
      </c>
      <c r="Y2495">
        <v>10</v>
      </c>
      <c r="Z2495">
        <v>2021</v>
      </c>
    </row>
    <row r="2496" spans="1:26" x14ac:dyDescent="0.3">
      <c r="A2496" t="s">
        <v>102</v>
      </c>
      <c r="B2496" t="s">
        <v>45</v>
      </c>
      <c r="C2496">
        <v>26</v>
      </c>
      <c r="D2496">
        <v>19</v>
      </c>
      <c r="E2496" s="1">
        <f t="shared" si="38"/>
        <v>0.73076923076923073</v>
      </c>
      <c r="F2496">
        <v>104.6</v>
      </c>
      <c r="G2496">
        <v>89.7</v>
      </c>
      <c r="H2496">
        <v>0.85399999999999998</v>
      </c>
      <c r="I2496">
        <v>50.9</v>
      </c>
      <c r="J2496">
        <v>45.8</v>
      </c>
      <c r="K2496">
        <v>20.6</v>
      </c>
      <c r="L2496">
        <v>23.5</v>
      </c>
      <c r="M2496">
        <v>28.3</v>
      </c>
      <c r="N2496">
        <v>31.3</v>
      </c>
      <c r="O2496">
        <v>34</v>
      </c>
      <c r="P2496">
        <v>35.4</v>
      </c>
      <c r="Q2496">
        <v>51.7</v>
      </c>
      <c r="R2496">
        <v>45.9</v>
      </c>
      <c r="S2496">
        <v>32.9</v>
      </c>
      <c r="T2496">
        <v>30.5</v>
      </c>
      <c r="U2496">
        <v>70</v>
      </c>
      <c r="V2496">
        <v>1.3</v>
      </c>
      <c r="W2496" cm="1">
        <f t="array" ref="W2496">_xlfn.IFS(OR(X2496="N/A",X2496="NA"),0,OR(X2496="R64",X2496="R68"),1,X2496="R32",2,X2496="S16",3,X2496="E8",4,X2496="F4",5,X2496="2ND",6,X2496="Champions",7)</f>
        <v>1</v>
      </c>
      <c r="X2496" t="s">
        <v>422</v>
      </c>
      <c r="Y2496">
        <v>10</v>
      </c>
      <c r="Z2496">
        <v>2021</v>
      </c>
    </row>
    <row r="2497" spans="1:26" x14ac:dyDescent="0.3">
      <c r="A2497" t="s">
        <v>78</v>
      </c>
      <c r="B2497" t="s">
        <v>31</v>
      </c>
      <c r="C2497">
        <v>27</v>
      </c>
      <c r="D2497">
        <v>15</v>
      </c>
      <c r="E2497" s="1">
        <f t="shared" si="38"/>
        <v>0.55555555555555558</v>
      </c>
      <c r="F2497">
        <v>105.8</v>
      </c>
      <c r="G2497">
        <v>93.5</v>
      </c>
      <c r="H2497">
        <v>0.8054</v>
      </c>
      <c r="I2497">
        <v>47.9</v>
      </c>
      <c r="J2497">
        <v>47.8</v>
      </c>
      <c r="K2497">
        <v>18.899999999999999</v>
      </c>
      <c r="L2497">
        <v>15.4</v>
      </c>
      <c r="M2497">
        <v>30.4</v>
      </c>
      <c r="N2497">
        <v>26.1</v>
      </c>
      <c r="O2497">
        <v>31.4</v>
      </c>
      <c r="P2497">
        <v>37.1</v>
      </c>
      <c r="Q2497">
        <v>47.8</v>
      </c>
      <c r="R2497">
        <v>48.1</v>
      </c>
      <c r="S2497">
        <v>32</v>
      </c>
      <c r="T2497">
        <v>31.5</v>
      </c>
      <c r="U2497">
        <v>68.7</v>
      </c>
      <c r="V2497">
        <v>1.4</v>
      </c>
      <c r="W2497" cm="1">
        <f t="array" ref="W2497">_xlfn.IFS(OR(X2497="N/A",X2497="NA"),0,OR(X2497="R64",X2497="R68"),1,X2497="R32",2,X2497="S16",3,X2497="E8",4,X2497="F4",5,X2497="2ND",6,X2497="Champions",7)</f>
        <v>1</v>
      </c>
      <c r="X2497" t="s">
        <v>423</v>
      </c>
      <c r="Y2497">
        <v>11</v>
      </c>
      <c r="Z2497">
        <v>2021</v>
      </c>
    </row>
    <row r="2498" spans="1:26" x14ac:dyDescent="0.3">
      <c r="A2498" t="s">
        <v>88</v>
      </c>
      <c r="B2498" t="s">
        <v>50</v>
      </c>
      <c r="C2498">
        <v>19</v>
      </c>
      <c r="D2498">
        <v>16</v>
      </c>
      <c r="E2498" s="1">
        <f t="shared" si="38"/>
        <v>0.84210526315789469</v>
      </c>
      <c r="F2498">
        <v>109.6</v>
      </c>
      <c r="G2498">
        <v>98.1</v>
      </c>
      <c r="H2498">
        <v>0.7823</v>
      </c>
      <c r="I2498">
        <v>47.6</v>
      </c>
      <c r="J2498">
        <v>47.1</v>
      </c>
      <c r="K2498">
        <v>15.9</v>
      </c>
      <c r="L2498">
        <v>18.100000000000001</v>
      </c>
      <c r="M2498">
        <v>29.8</v>
      </c>
      <c r="N2498">
        <v>33.4</v>
      </c>
      <c r="O2498">
        <v>38.200000000000003</v>
      </c>
      <c r="P2498">
        <v>29.7</v>
      </c>
      <c r="Q2498">
        <v>44.7</v>
      </c>
      <c r="R2498">
        <v>47.6</v>
      </c>
      <c r="S2498">
        <v>34.5</v>
      </c>
      <c r="T2498">
        <v>30.8</v>
      </c>
      <c r="U2498">
        <v>67.5</v>
      </c>
      <c r="V2498">
        <v>1.3</v>
      </c>
      <c r="W2498" cm="1">
        <f t="array" ref="W2498">_xlfn.IFS(OR(X2498="N/A",X2498="NA"),0,OR(X2498="R64",X2498="R68"),1,X2498="R32",2,X2498="S16",3,X2498="E8",4,X2498="F4",5,X2498="2ND",6,X2498="Champions",7)</f>
        <v>1</v>
      </c>
      <c r="X2498" t="s">
        <v>423</v>
      </c>
      <c r="Y2498">
        <v>11</v>
      </c>
      <c r="Z2498">
        <v>2021</v>
      </c>
    </row>
    <row r="2499" spans="1:26" x14ac:dyDescent="0.3">
      <c r="A2499" t="s">
        <v>82</v>
      </c>
      <c r="B2499" t="s">
        <v>26</v>
      </c>
      <c r="C2499">
        <v>25</v>
      </c>
      <c r="D2499">
        <v>16</v>
      </c>
      <c r="E2499" s="1">
        <f t="shared" ref="E2499:E2562" si="39">D2499/C2499</f>
        <v>0.64</v>
      </c>
      <c r="F2499">
        <v>112.8</v>
      </c>
      <c r="G2499">
        <v>97.6</v>
      </c>
      <c r="H2499">
        <v>0.84019999999999995</v>
      </c>
      <c r="I2499">
        <v>50.7</v>
      </c>
      <c r="J2499">
        <v>48.5</v>
      </c>
      <c r="K2499">
        <v>16</v>
      </c>
      <c r="L2499">
        <v>20.8</v>
      </c>
      <c r="M2499">
        <v>30.1</v>
      </c>
      <c r="N2499">
        <v>33.5</v>
      </c>
      <c r="O2499">
        <v>28.1</v>
      </c>
      <c r="P2499">
        <v>25.1</v>
      </c>
      <c r="Q2499">
        <v>50.9</v>
      </c>
      <c r="R2499">
        <v>49.3</v>
      </c>
      <c r="S2499">
        <v>33.700000000000003</v>
      </c>
      <c r="T2499">
        <v>31.6</v>
      </c>
      <c r="U2499">
        <v>69.400000000000006</v>
      </c>
      <c r="V2499">
        <v>0.5</v>
      </c>
      <c r="W2499" cm="1">
        <f t="array" ref="W2499">_xlfn.IFS(OR(X2499="N/A",X2499="NA"),0,OR(X2499="R64",X2499="R68"),1,X2499="R32",2,X2499="S16",3,X2499="E8",4,X2499="F4",5,X2499="2ND",6,X2499="Champions",7)</f>
        <v>3</v>
      </c>
      <c r="X2499" t="s">
        <v>424</v>
      </c>
      <c r="Y2499">
        <v>11</v>
      </c>
      <c r="Z2499">
        <v>2021</v>
      </c>
    </row>
    <row r="2500" spans="1:26" x14ac:dyDescent="0.3">
      <c r="A2500" t="s">
        <v>324</v>
      </c>
      <c r="B2500" t="s">
        <v>38</v>
      </c>
      <c r="C2500">
        <v>26</v>
      </c>
      <c r="D2500">
        <v>17</v>
      </c>
      <c r="E2500" s="1">
        <f t="shared" si="39"/>
        <v>0.65384615384615385</v>
      </c>
      <c r="F2500">
        <v>112.3</v>
      </c>
      <c r="G2500">
        <v>97.5</v>
      </c>
      <c r="H2500">
        <v>0.83499999999999996</v>
      </c>
      <c r="I2500">
        <v>52</v>
      </c>
      <c r="J2500">
        <v>50.7</v>
      </c>
      <c r="K2500">
        <v>16.600000000000001</v>
      </c>
      <c r="L2500">
        <v>17.600000000000001</v>
      </c>
      <c r="M2500">
        <v>30.4</v>
      </c>
      <c r="N2500">
        <v>24.4</v>
      </c>
      <c r="O2500">
        <v>32.6</v>
      </c>
      <c r="P2500">
        <v>28</v>
      </c>
      <c r="Q2500">
        <v>50.6</v>
      </c>
      <c r="R2500">
        <v>49.4</v>
      </c>
      <c r="S2500">
        <v>36.700000000000003</v>
      </c>
      <c r="T2500">
        <v>35.1</v>
      </c>
      <c r="U2500">
        <v>64.7</v>
      </c>
      <c r="V2500">
        <v>1</v>
      </c>
      <c r="W2500" cm="1">
        <f t="array" ref="W2500">_xlfn.IFS(OR(X2500="N/A",X2500="NA"),0,OR(X2500="R64",X2500="R68"),1,X2500="R32",2,X2500="S16",3,X2500="E8",4,X2500="F4",5,X2500="2ND",6,X2500="Champions",7)</f>
        <v>5</v>
      </c>
      <c r="X2500" t="s">
        <v>83</v>
      </c>
      <c r="Y2500">
        <v>11</v>
      </c>
      <c r="Z2500">
        <v>2021</v>
      </c>
    </row>
    <row r="2501" spans="1:26" x14ac:dyDescent="0.3">
      <c r="A2501" t="s">
        <v>290</v>
      </c>
      <c r="B2501" t="s">
        <v>55</v>
      </c>
      <c r="C2501">
        <v>27</v>
      </c>
      <c r="D2501">
        <v>20</v>
      </c>
      <c r="E2501" s="1">
        <f t="shared" si="39"/>
        <v>0.7407407407407407</v>
      </c>
      <c r="F2501">
        <v>105.2</v>
      </c>
      <c r="G2501">
        <v>90</v>
      </c>
      <c r="H2501">
        <v>0.8569</v>
      </c>
      <c r="I2501">
        <v>49.8</v>
      </c>
      <c r="J2501">
        <v>45.6</v>
      </c>
      <c r="K2501">
        <v>19.7</v>
      </c>
      <c r="L2501">
        <v>19.7</v>
      </c>
      <c r="M2501">
        <v>35.299999999999997</v>
      </c>
      <c r="N2501">
        <v>21.3</v>
      </c>
      <c r="O2501">
        <v>29.4</v>
      </c>
      <c r="P2501">
        <v>26.1</v>
      </c>
      <c r="Q2501">
        <v>49.6</v>
      </c>
      <c r="R2501">
        <v>42.9</v>
      </c>
      <c r="S2501">
        <v>33.6</v>
      </c>
      <c r="T2501">
        <v>33</v>
      </c>
      <c r="U2501">
        <v>69</v>
      </c>
      <c r="V2501">
        <v>-1.1000000000000001</v>
      </c>
      <c r="W2501" cm="1">
        <f t="array" ref="W2501">_xlfn.IFS(OR(X2501="N/A",X2501="NA"),0,OR(X2501="R64",X2501="R68"),1,X2501="R32",2,X2501="S16",3,X2501="E8",4,X2501="F4",5,X2501="2ND",6,X2501="Champions",7)</f>
        <v>1</v>
      </c>
      <c r="X2501" t="s">
        <v>422</v>
      </c>
      <c r="Y2501">
        <v>11</v>
      </c>
      <c r="Z2501">
        <v>2021</v>
      </c>
    </row>
    <row r="2502" spans="1:26" x14ac:dyDescent="0.3">
      <c r="A2502" t="s">
        <v>276</v>
      </c>
      <c r="B2502" t="s">
        <v>47</v>
      </c>
      <c r="C2502">
        <v>27</v>
      </c>
      <c r="D2502">
        <v>25</v>
      </c>
      <c r="E2502" s="1">
        <f t="shared" si="39"/>
        <v>0.92592592592592593</v>
      </c>
      <c r="F2502">
        <v>111.8</v>
      </c>
      <c r="G2502">
        <v>101.6</v>
      </c>
      <c r="H2502">
        <v>0.75080000000000002</v>
      </c>
      <c r="I2502">
        <v>54.5</v>
      </c>
      <c r="J2502">
        <v>48.4</v>
      </c>
      <c r="K2502">
        <v>15.2</v>
      </c>
      <c r="L2502">
        <v>18.8</v>
      </c>
      <c r="M2502">
        <v>31.6</v>
      </c>
      <c r="N2502">
        <v>24.9</v>
      </c>
      <c r="O2502">
        <v>25.2</v>
      </c>
      <c r="P2502">
        <v>29.7</v>
      </c>
      <c r="Q2502">
        <v>54.4</v>
      </c>
      <c r="R2502">
        <v>49.7</v>
      </c>
      <c r="S2502">
        <v>36.6</v>
      </c>
      <c r="T2502">
        <v>30.8</v>
      </c>
      <c r="U2502">
        <v>66.7</v>
      </c>
      <c r="V2502">
        <v>1.5</v>
      </c>
      <c r="W2502" cm="1">
        <f t="array" ref="W2502">_xlfn.IFS(OR(X2502="N/A",X2502="NA"),0,OR(X2502="R64",X2502="R68"),1,X2502="R32",2,X2502="S16",3,X2502="E8",4,X2502="F4",5,X2502="2ND",6,X2502="Champions",7)</f>
        <v>1</v>
      </c>
      <c r="X2502" t="s">
        <v>422</v>
      </c>
      <c r="Y2502">
        <v>11</v>
      </c>
      <c r="Z2502">
        <v>2021</v>
      </c>
    </row>
    <row r="2503" spans="1:26" x14ac:dyDescent="0.3">
      <c r="A2503" t="s">
        <v>159</v>
      </c>
      <c r="B2503" t="s">
        <v>33</v>
      </c>
      <c r="C2503">
        <v>25</v>
      </c>
      <c r="D2503">
        <v>13</v>
      </c>
      <c r="E2503" s="1">
        <f t="shared" si="39"/>
        <v>0.52</v>
      </c>
      <c r="F2503">
        <v>108.5</v>
      </c>
      <c r="G2503">
        <v>93.2</v>
      </c>
      <c r="H2503">
        <v>0.85160000000000002</v>
      </c>
      <c r="I2503">
        <v>49.6</v>
      </c>
      <c r="J2503">
        <v>48</v>
      </c>
      <c r="K2503">
        <v>21.7</v>
      </c>
      <c r="L2503">
        <v>16.2</v>
      </c>
      <c r="M2503">
        <v>32.4</v>
      </c>
      <c r="N2503">
        <v>27.3</v>
      </c>
      <c r="O2503">
        <v>30.3</v>
      </c>
      <c r="P2503">
        <v>25.9</v>
      </c>
      <c r="Q2503">
        <v>46.1</v>
      </c>
      <c r="R2503">
        <v>47.4</v>
      </c>
      <c r="S2503">
        <v>36.6</v>
      </c>
      <c r="T2503">
        <v>32.6</v>
      </c>
      <c r="U2503">
        <v>69.5</v>
      </c>
      <c r="V2503">
        <v>-1</v>
      </c>
      <c r="W2503" cm="1">
        <f t="array" ref="W2503">_xlfn.IFS(OR(X2503="N/A",X2503="NA"),0,OR(X2503="R64",X2503="R68"),1,X2503="R32",2,X2503="S16",3,X2503="E8",4,X2503="F4",5,X2503="2ND",6,X2503="Champions",7)</f>
        <v>1</v>
      </c>
      <c r="X2503" t="s">
        <v>422</v>
      </c>
      <c r="Y2503">
        <v>12</v>
      </c>
      <c r="Z2503">
        <v>2021</v>
      </c>
    </row>
    <row r="2504" spans="1:26" x14ac:dyDescent="0.3">
      <c r="A2504" t="s">
        <v>319</v>
      </c>
      <c r="B2504" t="s">
        <v>38</v>
      </c>
      <c r="C2504">
        <v>28</v>
      </c>
      <c r="D2504">
        <v>17</v>
      </c>
      <c r="E2504" s="1">
        <f t="shared" si="39"/>
        <v>0.6071428571428571</v>
      </c>
      <c r="F2504">
        <v>108.5</v>
      </c>
      <c r="G2504">
        <v>99.6</v>
      </c>
      <c r="H2504">
        <v>0.72889999999999999</v>
      </c>
      <c r="I2504">
        <v>48.7</v>
      </c>
      <c r="J2504">
        <v>50.4</v>
      </c>
      <c r="K2504">
        <v>17.2</v>
      </c>
      <c r="L2504">
        <v>18.5</v>
      </c>
      <c r="M2504">
        <v>29.8</v>
      </c>
      <c r="N2504">
        <v>29.4</v>
      </c>
      <c r="O2504">
        <v>34</v>
      </c>
      <c r="P2504">
        <v>38.200000000000003</v>
      </c>
      <c r="Q2504">
        <v>46.9</v>
      </c>
      <c r="R2504">
        <v>52.5</v>
      </c>
      <c r="S2504">
        <v>34.6</v>
      </c>
      <c r="T2504">
        <v>31.4</v>
      </c>
      <c r="U2504">
        <v>65.099999999999994</v>
      </c>
      <c r="V2504">
        <v>-1.6</v>
      </c>
      <c r="W2504" cm="1">
        <f t="array" ref="W2504">_xlfn.IFS(OR(X2504="N/A",X2504="NA"),0,OR(X2504="R64",X2504="R68"),1,X2504="R32",2,X2504="S16",3,X2504="E8",4,X2504="F4",5,X2504="2ND",6,X2504="Champions",7)</f>
        <v>4</v>
      </c>
      <c r="X2504" t="s">
        <v>54</v>
      </c>
      <c r="Y2504">
        <v>12</v>
      </c>
      <c r="Z2504">
        <v>2021</v>
      </c>
    </row>
    <row r="2505" spans="1:26" x14ac:dyDescent="0.3">
      <c r="A2505" t="s">
        <v>195</v>
      </c>
      <c r="B2505" t="s">
        <v>48</v>
      </c>
      <c r="C2505">
        <v>24</v>
      </c>
      <c r="D2505">
        <v>22</v>
      </c>
      <c r="E2505" s="1">
        <f t="shared" si="39"/>
        <v>0.91666666666666663</v>
      </c>
      <c r="F2505">
        <v>107.9</v>
      </c>
      <c r="G2505">
        <v>97.6</v>
      </c>
      <c r="H2505">
        <v>0.76149999999999995</v>
      </c>
      <c r="I2505">
        <v>53</v>
      </c>
      <c r="J2505">
        <v>47.7</v>
      </c>
      <c r="K2505">
        <v>16.5</v>
      </c>
      <c r="L2505">
        <v>20.8</v>
      </c>
      <c r="M2505">
        <v>28.2</v>
      </c>
      <c r="N2505">
        <v>24.5</v>
      </c>
      <c r="O2505">
        <v>35.5</v>
      </c>
      <c r="P2505">
        <v>28</v>
      </c>
      <c r="Q2505">
        <v>53.4</v>
      </c>
      <c r="R2505">
        <v>46.6</v>
      </c>
      <c r="S2505">
        <v>34.799999999999997</v>
      </c>
      <c r="T2505">
        <v>33.4</v>
      </c>
      <c r="U2505">
        <v>65.8</v>
      </c>
      <c r="V2505">
        <v>-0.2</v>
      </c>
      <c r="W2505" cm="1">
        <f t="array" ref="W2505">_xlfn.IFS(OR(X2505="N/A",X2505="NA"),0,OR(X2505="R64",X2505="R68"),1,X2505="R32",2,X2505="S16",3,X2505="E8",4,X2505="F4",5,X2505="2ND",6,X2505="Champions",7)</f>
        <v>1</v>
      </c>
      <c r="X2505" t="s">
        <v>422</v>
      </c>
      <c r="Y2505">
        <v>12</v>
      </c>
      <c r="Z2505">
        <v>2021</v>
      </c>
    </row>
    <row r="2506" spans="1:26" x14ac:dyDescent="0.3">
      <c r="A2506" t="s">
        <v>185</v>
      </c>
      <c r="B2506" t="s">
        <v>74</v>
      </c>
      <c r="C2506">
        <v>24</v>
      </c>
      <c r="D2506">
        <v>23</v>
      </c>
      <c r="E2506" s="1">
        <f t="shared" si="39"/>
        <v>0.95833333333333337</v>
      </c>
      <c r="F2506">
        <v>104.2</v>
      </c>
      <c r="G2506">
        <v>96.9</v>
      </c>
      <c r="H2506">
        <v>0.69750000000000001</v>
      </c>
      <c r="I2506">
        <v>53</v>
      </c>
      <c r="J2506">
        <v>49</v>
      </c>
      <c r="K2506">
        <v>19.5</v>
      </c>
      <c r="L2506">
        <v>22.5</v>
      </c>
      <c r="M2506">
        <v>35.6</v>
      </c>
      <c r="N2506">
        <v>22.2</v>
      </c>
      <c r="O2506">
        <v>35.700000000000003</v>
      </c>
      <c r="P2506">
        <v>33.799999999999997</v>
      </c>
      <c r="Q2506">
        <v>53</v>
      </c>
      <c r="R2506">
        <v>49.2</v>
      </c>
      <c r="S2506">
        <v>35.299999999999997</v>
      </c>
      <c r="T2506">
        <v>32.4</v>
      </c>
      <c r="U2506">
        <v>73.8</v>
      </c>
      <c r="V2506">
        <v>0.9</v>
      </c>
      <c r="W2506" cm="1">
        <f t="array" ref="W2506">_xlfn.IFS(OR(X2506="N/A",X2506="NA"),0,OR(X2506="R64",X2506="R68"),1,X2506="R32",2,X2506="S16",3,X2506="E8",4,X2506="F4",5,X2506="2ND",6,X2506="Champions",7)</f>
        <v>1</v>
      </c>
      <c r="X2506" t="s">
        <v>422</v>
      </c>
      <c r="Y2506">
        <v>12</v>
      </c>
      <c r="Z2506">
        <v>2021</v>
      </c>
    </row>
    <row r="2507" spans="1:26" x14ac:dyDescent="0.3">
      <c r="A2507" t="s">
        <v>259</v>
      </c>
      <c r="B2507" t="s">
        <v>57</v>
      </c>
      <c r="C2507">
        <v>22</v>
      </c>
      <c r="D2507">
        <v>16</v>
      </c>
      <c r="E2507" s="1">
        <f t="shared" si="39"/>
        <v>0.72727272727272729</v>
      </c>
      <c r="F2507">
        <v>111.9</v>
      </c>
      <c r="G2507">
        <v>100.7</v>
      </c>
      <c r="H2507">
        <v>0.77149999999999996</v>
      </c>
      <c r="I2507">
        <v>55.8</v>
      </c>
      <c r="J2507">
        <v>51.1</v>
      </c>
      <c r="K2507">
        <v>17</v>
      </c>
      <c r="L2507">
        <v>20</v>
      </c>
      <c r="M2507">
        <v>28.7</v>
      </c>
      <c r="N2507">
        <v>27.4</v>
      </c>
      <c r="O2507">
        <v>29.6</v>
      </c>
      <c r="P2507">
        <v>30.2</v>
      </c>
      <c r="Q2507">
        <v>56.4</v>
      </c>
      <c r="R2507">
        <v>51.6</v>
      </c>
      <c r="S2507">
        <v>36.6</v>
      </c>
      <c r="T2507">
        <v>33.700000000000003</v>
      </c>
      <c r="U2507">
        <v>69.3</v>
      </c>
      <c r="V2507">
        <v>-2</v>
      </c>
      <c r="W2507" cm="1">
        <f t="array" ref="W2507">_xlfn.IFS(OR(X2507="N/A",X2507="NA"),0,OR(X2507="R64",X2507="R68"),1,X2507="R32",2,X2507="S16",3,X2507="E8",4,X2507="F4",5,X2507="2ND",6,X2507="Champions",7)</f>
        <v>2</v>
      </c>
      <c r="X2507" t="s">
        <v>420</v>
      </c>
      <c r="Y2507">
        <v>13</v>
      </c>
      <c r="Z2507">
        <v>2021</v>
      </c>
    </row>
    <row r="2508" spans="1:26" x14ac:dyDescent="0.3">
      <c r="A2508" t="s">
        <v>213</v>
      </c>
      <c r="B2508" t="s">
        <v>40</v>
      </c>
      <c r="C2508">
        <v>25</v>
      </c>
      <c r="D2508">
        <v>17</v>
      </c>
      <c r="E2508" s="1">
        <f t="shared" si="39"/>
        <v>0.68</v>
      </c>
      <c r="F2508">
        <v>104.4</v>
      </c>
      <c r="G2508">
        <v>94.6</v>
      </c>
      <c r="H2508">
        <v>0.75780000000000003</v>
      </c>
      <c r="I2508">
        <v>54</v>
      </c>
      <c r="J2508">
        <v>45.7</v>
      </c>
      <c r="K2508">
        <v>20.399999999999999</v>
      </c>
      <c r="L2508">
        <v>21.4</v>
      </c>
      <c r="M2508">
        <v>27.9</v>
      </c>
      <c r="N2508">
        <v>26.9</v>
      </c>
      <c r="O2508">
        <v>27.2</v>
      </c>
      <c r="P2508">
        <v>31.7</v>
      </c>
      <c r="Q2508">
        <v>52.9</v>
      </c>
      <c r="R2508">
        <v>44.8</v>
      </c>
      <c r="S2508">
        <v>37.299999999999997</v>
      </c>
      <c r="T2508">
        <v>31.6</v>
      </c>
      <c r="U2508">
        <v>63.3</v>
      </c>
      <c r="V2508">
        <v>-2.5</v>
      </c>
      <c r="W2508" cm="1">
        <f t="array" ref="W2508">_xlfn.IFS(OR(X2508="N/A",X2508="NA"),0,OR(X2508="R64",X2508="R68"),1,X2508="R32",2,X2508="S16",3,X2508="E8",4,X2508="F4",5,X2508="2ND",6,X2508="Champions",7)</f>
        <v>2</v>
      </c>
      <c r="X2508" t="s">
        <v>420</v>
      </c>
      <c r="Y2508">
        <v>13</v>
      </c>
      <c r="Z2508">
        <v>2021</v>
      </c>
    </row>
    <row r="2509" spans="1:26" x14ac:dyDescent="0.3">
      <c r="A2509" t="s">
        <v>354</v>
      </c>
      <c r="B2509" t="s">
        <v>62</v>
      </c>
      <c r="C2509">
        <v>29</v>
      </c>
      <c r="D2509">
        <v>21</v>
      </c>
      <c r="E2509" s="1">
        <f t="shared" si="39"/>
        <v>0.72413793103448276</v>
      </c>
      <c r="F2509">
        <v>102.3</v>
      </c>
      <c r="G2509">
        <v>97.5</v>
      </c>
      <c r="H2509">
        <v>0.63529999999999998</v>
      </c>
      <c r="I2509">
        <v>48.2</v>
      </c>
      <c r="J2509">
        <v>48.1</v>
      </c>
      <c r="K2509">
        <v>15.6</v>
      </c>
      <c r="L2509">
        <v>21</v>
      </c>
      <c r="M2509">
        <v>32.4</v>
      </c>
      <c r="N2509">
        <v>25.9</v>
      </c>
      <c r="O2509">
        <v>23.8</v>
      </c>
      <c r="P2509">
        <v>36.4</v>
      </c>
      <c r="Q2509">
        <v>50.3</v>
      </c>
      <c r="R2509">
        <v>48.3</v>
      </c>
      <c r="S2509">
        <v>30</v>
      </c>
      <c r="T2509">
        <v>31.9</v>
      </c>
      <c r="U2509">
        <v>68.3</v>
      </c>
      <c r="V2509">
        <v>-3.5</v>
      </c>
      <c r="W2509" cm="1">
        <f t="array" ref="W2509">_xlfn.IFS(OR(X2509="N/A",X2509="NA"),0,OR(X2509="R64",X2509="R68"),1,X2509="R32",2,X2509="S16",3,X2509="E8",4,X2509="F4",5,X2509="2ND",6,X2509="Champions",7)</f>
        <v>1</v>
      </c>
      <c r="X2509" t="s">
        <v>422</v>
      </c>
      <c r="Y2509">
        <v>13</v>
      </c>
      <c r="Z2509">
        <v>2021</v>
      </c>
    </row>
    <row r="2510" spans="1:26" x14ac:dyDescent="0.3">
      <c r="A2510" t="s">
        <v>180</v>
      </c>
      <c r="B2510" t="s">
        <v>131</v>
      </c>
      <c r="C2510">
        <v>24</v>
      </c>
      <c r="D2510">
        <v>23</v>
      </c>
      <c r="E2510" s="1">
        <f t="shared" si="39"/>
        <v>0.95833333333333337</v>
      </c>
      <c r="F2510">
        <v>109.1</v>
      </c>
      <c r="G2510">
        <v>101.5</v>
      </c>
      <c r="H2510">
        <v>0.69689999999999996</v>
      </c>
      <c r="I2510">
        <v>57.4</v>
      </c>
      <c r="J2510">
        <v>48</v>
      </c>
      <c r="K2510">
        <v>15.6</v>
      </c>
      <c r="L2510">
        <v>17.3</v>
      </c>
      <c r="M2510">
        <v>23.1</v>
      </c>
      <c r="N2510">
        <v>22.4</v>
      </c>
      <c r="O2510">
        <v>25.5</v>
      </c>
      <c r="P2510">
        <v>29.6</v>
      </c>
      <c r="Q2510">
        <v>56.8</v>
      </c>
      <c r="R2510">
        <v>47.8</v>
      </c>
      <c r="S2510">
        <v>38.799999999999997</v>
      </c>
      <c r="T2510">
        <v>32.200000000000003</v>
      </c>
      <c r="U2510">
        <v>63.4</v>
      </c>
      <c r="V2510">
        <v>-1.7</v>
      </c>
      <c r="W2510" cm="1">
        <f t="array" ref="W2510">_xlfn.IFS(OR(X2510="N/A",X2510="NA"),0,OR(X2510="R64",X2510="R68"),1,X2510="R32",2,X2510="S16",3,X2510="E8",4,X2510="F4",5,X2510="2ND",6,X2510="Champions",7)</f>
        <v>1</v>
      </c>
      <c r="X2510" t="s">
        <v>422</v>
      </c>
      <c r="Y2510">
        <v>13</v>
      </c>
      <c r="Z2510">
        <v>2021</v>
      </c>
    </row>
    <row r="2511" spans="1:26" x14ac:dyDescent="0.3">
      <c r="A2511" t="s">
        <v>330</v>
      </c>
      <c r="B2511" t="s">
        <v>67</v>
      </c>
      <c r="C2511">
        <v>15</v>
      </c>
      <c r="D2511">
        <v>14</v>
      </c>
      <c r="E2511" s="1">
        <f t="shared" si="39"/>
        <v>0.93333333333333335</v>
      </c>
      <c r="F2511">
        <v>110.8</v>
      </c>
      <c r="G2511">
        <v>100</v>
      </c>
      <c r="H2511">
        <v>0.7641</v>
      </c>
      <c r="I2511">
        <v>57.1</v>
      </c>
      <c r="J2511">
        <v>45.7</v>
      </c>
      <c r="K2511">
        <v>13.8</v>
      </c>
      <c r="L2511">
        <v>16.600000000000001</v>
      </c>
      <c r="M2511">
        <v>27.9</v>
      </c>
      <c r="N2511">
        <v>25.6</v>
      </c>
      <c r="O2511">
        <v>31.1</v>
      </c>
      <c r="P2511">
        <v>25.1</v>
      </c>
      <c r="Q2511">
        <v>55.4</v>
      </c>
      <c r="R2511">
        <v>49.5</v>
      </c>
      <c r="S2511">
        <v>40.200000000000003</v>
      </c>
      <c r="T2511">
        <v>26.1</v>
      </c>
      <c r="U2511">
        <v>71.900000000000006</v>
      </c>
      <c r="V2511">
        <v>0.3</v>
      </c>
      <c r="W2511" cm="1">
        <f t="array" ref="W2511">_xlfn.IFS(OR(X2511="N/A",X2511="NA"),0,OR(X2511="R64",X2511="R68"),1,X2511="R32",2,X2511="S16",3,X2511="E8",4,X2511="F4",5,X2511="2ND",6,X2511="Champions",7)</f>
        <v>1</v>
      </c>
      <c r="X2511" t="s">
        <v>422</v>
      </c>
      <c r="Y2511">
        <v>14</v>
      </c>
      <c r="Z2511">
        <v>2021</v>
      </c>
    </row>
    <row r="2512" spans="1:26" x14ac:dyDescent="0.3">
      <c r="A2512" t="s">
        <v>175</v>
      </c>
      <c r="B2512" t="s">
        <v>164</v>
      </c>
      <c r="C2512">
        <v>22</v>
      </c>
      <c r="D2512">
        <v>16</v>
      </c>
      <c r="E2512" s="1">
        <f t="shared" si="39"/>
        <v>0.72727272727272729</v>
      </c>
      <c r="F2512">
        <v>107.7</v>
      </c>
      <c r="G2512">
        <v>101.1</v>
      </c>
      <c r="H2512">
        <v>0.67290000000000005</v>
      </c>
      <c r="I2512">
        <v>54.1</v>
      </c>
      <c r="J2512">
        <v>47.5</v>
      </c>
      <c r="K2512">
        <v>16.5</v>
      </c>
      <c r="L2512">
        <v>16.5</v>
      </c>
      <c r="M2512">
        <v>23.9</v>
      </c>
      <c r="N2512">
        <v>25.8</v>
      </c>
      <c r="O2512">
        <v>30.4</v>
      </c>
      <c r="P2512">
        <v>27.7</v>
      </c>
      <c r="Q2512">
        <v>54.2</v>
      </c>
      <c r="R2512">
        <v>47.6</v>
      </c>
      <c r="S2512">
        <v>35.9</v>
      </c>
      <c r="T2512">
        <v>31.6</v>
      </c>
      <c r="U2512">
        <v>72.2</v>
      </c>
      <c r="V2512">
        <v>-3.6</v>
      </c>
      <c r="W2512" cm="1">
        <f t="array" ref="W2512">_xlfn.IFS(OR(X2512="N/A",X2512="NA"),0,OR(X2512="R64",X2512="R68"),1,X2512="R32",2,X2512="S16",3,X2512="E8",4,X2512="F4",5,X2512="2ND",6,X2512="Champions",7)</f>
        <v>1</v>
      </c>
      <c r="X2512" t="s">
        <v>422</v>
      </c>
      <c r="Y2512">
        <v>14</v>
      </c>
      <c r="Z2512">
        <v>2021</v>
      </c>
    </row>
    <row r="2513" spans="1:26" x14ac:dyDescent="0.3">
      <c r="A2513" t="s">
        <v>368</v>
      </c>
      <c r="B2513" t="s">
        <v>61</v>
      </c>
      <c r="C2513">
        <v>23</v>
      </c>
      <c r="D2513">
        <v>23</v>
      </c>
      <c r="E2513" s="1">
        <f t="shared" si="39"/>
        <v>1</v>
      </c>
      <c r="F2513">
        <v>101.8</v>
      </c>
      <c r="G2513">
        <v>94.7</v>
      </c>
      <c r="H2513">
        <v>0.69769999999999999</v>
      </c>
      <c r="I2513">
        <v>52.9</v>
      </c>
      <c r="J2513">
        <v>45.4</v>
      </c>
      <c r="K2513">
        <v>19.399999999999999</v>
      </c>
      <c r="L2513">
        <v>26.7</v>
      </c>
      <c r="M2513">
        <v>30.6</v>
      </c>
      <c r="N2513">
        <v>27.9</v>
      </c>
      <c r="O2513">
        <v>34</v>
      </c>
      <c r="P2513">
        <v>42.5</v>
      </c>
      <c r="Q2513">
        <v>50.8</v>
      </c>
      <c r="R2513">
        <v>46.3</v>
      </c>
      <c r="S2513">
        <v>37.700000000000003</v>
      </c>
      <c r="T2513">
        <v>29.1</v>
      </c>
      <c r="U2513">
        <v>70</v>
      </c>
      <c r="V2513">
        <v>-1.1000000000000001</v>
      </c>
      <c r="W2513" cm="1">
        <f t="array" ref="W2513">_xlfn.IFS(OR(X2513="N/A",X2513="NA"),0,OR(X2513="R64",X2513="R68"),1,X2513="R32",2,X2513="S16",3,X2513="E8",4,X2513="F4",5,X2513="2ND",6,X2513="Champions",7)</f>
        <v>2</v>
      </c>
      <c r="X2513" t="s">
        <v>420</v>
      </c>
      <c r="Y2513">
        <v>14</v>
      </c>
      <c r="Z2513">
        <v>2021</v>
      </c>
    </row>
    <row r="2514" spans="1:26" x14ac:dyDescent="0.3">
      <c r="A2514" t="s">
        <v>308</v>
      </c>
      <c r="B2514" t="s">
        <v>64</v>
      </c>
      <c r="C2514">
        <v>28</v>
      </c>
      <c r="D2514">
        <v>23</v>
      </c>
      <c r="E2514" s="1">
        <f t="shared" si="39"/>
        <v>0.8214285714285714</v>
      </c>
      <c r="F2514">
        <v>99.3</v>
      </c>
      <c r="G2514">
        <v>96.7</v>
      </c>
      <c r="H2514">
        <v>0.57779999999999998</v>
      </c>
      <c r="I2514">
        <v>51.9</v>
      </c>
      <c r="J2514">
        <v>47</v>
      </c>
      <c r="K2514">
        <v>22.9</v>
      </c>
      <c r="L2514">
        <v>18</v>
      </c>
      <c r="M2514">
        <v>31.3</v>
      </c>
      <c r="N2514">
        <v>24.9</v>
      </c>
      <c r="O2514">
        <v>36.799999999999997</v>
      </c>
      <c r="P2514">
        <v>23.1</v>
      </c>
      <c r="Q2514">
        <v>51.8</v>
      </c>
      <c r="R2514">
        <v>47.6</v>
      </c>
      <c r="S2514">
        <v>34.700000000000003</v>
      </c>
      <c r="T2514">
        <v>30.7</v>
      </c>
      <c r="U2514">
        <v>65.599999999999994</v>
      </c>
      <c r="V2514">
        <v>-2</v>
      </c>
      <c r="W2514" cm="1">
        <f t="array" ref="W2514">_xlfn.IFS(OR(X2514="N/A",X2514="NA"),0,OR(X2514="R64",X2514="R68"),1,X2514="R32",2,X2514="S16",3,X2514="E8",4,X2514="F4",5,X2514="2ND",6,X2514="Champions",7)</f>
        <v>1</v>
      </c>
      <c r="X2514" t="s">
        <v>422</v>
      </c>
      <c r="Y2514">
        <v>14</v>
      </c>
      <c r="Z2514">
        <v>2021</v>
      </c>
    </row>
    <row r="2515" spans="1:26" x14ac:dyDescent="0.3">
      <c r="A2515" t="s">
        <v>242</v>
      </c>
      <c r="B2515" t="s">
        <v>69</v>
      </c>
      <c r="C2515">
        <v>17</v>
      </c>
      <c r="D2515">
        <v>12</v>
      </c>
      <c r="E2515" s="1">
        <f t="shared" si="39"/>
        <v>0.70588235294117652</v>
      </c>
      <c r="F2515">
        <v>101.1</v>
      </c>
      <c r="G2515">
        <v>99.5</v>
      </c>
      <c r="H2515">
        <v>0.54500000000000004</v>
      </c>
      <c r="I2515">
        <v>51.2</v>
      </c>
      <c r="J2515">
        <v>45.6</v>
      </c>
      <c r="K2515">
        <v>22.4</v>
      </c>
      <c r="L2515">
        <v>19.600000000000001</v>
      </c>
      <c r="M2515">
        <v>33.4</v>
      </c>
      <c r="N2515">
        <v>26.1</v>
      </c>
      <c r="O2515">
        <v>36.1</v>
      </c>
      <c r="P2515">
        <v>46.3</v>
      </c>
      <c r="Q2515">
        <v>49.9</v>
      </c>
      <c r="R2515">
        <v>45.8</v>
      </c>
      <c r="S2515">
        <v>35.5</v>
      </c>
      <c r="T2515">
        <v>30.1</v>
      </c>
      <c r="U2515">
        <v>68.5</v>
      </c>
      <c r="V2515">
        <v>-3.2</v>
      </c>
      <c r="W2515" cm="1">
        <f t="array" ref="W2515">_xlfn.IFS(OR(X2515="N/A",X2515="NA"),0,OR(X2515="R64",X2515="R68"),1,X2515="R32",2,X2515="S16",3,X2515="E8",4,X2515="F4",5,X2515="2ND",6,X2515="Champions",7)</f>
        <v>1</v>
      </c>
      <c r="X2515" t="s">
        <v>422</v>
      </c>
      <c r="Y2515">
        <v>15</v>
      </c>
      <c r="Z2515">
        <v>2021</v>
      </c>
    </row>
    <row r="2516" spans="1:26" x14ac:dyDescent="0.3">
      <c r="A2516" t="s">
        <v>384</v>
      </c>
      <c r="B2516" t="s">
        <v>72</v>
      </c>
      <c r="C2516">
        <v>23</v>
      </c>
      <c r="D2516">
        <v>16</v>
      </c>
      <c r="E2516" s="1">
        <f t="shared" si="39"/>
        <v>0.69565217391304346</v>
      </c>
      <c r="F2516">
        <v>107</v>
      </c>
      <c r="G2516">
        <v>107.1</v>
      </c>
      <c r="H2516">
        <v>0.49809999999999999</v>
      </c>
      <c r="I2516">
        <v>53.6</v>
      </c>
      <c r="J2516">
        <v>50.4</v>
      </c>
      <c r="K2516">
        <v>15.7</v>
      </c>
      <c r="L2516">
        <v>18.2</v>
      </c>
      <c r="M2516">
        <v>23.2</v>
      </c>
      <c r="N2516">
        <v>33</v>
      </c>
      <c r="O2516">
        <v>27.8</v>
      </c>
      <c r="P2516">
        <v>33.1</v>
      </c>
      <c r="Q2516">
        <v>49.7</v>
      </c>
      <c r="R2516">
        <v>49</v>
      </c>
      <c r="S2516">
        <v>38.799999999999997</v>
      </c>
      <c r="T2516">
        <v>35.6</v>
      </c>
      <c r="U2516">
        <v>71.400000000000006</v>
      </c>
      <c r="V2516">
        <v>-5.0999999999999996</v>
      </c>
      <c r="W2516" cm="1">
        <f t="array" ref="W2516">_xlfn.IFS(OR(X2516="N/A",X2516="NA"),0,OR(X2516="R64",X2516="R68"),1,X2516="R32",2,X2516="S16",3,X2516="E8",4,X2516="F4",5,X2516="2ND",6,X2516="Champions",7)</f>
        <v>3</v>
      </c>
      <c r="X2516" t="s">
        <v>424</v>
      </c>
      <c r="Y2516">
        <v>15</v>
      </c>
      <c r="Z2516">
        <v>2021</v>
      </c>
    </row>
    <row r="2517" spans="1:26" x14ac:dyDescent="0.3">
      <c r="A2517" t="s">
        <v>402</v>
      </c>
      <c r="B2517" t="s">
        <v>51</v>
      </c>
      <c r="C2517">
        <v>20</v>
      </c>
      <c r="D2517">
        <v>17</v>
      </c>
      <c r="E2517" s="1">
        <f t="shared" si="39"/>
        <v>0.85</v>
      </c>
      <c r="F2517">
        <v>102.7</v>
      </c>
      <c r="G2517">
        <v>96</v>
      </c>
      <c r="H2517">
        <v>0.68520000000000003</v>
      </c>
      <c r="I2517">
        <v>53</v>
      </c>
      <c r="J2517">
        <v>44.9</v>
      </c>
      <c r="K2517">
        <v>20.399999999999999</v>
      </c>
      <c r="L2517">
        <v>16.600000000000001</v>
      </c>
      <c r="M2517">
        <v>32.4</v>
      </c>
      <c r="N2517">
        <v>22.6</v>
      </c>
      <c r="O2517">
        <v>34.700000000000003</v>
      </c>
      <c r="P2517">
        <v>29.6</v>
      </c>
      <c r="Q2517">
        <v>55.7</v>
      </c>
      <c r="R2517">
        <v>44.9</v>
      </c>
      <c r="S2517">
        <v>32.200000000000003</v>
      </c>
      <c r="T2517">
        <v>29.9</v>
      </c>
      <c r="U2517">
        <v>65.400000000000006</v>
      </c>
      <c r="V2517">
        <v>-3.2</v>
      </c>
      <c r="W2517" cm="1">
        <f t="array" ref="W2517">_xlfn.IFS(OR(X2517="N/A",X2517="NA"),0,OR(X2517="R64",X2517="R68"),1,X2517="R32",2,X2517="S16",3,X2517="E8",4,X2517="F4",5,X2517="2ND",6,X2517="Champions",7)</f>
        <v>1</v>
      </c>
      <c r="X2517" t="s">
        <v>422</v>
      </c>
      <c r="Y2517">
        <v>15</v>
      </c>
      <c r="Z2517">
        <v>2021</v>
      </c>
    </row>
    <row r="2518" spans="1:26" x14ac:dyDescent="0.3">
      <c r="A2518" t="s">
        <v>221</v>
      </c>
      <c r="B2518" t="s">
        <v>43</v>
      </c>
      <c r="C2518">
        <v>26</v>
      </c>
      <c r="D2518">
        <v>19</v>
      </c>
      <c r="E2518" s="1">
        <f t="shared" si="39"/>
        <v>0.73076923076923073</v>
      </c>
      <c r="F2518">
        <v>99.9</v>
      </c>
      <c r="G2518">
        <v>100.7</v>
      </c>
      <c r="H2518">
        <v>0.47849999999999998</v>
      </c>
      <c r="I2518">
        <v>50.6</v>
      </c>
      <c r="J2518">
        <v>48.9</v>
      </c>
      <c r="K2518">
        <v>18.5</v>
      </c>
      <c r="L2518">
        <v>20.2</v>
      </c>
      <c r="M2518">
        <v>30.9</v>
      </c>
      <c r="N2518">
        <v>31.8</v>
      </c>
      <c r="O2518">
        <v>31.9</v>
      </c>
      <c r="P2518">
        <v>37.200000000000003</v>
      </c>
      <c r="Q2518">
        <v>52.1</v>
      </c>
      <c r="R2518">
        <v>50.9</v>
      </c>
      <c r="S2518">
        <v>31.9</v>
      </c>
      <c r="T2518">
        <v>30.8</v>
      </c>
      <c r="U2518">
        <v>66.2</v>
      </c>
      <c r="V2518">
        <v>-2.7</v>
      </c>
      <c r="W2518" cm="1">
        <f t="array" ref="W2518">_xlfn.IFS(OR(X2518="N/A",X2518="NA"),0,OR(X2518="R64",X2518="R68"),1,X2518="R32",2,X2518="S16",3,X2518="E8",4,X2518="F4",5,X2518="2ND",6,X2518="Champions",7)</f>
        <v>1</v>
      </c>
      <c r="X2518" t="s">
        <v>422</v>
      </c>
      <c r="Y2518">
        <v>15</v>
      </c>
      <c r="Z2518">
        <v>2021</v>
      </c>
    </row>
    <row r="2519" spans="1:26" x14ac:dyDescent="0.3">
      <c r="A2519" t="s">
        <v>199</v>
      </c>
      <c r="B2519" t="s">
        <v>53</v>
      </c>
      <c r="C2519">
        <v>19</v>
      </c>
      <c r="D2519">
        <v>12</v>
      </c>
      <c r="E2519" s="1">
        <f t="shared" si="39"/>
        <v>0.63157894736842102</v>
      </c>
      <c r="F2519">
        <v>107.9</v>
      </c>
      <c r="G2519">
        <v>105</v>
      </c>
      <c r="H2519">
        <v>0.57679999999999998</v>
      </c>
      <c r="I2519">
        <v>54.3</v>
      </c>
      <c r="J2519">
        <v>49.6</v>
      </c>
      <c r="K2519">
        <v>19.600000000000001</v>
      </c>
      <c r="L2519">
        <v>16.399999999999999</v>
      </c>
      <c r="M2519">
        <v>29.4</v>
      </c>
      <c r="N2519">
        <v>24.3</v>
      </c>
      <c r="O2519">
        <v>28.5</v>
      </c>
      <c r="P2519">
        <v>27.2</v>
      </c>
      <c r="Q2519">
        <v>53.5</v>
      </c>
      <c r="R2519">
        <v>50.4</v>
      </c>
      <c r="S2519">
        <v>37.200000000000003</v>
      </c>
      <c r="T2519">
        <v>32.1</v>
      </c>
      <c r="U2519">
        <v>64.400000000000006</v>
      </c>
      <c r="V2519">
        <v>-4.5</v>
      </c>
      <c r="W2519" cm="1">
        <f t="array" ref="W2519">_xlfn.IFS(OR(X2519="N/A",X2519="NA"),0,OR(X2519="R64",X2519="R68"),1,X2519="R32",2,X2519="S16",3,X2519="E8",4,X2519="F4",5,X2519="2ND",6,X2519="Champions",7)</f>
        <v>1</v>
      </c>
      <c r="X2519" t="s">
        <v>422</v>
      </c>
      <c r="Y2519">
        <v>16</v>
      </c>
      <c r="Z2519">
        <v>2021</v>
      </c>
    </row>
    <row r="2520" spans="1:26" x14ac:dyDescent="0.3">
      <c r="A2520" t="s">
        <v>298</v>
      </c>
      <c r="B2520" t="s">
        <v>77</v>
      </c>
      <c r="C2520">
        <v>22</v>
      </c>
      <c r="D2520">
        <v>12</v>
      </c>
      <c r="E2520" s="1">
        <f t="shared" si="39"/>
        <v>0.54545454545454541</v>
      </c>
      <c r="F2520">
        <v>95.7</v>
      </c>
      <c r="G2520">
        <v>100.6</v>
      </c>
      <c r="H2520">
        <v>0.35930000000000001</v>
      </c>
      <c r="I2520">
        <v>48.7</v>
      </c>
      <c r="J2520">
        <v>45.5</v>
      </c>
      <c r="K2520">
        <v>20.100000000000001</v>
      </c>
      <c r="L2520">
        <v>16.3</v>
      </c>
      <c r="M2520">
        <v>31.7</v>
      </c>
      <c r="N2520">
        <v>24.6</v>
      </c>
      <c r="O2520">
        <v>29.7</v>
      </c>
      <c r="P2520">
        <v>24.6</v>
      </c>
      <c r="Q2520">
        <v>47.7</v>
      </c>
      <c r="R2520">
        <v>45.6</v>
      </c>
      <c r="S2520">
        <v>33.700000000000003</v>
      </c>
      <c r="T2520">
        <v>30.1</v>
      </c>
      <c r="U2520">
        <v>62.2</v>
      </c>
      <c r="V2520">
        <v>-7.2</v>
      </c>
      <c r="W2520" cm="1">
        <f t="array" ref="W2520">_xlfn.IFS(OR(X2520="N/A",X2520="NA"),0,OR(X2520="R64",X2520="R68"),1,X2520="R32",2,X2520="S16",3,X2520="E8",4,X2520="F4",5,X2520="2ND",6,X2520="Champions",7)</f>
        <v>1</v>
      </c>
      <c r="X2520" t="s">
        <v>423</v>
      </c>
      <c r="Y2520">
        <v>16</v>
      </c>
      <c r="Z2520">
        <v>2021</v>
      </c>
    </row>
    <row r="2521" spans="1:26" x14ac:dyDescent="0.3">
      <c r="A2521" t="s">
        <v>113</v>
      </c>
      <c r="B2521" t="s">
        <v>112</v>
      </c>
      <c r="C2521">
        <v>23</v>
      </c>
      <c r="D2521">
        <v>15</v>
      </c>
      <c r="E2521" s="1">
        <f t="shared" si="39"/>
        <v>0.65217391304347827</v>
      </c>
      <c r="F2521">
        <v>97.3</v>
      </c>
      <c r="G2521">
        <v>99.6</v>
      </c>
      <c r="H2521">
        <v>0.4345</v>
      </c>
      <c r="I2521">
        <v>50.4</v>
      </c>
      <c r="J2521">
        <v>47.6</v>
      </c>
      <c r="K2521">
        <v>19</v>
      </c>
      <c r="L2521">
        <v>20.399999999999999</v>
      </c>
      <c r="M2521">
        <v>24.8</v>
      </c>
      <c r="N2521">
        <v>28.6</v>
      </c>
      <c r="O2521">
        <v>28.6</v>
      </c>
      <c r="P2521">
        <v>25</v>
      </c>
      <c r="Q2521">
        <v>51.3</v>
      </c>
      <c r="R2521">
        <v>50.7</v>
      </c>
      <c r="S2521">
        <v>32.700000000000003</v>
      </c>
      <c r="T2521">
        <v>28.7</v>
      </c>
      <c r="U2521">
        <v>66.900000000000006</v>
      </c>
      <c r="V2521">
        <v>-4.9000000000000004</v>
      </c>
      <c r="W2521" cm="1">
        <f t="array" ref="W2521">_xlfn.IFS(OR(X2521="N/A",X2521="NA"),0,OR(X2521="R64",X2521="R68"),1,X2521="R32",2,X2521="S16",3,X2521="E8",4,X2521="F4",5,X2521="2ND",6,X2521="Champions",7)</f>
        <v>1</v>
      </c>
      <c r="X2521" t="s">
        <v>422</v>
      </c>
      <c r="Y2521">
        <v>16</v>
      </c>
      <c r="Z2521">
        <v>2021</v>
      </c>
    </row>
    <row r="2522" spans="1:26" x14ac:dyDescent="0.3">
      <c r="A2522" t="s">
        <v>270</v>
      </c>
      <c r="B2522" t="s">
        <v>66</v>
      </c>
      <c r="C2522">
        <v>21</v>
      </c>
      <c r="D2522">
        <v>16</v>
      </c>
      <c r="E2522" s="1">
        <f t="shared" si="39"/>
        <v>0.76190476190476186</v>
      </c>
      <c r="F2522">
        <v>99.4</v>
      </c>
      <c r="G2522">
        <v>104.1</v>
      </c>
      <c r="H2522">
        <v>0.36980000000000002</v>
      </c>
      <c r="I2522">
        <v>49.7</v>
      </c>
      <c r="J2522">
        <v>47.4</v>
      </c>
      <c r="K2522">
        <v>17.8</v>
      </c>
      <c r="L2522">
        <v>20.7</v>
      </c>
      <c r="M2522">
        <v>28.8</v>
      </c>
      <c r="N2522">
        <v>28.7</v>
      </c>
      <c r="O2522">
        <v>38.6</v>
      </c>
      <c r="P2522">
        <v>42</v>
      </c>
      <c r="Q2522">
        <v>46.1</v>
      </c>
      <c r="R2522">
        <v>47.2</v>
      </c>
      <c r="S2522">
        <v>37.4</v>
      </c>
      <c r="T2522">
        <v>31.7</v>
      </c>
      <c r="U2522">
        <v>67.900000000000006</v>
      </c>
      <c r="V2522">
        <v>-5</v>
      </c>
      <c r="W2522" cm="1">
        <f t="array" ref="W2522">_xlfn.IFS(OR(X2522="N/A",X2522="NA"),0,OR(X2522="R64",X2522="R68"),1,X2522="R32",2,X2522="S16",3,X2522="E8",4,X2522="F4",5,X2522="2ND",6,X2522="Champions",7)</f>
        <v>1</v>
      </c>
      <c r="X2522" t="s">
        <v>422</v>
      </c>
      <c r="Y2522">
        <v>16</v>
      </c>
      <c r="Z2522">
        <v>2021</v>
      </c>
    </row>
    <row r="2523" spans="1:26" x14ac:dyDescent="0.3">
      <c r="A2523" t="s">
        <v>399</v>
      </c>
      <c r="B2523" t="s">
        <v>76</v>
      </c>
      <c r="C2523">
        <v>23</v>
      </c>
      <c r="D2523">
        <v>16</v>
      </c>
      <c r="E2523" s="1">
        <f t="shared" si="39"/>
        <v>0.69565217391304346</v>
      </c>
      <c r="F2523">
        <v>97.3</v>
      </c>
      <c r="G2523">
        <v>103.5</v>
      </c>
      <c r="H2523">
        <v>0.33069999999999999</v>
      </c>
      <c r="I2523">
        <v>48.3</v>
      </c>
      <c r="J2523">
        <v>46.5</v>
      </c>
      <c r="K2523">
        <v>21.4</v>
      </c>
      <c r="L2523">
        <v>19.2</v>
      </c>
      <c r="M2523">
        <v>32.9</v>
      </c>
      <c r="N2523">
        <v>25.7</v>
      </c>
      <c r="O2523">
        <v>38.9</v>
      </c>
      <c r="P2523">
        <v>33.799999999999997</v>
      </c>
      <c r="Q2523">
        <v>51</v>
      </c>
      <c r="R2523">
        <v>45.2</v>
      </c>
      <c r="S2523">
        <v>27.7</v>
      </c>
      <c r="T2523">
        <v>32.4</v>
      </c>
      <c r="U2523">
        <v>71.8</v>
      </c>
      <c r="V2523">
        <v>-4.5</v>
      </c>
      <c r="W2523" cm="1">
        <f t="array" ref="W2523">_xlfn.IFS(OR(X2523="N/A",X2523="NA"),0,OR(X2523="R64",X2523="R68"),1,X2523="R32",2,X2523="S16",3,X2523="E8",4,X2523="F4",5,X2523="2ND",6,X2523="Champions",7)</f>
        <v>1</v>
      </c>
      <c r="X2523" t="s">
        <v>422</v>
      </c>
      <c r="Y2523">
        <v>16</v>
      </c>
      <c r="Z2523">
        <v>2021</v>
      </c>
    </row>
    <row r="2524" spans="1:26" x14ac:dyDescent="0.3">
      <c r="A2524" t="s">
        <v>336</v>
      </c>
      <c r="B2524" t="s">
        <v>58</v>
      </c>
      <c r="C2524">
        <v>24</v>
      </c>
      <c r="D2524">
        <v>17</v>
      </c>
      <c r="E2524" s="1">
        <f t="shared" si="39"/>
        <v>0.70833333333333337</v>
      </c>
      <c r="F2524">
        <v>99</v>
      </c>
      <c r="G2524">
        <v>104.4</v>
      </c>
      <c r="H2524">
        <v>0.35120000000000001</v>
      </c>
      <c r="I2524">
        <v>47.7</v>
      </c>
      <c r="J2524">
        <v>50.4</v>
      </c>
      <c r="K2524">
        <v>17.5</v>
      </c>
      <c r="L2524">
        <v>20</v>
      </c>
      <c r="M2524">
        <v>27.8</v>
      </c>
      <c r="N2524">
        <v>30.6</v>
      </c>
      <c r="O2524">
        <v>33</v>
      </c>
      <c r="P2524">
        <v>24</v>
      </c>
      <c r="Q2524">
        <v>46.7</v>
      </c>
      <c r="R2524">
        <v>50.4</v>
      </c>
      <c r="S2524">
        <v>32.6</v>
      </c>
      <c r="T2524">
        <v>33.5</v>
      </c>
      <c r="U2524">
        <v>65.400000000000006</v>
      </c>
      <c r="V2524">
        <v>-7.7</v>
      </c>
      <c r="W2524" cm="1">
        <f t="array" ref="W2524">_xlfn.IFS(OR(X2524="N/A",X2524="NA"),0,OR(X2524="R64",X2524="R68"),1,X2524="R32",2,X2524="S16",3,X2524="E8",4,X2524="F4",5,X2524="2ND",6,X2524="Champions",7)</f>
        <v>1</v>
      </c>
      <c r="X2524" t="s">
        <v>423</v>
      </c>
      <c r="Y2524">
        <v>16</v>
      </c>
      <c r="Z2524">
        <v>2021</v>
      </c>
    </row>
    <row r="2525" spans="1:26" x14ac:dyDescent="0.3">
      <c r="A2525" t="s">
        <v>267</v>
      </c>
      <c r="B2525" t="s">
        <v>66</v>
      </c>
      <c r="C2525">
        <v>5</v>
      </c>
      <c r="D2525">
        <v>1</v>
      </c>
      <c r="E2525" s="1">
        <f t="shared" si="39"/>
        <v>0.2</v>
      </c>
      <c r="F2525">
        <v>95.8</v>
      </c>
      <c r="G2525">
        <v>114.2</v>
      </c>
      <c r="H2525">
        <v>0.11799999999999999</v>
      </c>
      <c r="I2525">
        <v>51.1</v>
      </c>
      <c r="J2525">
        <v>53.5</v>
      </c>
      <c r="K2525">
        <v>18.5</v>
      </c>
      <c r="L2525">
        <v>12.6</v>
      </c>
      <c r="M2525">
        <v>20.399999999999999</v>
      </c>
      <c r="N2525">
        <v>31.2</v>
      </c>
      <c r="O2525">
        <v>37.1</v>
      </c>
      <c r="P2525">
        <v>27.1</v>
      </c>
      <c r="Q2525">
        <v>50.4</v>
      </c>
      <c r="R2525">
        <v>55.9</v>
      </c>
      <c r="S2525">
        <v>34.6</v>
      </c>
      <c r="T2525">
        <v>33.9</v>
      </c>
      <c r="U2525">
        <v>70.8</v>
      </c>
      <c r="V2525">
        <v>-3.4</v>
      </c>
      <c r="W2525" cm="1">
        <f t="array" ref="W2525">_xlfn.IFS(OR(X2525="N/A",X2525="NA"),0,OR(X2525="R64",X2525="R68"),1,X2525="R32",2,X2525="S16",3,X2525="E8",4,X2525="F4",5,X2525="2ND",6,X2525="Champions",7)</f>
        <v>0</v>
      </c>
      <c r="X2525" t="s">
        <v>425</v>
      </c>
      <c r="Y2525" t="s">
        <v>90</v>
      </c>
      <c r="Z2525">
        <v>2021</v>
      </c>
    </row>
    <row r="2526" spans="1:26" x14ac:dyDescent="0.3">
      <c r="A2526" t="s">
        <v>274</v>
      </c>
      <c r="B2526" t="s">
        <v>66</v>
      </c>
      <c r="C2526">
        <v>18</v>
      </c>
      <c r="D2526">
        <v>1</v>
      </c>
      <c r="E2526" s="1">
        <f t="shared" si="39"/>
        <v>5.5555555555555552E-2</v>
      </c>
      <c r="F2526">
        <v>86.5</v>
      </c>
      <c r="G2526">
        <v>112.2</v>
      </c>
      <c r="H2526">
        <v>4.8000000000000001E-2</v>
      </c>
      <c r="I2526">
        <v>44.8</v>
      </c>
      <c r="J2526">
        <v>55.6</v>
      </c>
      <c r="K2526">
        <v>23.8</v>
      </c>
      <c r="L2526">
        <v>22.7</v>
      </c>
      <c r="M2526">
        <v>26.1</v>
      </c>
      <c r="N2526">
        <v>33.9</v>
      </c>
      <c r="O2526">
        <v>27.9</v>
      </c>
      <c r="P2526">
        <v>35.700000000000003</v>
      </c>
      <c r="Q2526">
        <v>43</v>
      </c>
      <c r="R2526">
        <v>56.4</v>
      </c>
      <c r="S2526">
        <v>31.9</v>
      </c>
      <c r="T2526">
        <v>36.1</v>
      </c>
      <c r="U2526">
        <v>72.7</v>
      </c>
      <c r="V2526">
        <v>-14.7</v>
      </c>
      <c r="W2526" cm="1">
        <f t="array" ref="W2526">_xlfn.IFS(OR(X2526="N/A",X2526="NA"),0,OR(X2526="R64",X2526="R68"),1,X2526="R32",2,X2526="S16",3,X2526="E8",4,X2526="F4",5,X2526="2ND",6,X2526="Champions",7)</f>
        <v>0</v>
      </c>
      <c r="X2526" t="s">
        <v>425</v>
      </c>
      <c r="Y2526" t="s">
        <v>90</v>
      </c>
      <c r="Z2526">
        <v>2021</v>
      </c>
    </row>
    <row r="2527" spans="1:26" x14ac:dyDescent="0.3">
      <c r="A2527" t="s">
        <v>163</v>
      </c>
      <c r="B2527" t="s">
        <v>164</v>
      </c>
      <c r="C2527">
        <v>22</v>
      </c>
      <c r="D2527">
        <v>1</v>
      </c>
      <c r="E2527" s="1">
        <f t="shared" si="39"/>
        <v>4.5454545454545456E-2</v>
      </c>
      <c r="F2527">
        <v>91.7</v>
      </c>
      <c r="G2527">
        <v>112</v>
      </c>
      <c r="H2527">
        <v>9.1999999999999998E-2</v>
      </c>
      <c r="I2527">
        <v>48.5</v>
      </c>
      <c r="J2527">
        <v>54.3</v>
      </c>
      <c r="K2527">
        <v>24</v>
      </c>
      <c r="L2527">
        <v>17.100000000000001</v>
      </c>
      <c r="M2527">
        <v>22</v>
      </c>
      <c r="N2527">
        <v>29.7</v>
      </c>
      <c r="O2527">
        <v>29.6</v>
      </c>
      <c r="P2527">
        <v>35.799999999999997</v>
      </c>
      <c r="Q2527">
        <v>47.4</v>
      </c>
      <c r="R2527">
        <v>52.6</v>
      </c>
      <c r="S2527">
        <v>34.1</v>
      </c>
      <c r="T2527">
        <v>38.1</v>
      </c>
      <c r="U2527">
        <v>67.2</v>
      </c>
      <c r="V2527">
        <v>-17.8</v>
      </c>
      <c r="W2527" cm="1">
        <f t="array" ref="W2527">_xlfn.IFS(OR(X2527="N/A",X2527="NA"),0,OR(X2527="R64",X2527="R68"),1,X2527="R32",2,X2527="S16",3,X2527="E8",4,X2527="F4",5,X2527="2ND",6,X2527="Champions",7)</f>
        <v>0</v>
      </c>
      <c r="X2527" t="s">
        <v>425</v>
      </c>
      <c r="Y2527" t="s">
        <v>90</v>
      </c>
      <c r="Z2527">
        <v>2021</v>
      </c>
    </row>
    <row r="2528" spans="1:26" x14ac:dyDescent="0.3">
      <c r="A2528" t="s">
        <v>114</v>
      </c>
      <c r="B2528" t="s">
        <v>112</v>
      </c>
      <c r="C2528">
        <v>9</v>
      </c>
      <c r="D2528">
        <v>2</v>
      </c>
      <c r="E2528" s="1">
        <f t="shared" si="39"/>
        <v>0.22222222222222221</v>
      </c>
      <c r="F2528">
        <v>85.2</v>
      </c>
      <c r="G2528">
        <v>101.7</v>
      </c>
      <c r="H2528">
        <v>0.11550000000000001</v>
      </c>
      <c r="I2528">
        <v>45.1</v>
      </c>
      <c r="J2528">
        <v>48.7</v>
      </c>
      <c r="K2528">
        <v>25</v>
      </c>
      <c r="L2528">
        <v>20.7</v>
      </c>
      <c r="M2528">
        <v>23.3</v>
      </c>
      <c r="N2528">
        <v>30.3</v>
      </c>
      <c r="O2528">
        <v>27.2</v>
      </c>
      <c r="P2528">
        <v>30.9</v>
      </c>
      <c r="Q2528">
        <v>43.4</v>
      </c>
      <c r="R2528">
        <v>50.2</v>
      </c>
      <c r="S2528">
        <v>31.5</v>
      </c>
      <c r="T2528">
        <v>30.9</v>
      </c>
      <c r="U2528">
        <v>65.8</v>
      </c>
      <c r="V2528">
        <v>-5.7</v>
      </c>
      <c r="W2528" cm="1">
        <f t="array" ref="W2528">_xlfn.IFS(OR(X2528="N/A",X2528="NA"),0,OR(X2528="R64",X2528="R68"),1,X2528="R32",2,X2528="S16",3,X2528="E8",4,X2528="F4",5,X2528="2ND",6,X2528="Champions",7)</f>
        <v>0</v>
      </c>
      <c r="X2528" t="s">
        <v>425</v>
      </c>
      <c r="Y2528" t="s">
        <v>90</v>
      </c>
      <c r="Z2528">
        <v>2021</v>
      </c>
    </row>
    <row r="2529" spans="1:26" x14ac:dyDescent="0.3">
      <c r="A2529" t="s">
        <v>91</v>
      </c>
      <c r="B2529" t="s">
        <v>45</v>
      </c>
      <c r="C2529">
        <v>14</v>
      </c>
      <c r="D2529">
        <v>2</v>
      </c>
      <c r="E2529" s="1">
        <f t="shared" si="39"/>
        <v>0.14285714285714285</v>
      </c>
      <c r="F2529">
        <v>87.5</v>
      </c>
      <c r="G2529">
        <v>99.8</v>
      </c>
      <c r="H2529">
        <v>0.18179999999999999</v>
      </c>
      <c r="I2529">
        <v>41.4</v>
      </c>
      <c r="J2529">
        <v>51.5</v>
      </c>
      <c r="K2529">
        <v>20.8</v>
      </c>
      <c r="L2529">
        <v>19.2</v>
      </c>
      <c r="M2529">
        <v>19.2</v>
      </c>
      <c r="N2529">
        <v>30.4</v>
      </c>
      <c r="O2529">
        <v>27.5</v>
      </c>
      <c r="P2529">
        <v>27.8</v>
      </c>
      <c r="Q2529">
        <v>42.2</v>
      </c>
      <c r="R2529">
        <v>52.8</v>
      </c>
      <c r="S2529">
        <v>26.9</v>
      </c>
      <c r="T2529">
        <v>33.4</v>
      </c>
      <c r="U2529">
        <v>63.5</v>
      </c>
      <c r="V2529">
        <v>-8.1999999999999993</v>
      </c>
      <c r="W2529" cm="1">
        <f t="array" ref="W2529">_xlfn.IFS(OR(X2529="N/A",X2529="NA"),0,OR(X2529="R64",X2529="R68"),1,X2529="R32",2,X2529="S16",3,X2529="E8",4,X2529="F4",5,X2529="2ND",6,X2529="Champions",7)</f>
        <v>0</v>
      </c>
      <c r="X2529" t="s">
        <v>425</v>
      </c>
      <c r="Y2529" t="s">
        <v>90</v>
      </c>
      <c r="Z2529">
        <v>2021</v>
      </c>
    </row>
    <row r="2530" spans="1:26" x14ac:dyDescent="0.3">
      <c r="A2530" t="s">
        <v>381</v>
      </c>
      <c r="B2530" t="s">
        <v>72</v>
      </c>
      <c r="C2530">
        <v>20</v>
      </c>
      <c r="D2530">
        <v>2</v>
      </c>
      <c r="E2530" s="1">
        <f t="shared" si="39"/>
        <v>0.1</v>
      </c>
      <c r="F2530">
        <v>93.9</v>
      </c>
      <c r="G2530">
        <v>112.9</v>
      </c>
      <c r="H2530">
        <v>0.1075</v>
      </c>
      <c r="I2530">
        <v>49.8</v>
      </c>
      <c r="J2530">
        <v>55.8</v>
      </c>
      <c r="K2530">
        <v>20.9</v>
      </c>
      <c r="L2530">
        <v>19</v>
      </c>
      <c r="M2530">
        <v>22</v>
      </c>
      <c r="N2530">
        <v>26.1</v>
      </c>
      <c r="O2530">
        <v>34.1</v>
      </c>
      <c r="P2530">
        <v>43</v>
      </c>
      <c r="Q2530">
        <v>48.6</v>
      </c>
      <c r="R2530">
        <v>53.8</v>
      </c>
      <c r="S2530">
        <v>34.799999999999997</v>
      </c>
      <c r="T2530">
        <v>39.299999999999997</v>
      </c>
      <c r="U2530">
        <v>70.900000000000006</v>
      </c>
      <c r="V2530">
        <v>-16.8</v>
      </c>
      <c r="W2530" cm="1">
        <f t="array" ref="W2530">_xlfn.IFS(OR(X2530="N/A",X2530="NA"),0,OR(X2530="R64",X2530="R68"),1,X2530="R32",2,X2530="S16",3,X2530="E8",4,X2530="F4",5,X2530="2ND",6,X2530="Champions",7)</f>
        <v>0</v>
      </c>
      <c r="X2530" t="s">
        <v>425</v>
      </c>
      <c r="Y2530" t="s">
        <v>90</v>
      </c>
      <c r="Z2530">
        <v>2021</v>
      </c>
    </row>
    <row r="2531" spans="1:26" x14ac:dyDescent="0.3">
      <c r="A2531" t="s">
        <v>154</v>
      </c>
      <c r="B2531" t="s">
        <v>35</v>
      </c>
      <c r="C2531">
        <v>24</v>
      </c>
      <c r="D2531">
        <v>2</v>
      </c>
      <c r="E2531" s="1">
        <f t="shared" si="39"/>
        <v>8.3333333333333329E-2</v>
      </c>
      <c r="F2531">
        <v>100.4</v>
      </c>
      <c r="G2531">
        <v>100.8</v>
      </c>
      <c r="H2531">
        <v>0.48920000000000002</v>
      </c>
      <c r="I2531">
        <v>48</v>
      </c>
      <c r="J2531">
        <v>51.9</v>
      </c>
      <c r="K2531">
        <v>21.1</v>
      </c>
      <c r="L2531">
        <v>18.5</v>
      </c>
      <c r="M2531">
        <v>24.3</v>
      </c>
      <c r="N2531">
        <v>33.1</v>
      </c>
      <c r="O2531">
        <v>19.600000000000001</v>
      </c>
      <c r="P2531">
        <v>36.200000000000003</v>
      </c>
      <c r="Q2531">
        <v>48</v>
      </c>
      <c r="R2531">
        <v>53.1</v>
      </c>
      <c r="S2531">
        <v>32.1</v>
      </c>
      <c r="T2531">
        <v>33</v>
      </c>
      <c r="U2531">
        <v>69.8</v>
      </c>
      <c r="V2531">
        <v>-10.4</v>
      </c>
      <c r="W2531" cm="1">
        <f t="array" ref="W2531">_xlfn.IFS(OR(X2531="N/A",X2531="NA"),0,OR(X2531="R64",X2531="R68"),1,X2531="R32",2,X2531="S16",3,X2531="E8",4,X2531="F4",5,X2531="2ND",6,X2531="Champions",7)</f>
        <v>0</v>
      </c>
      <c r="X2531" t="s">
        <v>425</v>
      </c>
      <c r="Y2531" t="s">
        <v>90</v>
      </c>
      <c r="Z2531">
        <v>2021</v>
      </c>
    </row>
    <row r="2532" spans="1:26" x14ac:dyDescent="0.3">
      <c r="A2532" t="s">
        <v>396</v>
      </c>
      <c r="B2532" t="s">
        <v>76</v>
      </c>
      <c r="C2532">
        <v>24</v>
      </c>
      <c r="D2532">
        <v>2</v>
      </c>
      <c r="E2532" s="1">
        <f t="shared" si="39"/>
        <v>8.3333333333333329E-2</v>
      </c>
      <c r="F2532">
        <v>80</v>
      </c>
      <c r="G2532">
        <v>120.8</v>
      </c>
      <c r="H2532">
        <v>8.6999999999999994E-3</v>
      </c>
      <c r="I2532">
        <v>43.6</v>
      </c>
      <c r="J2532">
        <v>55</v>
      </c>
      <c r="K2532">
        <v>24.2</v>
      </c>
      <c r="L2532">
        <v>14.9</v>
      </c>
      <c r="M2532">
        <v>18.100000000000001</v>
      </c>
      <c r="N2532">
        <v>35.799999999999997</v>
      </c>
      <c r="O2532">
        <v>24.7</v>
      </c>
      <c r="P2532">
        <v>32.6</v>
      </c>
      <c r="Q2532">
        <v>38.299999999999997</v>
      </c>
      <c r="R2532">
        <v>55.7</v>
      </c>
      <c r="S2532">
        <v>32.9</v>
      </c>
      <c r="T2532">
        <v>35.799999999999997</v>
      </c>
      <c r="U2532">
        <v>72.3</v>
      </c>
      <c r="V2532">
        <v>-17.5</v>
      </c>
      <c r="W2532" cm="1">
        <f t="array" ref="W2532">_xlfn.IFS(OR(X2532="N/A",X2532="NA"),0,OR(X2532="R64",X2532="R68"),1,X2532="R32",2,X2532="S16",3,X2532="E8",4,X2532="F4",5,X2532="2ND",6,X2532="Champions",7)</f>
        <v>0</v>
      </c>
      <c r="X2532" t="s">
        <v>425</v>
      </c>
      <c r="Y2532" t="s">
        <v>90</v>
      </c>
      <c r="Z2532">
        <v>2021</v>
      </c>
    </row>
    <row r="2533" spans="1:26" x14ac:dyDescent="0.3">
      <c r="A2533" t="s">
        <v>414</v>
      </c>
      <c r="B2533" t="s">
        <v>37</v>
      </c>
      <c r="C2533">
        <v>14</v>
      </c>
      <c r="D2533">
        <v>3</v>
      </c>
      <c r="E2533" s="1">
        <f t="shared" si="39"/>
        <v>0.21428571428571427</v>
      </c>
      <c r="F2533">
        <v>97.7</v>
      </c>
      <c r="G2533">
        <v>99.6</v>
      </c>
      <c r="H2533">
        <v>0.44419999999999998</v>
      </c>
      <c r="I2533">
        <v>46.4</v>
      </c>
      <c r="J2533">
        <v>53.3</v>
      </c>
      <c r="K2533">
        <v>18.100000000000001</v>
      </c>
      <c r="L2533">
        <v>18.2</v>
      </c>
      <c r="M2533">
        <v>20.9</v>
      </c>
      <c r="N2533">
        <v>25.6</v>
      </c>
      <c r="O2533">
        <v>25.6</v>
      </c>
      <c r="P2533">
        <v>33.799999999999997</v>
      </c>
      <c r="Q2533">
        <v>46.8</v>
      </c>
      <c r="R2533">
        <v>51.2</v>
      </c>
      <c r="S2533">
        <v>30.4</v>
      </c>
      <c r="T2533">
        <v>38.5</v>
      </c>
      <c r="U2533">
        <v>70.2</v>
      </c>
      <c r="V2533">
        <v>-6.2</v>
      </c>
      <c r="W2533" cm="1">
        <f t="array" ref="W2533">_xlfn.IFS(OR(X2533="N/A",X2533="NA"),0,OR(X2533="R64",X2533="R68"),1,X2533="R32",2,X2533="S16",3,X2533="E8",4,X2533="F4",5,X2533="2ND",6,X2533="Champions",7)</f>
        <v>0</v>
      </c>
      <c r="X2533" t="s">
        <v>425</v>
      </c>
      <c r="Y2533" t="s">
        <v>90</v>
      </c>
      <c r="Z2533">
        <v>2021</v>
      </c>
    </row>
    <row r="2534" spans="1:26" x14ac:dyDescent="0.3">
      <c r="A2534" t="s">
        <v>258</v>
      </c>
      <c r="B2534" t="s">
        <v>57</v>
      </c>
      <c r="C2534">
        <v>19</v>
      </c>
      <c r="D2534">
        <v>3</v>
      </c>
      <c r="E2534" s="1">
        <f t="shared" si="39"/>
        <v>0.15789473684210525</v>
      </c>
      <c r="F2534">
        <v>94.7</v>
      </c>
      <c r="G2534">
        <v>110.5</v>
      </c>
      <c r="H2534">
        <v>0.14419999999999999</v>
      </c>
      <c r="I2534">
        <v>44.4</v>
      </c>
      <c r="J2534">
        <v>54.7</v>
      </c>
      <c r="K2534">
        <v>20.2</v>
      </c>
      <c r="L2534">
        <v>16.8</v>
      </c>
      <c r="M2534">
        <v>32.6</v>
      </c>
      <c r="N2534">
        <v>31.3</v>
      </c>
      <c r="O2534">
        <v>23.9</v>
      </c>
      <c r="P2534">
        <v>33.799999999999997</v>
      </c>
      <c r="Q2534">
        <v>42.8</v>
      </c>
      <c r="R2534">
        <v>52</v>
      </c>
      <c r="S2534">
        <v>32.4</v>
      </c>
      <c r="T2534">
        <v>39</v>
      </c>
      <c r="U2534">
        <v>65.8</v>
      </c>
      <c r="V2534">
        <v>-11.7</v>
      </c>
      <c r="W2534" cm="1">
        <f t="array" ref="W2534">_xlfn.IFS(OR(X2534="N/A",X2534="NA"),0,OR(X2534="R64",X2534="R68"),1,X2534="R32",2,X2534="S16",3,X2534="E8",4,X2534="F4",5,X2534="2ND",6,X2534="Champions",7)</f>
        <v>0</v>
      </c>
      <c r="X2534" t="s">
        <v>425</v>
      </c>
      <c r="Y2534" t="s">
        <v>90</v>
      </c>
      <c r="Z2534">
        <v>2021</v>
      </c>
    </row>
    <row r="2535" spans="1:26" x14ac:dyDescent="0.3">
      <c r="A2535" t="s">
        <v>265</v>
      </c>
      <c r="B2535" t="s">
        <v>66</v>
      </c>
      <c r="C2535">
        <v>17</v>
      </c>
      <c r="D2535">
        <v>3</v>
      </c>
      <c r="E2535" s="1">
        <f t="shared" si="39"/>
        <v>0.17647058823529413</v>
      </c>
      <c r="F2535">
        <v>91.1</v>
      </c>
      <c r="G2535">
        <v>115.5</v>
      </c>
      <c r="H2535">
        <v>6.1400000000000003E-2</v>
      </c>
      <c r="I2535">
        <v>45.7</v>
      </c>
      <c r="J2535">
        <v>54.7</v>
      </c>
      <c r="K2535">
        <v>22.3</v>
      </c>
      <c r="L2535">
        <v>18.7</v>
      </c>
      <c r="M2535">
        <v>26.3</v>
      </c>
      <c r="N2535">
        <v>32.299999999999997</v>
      </c>
      <c r="O2535">
        <v>29.8</v>
      </c>
      <c r="P2535">
        <v>45.5</v>
      </c>
      <c r="Q2535">
        <v>45</v>
      </c>
      <c r="R2535">
        <v>55.6</v>
      </c>
      <c r="S2535">
        <v>31.1</v>
      </c>
      <c r="T2535">
        <v>35.5</v>
      </c>
      <c r="U2535">
        <v>73.400000000000006</v>
      </c>
      <c r="V2535">
        <v>-13.7</v>
      </c>
      <c r="W2535" cm="1">
        <f t="array" ref="W2535">_xlfn.IFS(OR(X2535="N/A",X2535="NA"),0,OR(X2535="R64",X2535="R68"),1,X2535="R32",2,X2535="S16",3,X2535="E8",4,X2535="F4",5,X2535="2ND",6,X2535="Champions",7)</f>
        <v>0</v>
      </c>
      <c r="X2535" t="s">
        <v>425</v>
      </c>
      <c r="Y2535" t="s">
        <v>90</v>
      </c>
      <c r="Z2535">
        <v>2021</v>
      </c>
    </row>
    <row r="2536" spans="1:26" x14ac:dyDescent="0.3">
      <c r="A2536" t="s">
        <v>177</v>
      </c>
      <c r="B2536" t="s">
        <v>74</v>
      </c>
      <c r="C2536">
        <v>20</v>
      </c>
      <c r="D2536">
        <v>3</v>
      </c>
      <c r="E2536" s="1">
        <f t="shared" si="39"/>
        <v>0.15</v>
      </c>
      <c r="F2536">
        <v>92.1</v>
      </c>
      <c r="G2536">
        <v>107.5</v>
      </c>
      <c r="H2536">
        <v>0.14410000000000001</v>
      </c>
      <c r="I2536">
        <v>46.5</v>
      </c>
      <c r="J2536">
        <v>50.7</v>
      </c>
      <c r="K2536">
        <v>23.6</v>
      </c>
      <c r="L2536">
        <v>17.600000000000001</v>
      </c>
      <c r="M2536">
        <v>27.4</v>
      </c>
      <c r="N2536">
        <v>31.3</v>
      </c>
      <c r="O2536">
        <v>30.1</v>
      </c>
      <c r="P2536">
        <v>34.4</v>
      </c>
      <c r="Q2536">
        <v>46.4</v>
      </c>
      <c r="R2536">
        <v>50.3</v>
      </c>
      <c r="S2536">
        <v>31.1</v>
      </c>
      <c r="T2536">
        <v>34.299999999999997</v>
      </c>
      <c r="U2536">
        <v>69.8</v>
      </c>
      <c r="V2536">
        <v>-15.5</v>
      </c>
      <c r="W2536" cm="1">
        <f t="array" ref="W2536">_xlfn.IFS(OR(X2536="N/A",X2536="NA"),0,OR(X2536="R64",X2536="R68"),1,X2536="R32",2,X2536="S16",3,X2536="E8",4,X2536="F4",5,X2536="2ND",6,X2536="Champions",7)</f>
        <v>0</v>
      </c>
      <c r="X2536" t="s">
        <v>425</v>
      </c>
      <c r="Y2536" t="s">
        <v>90</v>
      </c>
      <c r="Z2536">
        <v>2021</v>
      </c>
    </row>
    <row r="2537" spans="1:26" x14ac:dyDescent="0.3">
      <c r="A2537" t="s">
        <v>326</v>
      </c>
      <c r="B2537" t="s">
        <v>67</v>
      </c>
      <c r="C2537">
        <v>10</v>
      </c>
      <c r="D2537">
        <v>4</v>
      </c>
      <c r="E2537" s="1">
        <f t="shared" si="39"/>
        <v>0.4</v>
      </c>
      <c r="F2537">
        <v>97.9</v>
      </c>
      <c r="G2537">
        <v>105.3</v>
      </c>
      <c r="H2537">
        <v>0.30209999999999998</v>
      </c>
      <c r="I2537">
        <v>52.6</v>
      </c>
      <c r="J2537">
        <v>50.2</v>
      </c>
      <c r="K2537">
        <v>22.3</v>
      </c>
      <c r="L2537">
        <v>17.600000000000001</v>
      </c>
      <c r="M2537">
        <v>24.1</v>
      </c>
      <c r="N2537">
        <v>29.9</v>
      </c>
      <c r="O2537">
        <v>26.8</v>
      </c>
      <c r="P2537">
        <v>38.4</v>
      </c>
      <c r="Q2537">
        <v>49.5</v>
      </c>
      <c r="R2537">
        <v>52.9</v>
      </c>
      <c r="S2537">
        <v>37.799999999999997</v>
      </c>
      <c r="T2537">
        <v>29.1</v>
      </c>
      <c r="U2537">
        <v>67</v>
      </c>
      <c r="V2537">
        <v>-4.5</v>
      </c>
      <c r="W2537" cm="1">
        <f t="array" ref="W2537">_xlfn.IFS(OR(X2537="N/A",X2537="NA"),0,OR(X2537="R64",X2537="R68"),1,X2537="R32",2,X2537="S16",3,X2537="E8",4,X2537="F4",5,X2537="2ND",6,X2537="Champions",7)</f>
        <v>0</v>
      </c>
      <c r="X2537" t="s">
        <v>425</v>
      </c>
      <c r="Y2537" t="s">
        <v>90</v>
      </c>
      <c r="Z2537">
        <v>2021</v>
      </c>
    </row>
    <row r="2538" spans="1:26" x14ac:dyDescent="0.3">
      <c r="A2538" t="s">
        <v>332</v>
      </c>
      <c r="B2538" t="s">
        <v>67</v>
      </c>
      <c r="C2538">
        <v>15</v>
      </c>
      <c r="D2538">
        <v>4</v>
      </c>
      <c r="E2538" s="1">
        <f t="shared" si="39"/>
        <v>0.26666666666666666</v>
      </c>
      <c r="F2538">
        <v>92.8</v>
      </c>
      <c r="G2538">
        <v>106.5</v>
      </c>
      <c r="H2538">
        <v>0.1696</v>
      </c>
      <c r="I2538">
        <v>47.1</v>
      </c>
      <c r="J2538">
        <v>53.2</v>
      </c>
      <c r="K2538">
        <v>18.2</v>
      </c>
      <c r="L2538">
        <v>16.899999999999999</v>
      </c>
      <c r="M2538">
        <v>24.9</v>
      </c>
      <c r="N2538">
        <v>23.8</v>
      </c>
      <c r="O2538">
        <v>27.9</v>
      </c>
      <c r="P2538">
        <v>32.799999999999997</v>
      </c>
      <c r="Q2538">
        <v>47</v>
      </c>
      <c r="R2538">
        <v>52.3</v>
      </c>
      <c r="S2538">
        <v>31.6</v>
      </c>
      <c r="T2538">
        <v>36.6</v>
      </c>
      <c r="U2538">
        <v>69.7</v>
      </c>
      <c r="V2538">
        <v>-9.5</v>
      </c>
      <c r="W2538" cm="1">
        <f t="array" ref="W2538">_xlfn.IFS(OR(X2538="N/A",X2538="NA"),0,OR(X2538="R64",X2538="R68"),1,X2538="R32",2,X2538="S16",3,X2538="E8",4,X2538="F4",5,X2538="2ND",6,X2538="Champions",7)</f>
        <v>0</v>
      </c>
      <c r="X2538" t="s">
        <v>425</v>
      </c>
      <c r="Y2538" t="s">
        <v>90</v>
      </c>
      <c r="Z2538">
        <v>2021</v>
      </c>
    </row>
    <row r="2539" spans="1:26" x14ac:dyDescent="0.3">
      <c r="A2539" t="s">
        <v>111</v>
      </c>
      <c r="B2539" t="s">
        <v>112</v>
      </c>
      <c r="C2539">
        <v>18</v>
      </c>
      <c r="D2539">
        <v>4</v>
      </c>
      <c r="E2539" s="1">
        <f t="shared" si="39"/>
        <v>0.22222222222222221</v>
      </c>
      <c r="F2539">
        <v>97.1</v>
      </c>
      <c r="G2539">
        <v>110.5</v>
      </c>
      <c r="H2539">
        <v>0.18479999999999999</v>
      </c>
      <c r="I2539">
        <v>48.9</v>
      </c>
      <c r="J2539">
        <v>51.5</v>
      </c>
      <c r="K2539">
        <v>20.6</v>
      </c>
      <c r="L2539">
        <v>16.399999999999999</v>
      </c>
      <c r="M2539">
        <v>29.2</v>
      </c>
      <c r="N2539">
        <v>27.7</v>
      </c>
      <c r="O2539">
        <v>23.2</v>
      </c>
      <c r="P2539">
        <v>31.3</v>
      </c>
      <c r="Q2539">
        <v>48.3</v>
      </c>
      <c r="R2539">
        <v>49.5</v>
      </c>
      <c r="S2539">
        <v>33.1</v>
      </c>
      <c r="T2539">
        <v>36.700000000000003</v>
      </c>
      <c r="U2539">
        <v>66.3</v>
      </c>
      <c r="V2539">
        <v>-12.2</v>
      </c>
      <c r="W2539" cm="1">
        <f t="array" ref="W2539">_xlfn.IFS(OR(X2539="N/A",X2539="NA"),0,OR(X2539="R64",X2539="R68"),1,X2539="R32",2,X2539="S16",3,X2539="E8",4,X2539="F4",5,X2539="2ND",6,X2539="Champions",7)</f>
        <v>0</v>
      </c>
      <c r="X2539" t="s">
        <v>425</v>
      </c>
      <c r="Y2539" t="s">
        <v>90</v>
      </c>
      <c r="Z2539">
        <v>2021</v>
      </c>
    </row>
    <row r="2540" spans="1:26" x14ac:dyDescent="0.3">
      <c r="A2540" t="s">
        <v>203</v>
      </c>
      <c r="B2540" t="s">
        <v>53</v>
      </c>
      <c r="C2540">
        <v>18</v>
      </c>
      <c r="D2540">
        <v>4</v>
      </c>
      <c r="E2540" s="1">
        <f t="shared" si="39"/>
        <v>0.22222222222222221</v>
      </c>
      <c r="F2540">
        <v>99.1</v>
      </c>
      <c r="G2540">
        <v>111.3</v>
      </c>
      <c r="H2540">
        <v>0.20699999999999999</v>
      </c>
      <c r="I2540">
        <v>45.4</v>
      </c>
      <c r="J2540">
        <v>52.6</v>
      </c>
      <c r="K2540">
        <v>18.399999999999999</v>
      </c>
      <c r="L2540">
        <v>16</v>
      </c>
      <c r="M2540">
        <v>34.1</v>
      </c>
      <c r="N2540">
        <v>30.4</v>
      </c>
      <c r="O2540">
        <v>33.4</v>
      </c>
      <c r="P2540">
        <v>29.3</v>
      </c>
      <c r="Q2540">
        <v>46.2</v>
      </c>
      <c r="R2540">
        <v>49.3</v>
      </c>
      <c r="S2540">
        <v>28.9</v>
      </c>
      <c r="T2540">
        <v>38.299999999999997</v>
      </c>
      <c r="U2540">
        <v>65.900000000000006</v>
      </c>
      <c r="V2540">
        <v>-10.8</v>
      </c>
      <c r="W2540" cm="1">
        <f t="array" ref="W2540">_xlfn.IFS(OR(X2540="N/A",X2540="NA"),0,OR(X2540="R64",X2540="R68"),1,X2540="R32",2,X2540="S16",3,X2540="E8",4,X2540="F4",5,X2540="2ND",6,X2540="Champions",7)</f>
        <v>0</v>
      </c>
      <c r="X2540" t="s">
        <v>425</v>
      </c>
      <c r="Y2540" t="s">
        <v>90</v>
      </c>
      <c r="Z2540">
        <v>2021</v>
      </c>
    </row>
    <row r="2541" spans="1:26" x14ac:dyDescent="0.3">
      <c r="A2541" t="s">
        <v>391</v>
      </c>
      <c r="B2541" t="s">
        <v>76</v>
      </c>
      <c r="C2541">
        <v>18</v>
      </c>
      <c r="D2541">
        <v>4</v>
      </c>
      <c r="E2541" s="1">
        <f t="shared" si="39"/>
        <v>0.22222222222222221</v>
      </c>
      <c r="F2541">
        <v>86.1</v>
      </c>
      <c r="G2541">
        <v>111.8</v>
      </c>
      <c r="H2541">
        <v>4.7E-2</v>
      </c>
      <c r="I2541">
        <v>43.5</v>
      </c>
      <c r="J2541">
        <v>48.9</v>
      </c>
      <c r="K2541">
        <v>22.3</v>
      </c>
      <c r="L2541">
        <v>20.6</v>
      </c>
      <c r="M2541">
        <v>29.5</v>
      </c>
      <c r="N2541">
        <v>29.6</v>
      </c>
      <c r="O2541">
        <v>42.7</v>
      </c>
      <c r="P2541">
        <v>36.9</v>
      </c>
      <c r="Q2541">
        <v>41.3</v>
      </c>
      <c r="R2541">
        <v>49</v>
      </c>
      <c r="S2541">
        <v>31.7</v>
      </c>
      <c r="T2541">
        <v>32.5</v>
      </c>
      <c r="U2541">
        <v>70.099999999999994</v>
      </c>
      <c r="V2541">
        <v>-13.2</v>
      </c>
      <c r="W2541" cm="1">
        <f t="array" ref="W2541">_xlfn.IFS(OR(X2541="N/A",X2541="NA"),0,OR(X2541="R64",X2541="R68"),1,X2541="R32",2,X2541="S16",3,X2541="E8",4,X2541="F4",5,X2541="2ND",6,X2541="Champions",7)</f>
        <v>0</v>
      </c>
      <c r="X2541" t="s">
        <v>425</v>
      </c>
      <c r="Y2541" t="s">
        <v>90</v>
      </c>
      <c r="Z2541">
        <v>2021</v>
      </c>
    </row>
    <row r="2542" spans="1:26" x14ac:dyDescent="0.3">
      <c r="A2542" t="s">
        <v>303</v>
      </c>
      <c r="B2542" t="s">
        <v>43</v>
      </c>
      <c r="C2542">
        <v>18</v>
      </c>
      <c r="D2542">
        <v>4</v>
      </c>
      <c r="E2542" s="1">
        <f t="shared" si="39"/>
        <v>0.22222222222222221</v>
      </c>
      <c r="F2542">
        <v>98.1</v>
      </c>
      <c r="G2542">
        <v>110.7</v>
      </c>
      <c r="H2542">
        <v>0.19919999999999999</v>
      </c>
      <c r="I2542">
        <v>50.5</v>
      </c>
      <c r="J2542">
        <v>54.6</v>
      </c>
      <c r="K2542">
        <v>19</v>
      </c>
      <c r="L2542">
        <v>18.7</v>
      </c>
      <c r="M2542">
        <v>29.5</v>
      </c>
      <c r="N2542">
        <v>33.5</v>
      </c>
      <c r="O2542">
        <v>26.1</v>
      </c>
      <c r="P2542">
        <v>34.6</v>
      </c>
      <c r="Q2542">
        <v>48.3</v>
      </c>
      <c r="R2542">
        <v>52.4</v>
      </c>
      <c r="S2542">
        <v>36.5</v>
      </c>
      <c r="T2542">
        <v>38.9</v>
      </c>
      <c r="U2542">
        <v>67</v>
      </c>
      <c r="V2542">
        <v>-12.3</v>
      </c>
      <c r="W2542" cm="1">
        <f t="array" ref="W2542">_xlfn.IFS(OR(X2542="N/A",X2542="NA"),0,OR(X2542="R64",X2542="R68"),1,X2542="R32",2,X2542="S16",3,X2542="E8",4,X2542="F4",5,X2542="2ND",6,X2542="Champions",7)</f>
        <v>0</v>
      </c>
      <c r="X2542" t="s">
        <v>425</v>
      </c>
      <c r="Y2542" t="s">
        <v>90</v>
      </c>
      <c r="Z2542">
        <v>2021</v>
      </c>
    </row>
    <row r="2543" spans="1:26" x14ac:dyDescent="0.3">
      <c r="A2543" t="s">
        <v>103</v>
      </c>
      <c r="B2543" t="s">
        <v>26</v>
      </c>
      <c r="C2543">
        <v>20</v>
      </c>
      <c r="D2543">
        <v>4</v>
      </c>
      <c r="E2543" s="1">
        <f t="shared" si="39"/>
        <v>0.2</v>
      </c>
      <c r="F2543">
        <v>103.3</v>
      </c>
      <c r="G2543">
        <v>102.3</v>
      </c>
      <c r="H2543">
        <v>0.52690000000000003</v>
      </c>
      <c r="I2543">
        <v>49.8</v>
      </c>
      <c r="J2543">
        <v>55.5</v>
      </c>
      <c r="K2543">
        <v>19</v>
      </c>
      <c r="L2543">
        <v>18.7</v>
      </c>
      <c r="M2543">
        <v>25.4</v>
      </c>
      <c r="N2543">
        <v>28.8</v>
      </c>
      <c r="O2543">
        <v>29.7</v>
      </c>
      <c r="P2543">
        <v>29.1</v>
      </c>
      <c r="Q2543">
        <v>49.9</v>
      </c>
      <c r="R2543">
        <v>56.7</v>
      </c>
      <c r="S2543">
        <v>33.1</v>
      </c>
      <c r="T2543">
        <v>35.5</v>
      </c>
      <c r="U2543">
        <v>71.400000000000006</v>
      </c>
      <c r="V2543">
        <v>-7.6</v>
      </c>
      <c r="W2543" cm="1">
        <f t="array" ref="W2543">_xlfn.IFS(OR(X2543="N/A",X2543="NA"),0,OR(X2543="R64",X2543="R68"),1,X2543="R32",2,X2543="S16",3,X2543="E8",4,X2543="F4",5,X2543="2ND",6,X2543="Champions",7)</f>
        <v>0</v>
      </c>
      <c r="X2543" t="s">
        <v>425</v>
      </c>
      <c r="Y2543" t="s">
        <v>90</v>
      </c>
      <c r="Z2543">
        <v>2021</v>
      </c>
    </row>
    <row r="2544" spans="1:26" x14ac:dyDescent="0.3">
      <c r="A2544" t="s">
        <v>313</v>
      </c>
      <c r="B2544" t="s">
        <v>64</v>
      </c>
      <c r="C2544">
        <v>22</v>
      </c>
      <c r="D2544">
        <v>4</v>
      </c>
      <c r="E2544" s="1">
        <f t="shared" si="39"/>
        <v>0.18181818181818182</v>
      </c>
      <c r="F2544">
        <v>91.2</v>
      </c>
      <c r="G2544">
        <v>105.7</v>
      </c>
      <c r="H2544">
        <v>0.15509999999999999</v>
      </c>
      <c r="I2544">
        <v>47</v>
      </c>
      <c r="J2544">
        <v>50.9</v>
      </c>
      <c r="K2544">
        <v>20.9</v>
      </c>
      <c r="L2544">
        <v>22.1</v>
      </c>
      <c r="M2544">
        <v>24.8</v>
      </c>
      <c r="N2544">
        <v>30.6</v>
      </c>
      <c r="O2544">
        <v>32.700000000000003</v>
      </c>
      <c r="P2544">
        <v>44.5</v>
      </c>
      <c r="Q2544">
        <v>49.1</v>
      </c>
      <c r="R2544">
        <v>50.9</v>
      </c>
      <c r="S2544">
        <v>28.8</v>
      </c>
      <c r="T2544">
        <v>34</v>
      </c>
      <c r="U2544">
        <v>71</v>
      </c>
      <c r="V2544">
        <v>-16.3</v>
      </c>
      <c r="W2544" cm="1">
        <f t="array" ref="W2544">_xlfn.IFS(OR(X2544="N/A",X2544="NA"),0,OR(X2544="R64",X2544="R68"),1,X2544="R32",2,X2544="S16",3,X2544="E8",4,X2544="F4",5,X2544="2ND",6,X2544="Champions",7)</f>
        <v>0</v>
      </c>
      <c r="X2544" t="s">
        <v>425</v>
      </c>
      <c r="Y2544" t="s">
        <v>90</v>
      </c>
      <c r="Z2544">
        <v>2021</v>
      </c>
    </row>
    <row r="2545" spans="1:26" x14ac:dyDescent="0.3">
      <c r="A2545" t="s">
        <v>188</v>
      </c>
      <c r="B2545" t="s">
        <v>48</v>
      </c>
      <c r="C2545">
        <v>23</v>
      </c>
      <c r="D2545">
        <v>4</v>
      </c>
      <c r="E2545" s="1">
        <f t="shared" si="39"/>
        <v>0.17391304347826086</v>
      </c>
      <c r="F2545">
        <v>90.3</v>
      </c>
      <c r="G2545">
        <v>105.1</v>
      </c>
      <c r="H2545">
        <v>0.14949999999999999</v>
      </c>
      <c r="I2545">
        <v>44.5</v>
      </c>
      <c r="J2545">
        <v>50.6</v>
      </c>
      <c r="K2545">
        <v>20.3</v>
      </c>
      <c r="L2545">
        <v>18.2</v>
      </c>
      <c r="M2545">
        <v>22</v>
      </c>
      <c r="N2545">
        <v>29.9</v>
      </c>
      <c r="O2545">
        <v>29.5</v>
      </c>
      <c r="P2545">
        <v>36.5</v>
      </c>
      <c r="Q2545">
        <v>42.9</v>
      </c>
      <c r="R2545">
        <v>49.1</v>
      </c>
      <c r="S2545">
        <v>31.5</v>
      </c>
      <c r="T2545">
        <v>35.700000000000003</v>
      </c>
      <c r="U2545">
        <v>66.900000000000006</v>
      </c>
      <c r="V2545">
        <v>-15.8</v>
      </c>
      <c r="W2545" cm="1">
        <f t="array" ref="W2545">_xlfn.IFS(OR(X2545="N/A",X2545="NA"),0,OR(X2545="R64",X2545="R68"),1,X2545="R32",2,X2545="S16",3,X2545="E8",4,X2545="F4",5,X2545="2ND",6,X2545="Champions",7)</f>
        <v>0</v>
      </c>
      <c r="X2545" t="s">
        <v>425</v>
      </c>
      <c r="Y2545" t="s">
        <v>90</v>
      </c>
      <c r="Z2545">
        <v>2021</v>
      </c>
    </row>
    <row r="2546" spans="1:26" x14ac:dyDescent="0.3">
      <c r="A2546" t="s">
        <v>393</v>
      </c>
      <c r="B2546" t="s">
        <v>76</v>
      </c>
      <c r="C2546">
        <v>25</v>
      </c>
      <c r="D2546">
        <v>4</v>
      </c>
      <c r="E2546" s="1">
        <f t="shared" si="39"/>
        <v>0.16</v>
      </c>
      <c r="F2546">
        <v>90.4</v>
      </c>
      <c r="G2546">
        <v>114.7</v>
      </c>
      <c r="H2546">
        <v>6.0299999999999999E-2</v>
      </c>
      <c r="I2546">
        <v>43.2</v>
      </c>
      <c r="J2546">
        <v>54.1</v>
      </c>
      <c r="K2546">
        <v>22.5</v>
      </c>
      <c r="L2546">
        <v>18.399999999999999</v>
      </c>
      <c r="M2546">
        <v>27.2</v>
      </c>
      <c r="N2546">
        <v>32.200000000000003</v>
      </c>
      <c r="O2546">
        <v>38.6</v>
      </c>
      <c r="P2546">
        <v>38.299999999999997</v>
      </c>
      <c r="Q2546">
        <v>41.9</v>
      </c>
      <c r="R2546">
        <v>51.2</v>
      </c>
      <c r="S2546">
        <v>30.8</v>
      </c>
      <c r="T2546">
        <v>40</v>
      </c>
      <c r="U2546">
        <v>67.900000000000006</v>
      </c>
      <c r="V2546">
        <v>-16</v>
      </c>
      <c r="W2546" cm="1">
        <f t="array" ref="W2546">_xlfn.IFS(OR(X2546="N/A",X2546="NA"),0,OR(X2546="R64",X2546="R68"),1,X2546="R32",2,X2546="S16",3,X2546="E8",4,X2546="F4",5,X2546="2ND",6,X2546="Champions",7)</f>
        <v>0</v>
      </c>
      <c r="X2546" t="s">
        <v>425</v>
      </c>
      <c r="Y2546" t="s">
        <v>90</v>
      </c>
      <c r="Z2546">
        <v>2021</v>
      </c>
    </row>
    <row r="2547" spans="1:26" x14ac:dyDescent="0.3">
      <c r="A2547" t="s">
        <v>329</v>
      </c>
      <c r="B2547" t="s">
        <v>67</v>
      </c>
      <c r="C2547">
        <v>12</v>
      </c>
      <c r="D2547">
        <v>5</v>
      </c>
      <c r="E2547" s="1">
        <f t="shared" si="39"/>
        <v>0.41666666666666669</v>
      </c>
      <c r="F2547">
        <v>99.9</v>
      </c>
      <c r="G2547">
        <v>108.2</v>
      </c>
      <c r="H2547">
        <v>0.28489999999999999</v>
      </c>
      <c r="I2547">
        <v>52</v>
      </c>
      <c r="J2547">
        <v>49.6</v>
      </c>
      <c r="K2547">
        <v>17.3</v>
      </c>
      <c r="L2547">
        <v>15.7</v>
      </c>
      <c r="M2547">
        <v>19.8</v>
      </c>
      <c r="N2547">
        <v>28.3</v>
      </c>
      <c r="O2547">
        <v>36.299999999999997</v>
      </c>
      <c r="P2547">
        <v>29.2</v>
      </c>
      <c r="Q2547">
        <v>53.6</v>
      </c>
      <c r="R2547">
        <v>47.5</v>
      </c>
      <c r="S2547">
        <v>33</v>
      </c>
      <c r="T2547">
        <v>36</v>
      </c>
      <c r="U2547">
        <v>71.8</v>
      </c>
      <c r="V2547">
        <v>-5.6</v>
      </c>
      <c r="W2547" cm="1">
        <f t="array" ref="W2547">_xlfn.IFS(OR(X2547="N/A",X2547="NA"),0,OR(X2547="R64",X2547="R68"),1,X2547="R32",2,X2547="S16",3,X2547="E8",4,X2547="F4",5,X2547="2ND",6,X2547="Champions",7)</f>
        <v>0</v>
      </c>
      <c r="X2547" t="s">
        <v>425</v>
      </c>
      <c r="Y2547" t="s">
        <v>90</v>
      </c>
      <c r="Z2547">
        <v>2021</v>
      </c>
    </row>
    <row r="2548" spans="1:26" x14ac:dyDescent="0.3">
      <c r="A2548" t="s">
        <v>272</v>
      </c>
      <c r="B2548" t="s">
        <v>66</v>
      </c>
      <c r="C2548">
        <v>13</v>
      </c>
      <c r="D2548">
        <v>5</v>
      </c>
      <c r="E2548" s="1">
        <f t="shared" si="39"/>
        <v>0.38461538461538464</v>
      </c>
      <c r="F2548">
        <v>91.8</v>
      </c>
      <c r="G2548">
        <v>112.2</v>
      </c>
      <c r="H2548">
        <v>9.01E-2</v>
      </c>
      <c r="I2548">
        <v>46.9</v>
      </c>
      <c r="J2548">
        <v>51</v>
      </c>
      <c r="K2548">
        <v>21.4</v>
      </c>
      <c r="L2548">
        <v>20.8</v>
      </c>
      <c r="M2548">
        <v>26.4</v>
      </c>
      <c r="N2548">
        <v>33.6</v>
      </c>
      <c r="O2548">
        <v>34.5</v>
      </c>
      <c r="P2548">
        <v>38.299999999999997</v>
      </c>
      <c r="Q2548">
        <v>45.3</v>
      </c>
      <c r="R2548">
        <v>50.9</v>
      </c>
      <c r="S2548">
        <v>33.1</v>
      </c>
      <c r="T2548">
        <v>34.200000000000003</v>
      </c>
      <c r="U2548">
        <v>66</v>
      </c>
      <c r="V2548">
        <v>-6.9</v>
      </c>
      <c r="W2548" cm="1">
        <f t="array" ref="W2548">_xlfn.IFS(OR(X2548="N/A",X2548="NA"),0,OR(X2548="R64",X2548="R68"),1,X2548="R32",2,X2548="S16",3,X2548="E8",4,X2548="F4",5,X2548="2ND",6,X2548="Champions",7)</f>
        <v>0</v>
      </c>
      <c r="X2548" t="s">
        <v>425</v>
      </c>
      <c r="Y2548" t="s">
        <v>90</v>
      </c>
      <c r="Z2548">
        <v>2021</v>
      </c>
    </row>
    <row r="2549" spans="1:26" x14ac:dyDescent="0.3">
      <c r="A2549" t="s">
        <v>125</v>
      </c>
      <c r="B2549" t="s">
        <v>50</v>
      </c>
      <c r="C2549">
        <v>16</v>
      </c>
      <c r="D2549">
        <v>5</v>
      </c>
      <c r="E2549" s="1">
        <f t="shared" si="39"/>
        <v>0.3125</v>
      </c>
      <c r="F2549">
        <v>101.9</v>
      </c>
      <c r="G2549">
        <v>98.3</v>
      </c>
      <c r="H2549">
        <v>0.60289999999999999</v>
      </c>
      <c r="I2549">
        <v>46.7</v>
      </c>
      <c r="J2549">
        <v>47.3</v>
      </c>
      <c r="K2549">
        <v>19.5</v>
      </c>
      <c r="L2549">
        <v>16</v>
      </c>
      <c r="M2549">
        <v>25.9</v>
      </c>
      <c r="N2549">
        <v>28.1</v>
      </c>
      <c r="O2549">
        <v>38.9</v>
      </c>
      <c r="P2549">
        <v>31.7</v>
      </c>
      <c r="Q2549">
        <v>43.8</v>
      </c>
      <c r="R2549">
        <v>44.8</v>
      </c>
      <c r="S2549">
        <v>34.200000000000003</v>
      </c>
      <c r="T2549">
        <v>34.299999999999997</v>
      </c>
      <c r="U2549">
        <v>68.3</v>
      </c>
      <c r="V2549">
        <v>-6.1</v>
      </c>
      <c r="W2549" cm="1">
        <f t="array" ref="W2549">_xlfn.IFS(OR(X2549="N/A",X2549="NA"),0,OR(X2549="R64",X2549="R68"),1,X2549="R32",2,X2549="S16",3,X2549="E8",4,X2549="F4",5,X2549="2ND",6,X2549="Champions",7)</f>
        <v>0</v>
      </c>
      <c r="X2549" t="s">
        <v>425</v>
      </c>
      <c r="Y2549" t="s">
        <v>90</v>
      </c>
      <c r="Z2549">
        <v>2021</v>
      </c>
    </row>
    <row r="2550" spans="1:26" x14ac:dyDescent="0.3">
      <c r="A2550" t="s">
        <v>331</v>
      </c>
      <c r="B2550" t="s">
        <v>67</v>
      </c>
      <c r="C2550">
        <v>16</v>
      </c>
      <c r="D2550">
        <v>5</v>
      </c>
      <c r="E2550" s="1">
        <f t="shared" si="39"/>
        <v>0.3125</v>
      </c>
      <c r="F2550">
        <v>99.4</v>
      </c>
      <c r="G2550">
        <v>107.9</v>
      </c>
      <c r="H2550">
        <v>0.28029999999999999</v>
      </c>
      <c r="I2550">
        <v>50.3</v>
      </c>
      <c r="J2550">
        <v>52.6</v>
      </c>
      <c r="K2550">
        <v>18.3</v>
      </c>
      <c r="L2550">
        <v>18.5</v>
      </c>
      <c r="M2550">
        <v>26.4</v>
      </c>
      <c r="N2550">
        <v>31.5</v>
      </c>
      <c r="O2550">
        <v>26.1</v>
      </c>
      <c r="P2550">
        <v>35.200000000000003</v>
      </c>
      <c r="Q2550">
        <v>48.8</v>
      </c>
      <c r="R2550">
        <v>52.1</v>
      </c>
      <c r="S2550">
        <v>35.6</v>
      </c>
      <c r="T2550">
        <v>35.700000000000003</v>
      </c>
      <c r="U2550">
        <v>69</v>
      </c>
      <c r="V2550">
        <v>-8.4</v>
      </c>
      <c r="W2550" cm="1">
        <f t="array" ref="W2550">_xlfn.IFS(OR(X2550="N/A",X2550="NA"),0,OR(X2550="R64",X2550="R68"),1,X2550="R32",2,X2550="S16",3,X2550="E8",4,X2550="F4",5,X2550="2ND",6,X2550="Champions",7)</f>
        <v>0</v>
      </c>
      <c r="X2550" t="s">
        <v>425</v>
      </c>
      <c r="Y2550" t="s">
        <v>90</v>
      </c>
      <c r="Z2550">
        <v>2021</v>
      </c>
    </row>
    <row r="2551" spans="1:26" x14ac:dyDescent="0.3">
      <c r="A2551" t="s">
        <v>93</v>
      </c>
      <c r="B2551" t="s">
        <v>45</v>
      </c>
      <c r="C2551">
        <v>17</v>
      </c>
      <c r="D2551">
        <v>5</v>
      </c>
      <c r="E2551" s="1">
        <f t="shared" si="39"/>
        <v>0.29411764705882354</v>
      </c>
      <c r="F2551">
        <v>101</v>
      </c>
      <c r="G2551">
        <v>105.5</v>
      </c>
      <c r="H2551">
        <v>0.3755</v>
      </c>
      <c r="I2551">
        <v>49.7</v>
      </c>
      <c r="J2551">
        <v>51.1</v>
      </c>
      <c r="K2551">
        <v>19.7</v>
      </c>
      <c r="L2551">
        <v>16.7</v>
      </c>
      <c r="M2551">
        <v>24.4</v>
      </c>
      <c r="N2551">
        <v>28.6</v>
      </c>
      <c r="O2551">
        <v>36.1</v>
      </c>
      <c r="P2551">
        <v>25</v>
      </c>
      <c r="Q2551">
        <v>50.4</v>
      </c>
      <c r="R2551">
        <v>50.8</v>
      </c>
      <c r="S2551">
        <v>32.299999999999997</v>
      </c>
      <c r="T2551">
        <v>34.299999999999997</v>
      </c>
      <c r="U2551">
        <v>68.599999999999994</v>
      </c>
      <c r="V2551">
        <v>-8.6999999999999993</v>
      </c>
      <c r="W2551" cm="1">
        <f t="array" ref="W2551">_xlfn.IFS(OR(X2551="N/A",X2551="NA"),0,OR(X2551="R64",X2551="R68"),1,X2551="R32",2,X2551="S16",3,X2551="E8",4,X2551="F4",5,X2551="2ND",6,X2551="Champions",7)</f>
        <v>0</v>
      </c>
      <c r="X2551" t="s">
        <v>425</v>
      </c>
      <c r="Y2551" t="s">
        <v>90</v>
      </c>
      <c r="Z2551">
        <v>2021</v>
      </c>
    </row>
    <row r="2552" spans="1:26" x14ac:dyDescent="0.3">
      <c r="A2552" t="s">
        <v>157</v>
      </c>
      <c r="B2552" t="s">
        <v>33</v>
      </c>
      <c r="C2552">
        <v>19</v>
      </c>
      <c r="D2552">
        <v>5</v>
      </c>
      <c r="E2552" s="1">
        <f t="shared" si="39"/>
        <v>0.26315789473684209</v>
      </c>
      <c r="F2552">
        <v>98.9</v>
      </c>
      <c r="G2552">
        <v>94.3</v>
      </c>
      <c r="H2552">
        <v>0.63460000000000005</v>
      </c>
      <c r="I2552">
        <v>46.1</v>
      </c>
      <c r="J2552">
        <v>48</v>
      </c>
      <c r="K2552">
        <v>22.1</v>
      </c>
      <c r="L2552">
        <v>20.100000000000001</v>
      </c>
      <c r="M2552">
        <v>31.8</v>
      </c>
      <c r="N2552">
        <v>31.6</v>
      </c>
      <c r="O2552">
        <v>23.7</v>
      </c>
      <c r="P2552">
        <v>35.299999999999997</v>
      </c>
      <c r="Q2552">
        <v>45.7</v>
      </c>
      <c r="R2552">
        <v>49.1</v>
      </c>
      <c r="S2552">
        <v>31.5</v>
      </c>
      <c r="T2552">
        <v>30.9</v>
      </c>
      <c r="U2552">
        <v>70.2</v>
      </c>
      <c r="V2552">
        <v>-5.8</v>
      </c>
      <c r="W2552" cm="1">
        <f t="array" ref="W2552">_xlfn.IFS(OR(X2552="N/A",X2552="NA"),0,OR(X2552="R64",X2552="R68"),1,X2552="R32",2,X2552="S16",3,X2552="E8",4,X2552="F4",5,X2552="2ND",6,X2552="Champions",7)</f>
        <v>0</v>
      </c>
      <c r="X2552" t="s">
        <v>425</v>
      </c>
      <c r="Y2552" t="s">
        <v>90</v>
      </c>
      <c r="Z2552">
        <v>2021</v>
      </c>
    </row>
    <row r="2553" spans="1:26" x14ac:dyDescent="0.3">
      <c r="A2553" t="s">
        <v>98</v>
      </c>
      <c r="B2553" t="s">
        <v>45</v>
      </c>
      <c r="C2553">
        <v>20</v>
      </c>
      <c r="D2553">
        <v>5</v>
      </c>
      <c r="E2553" s="1">
        <f t="shared" si="39"/>
        <v>0.25</v>
      </c>
      <c r="F2553">
        <v>101</v>
      </c>
      <c r="G2553">
        <v>104</v>
      </c>
      <c r="H2553">
        <v>0.41720000000000002</v>
      </c>
      <c r="I2553">
        <v>48.6</v>
      </c>
      <c r="J2553">
        <v>53.6</v>
      </c>
      <c r="K2553">
        <v>18.600000000000001</v>
      </c>
      <c r="L2553">
        <v>17.2</v>
      </c>
      <c r="M2553">
        <v>21.8</v>
      </c>
      <c r="N2553">
        <v>30.9</v>
      </c>
      <c r="O2553">
        <v>26.7</v>
      </c>
      <c r="P2553">
        <v>31.4</v>
      </c>
      <c r="Q2553">
        <v>50.1</v>
      </c>
      <c r="R2553">
        <v>54.1</v>
      </c>
      <c r="S2553">
        <v>31.4</v>
      </c>
      <c r="T2553">
        <v>35.1</v>
      </c>
      <c r="U2553">
        <v>72.5</v>
      </c>
      <c r="V2553">
        <v>-7.7</v>
      </c>
      <c r="W2553" cm="1">
        <f t="array" ref="W2553">_xlfn.IFS(OR(X2553="N/A",X2553="NA"),0,OR(X2553="R64",X2553="R68"),1,X2553="R32",2,X2553="S16",3,X2553="E8",4,X2553="F4",5,X2553="2ND",6,X2553="Champions",7)</f>
        <v>0</v>
      </c>
      <c r="X2553" t="s">
        <v>425</v>
      </c>
      <c r="Y2553" t="s">
        <v>90</v>
      </c>
      <c r="Z2553">
        <v>2021</v>
      </c>
    </row>
    <row r="2554" spans="1:26" x14ac:dyDescent="0.3">
      <c r="A2554" t="s">
        <v>261</v>
      </c>
      <c r="B2554" t="s">
        <v>57</v>
      </c>
      <c r="C2554">
        <v>20</v>
      </c>
      <c r="D2554">
        <v>5</v>
      </c>
      <c r="E2554" s="1">
        <f t="shared" si="39"/>
        <v>0.25</v>
      </c>
      <c r="F2554">
        <v>95.6</v>
      </c>
      <c r="G2554">
        <v>102.9</v>
      </c>
      <c r="H2554">
        <v>0.2999</v>
      </c>
      <c r="I2554">
        <v>49.3</v>
      </c>
      <c r="J2554">
        <v>50.2</v>
      </c>
      <c r="K2554">
        <v>21.1</v>
      </c>
      <c r="L2554">
        <v>14.3</v>
      </c>
      <c r="M2554">
        <v>23.5</v>
      </c>
      <c r="N2554">
        <v>29.4</v>
      </c>
      <c r="O2554">
        <v>24.2</v>
      </c>
      <c r="P2554">
        <v>26.2</v>
      </c>
      <c r="Q2554">
        <v>49</v>
      </c>
      <c r="R2554">
        <v>51.5</v>
      </c>
      <c r="S2554">
        <v>33.200000000000003</v>
      </c>
      <c r="T2554">
        <v>32</v>
      </c>
      <c r="U2554">
        <v>66.400000000000006</v>
      </c>
      <c r="V2554">
        <v>-11.5</v>
      </c>
      <c r="W2554" cm="1">
        <f t="array" ref="W2554">_xlfn.IFS(OR(X2554="N/A",X2554="NA"),0,OR(X2554="R64",X2554="R68"),1,X2554="R32",2,X2554="S16",3,X2554="E8",4,X2554="F4",5,X2554="2ND",6,X2554="Champions",7)</f>
        <v>0</v>
      </c>
      <c r="X2554" t="s">
        <v>425</v>
      </c>
      <c r="Y2554" t="s">
        <v>90</v>
      </c>
      <c r="Z2554">
        <v>2021</v>
      </c>
    </row>
    <row r="2555" spans="1:26" x14ac:dyDescent="0.3">
      <c r="A2555" t="s">
        <v>288</v>
      </c>
      <c r="B2555" t="s">
        <v>55</v>
      </c>
      <c r="C2555">
        <v>19</v>
      </c>
      <c r="D2555">
        <v>5</v>
      </c>
      <c r="E2555" s="1">
        <f t="shared" si="39"/>
        <v>0.26315789473684209</v>
      </c>
      <c r="F2555">
        <v>96.9</v>
      </c>
      <c r="G2555">
        <v>110.1</v>
      </c>
      <c r="H2555">
        <v>0.18740000000000001</v>
      </c>
      <c r="I2555">
        <v>44.7</v>
      </c>
      <c r="J2555">
        <v>52.6</v>
      </c>
      <c r="K2555">
        <v>17.8</v>
      </c>
      <c r="L2555">
        <v>14.5</v>
      </c>
      <c r="M2555">
        <v>20</v>
      </c>
      <c r="N2555">
        <v>35.1</v>
      </c>
      <c r="O2555">
        <v>30</v>
      </c>
      <c r="P2555">
        <v>27.6</v>
      </c>
      <c r="Q2555">
        <v>42.9</v>
      </c>
      <c r="R2555">
        <v>55.3</v>
      </c>
      <c r="S2555">
        <v>31.6</v>
      </c>
      <c r="T2555">
        <v>32.200000000000003</v>
      </c>
      <c r="U2555">
        <v>72.3</v>
      </c>
      <c r="V2555">
        <v>-10.3</v>
      </c>
      <c r="W2555" cm="1">
        <f t="array" ref="W2555">_xlfn.IFS(OR(X2555="N/A",X2555="NA"),0,OR(X2555="R64",X2555="R68"),1,X2555="R32",2,X2555="S16",3,X2555="E8",4,X2555="F4",5,X2555="2ND",6,X2555="Champions",7)</f>
        <v>0</v>
      </c>
      <c r="X2555" t="s">
        <v>425</v>
      </c>
      <c r="Y2555" t="s">
        <v>90</v>
      </c>
      <c r="Z2555">
        <v>2021</v>
      </c>
    </row>
    <row r="2556" spans="1:26" x14ac:dyDescent="0.3">
      <c r="A2556" t="s">
        <v>295</v>
      </c>
      <c r="B2556" t="s">
        <v>77</v>
      </c>
      <c r="C2556">
        <v>21</v>
      </c>
      <c r="D2556">
        <v>5</v>
      </c>
      <c r="E2556" s="1">
        <f t="shared" si="39"/>
        <v>0.23809523809523808</v>
      </c>
      <c r="F2556">
        <v>92.8</v>
      </c>
      <c r="G2556">
        <v>110.3</v>
      </c>
      <c r="H2556">
        <v>0.12130000000000001</v>
      </c>
      <c r="I2556">
        <v>48.5</v>
      </c>
      <c r="J2556">
        <v>53.9</v>
      </c>
      <c r="K2556">
        <v>19.7</v>
      </c>
      <c r="L2556">
        <v>20.100000000000001</v>
      </c>
      <c r="M2556">
        <v>23.7</v>
      </c>
      <c r="N2556">
        <v>32.9</v>
      </c>
      <c r="O2556">
        <v>28.4</v>
      </c>
      <c r="P2556">
        <v>30.4</v>
      </c>
      <c r="Q2556">
        <v>48.5</v>
      </c>
      <c r="R2556">
        <v>54.6</v>
      </c>
      <c r="S2556">
        <v>32.4</v>
      </c>
      <c r="T2556">
        <v>35.200000000000003</v>
      </c>
      <c r="U2556">
        <v>70.8</v>
      </c>
      <c r="V2556">
        <v>-13.5</v>
      </c>
      <c r="W2556" cm="1">
        <f t="array" ref="W2556">_xlfn.IFS(OR(X2556="N/A",X2556="NA"),0,OR(X2556="R64",X2556="R68"),1,X2556="R32",2,X2556="S16",3,X2556="E8",4,X2556="F4",5,X2556="2ND",6,X2556="Champions",7)</f>
        <v>0</v>
      </c>
      <c r="X2556" t="s">
        <v>425</v>
      </c>
      <c r="Y2556" t="s">
        <v>90</v>
      </c>
      <c r="Z2556">
        <v>2021</v>
      </c>
    </row>
    <row r="2557" spans="1:26" x14ac:dyDescent="0.3">
      <c r="A2557" t="s">
        <v>137</v>
      </c>
      <c r="B2557" t="s">
        <v>74</v>
      </c>
      <c r="C2557">
        <v>22</v>
      </c>
      <c r="D2557">
        <v>5</v>
      </c>
      <c r="E2557" s="1">
        <f t="shared" si="39"/>
        <v>0.22727272727272727</v>
      </c>
      <c r="F2557">
        <v>94.6</v>
      </c>
      <c r="G2557">
        <v>109.4</v>
      </c>
      <c r="H2557">
        <v>0.15840000000000001</v>
      </c>
      <c r="I2557">
        <v>49</v>
      </c>
      <c r="J2557">
        <v>53.7</v>
      </c>
      <c r="K2557">
        <v>20.8</v>
      </c>
      <c r="L2557">
        <v>18.7</v>
      </c>
      <c r="M2557">
        <v>24</v>
      </c>
      <c r="N2557">
        <v>29.6</v>
      </c>
      <c r="O2557">
        <v>29.8</v>
      </c>
      <c r="P2557">
        <v>35.200000000000003</v>
      </c>
      <c r="Q2557">
        <v>47.7</v>
      </c>
      <c r="R2557">
        <v>54.6</v>
      </c>
      <c r="S2557">
        <v>33.9</v>
      </c>
      <c r="T2557">
        <v>34.700000000000003</v>
      </c>
      <c r="U2557">
        <v>68.7</v>
      </c>
      <c r="V2557">
        <v>-14.7</v>
      </c>
      <c r="W2557" cm="1">
        <f t="array" ref="W2557">_xlfn.IFS(OR(X2557="N/A",X2557="NA"),0,OR(X2557="R64",X2557="R68"),1,X2557="R32",2,X2557="S16",3,X2557="E8",4,X2557="F4",5,X2557="2ND",6,X2557="Champions",7)</f>
        <v>0</v>
      </c>
      <c r="X2557" t="s">
        <v>425</v>
      </c>
      <c r="Y2557" t="s">
        <v>90</v>
      </c>
      <c r="Z2557">
        <v>2021</v>
      </c>
    </row>
    <row r="2558" spans="1:26" x14ac:dyDescent="0.3">
      <c r="A2558" t="s">
        <v>212</v>
      </c>
      <c r="B2558" t="s">
        <v>40</v>
      </c>
      <c r="C2558">
        <v>22</v>
      </c>
      <c r="D2558">
        <v>5</v>
      </c>
      <c r="E2558" s="1">
        <f t="shared" si="39"/>
        <v>0.22727272727272727</v>
      </c>
      <c r="F2558">
        <v>93.4</v>
      </c>
      <c r="G2558">
        <v>103.6</v>
      </c>
      <c r="H2558">
        <v>0.23230000000000001</v>
      </c>
      <c r="I2558">
        <v>45.3</v>
      </c>
      <c r="J2558">
        <v>53</v>
      </c>
      <c r="K2558">
        <v>21.6</v>
      </c>
      <c r="L2558">
        <v>19.8</v>
      </c>
      <c r="M2558">
        <v>24.7</v>
      </c>
      <c r="N2558">
        <v>26.1</v>
      </c>
      <c r="O2558">
        <v>24.8</v>
      </c>
      <c r="P2558">
        <v>28.8</v>
      </c>
      <c r="Q2558">
        <v>43.1</v>
      </c>
      <c r="R2558">
        <v>55.6</v>
      </c>
      <c r="S2558">
        <v>32.5</v>
      </c>
      <c r="T2558">
        <v>32</v>
      </c>
      <c r="U2558">
        <v>69.5</v>
      </c>
      <c r="V2558">
        <v>-13.7</v>
      </c>
      <c r="W2558" cm="1">
        <f t="array" ref="W2558">_xlfn.IFS(OR(X2558="N/A",X2558="NA"),0,OR(X2558="R64",X2558="R68"),1,X2558="R32",2,X2558="S16",3,X2558="E8",4,X2558="F4",5,X2558="2ND",6,X2558="Champions",7)</f>
        <v>0</v>
      </c>
      <c r="X2558" t="s">
        <v>425</v>
      </c>
      <c r="Y2558" t="s">
        <v>90</v>
      </c>
      <c r="Z2558">
        <v>2021</v>
      </c>
    </row>
    <row r="2559" spans="1:26" x14ac:dyDescent="0.3">
      <c r="A2559" t="s">
        <v>133</v>
      </c>
      <c r="B2559" t="s">
        <v>131</v>
      </c>
      <c r="C2559">
        <v>21</v>
      </c>
      <c r="D2559">
        <v>5</v>
      </c>
      <c r="E2559" s="1">
        <f t="shared" si="39"/>
        <v>0.23809523809523808</v>
      </c>
      <c r="F2559">
        <v>90.3</v>
      </c>
      <c r="G2559">
        <v>104.2</v>
      </c>
      <c r="H2559">
        <v>0.16139999999999999</v>
      </c>
      <c r="I2559">
        <v>45.8</v>
      </c>
      <c r="J2559">
        <v>52.2</v>
      </c>
      <c r="K2559">
        <v>20.6</v>
      </c>
      <c r="L2559">
        <v>17.100000000000001</v>
      </c>
      <c r="M2559">
        <v>24.1</v>
      </c>
      <c r="N2559">
        <v>25.2</v>
      </c>
      <c r="O2559">
        <v>30.6</v>
      </c>
      <c r="P2559">
        <v>32.700000000000003</v>
      </c>
      <c r="Q2559">
        <v>46.7</v>
      </c>
      <c r="R2559">
        <v>54.4</v>
      </c>
      <c r="S2559">
        <v>29.4</v>
      </c>
      <c r="T2559">
        <v>31.8</v>
      </c>
      <c r="U2559">
        <v>69.3</v>
      </c>
      <c r="V2559">
        <v>-15.4</v>
      </c>
      <c r="W2559" cm="1">
        <f t="array" ref="W2559">_xlfn.IFS(OR(X2559="N/A",X2559="NA"),0,OR(X2559="R64",X2559="R68"),1,X2559="R32",2,X2559="S16",3,X2559="E8",4,X2559="F4",5,X2559="2ND",6,X2559="Champions",7)</f>
        <v>0</v>
      </c>
      <c r="X2559" t="s">
        <v>425</v>
      </c>
      <c r="Y2559" t="s">
        <v>90</v>
      </c>
      <c r="Z2559">
        <v>2021</v>
      </c>
    </row>
    <row r="2560" spans="1:26" x14ac:dyDescent="0.3">
      <c r="A2560" t="s">
        <v>369</v>
      </c>
      <c r="B2560" t="s">
        <v>61</v>
      </c>
      <c r="C2560">
        <v>23</v>
      </c>
      <c r="D2560">
        <v>5</v>
      </c>
      <c r="E2560" s="1">
        <f t="shared" si="39"/>
        <v>0.21739130434782608</v>
      </c>
      <c r="F2560">
        <v>97.3</v>
      </c>
      <c r="G2560">
        <v>113.7</v>
      </c>
      <c r="H2560">
        <v>0.1421</v>
      </c>
      <c r="I2560">
        <v>49.3</v>
      </c>
      <c r="J2560">
        <v>53.9</v>
      </c>
      <c r="K2560">
        <v>23.9</v>
      </c>
      <c r="L2560">
        <v>15.4</v>
      </c>
      <c r="M2560">
        <v>28.9</v>
      </c>
      <c r="N2560">
        <v>28.5</v>
      </c>
      <c r="O2560">
        <v>32.4</v>
      </c>
      <c r="P2560">
        <v>28.8</v>
      </c>
      <c r="Q2560">
        <v>46.8</v>
      </c>
      <c r="R2560">
        <v>51.7</v>
      </c>
      <c r="S2560">
        <v>36</v>
      </c>
      <c r="T2560">
        <v>38.200000000000003</v>
      </c>
      <c r="U2560">
        <v>71.400000000000006</v>
      </c>
      <c r="V2560">
        <v>-13.3</v>
      </c>
      <c r="W2560" cm="1">
        <f t="array" ref="W2560">_xlfn.IFS(OR(X2560="N/A",X2560="NA"),0,OR(X2560="R64",X2560="R68"),1,X2560="R32",2,X2560="S16",3,X2560="E8",4,X2560="F4",5,X2560="2ND",6,X2560="Champions",7)</f>
        <v>0</v>
      </c>
      <c r="X2560" t="s">
        <v>425</v>
      </c>
      <c r="Y2560" t="s">
        <v>90</v>
      </c>
      <c r="Z2560">
        <v>2021</v>
      </c>
    </row>
    <row r="2561" spans="1:26" x14ac:dyDescent="0.3">
      <c r="A2561" t="s">
        <v>379</v>
      </c>
      <c r="B2561" t="s">
        <v>61</v>
      </c>
      <c r="C2561">
        <v>21</v>
      </c>
      <c r="D2561">
        <v>5</v>
      </c>
      <c r="E2561" s="1">
        <f t="shared" si="39"/>
        <v>0.23809523809523808</v>
      </c>
      <c r="F2561">
        <v>90.2</v>
      </c>
      <c r="G2561">
        <v>108.5</v>
      </c>
      <c r="H2561">
        <v>0.1067</v>
      </c>
      <c r="I2561">
        <v>46.9</v>
      </c>
      <c r="J2561">
        <v>51.7</v>
      </c>
      <c r="K2561">
        <v>23.8</v>
      </c>
      <c r="L2561">
        <v>19.3</v>
      </c>
      <c r="M2561">
        <v>24.6</v>
      </c>
      <c r="N2561">
        <v>29.3</v>
      </c>
      <c r="O2561">
        <v>34.799999999999997</v>
      </c>
      <c r="P2561">
        <v>31.2</v>
      </c>
      <c r="Q2561">
        <v>45.1</v>
      </c>
      <c r="R2561">
        <v>51.7</v>
      </c>
      <c r="S2561">
        <v>33.299999999999997</v>
      </c>
      <c r="T2561">
        <v>34.4</v>
      </c>
      <c r="U2561">
        <v>69.5</v>
      </c>
      <c r="V2561">
        <v>-15.9</v>
      </c>
      <c r="W2561" cm="1">
        <f t="array" ref="W2561">_xlfn.IFS(OR(X2561="N/A",X2561="NA"),0,OR(X2561="R64",X2561="R68"),1,X2561="R32",2,X2561="S16",3,X2561="E8",4,X2561="F4",5,X2561="2ND",6,X2561="Champions",7)</f>
        <v>0</v>
      </c>
      <c r="X2561" t="s">
        <v>425</v>
      </c>
      <c r="Y2561" t="s">
        <v>90</v>
      </c>
      <c r="Z2561">
        <v>2021</v>
      </c>
    </row>
    <row r="2562" spans="1:26" x14ac:dyDescent="0.3">
      <c r="A2562" t="s">
        <v>283</v>
      </c>
      <c r="B2562" t="s">
        <v>55</v>
      </c>
      <c r="C2562">
        <v>25</v>
      </c>
      <c r="D2562">
        <v>5</v>
      </c>
      <c r="E2562" s="1">
        <f t="shared" si="39"/>
        <v>0.2</v>
      </c>
      <c r="F2562">
        <v>96.1</v>
      </c>
      <c r="G2562">
        <v>109.1</v>
      </c>
      <c r="H2562">
        <v>0.18909999999999999</v>
      </c>
      <c r="I2562">
        <v>52.1</v>
      </c>
      <c r="J2562">
        <v>57.4</v>
      </c>
      <c r="K2562">
        <v>22.6</v>
      </c>
      <c r="L2562">
        <v>21.8</v>
      </c>
      <c r="M2562">
        <v>15.3</v>
      </c>
      <c r="N2562">
        <v>35.4</v>
      </c>
      <c r="O2562">
        <v>30.9</v>
      </c>
      <c r="P2562">
        <v>32.799999999999997</v>
      </c>
      <c r="Q2562">
        <v>54.1</v>
      </c>
      <c r="R2562">
        <v>59.1</v>
      </c>
      <c r="S2562">
        <v>33</v>
      </c>
      <c r="T2562">
        <v>36.6</v>
      </c>
      <c r="U2562">
        <v>63.1</v>
      </c>
      <c r="V2562">
        <v>-13.5</v>
      </c>
      <c r="W2562" cm="1">
        <f t="array" ref="W2562">_xlfn.IFS(OR(X2562="N/A",X2562="NA"),0,OR(X2562="R64",X2562="R68"),1,X2562="R32",2,X2562="S16",3,X2562="E8",4,X2562="F4",5,X2562="2ND",6,X2562="Champions",7)</f>
        <v>0</v>
      </c>
      <c r="X2562" t="s">
        <v>425</v>
      </c>
      <c r="Y2562" t="s">
        <v>90</v>
      </c>
      <c r="Z2562">
        <v>2021</v>
      </c>
    </row>
    <row r="2563" spans="1:26" x14ac:dyDescent="0.3">
      <c r="A2563" t="s">
        <v>383</v>
      </c>
      <c r="B2563" t="s">
        <v>72</v>
      </c>
      <c r="C2563">
        <v>25</v>
      </c>
      <c r="D2563">
        <v>5</v>
      </c>
      <c r="E2563" s="1">
        <f t="shared" ref="E2563:E2626" si="40">D2563/C2563</f>
        <v>0.2</v>
      </c>
      <c r="F2563">
        <v>93.1</v>
      </c>
      <c r="G2563">
        <v>107</v>
      </c>
      <c r="H2563">
        <v>0.16830000000000001</v>
      </c>
      <c r="I2563">
        <v>46.3</v>
      </c>
      <c r="J2563">
        <v>53.5</v>
      </c>
      <c r="K2563">
        <v>18.100000000000001</v>
      </c>
      <c r="L2563">
        <v>16.8</v>
      </c>
      <c r="M2563">
        <v>23.2</v>
      </c>
      <c r="N2563">
        <v>26.7</v>
      </c>
      <c r="O2563">
        <v>29.2</v>
      </c>
      <c r="P2563">
        <v>31.1</v>
      </c>
      <c r="Q2563">
        <v>44.8</v>
      </c>
      <c r="R2563">
        <v>51.2</v>
      </c>
      <c r="S2563">
        <v>33.5</v>
      </c>
      <c r="T2563">
        <v>38.4</v>
      </c>
      <c r="U2563">
        <v>71.3</v>
      </c>
      <c r="V2563">
        <v>-14.7</v>
      </c>
      <c r="W2563" cm="1">
        <f t="array" ref="W2563">_xlfn.IFS(OR(X2563="N/A",X2563="NA"),0,OR(X2563="R64",X2563="R68"),1,X2563="R32",2,X2563="S16",3,X2563="E8",4,X2563="F4",5,X2563="2ND",6,X2563="Champions",7)</f>
        <v>0</v>
      </c>
      <c r="X2563" t="s">
        <v>425</v>
      </c>
      <c r="Y2563" t="s">
        <v>90</v>
      </c>
      <c r="Z2563">
        <v>2021</v>
      </c>
    </row>
    <row r="2564" spans="1:26" x14ac:dyDescent="0.3">
      <c r="A2564" t="s">
        <v>322</v>
      </c>
      <c r="B2564" t="s">
        <v>38</v>
      </c>
      <c r="C2564">
        <v>26</v>
      </c>
      <c r="D2564">
        <v>5</v>
      </c>
      <c r="E2564" s="1">
        <f t="shared" si="40"/>
        <v>0.19230769230769232</v>
      </c>
      <c r="F2564">
        <v>101.4</v>
      </c>
      <c r="G2564">
        <v>102.5</v>
      </c>
      <c r="H2564">
        <v>0.46960000000000002</v>
      </c>
      <c r="I2564">
        <v>48.9</v>
      </c>
      <c r="J2564">
        <v>51.2</v>
      </c>
      <c r="K2564">
        <v>19.2</v>
      </c>
      <c r="L2564">
        <v>17.2</v>
      </c>
      <c r="M2564">
        <v>23.4</v>
      </c>
      <c r="N2564">
        <v>34.4</v>
      </c>
      <c r="O2564">
        <v>26.2</v>
      </c>
      <c r="P2564">
        <v>34.700000000000003</v>
      </c>
      <c r="Q2564">
        <v>48.3</v>
      </c>
      <c r="R2564">
        <v>50.6</v>
      </c>
      <c r="S2564">
        <v>33.200000000000003</v>
      </c>
      <c r="T2564">
        <v>34.9</v>
      </c>
      <c r="U2564">
        <v>71</v>
      </c>
      <c r="V2564">
        <v>-10.4</v>
      </c>
      <c r="W2564" cm="1">
        <f t="array" ref="W2564">_xlfn.IFS(OR(X2564="N/A",X2564="NA"),0,OR(X2564="R64",X2564="R68"),1,X2564="R32",2,X2564="S16",3,X2564="E8",4,X2564="F4",5,X2564="2ND",6,X2564="Champions",7)</f>
        <v>0</v>
      </c>
      <c r="X2564" t="s">
        <v>425</v>
      </c>
      <c r="Y2564" t="s">
        <v>90</v>
      </c>
      <c r="Z2564">
        <v>2021</v>
      </c>
    </row>
    <row r="2565" spans="1:26" x14ac:dyDescent="0.3">
      <c r="A2565" t="s">
        <v>314</v>
      </c>
      <c r="B2565" t="s">
        <v>64</v>
      </c>
      <c r="C2565">
        <v>27</v>
      </c>
      <c r="D2565">
        <v>5</v>
      </c>
      <c r="E2565" s="1">
        <f t="shared" si="40"/>
        <v>0.18518518518518517</v>
      </c>
      <c r="F2565">
        <v>95.8</v>
      </c>
      <c r="G2565">
        <v>109.5</v>
      </c>
      <c r="H2565">
        <v>0.17760000000000001</v>
      </c>
      <c r="I2565">
        <v>50.1</v>
      </c>
      <c r="J2565">
        <v>54.8</v>
      </c>
      <c r="K2565">
        <v>22.6</v>
      </c>
      <c r="L2565">
        <v>18.100000000000001</v>
      </c>
      <c r="M2565">
        <v>26.5</v>
      </c>
      <c r="N2565">
        <v>27.8</v>
      </c>
      <c r="O2565">
        <v>27</v>
      </c>
      <c r="P2565">
        <v>26.7</v>
      </c>
      <c r="Q2565">
        <v>51.6</v>
      </c>
      <c r="R2565">
        <v>56</v>
      </c>
      <c r="S2565">
        <v>32.1</v>
      </c>
      <c r="T2565">
        <v>35.299999999999997</v>
      </c>
      <c r="U2565">
        <v>69.2</v>
      </c>
      <c r="V2565">
        <v>-16.8</v>
      </c>
      <c r="W2565" cm="1">
        <f t="array" ref="W2565">_xlfn.IFS(OR(X2565="N/A",X2565="NA"),0,OR(X2565="R64",X2565="R68"),1,X2565="R32",2,X2565="S16",3,X2565="E8",4,X2565="F4",5,X2565="2ND",6,X2565="Champions",7)</f>
        <v>0</v>
      </c>
      <c r="X2565" t="s">
        <v>425</v>
      </c>
      <c r="Y2565" t="s">
        <v>90</v>
      </c>
      <c r="Z2565">
        <v>2021</v>
      </c>
    </row>
    <row r="2566" spans="1:26" x14ac:dyDescent="0.3">
      <c r="A2566" t="s">
        <v>390</v>
      </c>
      <c r="B2566" t="s">
        <v>76</v>
      </c>
      <c r="C2566">
        <v>15</v>
      </c>
      <c r="D2566">
        <v>6</v>
      </c>
      <c r="E2566" s="1">
        <f t="shared" si="40"/>
        <v>0.4</v>
      </c>
      <c r="F2566">
        <v>85.4</v>
      </c>
      <c r="G2566">
        <v>104.7</v>
      </c>
      <c r="H2566">
        <v>8.7800000000000003E-2</v>
      </c>
      <c r="I2566">
        <v>44.8</v>
      </c>
      <c r="J2566">
        <v>44</v>
      </c>
      <c r="K2566">
        <v>21.4</v>
      </c>
      <c r="L2566">
        <v>18</v>
      </c>
      <c r="M2566">
        <v>28.2</v>
      </c>
      <c r="N2566">
        <v>29.4</v>
      </c>
      <c r="O2566">
        <v>31.8</v>
      </c>
      <c r="P2566">
        <v>37.4</v>
      </c>
      <c r="Q2566">
        <v>45.5</v>
      </c>
      <c r="R2566">
        <v>44.8</v>
      </c>
      <c r="S2566">
        <v>28.8</v>
      </c>
      <c r="T2566">
        <v>28.3</v>
      </c>
      <c r="U2566">
        <v>67.400000000000006</v>
      </c>
      <c r="V2566">
        <v>-8.1999999999999993</v>
      </c>
      <c r="W2566" cm="1">
        <f t="array" ref="W2566">_xlfn.IFS(OR(X2566="N/A",X2566="NA"),0,OR(X2566="R64",X2566="R68"),1,X2566="R32",2,X2566="S16",3,X2566="E8",4,X2566="F4",5,X2566="2ND",6,X2566="Champions",7)</f>
        <v>0</v>
      </c>
      <c r="X2566" t="s">
        <v>425</v>
      </c>
      <c r="Y2566" t="s">
        <v>90</v>
      </c>
      <c r="Z2566">
        <v>2021</v>
      </c>
    </row>
    <row r="2567" spans="1:26" x14ac:dyDescent="0.3">
      <c r="A2567" t="s">
        <v>189</v>
      </c>
      <c r="B2567" t="s">
        <v>48</v>
      </c>
      <c r="C2567">
        <v>15</v>
      </c>
      <c r="D2567">
        <v>6</v>
      </c>
      <c r="E2567" s="1">
        <f t="shared" si="40"/>
        <v>0.4</v>
      </c>
      <c r="F2567">
        <v>102.6</v>
      </c>
      <c r="G2567">
        <v>111.6</v>
      </c>
      <c r="H2567">
        <v>0.27579999999999999</v>
      </c>
      <c r="I2567">
        <v>51.2</v>
      </c>
      <c r="J2567">
        <v>54.9</v>
      </c>
      <c r="K2567">
        <v>17.600000000000001</v>
      </c>
      <c r="L2567">
        <v>18.600000000000001</v>
      </c>
      <c r="M2567">
        <v>24.9</v>
      </c>
      <c r="N2567">
        <v>29.1</v>
      </c>
      <c r="O2567">
        <v>35.6</v>
      </c>
      <c r="P2567">
        <v>27.8</v>
      </c>
      <c r="Q2567">
        <v>48.1</v>
      </c>
      <c r="R2567">
        <v>52.5</v>
      </c>
      <c r="S2567">
        <v>38</v>
      </c>
      <c r="T2567">
        <v>39.700000000000003</v>
      </c>
      <c r="U2567">
        <v>71.7</v>
      </c>
      <c r="V2567">
        <v>-7.8</v>
      </c>
      <c r="W2567" cm="1">
        <f t="array" ref="W2567">_xlfn.IFS(OR(X2567="N/A",X2567="NA"),0,OR(X2567="R64",X2567="R68"),1,X2567="R32",2,X2567="S16",3,X2567="E8",4,X2567="F4",5,X2567="2ND",6,X2567="Champions",7)</f>
        <v>0</v>
      </c>
      <c r="X2567" t="s">
        <v>425</v>
      </c>
      <c r="Y2567" t="s">
        <v>90</v>
      </c>
      <c r="Z2567">
        <v>2021</v>
      </c>
    </row>
    <row r="2568" spans="1:26" x14ac:dyDescent="0.3">
      <c r="A2568" t="s">
        <v>333</v>
      </c>
      <c r="B2568" t="s">
        <v>67</v>
      </c>
      <c r="C2568">
        <v>17</v>
      </c>
      <c r="D2568">
        <v>6</v>
      </c>
      <c r="E2568" s="1">
        <f t="shared" si="40"/>
        <v>0.35294117647058826</v>
      </c>
      <c r="F2568">
        <v>97.7</v>
      </c>
      <c r="G2568">
        <v>100.9</v>
      </c>
      <c r="H2568">
        <v>0.4088</v>
      </c>
      <c r="I2568">
        <v>51.1</v>
      </c>
      <c r="J2568">
        <v>49.3</v>
      </c>
      <c r="K2568">
        <v>20.2</v>
      </c>
      <c r="L2568">
        <v>19.3</v>
      </c>
      <c r="M2568">
        <v>31.3</v>
      </c>
      <c r="N2568">
        <v>25.6</v>
      </c>
      <c r="O2568">
        <v>35.4</v>
      </c>
      <c r="P2568">
        <v>33.4</v>
      </c>
      <c r="Q2568">
        <v>53.4</v>
      </c>
      <c r="R2568">
        <v>47.7</v>
      </c>
      <c r="S2568">
        <v>30.6</v>
      </c>
      <c r="T2568">
        <v>34.700000000000003</v>
      </c>
      <c r="U2568">
        <v>67.8</v>
      </c>
      <c r="V2568">
        <v>-8.6999999999999993</v>
      </c>
      <c r="W2568" cm="1">
        <f t="array" ref="W2568">_xlfn.IFS(OR(X2568="N/A",X2568="NA"),0,OR(X2568="R64",X2568="R68"),1,X2568="R32",2,X2568="S16",3,X2568="E8",4,X2568="F4",5,X2568="2ND",6,X2568="Champions",7)</f>
        <v>0</v>
      </c>
      <c r="X2568" t="s">
        <v>425</v>
      </c>
      <c r="Y2568" t="s">
        <v>90</v>
      </c>
      <c r="Z2568">
        <v>2021</v>
      </c>
    </row>
    <row r="2569" spans="1:26" x14ac:dyDescent="0.3">
      <c r="A2569" t="s">
        <v>192</v>
      </c>
      <c r="B2569" t="s">
        <v>48</v>
      </c>
      <c r="C2569">
        <v>18</v>
      </c>
      <c r="D2569">
        <v>6</v>
      </c>
      <c r="E2569" s="1">
        <f t="shared" si="40"/>
        <v>0.33333333333333331</v>
      </c>
      <c r="F2569">
        <v>97.4</v>
      </c>
      <c r="G2569">
        <v>104</v>
      </c>
      <c r="H2569">
        <v>0.31979999999999997</v>
      </c>
      <c r="I2569">
        <v>50.6</v>
      </c>
      <c r="J2569">
        <v>49.4</v>
      </c>
      <c r="K2569">
        <v>21</v>
      </c>
      <c r="L2569">
        <v>17.8</v>
      </c>
      <c r="M2569">
        <v>23.3</v>
      </c>
      <c r="N2569">
        <v>31.3</v>
      </c>
      <c r="O2569">
        <v>37.700000000000003</v>
      </c>
      <c r="P2569">
        <v>34.9</v>
      </c>
      <c r="Q2569">
        <v>49</v>
      </c>
      <c r="R2569">
        <v>48.2</v>
      </c>
      <c r="S2569">
        <v>35.9</v>
      </c>
      <c r="T2569">
        <v>34.200000000000003</v>
      </c>
      <c r="U2569">
        <v>73.900000000000006</v>
      </c>
      <c r="V2569">
        <v>-9.3000000000000007</v>
      </c>
      <c r="W2569" cm="1">
        <f t="array" ref="W2569">_xlfn.IFS(OR(X2569="N/A",X2569="NA"),0,OR(X2569="R64",X2569="R68"),1,X2569="R32",2,X2569="S16",3,X2569="E8",4,X2569="F4",5,X2569="2ND",6,X2569="Champions",7)</f>
        <v>0</v>
      </c>
      <c r="X2569" t="s">
        <v>425</v>
      </c>
      <c r="Y2569" t="s">
        <v>90</v>
      </c>
      <c r="Z2569">
        <v>2021</v>
      </c>
    </row>
    <row r="2570" spans="1:26" x14ac:dyDescent="0.3">
      <c r="A2570" t="s">
        <v>255</v>
      </c>
      <c r="B2570" t="s">
        <v>57</v>
      </c>
      <c r="C2570">
        <v>15</v>
      </c>
      <c r="D2570">
        <v>6</v>
      </c>
      <c r="E2570" s="1">
        <f t="shared" si="40"/>
        <v>0.4</v>
      </c>
      <c r="F2570">
        <v>98.6</v>
      </c>
      <c r="G2570">
        <v>108.5</v>
      </c>
      <c r="H2570">
        <v>0.24929999999999999</v>
      </c>
      <c r="I2570">
        <v>46.7</v>
      </c>
      <c r="J2570">
        <v>58.7</v>
      </c>
      <c r="K2570">
        <v>17.100000000000001</v>
      </c>
      <c r="L2570">
        <v>19.100000000000001</v>
      </c>
      <c r="M2570">
        <v>24.2</v>
      </c>
      <c r="N2570">
        <v>31.6</v>
      </c>
      <c r="O2570">
        <v>26.9</v>
      </c>
      <c r="P2570">
        <v>28.2</v>
      </c>
      <c r="Q2570">
        <v>47.2</v>
      </c>
      <c r="R2570">
        <v>58.5</v>
      </c>
      <c r="S2570">
        <v>30.6</v>
      </c>
      <c r="T2570">
        <v>39.200000000000003</v>
      </c>
      <c r="U2570">
        <v>68.099999999999994</v>
      </c>
      <c r="V2570">
        <v>-8.3000000000000007</v>
      </c>
      <c r="W2570" cm="1">
        <f t="array" ref="W2570">_xlfn.IFS(OR(X2570="N/A",X2570="NA"),0,OR(X2570="R64",X2570="R68"),1,X2570="R32",2,X2570="S16",3,X2570="E8",4,X2570="F4",5,X2570="2ND",6,X2570="Champions",7)</f>
        <v>0</v>
      </c>
      <c r="X2570" t="s">
        <v>425</v>
      </c>
      <c r="Y2570" t="s">
        <v>90</v>
      </c>
      <c r="Z2570">
        <v>2021</v>
      </c>
    </row>
    <row r="2571" spans="1:26" x14ac:dyDescent="0.3">
      <c r="A2571" t="s">
        <v>352</v>
      </c>
      <c r="B2571" t="s">
        <v>62</v>
      </c>
      <c r="C2571">
        <v>17</v>
      </c>
      <c r="D2571">
        <v>6</v>
      </c>
      <c r="E2571" s="1">
        <f t="shared" si="40"/>
        <v>0.35294117647058826</v>
      </c>
      <c r="F2571">
        <v>96.4</v>
      </c>
      <c r="G2571">
        <v>103.4</v>
      </c>
      <c r="H2571">
        <v>0.30759999999999998</v>
      </c>
      <c r="I2571">
        <v>47.9</v>
      </c>
      <c r="J2571">
        <v>52.8</v>
      </c>
      <c r="K2571">
        <v>21.1</v>
      </c>
      <c r="L2571">
        <v>18.399999999999999</v>
      </c>
      <c r="M2571">
        <v>28.9</v>
      </c>
      <c r="N2571">
        <v>25</v>
      </c>
      <c r="O2571">
        <v>27.1</v>
      </c>
      <c r="P2571">
        <v>37.9</v>
      </c>
      <c r="Q2571">
        <v>51.3</v>
      </c>
      <c r="R2571">
        <v>53.1</v>
      </c>
      <c r="S2571">
        <v>28.3</v>
      </c>
      <c r="T2571">
        <v>35</v>
      </c>
      <c r="U2571">
        <v>73.2</v>
      </c>
      <c r="V2571">
        <v>-9.8000000000000007</v>
      </c>
      <c r="W2571" cm="1">
        <f t="array" ref="W2571">_xlfn.IFS(OR(X2571="N/A",X2571="NA"),0,OR(X2571="R64",X2571="R68"),1,X2571="R32",2,X2571="S16",3,X2571="E8",4,X2571="F4",5,X2571="2ND",6,X2571="Champions",7)</f>
        <v>0</v>
      </c>
      <c r="X2571" t="s">
        <v>425</v>
      </c>
      <c r="Y2571" t="s">
        <v>90</v>
      </c>
      <c r="Z2571">
        <v>2021</v>
      </c>
    </row>
    <row r="2572" spans="1:26" x14ac:dyDescent="0.3">
      <c r="A2572" t="s">
        <v>392</v>
      </c>
      <c r="B2572" t="s">
        <v>76</v>
      </c>
      <c r="C2572">
        <v>19</v>
      </c>
      <c r="D2572">
        <v>6</v>
      </c>
      <c r="E2572" s="1">
        <f t="shared" si="40"/>
        <v>0.31578947368421051</v>
      </c>
      <c r="F2572">
        <v>91.1</v>
      </c>
      <c r="G2572">
        <v>109.5</v>
      </c>
      <c r="H2572">
        <v>0.10829999999999999</v>
      </c>
      <c r="I2572">
        <v>44.4</v>
      </c>
      <c r="J2572">
        <v>55.4</v>
      </c>
      <c r="K2572">
        <v>20.2</v>
      </c>
      <c r="L2572">
        <v>21.9</v>
      </c>
      <c r="M2572">
        <v>29.3</v>
      </c>
      <c r="N2572">
        <v>30.5</v>
      </c>
      <c r="O2572">
        <v>34</v>
      </c>
      <c r="P2572">
        <v>50.1</v>
      </c>
      <c r="Q2572">
        <v>44</v>
      </c>
      <c r="R2572">
        <v>57.7</v>
      </c>
      <c r="S2572">
        <v>30.1</v>
      </c>
      <c r="T2572">
        <v>34.6</v>
      </c>
      <c r="U2572">
        <v>69.599999999999994</v>
      </c>
      <c r="V2572">
        <v>-9.5</v>
      </c>
      <c r="W2572" cm="1">
        <f t="array" ref="W2572">_xlfn.IFS(OR(X2572="N/A",X2572="NA"),0,OR(X2572="R64",X2572="R68"),1,X2572="R32",2,X2572="S16",3,X2572="E8",4,X2572="F4",5,X2572="2ND",6,X2572="Champions",7)</f>
        <v>0</v>
      </c>
      <c r="X2572" t="s">
        <v>425</v>
      </c>
      <c r="Y2572" t="s">
        <v>90</v>
      </c>
      <c r="Z2572">
        <v>2021</v>
      </c>
    </row>
    <row r="2573" spans="1:26" x14ac:dyDescent="0.3">
      <c r="A2573" t="s">
        <v>86</v>
      </c>
      <c r="B2573" t="s">
        <v>29</v>
      </c>
      <c r="C2573">
        <v>21</v>
      </c>
      <c r="D2573">
        <v>6</v>
      </c>
      <c r="E2573" s="1">
        <f t="shared" si="40"/>
        <v>0.2857142857142857</v>
      </c>
      <c r="F2573">
        <v>103.4</v>
      </c>
      <c r="G2573">
        <v>99.6</v>
      </c>
      <c r="H2573">
        <v>0.60750000000000004</v>
      </c>
      <c r="I2573">
        <v>46.7</v>
      </c>
      <c r="J2573">
        <v>53.2</v>
      </c>
      <c r="K2573">
        <v>19.8</v>
      </c>
      <c r="L2573">
        <v>22</v>
      </c>
      <c r="M2573">
        <v>32.200000000000003</v>
      </c>
      <c r="N2573">
        <v>31.3</v>
      </c>
      <c r="O2573">
        <v>27.9</v>
      </c>
      <c r="P2573">
        <v>39</v>
      </c>
      <c r="Q2573">
        <v>47.2</v>
      </c>
      <c r="R2573">
        <v>52</v>
      </c>
      <c r="S2573">
        <v>30.5</v>
      </c>
      <c r="T2573">
        <v>36.799999999999997</v>
      </c>
      <c r="U2573">
        <v>74.5</v>
      </c>
      <c r="V2573">
        <v>-5.5</v>
      </c>
      <c r="W2573" cm="1">
        <f t="array" ref="W2573">_xlfn.IFS(OR(X2573="N/A",X2573="NA"),0,OR(X2573="R64",X2573="R68"),1,X2573="R32",2,X2573="S16",3,X2573="E8",4,X2573="F4",5,X2573="2ND",6,X2573="Champions",7)</f>
        <v>0</v>
      </c>
      <c r="X2573" t="s">
        <v>425</v>
      </c>
      <c r="Y2573" t="s">
        <v>90</v>
      </c>
      <c r="Z2573">
        <v>2021</v>
      </c>
    </row>
    <row r="2574" spans="1:26" x14ac:dyDescent="0.3">
      <c r="A2574" t="s">
        <v>412</v>
      </c>
      <c r="B2574" t="s">
        <v>37</v>
      </c>
      <c r="C2574">
        <v>18</v>
      </c>
      <c r="D2574">
        <v>6</v>
      </c>
      <c r="E2574" s="1">
        <f t="shared" si="40"/>
        <v>0.33333333333333331</v>
      </c>
      <c r="F2574">
        <v>97.6</v>
      </c>
      <c r="G2574">
        <v>112.2</v>
      </c>
      <c r="H2574">
        <v>0.1678</v>
      </c>
      <c r="I2574">
        <v>46.3</v>
      </c>
      <c r="J2574">
        <v>58.9</v>
      </c>
      <c r="K2574">
        <v>19</v>
      </c>
      <c r="L2574">
        <v>17.899999999999999</v>
      </c>
      <c r="M2574">
        <v>17.8</v>
      </c>
      <c r="N2574">
        <v>30.8</v>
      </c>
      <c r="O2574">
        <v>33.9</v>
      </c>
      <c r="P2574">
        <v>23.3</v>
      </c>
      <c r="Q2574">
        <v>43.6</v>
      </c>
      <c r="R2574">
        <v>60.6</v>
      </c>
      <c r="S2574">
        <v>33.799999999999997</v>
      </c>
      <c r="T2574">
        <v>37.6</v>
      </c>
      <c r="U2574">
        <v>71.3</v>
      </c>
      <c r="V2574">
        <v>-9.4</v>
      </c>
      <c r="W2574" cm="1">
        <f t="array" ref="W2574">_xlfn.IFS(OR(X2574="N/A",X2574="NA"),0,OR(X2574="R64",X2574="R68"),1,X2574="R32",2,X2574="S16",3,X2574="E8",4,X2574="F4",5,X2574="2ND",6,X2574="Champions",7)</f>
        <v>0</v>
      </c>
      <c r="X2574" t="s">
        <v>425</v>
      </c>
      <c r="Y2574" t="s">
        <v>90</v>
      </c>
      <c r="Z2574">
        <v>2021</v>
      </c>
    </row>
    <row r="2575" spans="1:26" x14ac:dyDescent="0.3">
      <c r="A2575" t="s">
        <v>109</v>
      </c>
      <c r="B2575" t="s">
        <v>26</v>
      </c>
      <c r="C2575">
        <v>21</v>
      </c>
      <c r="D2575">
        <v>6</v>
      </c>
      <c r="E2575" s="1">
        <f t="shared" si="40"/>
        <v>0.2857142857142857</v>
      </c>
      <c r="F2575">
        <v>102</v>
      </c>
      <c r="G2575">
        <v>100.7</v>
      </c>
      <c r="H2575">
        <v>0.53859999999999997</v>
      </c>
      <c r="I2575">
        <v>49</v>
      </c>
      <c r="J2575">
        <v>54.5</v>
      </c>
      <c r="K2575">
        <v>20</v>
      </c>
      <c r="L2575">
        <v>17.899999999999999</v>
      </c>
      <c r="M2575">
        <v>26.2</v>
      </c>
      <c r="N2575">
        <v>25.9</v>
      </c>
      <c r="O2575">
        <v>28.5</v>
      </c>
      <c r="P2575">
        <v>32.1</v>
      </c>
      <c r="Q2575">
        <v>45.9</v>
      </c>
      <c r="R2575">
        <v>52.8</v>
      </c>
      <c r="S2575">
        <v>35.1</v>
      </c>
      <c r="T2575">
        <v>38.299999999999997</v>
      </c>
      <c r="U2575">
        <v>66.8</v>
      </c>
      <c r="V2575">
        <v>-7.1</v>
      </c>
      <c r="W2575" cm="1">
        <f t="array" ref="W2575">_xlfn.IFS(OR(X2575="N/A",X2575="NA"),0,OR(X2575="R64",X2575="R68"),1,X2575="R32",2,X2575="S16",3,X2575="E8",4,X2575="F4",5,X2575="2ND",6,X2575="Champions",7)</f>
        <v>0</v>
      </c>
      <c r="X2575" t="s">
        <v>425</v>
      </c>
      <c r="Y2575" t="s">
        <v>90</v>
      </c>
      <c r="Z2575">
        <v>2021</v>
      </c>
    </row>
    <row r="2576" spans="1:26" x14ac:dyDescent="0.3">
      <c r="A2576" t="s">
        <v>169</v>
      </c>
      <c r="B2576" t="s">
        <v>164</v>
      </c>
      <c r="C2576">
        <v>22</v>
      </c>
      <c r="D2576">
        <v>6</v>
      </c>
      <c r="E2576" s="1">
        <f t="shared" si="40"/>
        <v>0.27272727272727271</v>
      </c>
      <c r="F2576">
        <v>96.7</v>
      </c>
      <c r="G2576">
        <v>112.6</v>
      </c>
      <c r="H2576">
        <v>0.14680000000000001</v>
      </c>
      <c r="I2576">
        <v>48</v>
      </c>
      <c r="J2576">
        <v>58.2</v>
      </c>
      <c r="K2576">
        <v>17.899999999999999</v>
      </c>
      <c r="L2576">
        <v>18.399999999999999</v>
      </c>
      <c r="M2576">
        <v>23.8</v>
      </c>
      <c r="N2576">
        <v>27.9</v>
      </c>
      <c r="O2576">
        <v>30.4</v>
      </c>
      <c r="P2576">
        <v>33.200000000000003</v>
      </c>
      <c r="Q2576">
        <v>45.8</v>
      </c>
      <c r="R2576">
        <v>60.4</v>
      </c>
      <c r="S2576">
        <v>35</v>
      </c>
      <c r="T2576">
        <v>37</v>
      </c>
      <c r="U2576">
        <v>64.2</v>
      </c>
      <c r="V2576">
        <v>-11.7</v>
      </c>
      <c r="W2576" cm="1">
        <f t="array" ref="W2576">_xlfn.IFS(OR(X2576="N/A",X2576="NA"),0,OR(X2576="R64",X2576="R68"),1,X2576="R32",2,X2576="S16",3,X2576="E8",4,X2576="F4",5,X2576="2ND",6,X2576="Champions",7)</f>
        <v>0</v>
      </c>
      <c r="X2576" t="s">
        <v>425</v>
      </c>
      <c r="Y2576" t="s">
        <v>90</v>
      </c>
      <c r="Z2576">
        <v>2021</v>
      </c>
    </row>
    <row r="2577" spans="1:26" x14ac:dyDescent="0.3">
      <c r="A2577" t="s">
        <v>287</v>
      </c>
      <c r="B2577" t="s">
        <v>55</v>
      </c>
      <c r="C2577">
        <v>20</v>
      </c>
      <c r="D2577">
        <v>6</v>
      </c>
      <c r="E2577" s="1">
        <f t="shared" si="40"/>
        <v>0.3</v>
      </c>
      <c r="F2577">
        <v>93.3</v>
      </c>
      <c r="G2577">
        <v>102.7</v>
      </c>
      <c r="H2577">
        <v>0.24929999999999999</v>
      </c>
      <c r="I2577">
        <v>43.9</v>
      </c>
      <c r="J2577">
        <v>53.1</v>
      </c>
      <c r="K2577">
        <v>21.7</v>
      </c>
      <c r="L2577">
        <v>19.8</v>
      </c>
      <c r="M2577">
        <v>31.3</v>
      </c>
      <c r="N2577">
        <v>30.6</v>
      </c>
      <c r="O2577">
        <v>32.9</v>
      </c>
      <c r="P2577">
        <v>35.700000000000003</v>
      </c>
      <c r="Q2577">
        <v>45.5</v>
      </c>
      <c r="R2577">
        <v>53.6</v>
      </c>
      <c r="S2577">
        <v>26.8</v>
      </c>
      <c r="T2577">
        <v>34.9</v>
      </c>
      <c r="U2577">
        <v>67.400000000000006</v>
      </c>
      <c r="V2577">
        <v>-11.2</v>
      </c>
      <c r="W2577" cm="1">
        <f t="array" ref="W2577">_xlfn.IFS(OR(X2577="N/A",X2577="NA"),0,OR(X2577="R64",X2577="R68"),1,X2577="R32",2,X2577="S16",3,X2577="E8",4,X2577="F4",5,X2577="2ND",6,X2577="Champions",7)</f>
        <v>0</v>
      </c>
      <c r="X2577" t="s">
        <v>425</v>
      </c>
      <c r="Y2577" t="s">
        <v>90</v>
      </c>
      <c r="Z2577">
        <v>2021</v>
      </c>
    </row>
    <row r="2578" spans="1:26" x14ac:dyDescent="0.3">
      <c r="A2578" t="s">
        <v>301</v>
      </c>
      <c r="B2578" t="s">
        <v>77</v>
      </c>
      <c r="C2578">
        <v>22</v>
      </c>
      <c r="D2578">
        <v>6</v>
      </c>
      <c r="E2578" s="1">
        <f t="shared" si="40"/>
        <v>0.27272727272727271</v>
      </c>
      <c r="F2578">
        <v>94.7</v>
      </c>
      <c r="G2578">
        <v>107.2</v>
      </c>
      <c r="H2578">
        <v>0.19409999999999999</v>
      </c>
      <c r="I2578">
        <v>47.9</v>
      </c>
      <c r="J2578">
        <v>51.5</v>
      </c>
      <c r="K2578">
        <v>20.2</v>
      </c>
      <c r="L2578">
        <v>18.600000000000001</v>
      </c>
      <c r="M2578">
        <v>28.8</v>
      </c>
      <c r="N2578">
        <v>28.6</v>
      </c>
      <c r="O2578">
        <v>33.700000000000003</v>
      </c>
      <c r="P2578">
        <v>29.4</v>
      </c>
      <c r="Q2578">
        <v>48.6</v>
      </c>
      <c r="R2578">
        <v>54.3</v>
      </c>
      <c r="S2578">
        <v>30.9</v>
      </c>
      <c r="T2578">
        <v>31.3</v>
      </c>
      <c r="U2578">
        <v>68.900000000000006</v>
      </c>
      <c r="V2578">
        <v>-13</v>
      </c>
      <c r="W2578" cm="1">
        <f t="array" ref="W2578">_xlfn.IFS(OR(X2578="N/A",X2578="NA"),0,OR(X2578="R64",X2578="R68"),1,X2578="R32",2,X2578="S16",3,X2578="E8",4,X2578="F4",5,X2578="2ND",6,X2578="Champions",7)</f>
        <v>0</v>
      </c>
      <c r="X2578" t="s">
        <v>425</v>
      </c>
      <c r="Y2578" t="s">
        <v>90</v>
      </c>
      <c r="Z2578">
        <v>2021</v>
      </c>
    </row>
    <row r="2579" spans="1:26" x14ac:dyDescent="0.3">
      <c r="A2579" t="s">
        <v>247</v>
      </c>
      <c r="B2579" t="s">
        <v>69</v>
      </c>
      <c r="C2579">
        <v>23</v>
      </c>
      <c r="D2579">
        <v>6</v>
      </c>
      <c r="E2579" s="1">
        <f t="shared" si="40"/>
        <v>0.2608695652173913</v>
      </c>
      <c r="F2579">
        <v>99.8</v>
      </c>
      <c r="G2579">
        <v>111.9</v>
      </c>
      <c r="H2579">
        <v>0.2112</v>
      </c>
      <c r="I2579">
        <v>48.3</v>
      </c>
      <c r="J2579">
        <v>53.3</v>
      </c>
      <c r="K2579">
        <v>18.3</v>
      </c>
      <c r="L2579">
        <v>17.2</v>
      </c>
      <c r="M2579">
        <v>26.2</v>
      </c>
      <c r="N2579">
        <v>26.7</v>
      </c>
      <c r="O2579">
        <v>29</v>
      </c>
      <c r="P2579">
        <v>36</v>
      </c>
      <c r="Q2579">
        <v>46.2</v>
      </c>
      <c r="R2579">
        <v>53.6</v>
      </c>
      <c r="S2579">
        <v>35.299999999999997</v>
      </c>
      <c r="T2579">
        <v>35.299999999999997</v>
      </c>
      <c r="U2579">
        <v>67.900000000000006</v>
      </c>
      <c r="V2579">
        <v>-14.1</v>
      </c>
      <c r="W2579" cm="1">
        <f t="array" ref="W2579">_xlfn.IFS(OR(X2579="N/A",X2579="NA"),0,OR(X2579="R64",X2579="R68"),1,X2579="R32",2,X2579="S16",3,X2579="E8",4,X2579="F4",5,X2579="2ND",6,X2579="Champions",7)</f>
        <v>0</v>
      </c>
      <c r="X2579" t="s">
        <v>425</v>
      </c>
      <c r="Y2579" t="s">
        <v>90</v>
      </c>
      <c r="Z2579">
        <v>2021</v>
      </c>
    </row>
    <row r="2580" spans="1:26" x14ac:dyDescent="0.3">
      <c r="A2580" t="s">
        <v>370</v>
      </c>
      <c r="B2580" t="s">
        <v>61</v>
      </c>
      <c r="C2580">
        <v>24</v>
      </c>
      <c r="D2580">
        <v>6</v>
      </c>
      <c r="E2580" s="1">
        <f t="shared" si="40"/>
        <v>0.25</v>
      </c>
      <c r="F2580">
        <v>91.2</v>
      </c>
      <c r="G2580">
        <v>111.9</v>
      </c>
      <c r="H2580">
        <v>8.72E-2</v>
      </c>
      <c r="I2580">
        <v>48.7</v>
      </c>
      <c r="J2580">
        <v>54.1</v>
      </c>
      <c r="K2580">
        <v>22.6</v>
      </c>
      <c r="L2580">
        <v>18.600000000000001</v>
      </c>
      <c r="M2580">
        <v>25.7</v>
      </c>
      <c r="N2580">
        <v>31.2</v>
      </c>
      <c r="O2580">
        <v>28.1</v>
      </c>
      <c r="P2580">
        <v>28.2</v>
      </c>
      <c r="Q2580">
        <v>47.9</v>
      </c>
      <c r="R2580">
        <v>55.7</v>
      </c>
      <c r="S2580">
        <v>33.299999999999997</v>
      </c>
      <c r="T2580">
        <v>34.299999999999997</v>
      </c>
      <c r="U2580">
        <v>72.7</v>
      </c>
      <c r="V2580">
        <v>-15</v>
      </c>
      <c r="W2580" cm="1">
        <f t="array" ref="W2580">_xlfn.IFS(OR(X2580="N/A",X2580="NA"),0,OR(X2580="R64",X2580="R68"),1,X2580="R32",2,X2580="S16",3,X2580="E8",4,X2580="F4",5,X2580="2ND",6,X2580="Champions",7)</f>
        <v>0</v>
      </c>
      <c r="X2580" t="s">
        <v>425</v>
      </c>
      <c r="Y2580" t="s">
        <v>90</v>
      </c>
      <c r="Z2580">
        <v>2021</v>
      </c>
    </row>
    <row r="2581" spans="1:26" x14ac:dyDescent="0.3">
      <c r="A2581" t="s">
        <v>240</v>
      </c>
      <c r="B2581" t="s">
        <v>69</v>
      </c>
      <c r="C2581">
        <v>13</v>
      </c>
      <c r="D2581">
        <v>7</v>
      </c>
      <c r="E2581" s="1">
        <f t="shared" si="40"/>
        <v>0.53846153846153844</v>
      </c>
      <c r="F2581">
        <v>98.5</v>
      </c>
      <c r="G2581">
        <v>106.8</v>
      </c>
      <c r="H2581">
        <v>0.28349999999999997</v>
      </c>
      <c r="I2581">
        <v>47</v>
      </c>
      <c r="J2581">
        <v>50.5</v>
      </c>
      <c r="K2581">
        <v>16.8</v>
      </c>
      <c r="L2581">
        <v>20.2</v>
      </c>
      <c r="M2581">
        <v>26.6</v>
      </c>
      <c r="N2581">
        <v>26.8</v>
      </c>
      <c r="O2581">
        <v>31.6</v>
      </c>
      <c r="P2581">
        <v>31.6</v>
      </c>
      <c r="Q2581">
        <v>48.8</v>
      </c>
      <c r="R2581">
        <v>50.3</v>
      </c>
      <c r="S2581">
        <v>29.7</v>
      </c>
      <c r="T2581">
        <v>34.1</v>
      </c>
      <c r="U2581">
        <v>70.8</v>
      </c>
      <c r="V2581">
        <v>-4.8</v>
      </c>
      <c r="W2581" cm="1">
        <f t="array" ref="W2581">_xlfn.IFS(OR(X2581="N/A",X2581="NA"),0,OR(X2581="R64",X2581="R68"),1,X2581="R32",2,X2581="S16",3,X2581="E8",4,X2581="F4",5,X2581="2ND",6,X2581="Champions",7)</f>
        <v>0</v>
      </c>
      <c r="X2581" t="s">
        <v>425</v>
      </c>
      <c r="Y2581" t="s">
        <v>90</v>
      </c>
      <c r="Z2581">
        <v>2021</v>
      </c>
    </row>
    <row r="2582" spans="1:26" x14ac:dyDescent="0.3">
      <c r="A2582" t="s">
        <v>198</v>
      </c>
      <c r="B2582" t="s">
        <v>53</v>
      </c>
      <c r="C2582">
        <v>14</v>
      </c>
      <c r="D2582">
        <v>7</v>
      </c>
      <c r="E2582" s="1">
        <f t="shared" si="40"/>
        <v>0.5</v>
      </c>
      <c r="F2582">
        <v>98</v>
      </c>
      <c r="G2582">
        <v>100.8</v>
      </c>
      <c r="H2582">
        <v>0.4194</v>
      </c>
      <c r="I2582">
        <v>49.5</v>
      </c>
      <c r="J2582">
        <v>48.1</v>
      </c>
      <c r="K2582">
        <v>21</v>
      </c>
      <c r="L2582">
        <v>17.2</v>
      </c>
      <c r="M2582">
        <v>27.9</v>
      </c>
      <c r="N2582">
        <v>26.2</v>
      </c>
      <c r="O2582">
        <v>38.799999999999997</v>
      </c>
      <c r="P2582">
        <v>32.4</v>
      </c>
      <c r="Q2582">
        <v>51</v>
      </c>
      <c r="R2582">
        <v>46.7</v>
      </c>
      <c r="S2582">
        <v>31.4</v>
      </c>
      <c r="T2582">
        <v>34</v>
      </c>
      <c r="U2582">
        <v>66.900000000000006</v>
      </c>
      <c r="V2582">
        <v>-6.6</v>
      </c>
      <c r="W2582" cm="1">
        <f t="array" ref="W2582">_xlfn.IFS(OR(X2582="N/A",X2582="NA"),0,OR(X2582="R64",X2582="R68"),1,X2582="R32",2,X2582="S16",3,X2582="E8",4,X2582="F4",5,X2582="2ND",6,X2582="Champions",7)</f>
        <v>0</v>
      </c>
      <c r="X2582" t="s">
        <v>425</v>
      </c>
      <c r="Y2582" t="s">
        <v>90</v>
      </c>
      <c r="Z2582">
        <v>2021</v>
      </c>
    </row>
    <row r="2583" spans="1:26" x14ac:dyDescent="0.3">
      <c r="A2583" t="s">
        <v>120</v>
      </c>
      <c r="B2583" t="s">
        <v>112</v>
      </c>
      <c r="C2583">
        <v>16</v>
      </c>
      <c r="D2583">
        <v>7</v>
      </c>
      <c r="E2583" s="1">
        <f t="shared" si="40"/>
        <v>0.4375</v>
      </c>
      <c r="F2583">
        <v>98.6</v>
      </c>
      <c r="G2583">
        <v>103.2</v>
      </c>
      <c r="H2583">
        <v>0.37080000000000002</v>
      </c>
      <c r="I2583">
        <v>50.5</v>
      </c>
      <c r="J2583">
        <v>51.3</v>
      </c>
      <c r="K2583">
        <v>18</v>
      </c>
      <c r="L2583">
        <v>20.9</v>
      </c>
      <c r="M2583">
        <v>22.3</v>
      </c>
      <c r="N2583">
        <v>27.3</v>
      </c>
      <c r="O2583">
        <v>34.1</v>
      </c>
      <c r="P2583">
        <v>29.3</v>
      </c>
      <c r="Q2583">
        <v>50.5</v>
      </c>
      <c r="R2583">
        <v>51.1</v>
      </c>
      <c r="S2583">
        <v>33.700000000000003</v>
      </c>
      <c r="T2583">
        <v>34.5</v>
      </c>
      <c r="U2583">
        <v>69.5</v>
      </c>
      <c r="V2583">
        <v>-7.4</v>
      </c>
      <c r="W2583" cm="1">
        <f t="array" ref="W2583">_xlfn.IFS(OR(X2583="N/A",X2583="NA"),0,OR(X2583="R64",X2583="R68"),1,X2583="R32",2,X2583="S16",3,X2583="E8",4,X2583="F4",5,X2583="2ND",6,X2583="Champions",7)</f>
        <v>0</v>
      </c>
      <c r="X2583" t="s">
        <v>425</v>
      </c>
      <c r="Y2583" t="s">
        <v>90</v>
      </c>
      <c r="Z2583">
        <v>2021</v>
      </c>
    </row>
    <row r="2584" spans="1:26" x14ac:dyDescent="0.3">
      <c r="A2584" t="s">
        <v>426</v>
      </c>
      <c r="B2584" t="s">
        <v>48</v>
      </c>
      <c r="C2584">
        <v>14</v>
      </c>
      <c r="D2584">
        <v>7</v>
      </c>
      <c r="E2584" s="1">
        <f t="shared" si="40"/>
        <v>0.5</v>
      </c>
      <c r="F2584">
        <v>100.7</v>
      </c>
      <c r="G2584">
        <v>109.2</v>
      </c>
      <c r="H2584">
        <v>0.28370000000000001</v>
      </c>
      <c r="I2584">
        <v>55</v>
      </c>
      <c r="J2584">
        <v>54.5</v>
      </c>
      <c r="K2584">
        <v>19.600000000000001</v>
      </c>
      <c r="L2584">
        <v>18.399999999999999</v>
      </c>
      <c r="M2584">
        <v>16.7</v>
      </c>
      <c r="N2584">
        <v>31.7</v>
      </c>
      <c r="O2584">
        <v>20.8</v>
      </c>
      <c r="P2584">
        <v>22.4</v>
      </c>
      <c r="Q2584">
        <v>54.6</v>
      </c>
      <c r="R2584">
        <v>53.3</v>
      </c>
      <c r="S2584">
        <v>37</v>
      </c>
      <c r="T2584">
        <v>38</v>
      </c>
      <c r="U2584">
        <v>69.2</v>
      </c>
      <c r="V2584">
        <v>-6.9</v>
      </c>
      <c r="W2584" cm="1">
        <f t="array" ref="W2584">_xlfn.IFS(OR(X2584="N/A",X2584="NA"),0,OR(X2584="R64",X2584="R68"),1,X2584="R32",2,X2584="S16",3,X2584="E8",4,X2584="F4",5,X2584="2ND",6,X2584="Champions",7)</f>
        <v>0</v>
      </c>
      <c r="X2584" t="s">
        <v>425</v>
      </c>
      <c r="Y2584" t="s">
        <v>90</v>
      </c>
      <c r="Z2584">
        <v>2021</v>
      </c>
    </row>
    <row r="2585" spans="1:26" x14ac:dyDescent="0.3">
      <c r="A2585" t="s">
        <v>204</v>
      </c>
      <c r="B2585" t="s">
        <v>53</v>
      </c>
      <c r="C2585">
        <v>16</v>
      </c>
      <c r="D2585">
        <v>7</v>
      </c>
      <c r="E2585" s="1">
        <f t="shared" si="40"/>
        <v>0.4375</v>
      </c>
      <c r="F2585">
        <v>101.6</v>
      </c>
      <c r="G2585">
        <v>109.8</v>
      </c>
      <c r="H2585">
        <v>0.29089999999999999</v>
      </c>
      <c r="I2585">
        <v>48.6</v>
      </c>
      <c r="J2585">
        <v>51.6</v>
      </c>
      <c r="K2585">
        <v>16.100000000000001</v>
      </c>
      <c r="L2585">
        <v>18.899999999999999</v>
      </c>
      <c r="M2585">
        <v>26.5</v>
      </c>
      <c r="N2585">
        <v>31.5</v>
      </c>
      <c r="O2585">
        <v>37.1</v>
      </c>
      <c r="P2585">
        <v>31.7</v>
      </c>
      <c r="Q2585">
        <v>47.2</v>
      </c>
      <c r="R2585">
        <v>53.9</v>
      </c>
      <c r="S2585">
        <v>34</v>
      </c>
      <c r="T2585">
        <v>30.9</v>
      </c>
      <c r="U2585">
        <v>69.900000000000006</v>
      </c>
      <c r="V2585">
        <v>-8</v>
      </c>
      <c r="W2585" cm="1">
        <f t="array" ref="W2585">_xlfn.IFS(OR(X2585="N/A",X2585="NA"),0,OR(X2585="R64",X2585="R68"),1,X2585="R32",2,X2585="S16",3,X2585="E8",4,X2585="F4",5,X2585="2ND",6,X2585="Champions",7)</f>
        <v>0</v>
      </c>
      <c r="X2585" t="s">
        <v>425</v>
      </c>
      <c r="Y2585" t="s">
        <v>90</v>
      </c>
      <c r="Z2585">
        <v>2021</v>
      </c>
    </row>
    <row r="2586" spans="1:26" x14ac:dyDescent="0.3">
      <c r="A2586" t="s">
        <v>205</v>
      </c>
      <c r="B2586" t="s">
        <v>53</v>
      </c>
      <c r="C2586">
        <v>17</v>
      </c>
      <c r="D2586">
        <v>7</v>
      </c>
      <c r="E2586" s="1">
        <f t="shared" si="40"/>
        <v>0.41176470588235292</v>
      </c>
      <c r="F2586">
        <v>94.8</v>
      </c>
      <c r="G2586">
        <v>105.7</v>
      </c>
      <c r="H2586">
        <v>0.22239999999999999</v>
      </c>
      <c r="I2586">
        <v>46.1</v>
      </c>
      <c r="J2586">
        <v>51</v>
      </c>
      <c r="K2586">
        <v>20.2</v>
      </c>
      <c r="L2586">
        <v>16.899999999999999</v>
      </c>
      <c r="M2586">
        <v>28.6</v>
      </c>
      <c r="N2586">
        <v>31.8</v>
      </c>
      <c r="O2586">
        <v>32</v>
      </c>
      <c r="P2586">
        <v>23.6</v>
      </c>
      <c r="Q2586">
        <v>47.9</v>
      </c>
      <c r="R2586">
        <v>52.1</v>
      </c>
      <c r="S2586">
        <v>28.7</v>
      </c>
      <c r="T2586">
        <v>32.6</v>
      </c>
      <c r="U2586">
        <v>68.2</v>
      </c>
      <c r="V2586">
        <v>-7</v>
      </c>
      <c r="W2586" cm="1">
        <f t="array" ref="W2586">_xlfn.IFS(OR(X2586="N/A",X2586="NA"),0,OR(X2586="R64",X2586="R68"),1,X2586="R32",2,X2586="S16",3,X2586="E8",4,X2586="F4",5,X2586="2ND",6,X2586="Champions",7)</f>
        <v>0</v>
      </c>
      <c r="X2586" t="s">
        <v>425</v>
      </c>
      <c r="Y2586" t="s">
        <v>90</v>
      </c>
      <c r="Z2586">
        <v>2021</v>
      </c>
    </row>
    <row r="2587" spans="1:26" x14ac:dyDescent="0.3">
      <c r="A2587" t="s">
        <v>328</v>
      </c>
      <c r="B2587" t="s">
        <v>67</v>
      </c>
      <c r="C2587">
        <v>18</v>
      </c>
      <c r="D2587">
        <v>7</v>
      </c>
      <c r="E2587" s="1">
        <f t="shared" si="40"/>
        <v>0.3888888888888889</v>
      </c>
      <c r="F2587">
        <v>101.4</v>
      </c>
      <c r="G2587">
        <v>107.9</v>
      </c>
      <c r="H2587">
        <v>0.32790000000000002</v>
      </c>
      <c r="I2587">
        <v>49.7</v>
      </c>
      <c r="J2587">
        <v>53.7</v>
      </c>
      <c r="K2587">
        <v>18.3</v>
      </c>
      <c r="L2587">
        <v>15.2</v>
      </c>
      <c r="M2587">
        <v>29.2</v>
      </c>
      <c r="N2587">
        <v>25.9</v>
      </c>
      <c r="O2587">
        <v>28.7</v>
      </c>
      <c r="P2587">
        <v>29.9</v>
      </c>
      <c r="Q2587">
        <v>50.9</v>
      </c>
      <c r="R2587">
        <v>53.4</v>
      </c>
      <c r="S2587">
        <v>31.9</v>
      </c>
      <c r="T2587">
        <v>36.200000000000003</v>
      </c>
      <c r="U2587">
        <v>65.400000000000006</v>
      </c>
      <c r="V2587">
        <v>-7.8</v>
      </c>
      <c r="W2587" cm="1">
        <f t="array" ref="W2587">_xlfn.IFS(OR(X2587="N/A",X2587="NA"),0,OR(X2587="R64",X2587="R68"),1,X2587="R32",2,X2587="S16",3,X2587="E8",4,X2587="F4",5,X2587="2ND",6,X2587="Champions",7)</f>
        <v>0</v>
      </c>
      <c r="X2587" t="s">
        <v>425</v>
      </c>
      <c r="Y2587" t="s">
        <v>90</v>
      </c>
      <c r="Z2587">
        <v>2021</v>
      </c>
    </row>
    <row r="2588" spans="1:26" x14ac:dyDescent="0.3">
      <c r="A2588" t="s">
        <v>138</v>
      </c>
      <c r="B2588" t="s">
        <v>112</v>
      </c>
      <c r="C2588">
        <v>19</v>
      </c>
      <c r="D2588">
        <v>7</v>
      </c>
      <c r="E2588" s="1">
        <f t="shared" si="40"/>
        <v>0.36842105263157893</v>
      </c>
      <c r="F2588">
        <v>94.1</v>
      </c>
      <c r="G2588">
        <v>107.2</v>
      </c>
      <c r="H2588">
        <v>0.18229999999999999</v>
      </c>
      <c r="I2588">
        <v>45.9</v>
      </c>
      <c r="J2588">
        <v>52.3</v>
      </c>
      <c r="K2588">
        <v>16.2</v>
      </c>
      <c r="L2588">
        <v>20.9</v>
      </c>
      <c r="M2588">
        <v>24.1</v>
      </c>
      <c r="N2588">
        <v>29.2</v>
      </c>
      <c r="O2588">
        <v>34.200000000000003</v>
      </c>
      <c r="P2588">
        <v>29.4</v>
      </c>
      <c r="Q2588">
        <v>46</v>
      </c>
      <c r="R2588">
        <v>53.8</v>
      </c>
      <c r="S2588">
        <v>30.5</v>
      </c>
      <c r="T2588">
        <v>33.200000000000003</v>
      </c>
      <c r="U2588">
        <v>68</v>
      </c>
      <c r="V2588">
        <v>-9.8000000000000007</v>
      </c>
      <c r="W2588" cm="1">
        <f t="array" ref="W2588">_xlfn.IFS(OR(X2588="N/A",X2588="NA"),0,OR(X2588="R64",X2588="R68"),1,X2588="R32",2,X2588="S16",3,X2588="E8",4,X2588="F4",5,X2588="2ND",6,X2588="Champions",7)</f>
        <v>0</v>
      </c>
      <c r="X2588" t="s">
        <v>425</v>
      </c>
      <c r="Y2588" t="s">
        <v>90</v>
      </c>
      <c r="Z2588">
        <v>2021</v>
      </c>
    </row>
    <row r="2589" spans="1:26" x14ac:dyDescent="0.3">
      <c r="A2589" t="s">
        <v>250</v>
      </c>
      <c r="B2589" t="s">
        <v>69</v>
      </c>
      <c r="C2589">
        <v>20</v>
      </c>
      <c r="D2589">
        <v>7</v>
      </c>
      <c r="E2589" s="1">
        <f t="shared" si="40"/>
        <v>0.35</v>
      </c>
      <c r="F2589">
        <v>91.7</v>
      </c>
      <c r="G2589">
        <v>102.4</v>
      </c>
      <c r="H2589">
        <v>0.21809999999999999</v>
      </c>
      <c r="I2589">
        <v>42.6</v>
      </c>
      <c r="J2589">
        <v>47.9</v>
      </c>
      <c r="K2589">
        <v>20.7</v>
      </c>
      <c r="L2589">
        <v>22.3</v>
      </c>
      <c r="M2589">
        <v>31.9</v>
      </c>
      <c r="N2589">
        <v>29.5</v>
      </c>
      <c r="O2589">
        <v>35.5</v>
      </c>
      <c r="P2589">
        <v>46.8</v>
      </c>
      <c r="Q2589">
        <v>44.4</v>
      </c>
      <c r="R2589">
        <v>47.1</v>
      </c>
      <c r="S2589">
        <v>26.4</v>
      </c>
      <c r="T2589">
        <v>33</v>
      </c>
      <c r="U2589">
        <v>67.099999999999994</v>
      </c>
      <c r="V2589">
        <v>-11.2</v>
      </c>
      <c r="W2589" cm="1">
        <f t="array" ref="W2589">_xlfn.IFS(OR(X2589="N/A",X2589="NA"),0,OR(X2589="R64",X2589="R68"),1,X2589="R32",2,X2589="S16",3,X2589="E8",4,X2589="F4",5,X2589="2ND",6,X2589="Champions",7)</f>
        <v>0</v>
      </c>
      <c r="X2589" t="s">
        <v>425</v>
      </c>
      <c r="Y2589" t="s">
        <v>90</v>
      </c>
      <c r="Z2589">
        <v>2021</v>
      </c>
    </row>
    <row r="2590" spans="1:26" x14ac:dyDescent="0.3">
      <c r="A2590" t="s">
        <v>182</v>
      </c>
      <c r="B2590" t="s">
        <v>74</v>
      </c>
      <c r="C2590">
        <v>21</v>
      </c>
      <c r="D2590">
        <v>7</v>
      </c>
      <c r="E2590" s="1">
        <f t="shared" si="40"/>
        <v>0.33333333333333331</v>
      </c>
      <c r="F2590">
        <v>91.2</v>
      </c>
      <c r="G2590">
        <v>106.6</v>
      </c>
      <c r="H2590">
        <v>0.14299999999999999</v>
      </c>
      <c r="I2590">
        <v>46.7</v>
      </c>
      <c r="J2590">
        <v>52.9</v>
      </c>
      <c r="K2590">
        <v>23.1</v>
      </c>
      <c r="L2590">
        <v>22.2</v>
      </c>
      <c r="M2590">
        <v>32.6</v>
      </c>
      <c r="N2590">
        <v>28.3</v>
      </c>
      <c r="O2590">
        <v>35.200000000000003</v>
      </c>
      <c r="P2590">
        <v>41.7</v>
      </c>
      <c r="Q2590">
        <v>47.3</v>
      </c>
      <c r="R2590">
        <v>53.3</v>
      </c>
      <c r="S2590">
        <v>30.3</v>
      </c>
      <c r="T2590">
        <v>34.9</v>
      </c>
      <c r="U2590">
        <v>65.599999999999994</v>
      </c>
      <c r="V2590">
        <v>-13.1</v>
      </c>
      <c r="W2590" cm="1">
        <f t="array" ref="W2590">_xlfn.IFS(OR(X2590="N/A",X2590="NA"),0,OR(X2590="R64",X2590="R68"),1,X2590="R32",2,X2590="S16",3,X2590="E8",4,X2590="F4",5,X2590="2ND",6,X2590="Champions",7)</f>
        <v>0</v>
      </c>
      <c r="X2590" t="s">
        <v>425</v>
      </c>
      <c r="Y2590" t="s">
        <v>90</v>
      </c>
      <c r="Z2590">
        <v>2021</v>
      </c>
    </row>
    <row r="2591" spans="1:26" x14ac:dyDescent="0.3">
      <c r="A2591" t="s">
        <v>387</v>
      </c>
      <c r="B2591" t="s">
        <v>72</v>
      </c>
      <c r="C2591">
        <v>21</v>
      </c>
      <c r="D2591">
        <v>7</v>
      </c>
      <c r="E2591" s="1">
        <f t="shared" si="40"/>
        <v>0.33333333333333331</v>
      </c>
      <c r="F2591">
        <v>97</v>
      </c>
      <c r="G2591">
        <v>109</v>
      </c>
      <c r="H2591">
        <v>0.20660000000000001</v>
      </c>
      <c r="I2591">
        <v>45.8</v>
      </c>
      <c r="J2591">
        <v>54.4</v>
      </c>
      <c r="K2591">
        <v>17.3</v>
      </c>
      <c r="L2591">
        <v>16.100000000000001</v>
      </c>
      <c r="M2591">
        <v>27.9</v>
      </c>
      <c r="N2591">
        <v>23.1</v>
      </c>
      <c r="O2591">
        <v>36.5</v>
      </c>
      <c r="P2591">
        <v>38.799999999999997</v>
      </c>
      <c r="Q2591">
        <v>44.6</v>
      </c>
      <c r="R2591">
        <v>51.8</v>
      </c>
      <c r="S2591">
        <v>31.8</v>
      </c>
      <c r="T2591">
        <v>39.5</v>
      </c>
      <c r="U2591">
        <v>71.8</v>
      </c>
      <c r="V2591">
        <v>-11.6</v>
      </c>
      <c r="W2591" cm="1">
        <f t="array" ref="W2591">_xlfn.IFS(OR(X2591="N/A",X2591="NA"),0,OR(X2591="R64",X2591="R68"),1,X2591="R32",2,X2591="S16",3,X2591="E8",4,X2591="F4",5,X2591="2ND",6,X2591="Champions",7)</f>
        <v>0</v>
      </c>
      <c r="X2591" t="s">
        <v>425</v>
      </c>
      <c r="Y2591" t="s">
        <v>90</v>
      </c>
      <c r="Z2591">
        <v>2021</v>
      </c>
    </row>
    <row r="2592" spans="1:26" x14ac:dyDescent="0.3">
      <c r="A2592" t="s">
        <v>254</v>
      </c>
      <c r="B2592" t="s">
        <v>57</v>
      </c>
      <c r="C2592">
        <v>20</v>
      </c>
      <c r="D2592">
        <v>7</v>
      </c>
      <c r="E2592" s="1">
        <f t="shared" si="40"/>
        <v>0.35</v>
      </c>
      <c r="F2592">
        <v>99.1</v>
      </c>
      <c r="G2592">
        <v>110.5</v>
      </c>
      <c r="H2592">
        <v>0.22259999999999999</v>
      </c>
      <c r="I2592">
        <v>48.7</v>
      </c>
      <c r="J2592">
        <v>54</v>
      </c>
      <c r="K2592">
        <v>17.899999999999999</v>
      </c>
      <c r="L2592">
        <v>18.2</v>
      </c>
      <c r="M2592">
        <v>26.6</v>
      </c>
      <c r="N2592">
        <v>32.200000000000003</v>
      </c>
      <c r="O2592">
        <v>36.200000000000003</v>
      </c>
      <c r="P2592">
        <v>27.5</v>
      </c>
      <c r="Q2592">
        <v>48.8</v>
      </c>
      <c r="R2592">
        <v>53.6</v>
      </c>
      <c r="S2592">
        <v>32.200000000000003</v>
      </c>
      <c r="T2592">
        <v>36.4</v>
      </c>
      <c r="U2592">
        <v>72.3</v>
      </c>
      <c r="V2592">
        <v>-12.4</v>
      </c>
      <c r="W2592" cm="1">
        <f t="array" ref="W2592">_xlfn.IFS(OR(X2592="N/A",X2592="NA"),0,OR(X2592="R64",X2592="R68"),1,X2592="R32",2,X2592="S16",3,X2592="E8",4,X2592="F4",5,X2592="2ND",6,X2592="Champions",7)</f>
        <v>0</v>
      </c>
      <c r="X2592" t="s">
        <v>425</v>
      </c>
      <c r="Y2592" t="s">
        <v>90</v>
      </c>
      <c r="Z2592">
        <v>2021</v>
      </c>
    </row>
    <row r="2593" spans="1:26" x14ac:dyDescent="0.3">
      <c r="A2593" t="s">
        <v>278</v>
      </c>
      <c r="B2593" t="s">
        <v>47</v>
      </c>
      <c r="C2593">
        <v>24</v>
      </c>
      <c r="D2593">
        <v>7</v>
      </c>
      <c r="E2593" s="1">
        <f t="shared" si="40"/>
        <v>0.29166666666666669</v>
      </c>
      <c r="F2593">
        <v>97.8</v>
      </c>
      <c r="G2593">
        <v>103.1</v>
      </c>
      <c r="H2593">
        <v>0.3528</v>
      </c>
      <c r="I2593">
        <v>50.4</v>
      </c>
      <c r="J2593">
        <v>51.6</v>
      </c>
      <c r="K2593">
        <v>19.3</v>
      </c>
      <c r="L2593">
        <v>16.7</v>
      </c>
      <c r="M2593">
        <v>23.7</v>
      </c>
      <c r="N2593">
        <v>26.3</v>
      </c>
      <c r="O2593">
        <v>23.7</v>
      </c>
      <c r="P2593">
        <v>26.7</v>
      </c>
      <c r="Q2593">
        <v>50</v>
      </c>
      <c r="R2593">
        <v>54.7</v>
      </c>
      <c r="S2593">
        <v>34</v>
      </c>
      <c r="T2593">
        <v>31.5</v>
      </c>
      <c r="U2593">
        <v>69.3</v>
      </c>
      <c r="V2593">
        <v>-12.1</v>
      </c>
      <c r="W2593" cm="1">
        <f t="array" ref="W2593">_xlfn.IFS(OR(X2593="N/A",X2593="NA"),0,OR(X2593="R64",X2593="R68"),1,X2593="R32",2,X2593="S16",3,X2593="E8",4,X2593="F4",5,X2593="2ND",6,X2593="Champions",7)</f>
        <v>0</v>
      </c>
      <c r="X2593" t="s">
        <v>425</v>
      </c>
      <c r="Y2593" t="s">
        <v>90</v>
      </c>
      <c r="Z2593">
        <v>2021</v>
      </c>
    </row>
    <row r="2594" spans="1:26" x14ac:dyDescent="0.3">
      <c r="A2594" t="s">
        <v>341</v>
      </c>
      <c r="B2594" t="s">
        <v>58</v>
      </c>
      <c r="C2594">
        <v>26</v>
      </c>
      <c r="D2594">
        <v>7</v>
      </c>
      <c r="E2594" s="1">
        <f t="shared" si="40"/>
        <v>0.26923076923076922</v>
      </c>
      <c r="F2594">
        <v>93.6</v>
      </c>
      <c r="G2594">
        <v>104.3</v>
      </c>
      <c r="H2594">
        <v>0.223</v>
      </c>
      <c r="I2594">
        <v>48.2</v>
      </c>
      <c r="J2594">
        <v>50.4</v>
      </c>
      <c r="K2594">
        <v>19.100000000000001</v>
      </c>
      <c r="L2594">
        <v>21.2</v>
      </c>
      <c r="M2594">
        <v>22.7</v>
      </c>
      <c r="N2594">
        <v>31.9</v>
      </c>
      <c r="O2594">
        <v>25.1</v>
      </c>
      <c r="P2594">
        <v>34</v>
      </c>
      <c r="Q2594">
        <v>46.5</v>
      </c>
      <c r="R2594">
        <v>47.9</v>
      </c>
      <c r="S2594">
        <v>34</v>
      </c>
      <c r="T2594">
        <v>36.5</v>
      </c>
      <c r="U2594">
        <v>67.3</v>
      </c>
      <c r="V2594">
        <v>-16.100000000000001</v>
      </c>
      <c r="W2594" cm="1">
        <f t="array" ref="W2594">_xlfn.IFS(OR(X2594="N/A",X2594="NA"),0,OR(X2594="R64",X2594="R68"),1,X2594="R32",2,X2594="S16",3,X2594="E8",4,X2594="F4",5,X2594="2ND",6,X2594="Champions",7)</f>
        <v>0</v>
      </c>
      <c r="X2594" t="s">
        <v>425</v>
      </c>
      <c r="Y2594" t="s">
        <v>90</v>
      </c>
      <c r="Z2594">
        <v>2021</v>
      </c>
    </row>
    <row r="2595" spans="1:26" x14ac:dyDescent="0.3">
      <c r="A2595" t="s">
        <v>143</v>
      </c>
      <c r="B2595" t="s">
        <v>31</v>
      </c>
      <c r="C2595">
        <v>26</v>
      </c>
      <c r="D2595">
        <v>7</v>
      </c>
      <c r="E2595" s="1">
        <f t="shared" si="40"/>
        <v>0.26923076923076922</v>
      </c>
      <c r="F2595">
        <v>101.5</v>
      </c>
      <c r="G2595">
        <v>93.3</v>
      </c>
      <c r="H2595">
        <v>0.72409999999999997</v>
      </c>
      <c r="I2595">
        <v>48.2</v>
      </c>
      <c r="J2595">
        <v>49.8</v>
      </c>
      <c r="K2595">
        <v>19.7</v>
      </c>
      <c r="L2595">
        <v>18.100000000000001</v>
      </c>
      <c r="M2595">
        <v>23.1</v>
      </c>
      <c r="N2595">
        <v>28.9</v>
      </c>
      <c r="O2595">
        <v>31</v>
      </c>
      <c r="P2595">
        <v>28.4</v>
      </c>
      <c r="Q2595">
        <v>47.1</v>
      </c>
      <c r="R2595">
        <v>52.1</v>
      </c>
      <c r="S2595">
        <v>33.200000000000003</v>
      </c>
      <c r="T2595">
        <v>31.3</v>
      </c>
      <c r="U2595">
        <v>72.099999999999994</v>
      </c>
      <c r="V2595">
        <v>-6.9</v>
      </c>
      <c r="W2595" cm="1">
        <f t="array" ref="W2595">_xlfn.IFS(OR(X2595="N/A",X2595="NA"),0,OR(X2595="R64",X2595="R68"),1,X2595="R32",2,X2595="S16",3,X2595="E8",4,X2595="F4",5,X2595="2ND",6,X2595="Champions",7)</f>
        <v>0</v>
      </c>
      <c r="X2595" t="s">
        <v>425</v>
      </c>
      <c r="Y2595" t="s">
        <v>90</v>
      </c>
      <c r="Z2595">
        <v>2021</v>
      </c>
    </row>
    <row r="2596" spans="1:26" x14ac:dyDescent="0.3">
      <c r="A2596" t="s">
        <v>95</v>
      </c>
      <c r="B2596" t="s">
        <v>45</v>
      </c>
      <c r="C2596">
        <v>15</v>
      </c>
      <c r="D2596">
        <v>8</v>
      </c>
      <c r="E2596" s="1">
        <f t="shared" si="40"/>
        <v>0.53333333333333333</v>
      </c>
      <c r="F2596">
        <v>105.4</v>
      </c>
      <c r="G2596">
        <v>97.8</v>
      </c>
      <c r="H2596">
        <v>0.70369999999999999</v>
      </c>
      <c r="I2596">
        <v>50</v>
      </c>
      <c r="J2596">
        <v>50.9</v>
      </c>
      <c r="K2596">
        <v>16.3</v>
      </c>
      <c r="L2596">
        <v>19.899999999999999</v>
      </c>
      <c r="M2596">
        <v>24.3</v>
      </c>
      <c r="N2596">
        <v>25.6</v>
      </c>
      <c r="O2596">
        <v>34.200000000000003</v>
      </c>
      <c r="P2596">
        <v>33.4</v>
      </c>
      <c r="Q2596">
        <v>50.9</v>
      </c>
      <c r="R2596">
        <v>51</v>
      </c>
      <c r="S2596">
        <v>32.6</v>
      </c>
      <c r="T2596">
        <v>33.799999999999997</v>
      </c>
      <c r="U2596">
        <v>71.7</v>
      </c>
      <c r="V2596">
        <v>-3.5</v>
      </c>
      <c r="W2596" cm="1">
        <f t="array" ref="W2596">_xlfn.IFS(OR(X2596="N/A",X2596="NA"),0,OR(X2596="R64",X2596="R68"),1,X2596="R32",2,X2596="S16",3,X2596="E8",4,X2596="F4",5,X2596="2ND",6,X2596="Champions",7)</f>
        <v>0</v>
      </c>
      <c r="X2596" t="s">
        <v>425</v>
      </c>
      <c r="Y2596" t="s">
        <v>90</v>
      </c>
      <c r="Z2596">
        <v>2021</v>
      </c>
    </row>
    <row r="2597" spans="1:26" x14ac:dyDescent="0.3">
      <c r="A2597" t="s">
        <v>230</v>
      </c>
      <c r="B2597" t="s">
        <v>43</v>
      </c>
      <c r="C2597">
        <v>18</v>
      </c>
      <c r="D2597">
        <v>8</v>
      </c>
      <c r="E2597" s="1">
        <f t="shared" si="40"/>
        <v>0.44444444444444442</v>
      </c>
      <c r="F2597">
        <v>96.6</v>
      </c>
      <c r="G2597">
        <v>106.1</v>
      </c>
      <c r="H2597">
        <v>0.2535</v>
      </c>
      <c r="I2597">
        <v>49</v>
      </c>
      <c r="J2597">
        <v>52.7</v>
      </c>
      <c r="K2597">
        <v>19.100000000000001</v>
      </c>
      <c r="L2597">
        <v>18.899999999999999</v>
      </c>
      <c r="M2597">
        <v>25.2</v>
      </c>
      <c r="N2597">
        <v>25.2</v>
      </c>
      <c r="O2597">
        <v>30.5</v>
      </c>
      <c r="P2597">
        <v>35.1</v>
      </c>
      <c r="Q2597">
        <v>47.3</v>
      </c>
      <c r="R2597">
        <v>56.5</v>
      </c>
      <c r="S2597">
        <v>34.4</v>
      </c>
      <c r="T2597">
        <v>30.5</v>
      </c>
      <c r="U2597">
        <v>72</v>
      </c>
      <c r="V2597">
        <v>-8</v>
      </c>
      <c r="W2597" cm="1">
        <f t="array" ref="W2597">_xlfn.IFS(OR(X2597="N/A",X2597="NA"),0,OR(X2597="R64",X2597="R68"),1,X2597="R32",2,X2597="S16",3,X2597="E8",4,X2597="F4",5,X2597="2ND",6,X2597="Champions",7)</f>
        <v>0</v>
      </c>
      <c r="X2597" t="s">
        <v>425</v>
      </c>
      <c r="Y2597" t="s">
        <v>90</v>
      </c>
      <c r="Z2597">
        <v>2021</v>
      </c>
    </row>
    <row r="2598" spans="1:26" x14ac:dyDescent="0.3">
      <c r="A2598" t="s">
        <v>362</v>
      </c>
      <c r="B2598" t="s">
        <v>29</v>
      </c>
      <c r="C2598">
        <v>18</v>
      </c>
      <c r="D2598">
        <v>8</v>
      </c>
      <c r="E2598" s="1">
        <f t="shared" si="40"/>
        <v>0.44444444444444442</v>
      </c>
      <c r="F2598">
        <v>102.1</v>
      </c>
      <c r="G2598">
        <v>98.7</v>
      </c>
      <c r="H2598">
        <v>0.59430000000000005</v>
      </c>
      <c r="I2598">
        <v>47.7</v>
      </c>
      <c r="J2598">
        <v>53.1</v>
      </c>
      <c r="K2598">
        <v>22.4</v>
      </c>
      <c r="L2598">
        <v>22.7</v>
      </c>
      <c r="M2598">
        <v>32.799999999999997</v>
      </c>
      <c r="N2598">
        <v>30.1</v>
      </c>
      <c r="O2598">
        <v>33.700000000000003</v>
      </c>
      <c r="P2598">
        <v>29.6</v>
      </c>
      <c r="Q2598">
        <v>49.5</v>
      </c>
      <c r="R2598">
        <v>55</v>
      </c>
      <c r="S2598">
        <v>30</v>
      </c>
      <c r="T2598">
        <v>34.1</v>
      </c>
      <c r="U2598">
        <v>65</v>
      </c>
      <c r="V2598">
        <v>-4.0999999999999996</v>
      </c>
      <c r="W2598" cm="1">
        <f t="array" ref="W2598">_xlfn.IFS(OR(X2598="N/A",X2598="NA"),0,OR(X2598="R64",X2598="R68"),1,X2598="R32",2,X2598="S16",3,X2598="E8",4,X2598="F4",5,X2598="2ND",6,X2598="Champions",7)</f>
        <v>0</v>
      </c>
      <c r="X2598" t="s">
        <v>425</v>
      </c>
      <c r="Y2598" t="s">
        <v>90</v>
      </c>
      <c r="Z2598">
        <v>2021</v>
      </c>
    </row>
    <row r="2599" spans="1:26" x14ac:dyDescent="0.3">
      <c r="A2599" t="s">
        <v>121</v>
      </c>
      <c r="B2599" t="s">
        <v>50</v>
      </c>
      <c r="C2599">
        <v>18</v>
      </c>
      <c r="D2599">
        <v>8</v>
      </c>
      <c r="E2599" s="1">
        <f t="shared" si="40"/>
        <v>0.44444444444444442</v>
      </c>
      <c r="F2599">
        <v>98.4</v>
      </c>
      <c r="G2599">
        <v>98.8</v>
      </c>
      <c r="H2599">
        <v>0.48820000000000002</v>
      </c>
      <c r="I2599">
        <v>45.2</v>
      </c>
      <c r="J2599">
        <v>48.9</v>
      </c>
      <c r="K2599">
        <v>18.5</v>
      </c>
      <c r="L2599">
        <v>20.6</v>
      </c>
      <c r="M2599">
        <v>26.9</v>
      </c>
      <c r="N2599">
        <v>27.7</v>
      </c>
      <c r="O2599">
        <v>33.1</v>
      </c>
      <c r="P2599">
        <v>38.299999999999997</v>
      </c>
      <c r="Q2599">
        <v>45.5</v>
      </c>
      <c r="R2599">
        <v>49.7</v>
      </c>
      <c r="S2599">
        <v>29.8</v>
      </c>
      <c r="T2599">
        <v>31.9</v>
      </c>
      <c r="U2599">
        <v>68.3</v>
      </c>
      <c r="V2599">
        <v>-6.2</v>
      </c>
      <c r="W2599" cm="1">
        <f t="array" ref="W2599">_xlfn.IFS(OR(X2599="N/A",X2599="NA"),0,OR(X2599="R64",X2599="R68"),1,X2599="R32",2,X2599="S16",3,X2599="E8",4,X2599="F4",5,X2599="2ND",6,X2599="Champions",7)</f>
        <v>0</v>
      </c>
      <c r="X2599" t="s">
        <v>425</v>
      </c>
      <c r="Y2599" t="s">
        <v>90</v>
      </c>
      <c r="Z2599">
        <v>2021</v>
      </c>
    </row>
    <row r="2600" spans="1:26" x14ac:dyDescent="0.3">
      <c r="A2600" t="s">
        <v>398</v>
      </c>
      <c r="B2600" t="s">
        <v>76</v>
      </c>
      <c r="C2600">
        <v>19</v>
      </c>
      <c r="D2600">
        <v>8</v>
      </c>
      <c r="E2600" s="1">
        <f t="shared" si="40"/>
        <v>0.42105263157894735</v>
      </c>
      <c r="F2600">
        <v>91.3</v>
      </c>
      <c r="G2600">
        <v>104.2</v>
      </c>
      <c r="H2600">
        <v>0.1807</v>
      </c>
      <c r="I2600">
        <v>48</v>
      </c>
      <c r="J2600">
        <v>47.2</v>
      </c>
      <c r="K2600">
        <v>22</v>
      </c>
      <c r="L2600">
        <v>20.7</v>
      </c>
      <c r="M2600">
        <v>29.8</v>
      </c>
      <c r="N2600">
        <v>26.7</v>
      </c>
      <c r="O2600">
        <v>40.5</v>
      </c>
      <c r="P2600">
        <v>40.799999999999997</v>
      </c>
      <c r="Q2600">
        <v>47.8</v>
      </c>
      <c r="R2600">
        <v>46.2</v>
      </c>
      <c r="S2600">
        <v>32.299999999999997</v>
      </c>
      <c r="T2600">
        <v>33</v>
      </c>
      <c r="U2600">
        <v>70.7</v>
      </c>
      <c r="V2600">
        <v>-8.5</v>
      </c>
      <c r="W2600" cm="1">
        <f t="array" ref="W2600">_xlfn.IFS(OR(X2600="N/A",X2600="NA"),0,OR(X2600="R64",X2600="R68"),1,X2600="R32",2,X2600="S16",3,X2600="E8",4,X2600="F4",5,X2600="2ND",6,X2600="Champions",7)</f>
        <v>0</v>
      </c>
      <c r="X2600" t="s">
        <v>425</v>
      </c>
      <c r="Y2600" t="s">
        <v>90</v>
      </c>
      <c r="Z2600">
        <v>2021</v>
      </c>
    </row>
    <row r="2601" spans="1:26" x14ac:dyDescent="0.3">
      <c r="A2601" t="s">
        <v>172</v>
      </c>
      <c r="B2601" t="s">
        <v>164</v>
      </c>
      <c r="C2601">
        <v>18</v>
      </c>
      <c r="D2601">
        <v>8</v>
      </c>
      <c r="E2601" s="1">
        <f t="shared" si="40"/>
        <v>0.44444444444444442</v>
      </c>
      <c r="F2601">
        <v>101.9</v>
      </c>
      <c r="G2601">
        <v>111.3</v>
      </c>
      <c r="H2601">
        <v>0.26469999999999999</v>
      </c>
      <c r="I2601">
        <v>50.6</v>
      </c>
      <c r="J2601">
        <v>55.6</v>
      </c>
      <c r="K2601">
        <v>14.9</v>
      </c>
      <c r="L2601">
        <v>18.8</v>
      </c>
      <c r="M2601">
        <v>24.5</v>
      </c>
      <c r="N2601">
        <v>28</v>
      </c>
      <c r="O2601">
        <v>31.5</v>
      </c>
      <c r="P2601">
        <v>32</v>
      </c>
      <c r="Q2601">
        <v>48</v>
      </c>
      <c r="R2601">
        <v>56</v>
      </c>
      <c r="S2601">
        <v>37.700000000000003</v>
      </c>
      <c r="T2601">
        <v>36.6</v>
      </c>
      <c r="U2601">
        <v>65</v>
      </c>
      <c r="V2601">
        <v>-9.1999999999999993</v>
      </c>
      <c r="W2601" cm="1">
        <f t="array" ref="W2601">_xlfn.IFS(OR(X2601="N/A",X2601="NA"),0,OR(X2601="R64",X2601="R68"),1,X2601="R32",2,X2601="S16",3,X2601="E8",4,X2601="F4",5,X2601="2ND",6,X2601="Champions",7)</f>
        <v>0</v>
      </c>
      <c r="X2601" t="s">
        <v>425</v>
      </c>
      <c r="Y2601" t="s">
        <v>90</v>
      </c>
      <c r="Z2601">
        <v>2021</v>
      </c>
    </row>
    <row r="2602" spans="1:26" x14ac:dyDescent="0.3">
      <c r="A2602" t="s">
        <v>266</v>
      </c>
      <c r="B2602" t="s">
        <v>66</v>
      </c>
      <c r="C2602">
        <v>20</v>
      </c>
      <c r="D2602">
        <v>8</v>
      </c>
      <c r="E2602" s="1">
        <f t="shared" si="40"/>
        <v>0.4</v>
      </c>
      <c r="F2602">
        <v>89.1</v>
      </c>
      <c r="G2602">
        <v>101.5</v>
      </c>
      <c r="H2602">
        <v>0.18260000000000001</v>
      </c>
      <c r="I2602">
        <v>48.6</v>
      </c>
      <c r="J2602">
        <v>47.9</v>
      </c>
      <c r="K2602">
        <v>23.8</v>
      </c>
      <c r="L2602">
        <v>21.4</v>
      </c>
      <c r="M2602">
        <v>30.2</v>
      </c>
      <c r="N2602">
        <v>31.8</v>
      </c>
      <c r="O2602">
        <v>29.8</v>
      </c>
      <c r="P2602">
        <v>33.9</v>
      </c>
      <c r="Q2602">
        <v>49.2</v>
      </c>
      <c r="R2602">
        <v>50.8</v>
      </c>
      <c r="S2602">
        <v>31.4</v>
      </c>
      <c r="T2602">
        <v>28.5</v>
      </c>
      <c r="U2602">
        <v>68.3</v>
      </c>
      <c r="V2602">
        <v>-8.8000000000000007</v>
      </c>
      <c r="W2602" cm="1">
        <f t="array" ref="W2602">_xlfn.IFS(OR(X2602="N/A",X2602="NA"),0,OR(X2602="R64",X2602="R68"),1,X2602="R32",2,X2602="S16",3,X2602="E8",4,X2602="F4",5,X2602="2ND",6,X2602="Champions",7)</f>
        <v>0</v>
      </c>
      <c r="X2602" t="s">
        <v>425</v>
      </c>
      <c r="Y2602" t="s">
        <v>90</v>
      </c>
      <c r="Z2602">
        <v>2021</v>
      </c>
    </row>
    <row r="2603" spans="1:26" x14ac:dyDescent="0.3">
      <c r="A2603" t="s">
        <v>427</v>
      </c>
      <c r="B2603" t="s">
        <v>51</v>
      </c>
      <c r="C2603">
        <v>19</v>
      </c>
      <c r="D2603">
        <v>8</v>
      </c>
      <c r="E2603" s="1">
        <f t="shared" si="40"/>
        <v>0.42105263157894735</v>
      </c>
      <c r="F2603">
        <v>91.6</v>
      </c>
      <c r="G2603">
        <v>106</v>
      </c>
      <c r="H2603">
        <v>0.157</v>
      </c>
      <c r="I2603">
        <v>45.5</v>
      </c>
      <c r="J2603">
        <v>52</v>
      </c>
      <c r="K2603">
        <v>20.9</v>
      </c>
      <c r="L2603">
        <v>19.7</v>
      </c>
      <c r="M2603">
        <v>24.7</v>
      </c>
      <c r="N2603">
        <v>32.6</v>
      </c>
      <c r="O2603">
        <v>35.4</v>
      </c>
      <c r="P2603">
        <v>36.5</v>
      </c>
      <c r="Q2603">
        <v>45.9</v>
      </c>
      <c r="R2603">
        <v>53.9</v>
      </c>
      <c r="S2603">
        <v>29.7</v>
      </c>
      <c r="T2603">
        <v>32.5</v>
      </c>
      <c r="U2603">
        <v>72.900000000000006</v>
      </c>
      <c r="V2603">
        <v>-10.1</v>
      </c>
      <c r="W2603" cm="1">
        <f t="array" ref="W2603">_xlfn.IFS(OR(X2603="N/A",X2603="NA"),0,OR(X2603="R64",X2603="R68"),1,X2603="R32",2,X2603="S16",3,X2603="E8",4,X2603="F4",5,X2603="2ND",6,X2603="Champions",7)</f>
        <v>0</v>
      </c>
      <c r="X2603" t="s">
        <v>425</v>
      </c>
      <c r="Y2603" t="s">
        <v>90</v>
      </c>
      <c r="Z2603">
        <v>2021</v>
      </c>
    </row>
    <row r="2604" spans="1:26" x14ac:dyDescent="0.3">
      <c r="A2604" t="s">
        <v>371</v>
      </c>
      <c r="B2604" t="s">
        <v>61</v>
      </c>
      <c r="C2604">
        <v>19</v>
      </c>
      <c r="D2604">
        <v>8</v>
      </c>
      <c r="E2604" s="1">
        <f t="shared" si="40"/>
        <v>0.42105263157894735</v>
      </c>
      <c r="F2604">
        <v>94.9</v>
      </c>
      <c r="G2604">
        <v>111.5</v>
      </c>
      <c r="H2604">
        <v>0.1348</v>
      </c>
      <c r="I2604">
        <v>50.3</v>
      </c>
      <c r="J2604">
        <v>52.1</v>
      </c>
      <c r="K2604">
        <v>20.6</v>
      </c>
      <c r="L2604">
        <v>18.5</v>
      </c>
      <c r="M2604">
        <v>23</v>
      </c>
      <c r="N2604">
        <v>32.200000000000003</v>
      </c>
      <c r="O2604">
        <v>32.5</v>
      </c>
      <c r="P2604">
        <v>33.799999999999997</v>
      </c>
      <c r="Q2604">
        <v>45.8</v>
      </c>
      <c r="R2604">
        <v>55.1</v>
      </c>
      <c r="S2604">
        <v>38.200000000000003</v>
      </c>
      <c r="T2604">
        <v>30.7</v>
      </c>
      <c r="U2604">
        <v>64.900000000000006</v>
      </c>
      <c r="V2604">
        <v>-11.6</v>
      </c>
      <c r="W2604" cm="1">
        <f t="array" ref="W2604">_xlfn.IFS(OR(X2604="N/A",X2604="NA"),0,OR(X2604="R64",X2604="R68"),1,X2604="R32",2,X2604="S16",3,X2604="E8",4,X2604="F4",5,X2604="2ND",6,X2604="Champions",7)</f>
        <v>0</v>
      </c>
      <c r="X2604" t="s">
        <v>425</v>
      </c>
      <c r="Y2604" t="s">
        <v>90</v>
      </c>
      <c r="Z2604">
        <v>2021</v>
      </c>
    </row>
    <row r="2605" spans="1:26" x14ac:dyDescent="0.3">
      <c r="A2605" t="s">
        <v>139</v>
      </c>
      <c r="B2605" t="s">
        <v>131</v>
      </c>
      <c r="C2605">
        <v>21</v>
      </c>
      <c r="D2605">
        <v>8</v>
      </c>
      <c r="E2605" s="1">
        <f t="shared" si="40"/>
        <v>0.38095238095238093</v>
      </c>
      <c r="F2605">
        <v>100.5</v>
      </c>
      <c r="G2605">
        <v>113.2</v>
      </c>
      <c r="H2605">
        <v>0.2041</v>
      </c>
      <c r="I2605">
        <v>52.7</v>
      </c>
      <c r="J2605">
        <v>50.3</v>
      </c>
      <c r="K2605">
        <v>21.5</v>
      </c>
      <c r="L2605">
        <v>16.2</v>
      </c>
      <c r="M2605">
        <v>25.8</v>
      </c>
      <c r="N2605">
        <v>35.9</v>
      </c>
      <c r="O2605">
        <v>25.4</v>
      </c>
      <c r="P2605">
        <v>31.8</v>
      </c>
      <c r="Q2605">
        <v>51.2</v>
      </c>
      <c r="R2605">
        <v>50.1</v>
      </c>
      <c r="S2605">
        <v>36.200000000000003</v>
      </c>
      <c r="T2605">
        <v>33.9</v>
      </c>
      <c r="U2605">
        <v>67.2</v>
      </c>
      <c r="V2605">
        <v>-11.3</v>
      </c>
      <c r="W2605" cm="1">
        <f t="array" ref="W2605">_xlfn.IFS(OR(X2605="N/A",X2605="NA"),0,OR(X2605="R64",X2605="R68"),1,X2605="R32",2,X2605="S16",3,X2605="E8",4,X2605="F4",5,X2605="2ND",6,X2605="Champions",7)</f>
        <v>0</v>
      </c>
      <c r="X2605" t="s">
        <v>425</v>
      </c>
      <c r="Y2605" t="s">
        <v>90</v>
      </c>
      <c r="Z2605">
        <v>2021</v>
      </c>
    </row>
    <row r="2606" spans="1:26" x14ac:dyDescent="0.3">
      <c r="A2606" t="s">
        <v>389</v>
      </c>
      <c r="B2606" t="s">
        <v>43</v>
      </c>
      <c r="C2606">
        <v>23</v>
      </c>
      <c r="D2606">
        <v>8</v>
      </c>
      <c r="E2606" s="1">
        <f t="shared" si="40"/>
        <v>0.34782608695652173</v>
      </c>
      <c r="F2606">
        <v>100.3</v>
      </c>
      <c r="G2606">
        <v>110.5</v>
      </c>
      <c r="H2606">
        <v>0.2465</v>
      </c>
      <c r="I2606">
        <v>58.2</v>
      </c>
      <c r="J2606">
        <v>52.5</v>
      </c>
      <c r="K2606">
        <v>23.7</v>
      </c>
      <c r="L2606">
        <v>17</v>
      </c>
      <c r="M2606">
        <v>26.2</v>
      </c>
      <c r="N2606">
        <v>30.8</v>
      </c>
      <c r="O2606">
        <v>30.2</v>
      </c>
      <c r="P2606">
        <v>30.4</v>
      </c>
      <c r="Q2606">
        <v>57</v>
      </c>
      <c r="R2606">
        <v>53.9</v>
      </c>
      <c r="S2606">
        <v>40</v>
      </c>
      <c r="T2606">
        <v>33.6</v>
      </c>
      <c r="U2606">
        <v>69.7</v>
      </c>
      <c r="V2606">
        <v>-12.7</v>
      </c>
      <c r="W2606" cm="1">
        <f t="array" ref="W2606">_xlfn.IFS(OR(X2606="N/A",X2606="NA"),0,OR(X2606="R64",X2606="R68"),1,X2606="R32",2,X2606="S16",3,X2606="E8",4,X2606="F4",5,X2606="2ND",6,X2606="Champions",7)</f>
        <v>0</v>
      </c>
      <c r="X2606" t="s">
        <v>425</v>
      </c>
      <c r="Y2606" t="s">
        <v>90</v>
      </c>
      <c r="Z2606">
        <v>2021</v>
      </c>
    </row>
    <row r="2607" spans="1:26" x14ac:dyDescent="0.3">
      <c r="A2607" t="s">
        <v>312</v>
      </c>
      <c r="B2607" t="s">
        <v>64</v>
      </c>
      <c r="C2607">
        <v>23</v>
      </c>
      <c r="D2607">
        <v>8</v>
      </c>
      <c r="E2607" s="1">
        <f t="shared" si="40"/>
        <v>0.34782608695652173</v>
      </c>
      <c r="F2607">
        <v>93.2</v>
      </c>
      <c r="G2607">
        <v>112.5</v>
      </c>
      <c r="H2607">
        <v>0.10349999999999999</v>
      </c>
      <c r="I2607">
        <v>45.6</v>
      </c>
      <c r="J2607">
        <v>57.3</v>
      </c>
      <c r="K2607">
        <v>21</v>
      </c>
      <c r="L2607">
        <v>20.6</v>
      </c>
      <c r="M2607">
        <v>28.7</v>
      </c>
      <c r="N2607">
        <v>32.9</v>
      </c>
      <c r="O2607">
        <v>28.3</v>
      </c>
      <c r="P2607">
        <v>36.5</v>
      </c>
      <c r="Q2607">
        <v>43.3</v>
      </c>
      <c r="R2607">
        <v>58.2</v>
      </c>
      <c r="S2607">
        <v>33.200000000000003</v>
      </c>
      <c r="T2607">
        <v>37.4</v>
      </c>
      <c r="U2607">
        <v>67.599999999999994</v>
      </c>
      <c r="V2607">
        <v>-12.7</v>
      </c>
      <c r="W2607" cm="1">
        <f t="array" ref="W2607">_xlfn.IFS(OR(X2607="N/A",X2607="NA"),0,OR(X2607="R64",X2607="R68"),1,X2607="R32",2,X2607="S16",3,X2607="E8",4,X2607="F4",5,X2607="2ND",6,X2607="Champions",7)</f>
        <v>0</v>
      </c>
      <c r="X2607" t="s">
        <v>425</v>
      </c>
      <c r="Y2607" t="s">
        <v>90</v>
      </c>
      <c r="Z2607">
        <v>2021</v>
      </c>
    </row>
    <row r="2608" spans="1:26" x14ac:dyDescent="0.3">
      <c r="A2608" t="s">
        <v>216</v>
      </c>
      <c r="B2608" t="s">
        <v>40</v>
      </c>
      <c r="C2608">
        <v>23</v>
      </c>
      <c r="D2608">
        <v>8</v>
      </c>
      <c r="E2608" s="1">
        <f t="shared" si="40"/>
        <v>0.34782608695652173</v>
      </c>
      <c r="F2608">
        <v>92.2</v>
      </c>
      <c r="G2608">
        <v>101.4</v>
      </c>
      <c r="H2608">
        <v>0.25130000000000002</v>
      </c>
      <c r="I2608">
        <v>47.3</v>
      </c>
      <c r="J2608">
        <v>50.3</v>
      </c>
      <c r="K2608">
        <v>20.6</v>
      </c>
      <c r="L2608">
        <v>18.7</v>
      </c>
      <c r="M2608">
        <v>23.8</v>
      </c>
      <c r="N2608">
        <v>23.2</v>
      </c>
      <c r="O2608">
        <v>28.7</v>
      </c>
      <c r="P2608">
        <v>29.5</v>
      </c>
      <c r="Q2608">
        <v>47.3</v>
      </c>
      <c r="R2608">
        <v>50.1</v>
      </c>
      <c r="S2608">
        <v>31.5</v>
      </c>
      <c r="T2608">
        <v>33.700000000000003</v>
      </c>
      <c r="U2608">
        <v>67.400000000000006</v>
      </c>
      <c r="V2608">
        <v>-12.9</v>
      </c>
      <c r="W2608" cm="1">
        <f t="array" ref="W2608">_xlfn.IFS(OR(X2608="N/A",X2608="NA"),0,OR(X2608="R64",X2608="R68"),1,X2608="R32",2,X2608="S16",3,X2608="E8",4,X2608="F4",5,X2608="2ND",6,X2608="Champions",7)</f>
        <v>0</v>
      </c>
      <c r="X2608" t="s">
        <v>425</v>
      </c>
      <c r="Y2608" t="s">
        <v>90</v>
      </c>
      <c r="Z2608">
        <v>2021</v>
      </c>
    </row>
    <row r="2609" spans="1:26" x14ac:dyDescent="0.3">
      <c r="A2609" t="s">
        <v>223</v>
      </c>
      <c r="B2609" t="s">
        <v>43</v>
      </c>
      <c r="C2609">
        <v>25</v>
      </c>
      <c r="D2609">
        <v>8</v>
      </c>
      <c r="E2609" s="1">
        <f t="shared" si="40"/>
        <v>0.32</v>
      </c>
      <c r="F2609">
        <v>102.2</v>
      </c>
      <c r="G2609">
        <v>109.2</v>
      </c>
      <c r="H2609">
        <v>0.31850000000000001</v>
      </c>
      <c r="I2609">
        <v>49.2</v>
      </c>
      <c r="J2609">
        <v>53.5</v>
      </c>
      <c r="K2609">
        <v>15.5</v>
      </c>
      <c r="L2609">
        <v>16.899999999999999</v>
      </c>
      <c r="M2609">
        <v>26</v>
      </c>
      <c r="N2609">
        <v>29.4</v>
      </c>
      <c r="O2609">
        <v>27.3</v>
      </c>
      <c r="P2609">
        <v>31.9</v>
      </c>
      <c r="Q2609">
        <v>48.8</v>
      </c>
      <c r="R2609">
        <v>53.2</v>
      </c>
      <c r="S2609">
        <v>33.299999999999997</v>
      </c>
      <c r="T2609">
        <v>36.200000000000003</v>
      </c>
      <c r="U2609">
        <v>66.5</v>
      </c>
      <c r="V2609">
        <v>-12.6</v>
      </c>
      <c r="W2609" cm="1">
        <f t="array" ref="W2609">_xlfn.IFS(OR(X2609="N/A",X2609="NA"),0,OR(X2609="R64",X2609="R68"),1,X2609="R32",2,X2609="S16",3,X2609="E8",4,X2609="F4",5,X2609="2ND",6,X2609="Champions",7)</f>
        <v>0</v>
      </c>
      <c r="X2609" t="s">
        <v>425</v>
      </c>
      <c r="Y2609" t="s">
        <v>90</v>
      </c>
      <c r="Z2609">
        <v>2021</v>
      </c>
    </row>
    <row r="2610" spans="1:26" x14ac:dyDescent="0.3">
      <c r="A2610" t="s">
        <v>378</v>
      </c>
      <c r="B2610" t="s">
        <v>61</v>
      </c>
      <c r="C2610">
        <v>26</v>
      </c>
      <c r="D2610">
        <v>8</v>
      </c>
      <c r="E2610" s="1">
        <f t="shared" si="40"/>
        <v>0.30769230769230771</v>
      </c>
      <c r="F2610">
        <v>91.3</v>
      </c>
      <c r="G2610">
        <v>111.6</v>
      </c>
      <c r="H2610">
        <v>9.0399999999999994E-2</v>
      </c>
      <c r="I2610">
        <v>45.4</v>
      </c>
      <c r="J2610">
        <v>55.3</v>
      </c>
      <c r="K2610">
        <v>21.8</v>
      </c>
      <c r="L2610">
        <v>22</v>
      </c>
      <c r="M2610">
        <v>30.8</v>
      </c>
      <c r="N2610">
        <v>29.8</v>
      </c>
      <c r="O2610">
        <v>41</v>
      </c>
      <c r="P2610">
        <v>37.9</v>
      </c>
      <c r="Q2610">
        <v>46.5</v>
      </c>
      <c r="R2610">
        <v>56.3</v>
      </c>
      <c r="S2610">
        <v>29.2</v>
      </c>
      <c r="T2610">
        <v>35.9</v>
      </c>
      <c r="U2610">
        <v>69.099999999999994</v>
      </c>
      <c r="V2610">
        <v>-14.4</v>
      </c>
      <c r="W2610" cm="1">
        <f t="array" ref="W2610">_xlfn.IFS(OR(X2610="N/A",X2610="NA"),0,OR(X2610="R64",X2610="R68"),1,X2610="R32",2,X2610="S16",3,X2610="E8",4,X2610="F4",5,X2610="2ND",6,X2610="Champions",7)</f>
        <v>0</v>
      </c>
      <c r="X2610" t="s">
        <v>425</v>
      </c>
      <c r="Y2610" t="s">
        <v>90</v>
      </c>
      <c r="Z2610">
        <v>2021</v>
      </c>
    </row>
    <row r="2611" spans="1:26" x14ac:dyDescent="0.3">
      <c r="A2611" t="s">
        <v>335</v>
      </c>
      <c r="B2611" t="s">
        <v>67</v>
      </c>
      <c r="C2611">
        <v>15</v>
      </c>
      <c r="D2611">
        <v>9</v>
      </c>
      <c r="E2611" s="1">
        <f t="shared" si="40"/>
        <v>0.6</v>
      </c>
      <c r="F2611">
        <v>103.5</v>
      </c>
      <c r="G2611">
        <v>110.9</v>
      </c>
      <c r="H2611">
        <v>0.31159999999999999</v>
      </c>
      <c r="I2611">
        <v>50.6</v>
      </c>
      <c r="J2611">
        <v>50.9</v>
      </c>
      <c r="K2611">
        <v>15</v>
      </c>
      <c r="L2611">
        <v>16</v>
      </c>
      <c r="M2611">
        <v>23.7</v>
      </c>
      <c r="N2611">
        <v>28.5</v>
      </c>
      <c r="O2611">
        <v>30.3</v>
      </c>
      <c r="P2611">
        <v>33.700000000000003</v>
      </c>
      <c r="Q2611">
        <v>48.4</v>
      </c>
      <c r="R2611">
        <v>51.4</v>
      </c>
      <c r="S2611">
        <v>36</v>
      </c>
      <c r="T2611">
        <v>33.200000000000003</v>
      </c>
      <c r="U2611">
        <v>68.900000000000006</v>
      </c>
      <c r="V2611">
        <v>-4.8</v>
      </c>
      <c r="W2611" cm="1">
        <f t="array" ref="W2611">_xlfn.IFS(OR(X2611="N/A",X2611="NA"),0,OR(X2611="R64",X2611="R68"),1,X2611="R32",2,X2611="S16",3,X2611="E8",4,X2611="F4",5,X2611="2ND",6,X2611="Champions",7)</f>
        <v>0</v>
      </c>
      <c r="X2611" t="s">
        <v>425</v>
      </c>
      <c r="Y2611" t="s">
        <v>90</v>
      </c>
      <c r="Z2611">
        <v>2021</v>
      </c>
    </row>
    <row r="2612" spans="1:26" x14ac:dyDescent="0.3">
      <c r="A2612" t="s">
        <v>89</v>
      </c>
      <c r="B2612" t="s">
        <v>45</v>
      </c>
      <c r="C2612">
        <v>18</v>
      </c>
      <c r="D2612">
        <v>9</v>
      </c>
      <c r="E2612" s="1">
        <f t="shared" si="40"/>
        <v>0.5</v>
      </c>
      <c r="F2612">
        <v>102.1</v>
      </c>
      <c r="G2612">
        <v>96.3</v>
      </c>
      <c r="H2612">
        <v>0.66310000000000002</v>
      </c>
      <c r="I2612">
        <v>47.6</v>
      </c>
      <c r="J2612">
        <v>47.3</v>
      </c>
      <c r="K2612">
        <v>19.5</v>
      </c>
      <c r="L2612">
        <v>19.600000000000001</v>
      </c>
      <c r="M2612">
        <v>31</v>
      </c>
      <c r="N2612">
        <v>30.1</v>
      </c>
      <c r="O2612">
        <v>31.6</v>
      </c>
      <c r="P2612">
        <v>35.5</v>
      </c>
      <c r="Q2612">
        <v>49.3</v>
      </c>
      <c r="R2612">
        <v>50.3</v>
      </c>
      <c r="S2612">
        <v>29.9</v>
      </c>
      <c r="T2612">
        <v>28.4</v>
      </c>
      <c r="U2612">
        <v>68.900000000000006</v>
      </c>
      <c r="V2612">
        <v>-4.0999999999999996</v>
      </c>
      <c r="W2612" cm="1">
        <f t="array" ref="W2612">_xlfn.IFS(OR(X2612="N/A",X2612="NA"),0,OR(X2612="R64",X2612="R68"),1,X2612="R32",2,X2612="S16",3,X2612="E8",4,X2612="F4",5,X2612="2ND",6,X2612="Champions",7)</f>
        <v>0</v>
      </c>
      <c r="X2612" t="s">
        <v>425</v>
      </c>
      <c r="Y2612" t="s">
        <v>90</v>
      </c>
      <c r="Z2612">
        <v>2021</v>
      </c>
    </row>
    <row r="2613" spans="1:26" x14ac:dyDescent="0.3">
      <c r="A2613" t="s">
        <v>297</v>
      </c>
      <c r="B2613" t="s">
        <v>77</v>
      </c>
      <c r="C2613">
        <v>18</v>
      </c>
      <c r="D2613">
        <v>9</v>
      </c>
      <c r="E2613" s="1">
        <f t="shared" si="40"/>
        <v>0.5</v>
      </c>
      <c r="F2613">
        <v>95.3</v>
      </c>
      <c r="G2613">
        <v>102.8</v>
      </c>
      <c r="H2613">
        <v>0.2959</v>
      </c>
      <c r="I2613">
        <v>47.3</v>
      </c>
      <c r="J2613">
        <v>49.9</v>
      </c>
      <c r="K2613">
        <v>19.3</v>
      </c>
      <c r="L2613">
        <v>20.9</v>
      </c>
      <c r="M2613">
        <v>32.9</v>
      </c>
      <c r="N2613">
        <v>28.5</v>
      </c>
      <c r="O2613">
        <v>31.2</v>
      </c>
      <c r="P2613">
        <v>28.4</v>
      </c>
      <c r="Q2613">
        <v>50.1</v>
      </c>
      <c r="R2613">
        <v>50.9</v>
      </c>
      <c r="S2613">
        <v>28.7</v>
      </c>
      <c r="T2613">
        <v>32</v>
      </c>
      <c r="U2613">
        <v>73.5</v>
      </c>
      <c r="V2613">
        <v>-7.5</v>
      </c>
      <c r="W2613" cm="1">
        <f t="array" ref="W2613">_xlfn.IFS(OR(X2613="N/A",X2613="NA"),0,OR(X2613="R64",X2613="R68"),1,X2613="R32",2,X2613="S16",3,X2613="E8",4,X2613="F4",5,X2613="2ND",6,X2613="Champions",7)</f>
        <v>0</v>
      </c>
      <c r="X2613" t="s">
        <v>425</v>
      </c>
      <c r="Y2613" t="s">
        <v>90</v>
      </c>
      <c r="Z2613">
        <v>2021</v>
      </c>
    </row>
    <row r="2614" spans="1:26" x14ac:dyDescent="0.3">
      <c r="A2614" t="s">
        <v>428</v>
      </c>
      <c r="B2614" t="s">
        <v>77</v>
      </c>
      <c r="C2614">
        <v>18</v>
      </c>
      <c r="D2614">
        <v>9</v>
      </c>
      <c r="E2614" s="1">
        <f t="shared" si="40"/>
        <v>0.5</v>
      </c>
      <c r="F2614">
        <v>92.8</v>
      </c>
      <c r="G2614">
        <v>101.3</v>
      </c>
      <c r="H2614">
        <v>0.26650000000000001</v>
      </c>
      <c r="I2614">
        <v>51.4</v>
      </c>
      <c r="J2614">
        <v>48</v>
      </c>
      <c r="K2614">
        <v>19.899999999999999</v>
      </c>
      <c r="L2614">
        <v>21.8</v>
      </c>
      <c r="M2614">
        <v>20.8</v>
      </c>
      <c r="N2614">
        <v>31.6</v>
      </c>
      <c r="O2614">
        <v>31</v>
      </c>
      <c r="P2614">
        <v>33</v>
      </c>
      <c r="Q2614">
        <v>54.1</v>
      </c>
      <c r="R2614">
        <v>46.1</v>
      </c>
      <c r="S2614">
        <v>31.7</v>
      </c>
      <c r="T2614">
        <v>34.4</v>
      </c>
      <c r="U2614">
        <v>66.2</v>
      </c>
      <c r="V2614">
        <v>-7.6</v>
      </c>
      <c r="W2614" cm="1">
        <f t="array" ref="W2614">_xlfn.IFS(OR(X2614="N/A",X2614="NA"),0,OR(X2614="R64",X2614="R68"),1,X2614="R32",2,X2614="S16",3,X2614="E8",4,X2614="F4",5,X2614="2ND",6,X2614="Champions",7)</f>
        <v>0</v>
      </c>
      <c r="X2614" t="s">
        <v>425</v>
      </c>
      <c r="Y2614" t="s">
        <v>90</v>
      </c>
      <c r="Z2614">
        <v>2021</v>
      </c>
    </row>
    <row r="2615" spans="1:26" x14ac:dyDescent="0.3">
      <c r="A2615" t="s">
        <v>299</v>
      </c>
      <c r="B2615" t="s">
        <v>77</v>
      </c>
      <c r="C2615">
        <v>18</v>
      </c>
      <c r="D2615">
        <v>9</v>
      </c>
      <c r="E2615" s="1">
        <f t="shared" si="40"/>
        <v>0.5</v>
      </c>
      <c r="F2615">
        <v>99.9</v>
      </c>
      <c r="G2615">
        <v>112</v>
      </c>
      <c r="H2615">
        <v>0.21299999999999999</v>
      </c>
      <c r="I2615">
        <v>48</v>
      </c>
      <c r="J2615">
        <v>50.7</v>
      </c>
      <c r="K2615">
        <v>18.7</v>
      </c>
      <c r="L2615">
        <v>15.3</v>
      </c>
      <c r="M2615">
        <v>29.6</v>
      </c>
      <c r="N2615">
        <v>31.8</v>
      </c>
      <c r="O2615">
        <v>33.6</v>
      </c>
      <c r="P2615">
        <v>27.6</v>
      </c>
      <c r="Q2615">
        <v>47.1</v>
      </c>
      <c r="R2615">
        <v>51.3</v>
      </c>
      <c r="S2615">
        <v>32.9</v>
      </c>
      <c r="T2615">
        <v>32.9</v>
      </c>
      <c r="U2615">
        <v>66.5</v>
      </c>
      <c r="V2615">
        <v>-7</v>
      </c>
      <c r="W2615" cm="1">
        <f t="array" ref="W2615">_xlfn.IFS(OR(X2615="N/A",X2615="NA"),0,OR(X2615="R64",X2615="R68"),1,X2615="R32",2,X2615="S16",3,X2615="E8",4,X2615="F4",5,X2615="2ND",6,X2615="Champions",7)</f>
        <v>0</v>
      </c>
      <c r="X2615" t="s">
        <v>425</v>
      </c>
      <c r="Y2615" t="s">
        <v>90</v>
      </c>
      <c r="Z2615">
        <v>2021</v>
      </c>
    </row>
    <row r="2616" spans="1:26" x14ac:dyDescent="0.3">
      <c r="A2616" t="s">
        <v>410</v>
      </c>
      <c r="B2616" t="s">
        <v>37</v>
      </c>
      <c r="C2616">
        <v>17</v>
      </c>
      <c r="D2616">
        <v>9</v>
      </c>
      <c r="E2616" s="1">
        <f t="shared" si="40"/>
        <v>0.52941176470588236</v>
      </c>
      <c r="F2616">
        <v>102.5</v>
      </c>
      <c r="G2616">
        <v>98</v>
      </c>
      <c r="H2616">
        <v>0.62660000000000005</v>
      </c>
      <c r="I2616">
        <v>47.9</v>
      </c>
      <c r="J2616">
        <v>51.6</v>
      </c>
      <c r="K2616">
        <v>16.5</v>
      </c>
      <c r="L2616">
        <v>18.2</v>
      </c>
      <c r="M2616">
        <v>27.5</v>
      </c>
      <c r="N2616">
        <v>23.6</v>
      </c>
      <c r="O2616">
        <v>26.9</v>
      </c>
      <c r="P2616">
        <v>33.200000000000003</v>
      </c>
      <c r="Q2616">
        <v>49.1</v>
      </c>
      <c r="R2616">
        <v>50.8</v>
      </c>
      <c r="S2616">
        <v>29.8</v>
      </c>
      <c r="T2616">
        <v>35.1</v>
      </c>
      <c r="U2616">
        <v>66.599999999999994</v>
      </c>
      <c r="V2616">
        <v>-3.1</v>
      </c>
      <c r="W2616" cm="1">
        <f t="array" ref="W2616">_xlfn.IFS(OR(X2616="N/A",X2616="NA"),0,OR(X2616="R64",X2616="R68"),1,X2616="R32",2,X2616="S16",3,X2616="E8",4,X2616="F4",5,X2616="2ND",6,X2616="Champions",7)</f>
        <v>0</v>
      </c>
      <c r="X2616" t="s">
        <v>425</v>
      </c>
      <c r="Y2616" t="s">
        <v>90</v>
      </c>
      <c r="Z2616">
        <v>2021</v>
      </c>
    </row>
    <row r="2617" spans="1:26" x14ac:dyDescent="0.3">
      <c r="A2617" t="s">
        <v>197</v>
      </c>
      <c r="B2617" t="s">
        <v>53</v>
      </c>
      <c r="C2617">
        <v>17</v>
      </c>
      <c r="D2617">
        <v>9</v>
      </c>
      <c r="E2617" s="1">
        <f t="shared" si="40"/>
        <v>0.52941176470588236</v>
      </c>
      <c r="F2617">
        <v>102.4</v>
      </c>
      <c r="G2617">
        <v>107.9</v>
      </c>
      <c r="H2617">
        <v>0.35370000000000001</v>
      </c>
      <c r="I2617">
        <v>51.6</v>
      </c>
      <c r="J2617">
        <v>52</v>
      </c>
      <c r="K2617">
        <v>16.3</v>
      </c>
      <c r="L2617">
        <v>17.7</v>
      </c>
      <c r="M2617">
        <v>24.2</v>
      </c>
      <c r="N2617">
        <v>26</v>
      </c>
      <c r="O2617">
        <v>27.1</v>
      </c>
      <c r="P2617">
        <v>33.5</v>
      </c>
      <c r="Q2617">
        <v>47.8</v>
      </c>
      <c r="R2617">
        <v>50.1</v>
      </c>
      <c r="S2617">
        <v>38.200000000000003</v>
      </c>
      <c r="T2617">
        <v>36.6</v>
      </c>
      <c r="U2617">
        <v>64</v>
      </c>
      <c r="V2617">
        <v>-7.4</v>
      </c>
      <c r="W2617" cm="1">
        <f t="array" ref="W2617">_xlfn.IFS(OR(X2617="N/A",X2617="NA"),0,OR(X2617="R64",X2617="R68"),1,X2617="R32",2,X2617="S16",3,X2617="E8",4,X2617="F4",5,X2617="2ND",6,X2617="Champions",7)</f>
        <v>0</v>
      </c>
      <c r="X2617" t="s">
        <v>425</v>
      </c>
      <c r="Y2617" t="s">
        <v>90</v>
      </c>
      <c r="Z2617">
        <v>2021</v>
      </c>
    </row>
    <row r="2618" spans="1:26" x14ac:dyDescent="0.3">
      <c r="A2618" t="s">
        <v>300</v>
      </c>
      <c r="B2618" t="s">
        <v>77</v>
      </c>
      <c r="C2618">
        <v>19</v>
      </c>
      <c r="D2618">
        <v>9</v>
      </c>
      <c r="E2618" s="1">
        <f t="shared" si="40"/>
        <v>0.47368421052631576</v>
      </c>
      <c r="F2618">
        <v>101.1</v>
      </c>
      <c r="G2618">
        <v>113.2</v>
      </c>
      <c r="H2618">
        <v>0.2145</v>
      </c>
      <c r="I2618">
        <v>49.5</v>
      </c>
      <c r="J2618">
        <v>52.7</v>
      </c>
      <c r="K2618">
        <v>16.3</v>
      </c>
      <c r="L2618">
        <v>19.899999999999999</v>
      </c>
      <c r="M2618">
        <v>30.2</v>
      </c>
      <c r="N2618">
        <v>30.3</v>
      </c>
      <c r="O2618">
        <v>30.7</v>
      </c>
      <c r="P2618">
        <v>39.1</v>
      </c>
      <c r="Q2618">
        <v>49.4</v>
      </c>
      <c r="R2618">
        <v>50.4</v>
      </c>
      <c r="S2618">
        <v>33.1</v>
      </c>
      <c r="T2618">
        <v>38.1</v>
      </c>
      <c r="U2618">
        <v>72.5</v>
      </c>
      <c r="V2618">
        <v>-8.6999999999999993</v>
      </c>
      <c r="W2618" cm="1">
        <f t="array" ref="W2618">_xlfn.IFS(OR(X2618="N/A",X2618="NA"),0,OR(X2618="R64",X2618="R68"),1,X2618="R32",2,X2618="S16",3,X2618="E8",4,X2618="F4",5,X2618="2ND",6,X2618="Champions",7)</f>
        <v>0</v>
      </c>
      <c r="X2618" t="s">
        <v>425</v>
      </c>
      <c r="Y2618" t="s">
        <v>90</v>
      </c>
      <c r="Z2618">
        <v>2021</v>
      </c>
    </row>
    <row r="2619" spans="1:26" x14ac:dyDescent="0.3">
      <c r="A2619" t="s">
        <v>405</v>
      </c>
      <c r="B2619" t="s">
        <v>51</v>
      </c>
      <c r="C2619">
        <v>15</v>
      </c>
      <c r="D2619">
        <v>9</v>
      </c>
      <c r="E2619" s="1">
        <f t="shared" si="40"/>
        <v>0.6</v>
      </c>
      <c r="F2619">
        <v>90.4</v>
      </c>
      <c r="G2619">
        <v>101.5</v>
      </c>
      <c r="H2619">
        <v>0.20949999999999999</v>
      </c>
      <c r="I2619">
        <v>43</v>
      </c>
      <c r="J2619">
        <v>48.1</v>
      </c>
      <c r="K2619">
        <v>19</v>
      </c>
      <c r="L2619">
        <v>24.1</v>
      </c>
      <c r="M2619">
        <v>30</v>
      </c>
      <c r="N2619">
        <v>34.1</v>
      </c>
      <c r="O2619">
        <v>37.700000000000003</v>
      </c>
      <c r="P2619">
        <v>43.5</v>
      </c>
      <c r="Q2619">
        <v>44.7</v>
      </c>
      <c r="R2619">
        <v>48.5</v>
      </c>
      <c r="S2619">
        <v>26.7</v>
      </c>
      <c r="T2619">
        <v>31.6</v>
      </c>
      <c r="U2619">
        <v>70.5</v>
      </c>
      <c r="V2619">
        <v>-7.8</v>
      </c>
      <c r="W2619" cm="1">
        <f t="array" ref="W2619">_xlfn.IFS(OR(X2619="N/A",X2619="NA"),0,OR(X2619="R64",X2619="R68"),1,X2619="R32",2,X2619="S16",3,X2619="E8",4,X2619="F4",5,X2619="2ND",6,X2619="Champions",7)</f>
        <v>0</v>
      </c>
      <c r="X2619" t="s">
        <v>425</v>
      </c>
      <c r="Y2619" t="s">
        <v>90</v>
      </c>
      <c r="Z2619">
        <v>2021</v>
      </c>
    </row>
    <row r="2620" spans="1:26" x14ac:dyDescent="0.3">
      <c r="A2620" t="s">
        <v>245</v>
      </c>
      <c r="B2620" t="s">
        <v>69</v>
      </c>
      <c r="C2620">
        <v>20</v>
      </c>
      <c r="D2620">
        <v>9</v>
      </c>
      <c r="E2620" s="1">
        <f t="shared" si="40"/>
        <v>0.45</v>
      </c>
      <c r="F2620">
        <v>98.8</v>
      </c>
      <c r="G2620">
        <v>106.6</v>
      </c>
      <c r="H2620">
        <v>0.29360000000000003</v>
      </c>
      <c r="I2620">
        <v>46.6</v>
      </c>
      <c r="J2620">
        <v>49.5</v>
      </c>
      <c r="K2620">
        <v>15.2</v>
      </c>
      <c r="L2620">
        <v>20.100000000000001</v>
      </c>
      <c r="M2620">
        <v>23.3</v>
      </c>
      <c r="N2620">
        <v>28.4</v>
      </c>
      <c r="O2620">
        <v>34.6</v>
      </c>
      <c r="P2620">
        <v>32.5</v>
      </c>
      <c r="Q2620">
        <v>46.4</v>
      </c>
      <c r="R2620">
        <v>48.5</v>
      </c>
      <c r="S2620">
        <v>31.3</v>
      </c>
      <c r="T2620">
        <v>33.9</v>
      </c>
      <c r="U2620">
        <v>65</v>
      </c>
      <c r="V2620">
        <v>-8.8000000000000007</v>
      </c>
      <c r="W2620" cm="1">
        <f t="array" ref="W2620">_xlfn.IFS(OR(X2620="N/A",X2620="NA"),0,OR(X2620="R64",X2620="R68"),1,X2620="R32",2,X2620="S16",3,X2620="E8",4,X2620="F4",5,X2620="2ND",6,X2620="Champions",7)</f>
        <v>0</v>
      </c>
      <c r="X2620" t="s">
        <v>425</v>
      </c>
      <c r="Y2620" t="s">
        <v>90</v>
      </c>
      <c r="Z2620">
        <v>2021</v>
      </c>
    </row>
    <row r="2621" spans="1:26" x14ac:dyDescent="0.3">
      <c r="A2621" t="s">
        <v>124</v>
      </c>
      <c r="B2621" t="s">
        <v>50</v>
      </c>
      <c r="C2621">
        <v>21</v>
      </c>
      <c r="D2621">
        <v>9</v>
      </c>
      <c r="E2621" s="1">
        <f t="shared" si="40"/>
        <v>0.42857142857142855</v>
      </c>
      <c r="F2621">
        <v>100.4</v>
      </c>
      <c r="G2621">
        <v>101.6</v>
      </c>
      <c r="H2621">
        <v>0.46600000000000003</v>
      </c>
      <c r="I2621">
        <v>45.1</v>
      </c>
      <c r="J2621">
        <v>51.7</v>
      </c>
      <c r="K2621">
        <v>20.8</v>
      </c>
      <c r="L2621">
        <v>17.8</v>
      </c>
      <c r="M2621">
        <v>33.799999999999997</v>
      </c>
      <c r="N2621">
        <v>26.5</v>
      </c>
      <c r="O2621">
        <v>34.5</v>
      </c>
      <c r="P2621">
        <v>33.5</v>
      </c>
      <c r="Q2621">
        <v>43.3</v>
      </c>
      <c r="R2621">
        <v>51.5</v>
      </c>
      <c r="S2621">
        <v>32.4</v>
      </c>
      <c r="T2621">
        <v>34.6</v>
      </c>
      <c r="U2621">
        <v>67.2</v>
      </c>
      <c r="V2621">
        <v>-6</v>
      </c>
      <c r="W2621" cm="1">
        <f t="array" ref="W2621">_xlfn.IFS(OR(X2621="N/A",X2621="NA"),0,OR(X2621="R64",X2621="R68"),1,X2621="R32",2,X2621="S16",3,X2621="E8",4,X2621="F4",5,X2621="2ND",6,X2621="Champions",7)</f>
        <v>0</v>
      </c>
      <c r="X2621" t="s">
        <v>425</v>
      </c>
      <c r="Y2621" t="s">
        <v>90</v>
      </c>
      <c r="Z2621">
        <v>2021</v>
      </c>
    </row>
    <row r="2622" spans="1:26" x14ac:dyDescent="0.3">
      <c r="A2622" t="s">
        <v>171</v>
      </c>
      <c r="B2622" t="s">
        <v>164</v>
      </c>
      <c r="C2622">
        <v>18</v>
      </c>
      <c r="D2622">
        <v>9</v>
      </c>
      <c r="E2622" s="1">
        <f t="shared" si="40"/>
        <v>0.5</v>
      </c>
      <c r="F2622">
        <v>92.4</v>
      </c>
      <c r="G2622">
        <v>99.9</v>
      </c>
      <c r="H2622">
        <v>0.28849999999999998</v>
      </c>
      <c r="I2622">
        <v>44.4</v>
      </c>
      <c r="J2622">
        <v>50.8</v>
      </c>
      <c r="K2622">
        <v>20</v>
      </c>
      <c r="L2622">
        <v>22.7</v>
      </c>
      <c r="M2622">
        <v>30.5</v>
      </c>
      <c r="N2622">
        <v>23.6</v>
      </c>
      <c r="O2622">
        <v>34.6</v>
      </c>
      <c r="P2622">
        <v>46.7</v>
      </c>
      <c r="Q2622">
        <v>44.8</v>
      </c>
      <c r="R2622">
        <v>49.1</v>
      </c>
      <c r="S2622">
        <v>29.2</v>
      </c>
      <c r="T2622">
        <v>36.1</v>
      </c>
      <c r="U2622">
        <v>69.3</v>
      </c>
      <c r="V2622">
        <v>-10.9</v>
      </c>
      <c r="W2622" cm="1">
        <f t="array" ref="W2622">_xlfn.IFS(OR(X2622="N/A",X2622="NA"),0,OR(X2622="R64",X2622="R68"),1,X2622="R32",2,X2622="S16",3,X2622="E8",4,X2622="F4",5,X2622="2ND",6,X2622="Champions",7)</f>
        <v>0</v>
      </c>
      <c r="X2622" t="s">
        <v>425</v>
      </c>
      <c r="Y2622" t="s">
        <v>90</v>
      </c>
      <c r="Z2622">
        <v>2021</v>
      </c>
    </row>
    <row r="2623" spans="1:26" x14ac:dyDescent="0.3">
      <c r="A2623" t="s">
        <v>190</v>
      </c>
      <c r="B2623" t="s">
        <v>48</v>
      </c>
      <c r="C2623">
        <v>21</v>
      </c>
      <c r="D2623">
        <v>9</v>
      </c>
      <c r="E2623" s="1">
        <f t="shared" si="40"/>
        <v>0.42857142857142855</v>
      </c>
      <c r="F2623">
        <v>99.8</v>
      </c>
      <c r="G2623">
        <v>111.7</v>
      </c>
      <c r="H2623">
        <v>0.21460000000000001</v>
      </c>
      <c r="I2623">
        <v>48.4</v>
      </c>
      <c r="J2623">
        <v>54.3</v>
      </c>
      <c r="K2623">
        <v>16.7</v>
      </c>
      <c r="L2623">
        <v>18.7</v>
      </c>
      <c r="M2623">
        <v>24.3</v>
      </c>
      <c r="N2623">
        <v>28.9</v>
      </c>
      <c r="O2623">
        <v>31.7</v>
      </c>
      <c r="P2623">
        <v>32.4</v>
      </c>
      <c r="Q2623">
        <v>47.2</v>
      </c>
      <c r="R2623">
        <v>54.2</v>
      </c>
      <c r="S2623">
        <v>33.5</v>
      </c>
      <c r="T2623">
        <v>36.4</v>
      </c>
      <c r="U2623">
        <v>70.5</v>
      </c>
      <c r="V2623">
        <v>-9.9</v>
      </c>
      <c r="W2623" cm="1">
        <f t="array" ref="W2623">_xlfn.IFS(OR(X2623="N/A",X2623="NA"),0,OR(X2623="R64",X2623="R68"),1,X2623="R32",2,X2623="S16",3,X2623="E8",4,X2623="F4",5,X2623="2ND",6,X2623="Champions",7)</f>
        <v>0</v>
      </c>
      <c r="X2623" t="s">
        <v>425</v>
      </c>
      <c r="Y2623" t="s">
        <v>90</v>
      </c>
      <c r="Z2623">
        <v>2021</v>
      </c>
    </row>
    <row r="2624" spans="1:26" x14ac:dyDescent="0.3">
      <c r="A2624" t="s">
        <v>224</v>
      </c>
      <c r="B2624" t="s">
        <v>43</v>
      </c>
      <c r="C2624">
        <v>22</v>
      </c>
      <c r="D2624">
        <v>9</v>
      </c>
      <c r="E2624" s="1">
        <f t="shared" si="40"/>
        <v>0.40909090909090912</v>
      </c>
      <c r="F2624">
        <v>92.7</v>
      </c>
      <c r="G2624">
        <v>104.7</v>
      </c>
      <c r="H2624">
        <v>0.1993</v>
      </c>
      <c r="I2624">
        <v>49.7</v>
      </c>
      <c r="J2624">
        <v>48</v>
      </c>
      <c r="K2624">
        <v>18.899999999999999</v>
      </c>
      <c r="L2624">
        <v>14.2</v>
      </c>
      <c r="M2624">
        <v>23.7</v>
      </c>
      <c r="N2624">
        <v>27.6</v>
      </c>
      <c r="O2624">
        <v>22.8</v>
      </c>
      <c r="P2624">
        <v>33.799999999999997</v>
      </c>
      <c r="Q2624">
        <v>50.2</v>
      </c>
      <c r="R2624">
        <v>49.1</v>
      </c>
      <c r="S2624">
        <v>32.700000000000003</v>
      </c>
      <c r="T2624">
        <v>30.1</v>
      </c>
      <c r="U2624">
        <v>68.599999999999994</v>
      </c>
      <c r="V2624">
        <v>-10.3</v>
      </c>
      <c r="W2624" cm="1">
        <f t="array" ref="W2624">_xlfn.IFS(OR(X2624="N/A",X2624="NA"),0,OR(X2624="R64",X2624="R68"),1,X2624="R32",2,X2624="S16",3,X2624="E8",4,X2624="F4",5,X2624="2ND",6,X2624="Champions",7)</f>
        <v>0</v>
      </c>
      <c r="X2624" t="s">
        <v>425</v>
      </c>
      <c r="Y2624" t="s">
        <v>90</v>
      </c>
      <c r="Z2624">
        <v>2021</v>
      </c>
    </row>
    <row r="2625" spans="1:26" x14ac:dyDescent="0.3">
      <c r="A2625" t="s">
        <v>246</v>
      </c>
      <c r="B2625" t="s">
        <v>69</v>
      </c>
      <c r="C2625">
        <v>22</v>
      </c>
      <c r="D2625">
        <v>9</v>
      </c>
      <c r="E2625" s="1">
        <f t="shared" si="40"/>
        <v>0.40909090909090912</v>
      </c>
      <c r="F2625">
        <v>91.9</v>
      </c>
      <c r="G2625">
        <v>99.6</v>
      </c>
      <c r="H2625">
        <v>0.28499999999999998</v>
      </c>
      <c r="I2625">
        <v>46.9</v>
      </c>
      <c r="J2625">
        <v>44.2</v>
      </c>
      <c r="K2625">
        <v>19.399999999999999</v>
      </c>
      <c r="L2625">
        <v>17.2</v>
      </c>
      <c r="M2625">
        <v>21.2</v>
      </c>
      <c r="N2625">
        <v>27.8</v>
      </c>
      <c r="O2625">
        <v>35.4</v>
      </c>
      <c r="P2625">
        <v>32.700000000000003</v>
      </c>
      <c r="Q2625">
        <v>45.7</v>
      </c>
      <c r="R2625">
        <v>43.7</v>
      </c>
      <c r="S2625">
        <v>32.4</v>
      </c>
      <c r="T2625">
        <v>30.1</v>
      </c>
      <c r="U2625">
        <v>71.7</v>
      </c>
      <c r="V2625">
        <v>-11.2</v>
      </c>
      <c r="W2625" cm="1">
        <f t="array" ref="W2625">_xlfn.IFS(OR(X2625="N/A",X2625="NA"),0,OR(X2625="R64",X2625="R68"),1,X2625="R32",2,X2625="S16",3,X2625="E8",4,X2625="F4",5,X2625="2ND",6,X2625="Champions",7)</f>
        <v>0</v>
      </c>
      <c r="X2625" t="s">
        <v>425</v>
      </c>
      <c r="Y2625" t="s">
        <v>90</v>
      </c>
      <c r="Z2625">
        <v>2021</v>
      </c>
    </row>
    <row r="2626" spans="1:26" x14ac:dyDescent="0.3">
      <c r="A2626" t="s">
        <v>264</v>
      </c>
      <c r="B2626" t="s">
        <v>66</v>
      </c>
      <c r="C2626">
        <v>22</v>
      </c>
      <c r="D2626">
        <v>9</v>
      </c>
      <c r="E2626" s="1">
        <f t="shared" si="40"/>
        <v>0.40909090909090912</v>
      </c>
      <c r="F2626">
        <v>91.9</v>
      </c>
      <c r="G2626">
        <v>100.5</v>
      </c>
      <c r="H2626">
        <v>0.26229999999999998</v>
      </c>
      <c r="I2626">
        <v>48.6</v>
      </c>
      <c r="J2626">
        <v>47.9</v>
      </c>
      <c r="K2626">
        <v>20</v>
      </c>
      <c r="L2626">
        <v>20.399999999999999</v>
      </c>
      <c r="M2626">
        <v>18.5</v>
      </c>
      <c r="N2626">
        <v>32.5</v>
      </c>
      <c r="O2626">
        <v>43.8</v>
      </c>
      <c r="P2626">
        <v>27</v>
      </c>
      <c r="Q2626">
        <v>51.6</v>
      </c>
      <c r="R2626">
        <v>49.1</v>
      </c>
      <c r="S2626">
        <v>30.3</v>
      </c>
      <c r="T2626">
        <v>30.8</v>
      </c>
      <c r="U2626">
        <v>77.099999999999994</v>
      </c>
      <c r="V2626">
        <v>-9.1999999999999993</v>
      </c>
      <c r="W2626" cm="1">
        <f t="array" ref="W2626">_xlfn.IFS(OR(X2626="N/A",X2626="NA"),0,OR(X2626="R64",X2626="R68"),1,X2626="R32",2,X2626="S16",3,X2626="E8",4,X2626="F4",5,X2626="2ND",6,X2626="Champions",7)</f>
        <v>0</v>
      </c>
      <c r="X2626" t="s">
        <v>425</v>
      </c>
      <c r="Y2626" t="s">
        <v>90</v>
      </c>
      <c r="Z2626">
        <v>2021</v>
      </c>
    </row>
    <row r="2627" spans="1:26" x14ac:dyDescent="0.3">
      <c r="A2627" t="s">
        <v>116</v>
      </c>
      <c r="B2627" t="s">
        <v>112</v>
      </c>
      <c r="C2627">
        <v>22</v>
      </c>
      <c r="D2627">
        <v>9</v>
      </c>
      <c r="E2627" s="1">
        <f t="shared" ref="E2627:E2690" si="41">D2627/C2627</f>
        <v>0.40909090909090912</v>
      </c>
      <c r="F2627">
        <v>94.3</v>
      </c>
      <c r="G2627">
        <v>100.7</v>
      </c>
      <c r="H2627">
        <v>0.31780000000000003</v>
      </c>
      <c r="I2627">
        <v>46</v>
      </c>
      <c r="J2627">
        <v>48.3</v>
      </c>
      <c r="K2627">
        <v>20.100000000000001</v>
      </c>
      <c r="L2627">
        <v>18.8</v>
      </c>
      <c r="M2627">
        <v>30.3</v>
      </c>
      <c r="N2627">
        <v>27.1</v>
      </c>
      <c r="O2627">
        <v>33</v>
      </c>
      <c r="P2627">
        <v>29.6</v>
      </c>
      <c r="Q2627">
        <v>47.3</v>
      </c>
      <c r="R2627">
        <v>46.6</v>
      </c>
      <c r="S2627">
        <v>29.2</v>
      </c>
      <c r="T2627">
        <v>33.9</v>
      </c>
      <c r="U2627">
        <v>66.900000000000006</v>
      </c>
      <c r="V2627">
        <v>-11.2</v>
      </c>
      <c r="W2627" cm="1">
        <f t="array" ref="W2627">_xlfn.IFS(OR(X2627="N/A",X2627="NA"),0,OR(X2627="R64",X2627="R68"),1,X2627="R32",2,X2627="S16",3,X2627="E8",4,X2627="F4",5,X2627="2ND",6,X2627="Champions",7)</f>
        <v>0</v>
      </c>
      <c r="X2627" t="s">
        <v>425</v>
      </c>
      <c r="Y2627" t="s">
        <v>90</v>
      </c>
      <c r="Z2627">
        <v>2021</v>
      </c>
    </row>
    <row r="2628" spans="1:26" x14ac:dyDescent="0.3">
      <c r="A2628" t="s">
        <v>144</v>
      </c>
      <c r="B2628" t="s">
        <v>31</v>
      </c>
      <c r="C2628">
        <v>23</v>
      </c>
      <c r="D2628">
        <v>9</v>
      </c>
      <c r="E2628" s="1">
        <f t="shared" si="41"/>
        <v>0.39130434782608697</v>
      </c>
      <c r="F2628">
        <v>103.8</v>
      </c>
      <c r="G2628">
        <v>94.1</v>
      </c>
      <c r="H2628">
        <v>0.75760000000000005</v>
      </c>
      <c r="I2628">
        <v>50.3</v>
      </c>
      <c r="J2628">
        <v>50.2</v>
      </c>
      <c r="K2628">
        <v>17.2</v>
      </c>
      <c r="L2628">
        <v>17.899999999999999</v>
      </c>
      <c r="M2628">
        <v>19.899999999999999</v>
      </c>
      <c r="N2628">
        <v>25.8</v>
      </c>
      <c r="O2628">
        <v>26.8</v>
      </c>
      <c r="P2628">
        <v>33.700000000000003</v>
      </c>
      <c r="Q2628">
        <v>49.1</v>
      </c>
      <c r="R2628">
        <v>50.5</v>
      </c>
      <c r="S2628">
        <v>34.6</v>
      </c>
      <c r="T2628">
        <v>33.200000000000003</v>
      </c>
      <c r="U2628">
        <v>68.599999999999994</v>
      </c>
      <c r="V2628">
        <v>-2.9</v>
      </c>
      <c r="W2628" cm="1">
        <f t="array" ref="W2628">_xlfn.IFS(OR(X2628="N/A",X2628="NA"),0,OR(X2628="R64",X2628="R68"),1,X2628="R32",2,X2628="S16",3,X2628="E8",4,X2628="F4",5,X2628="2ND",6,X2628="Champions",7)</f>
        <v>0</v>
      </c>
      <c r="X2628" t="s">
        <v>425</v>
      </c>
      <c r="Y2628" t="s">
        <v>90</v>
      </c>
      <c r="Z2628">
        <v>2021</v>
      </c>
    </row>
    <row r="2629" spans="1:26" x14ac:dyDescent="0.3">
      <c r="A2629" t="s">
        <v>179</v>
      </c>
      <c r="B2629" t="s">
        <v>74</v>
      </c>
      <c r="C2629">
        <v>24</v>
      </c>
      <c r="D2629">
        <v>9</v>
      </c>
      <c r="E2629" s="1">
        <f t="shared" si="41"/>
        <v>0.375</v>
      </c>
      <c r="F2629">
        <v>96.3</v>
      </c>
      <c r="G2629">
        <v>106.4</v>
      </c>
      <c r="H2629">
        <v>0.2417</v>
      </c>
      <c r="I2629">
        <v>45.8</v>
      </c>
      <c r="J2629">
        <v>52.4</v>
      </c>
      <c r="K2629">
        <v>18.600000000000001</v>
      </c>
      <c r="L2629">
        <v>20.100000000000001</v>
      </c>
      <c r="M2629">
        <v>32</v>
      </c>
      <c r="N2629">
        <v>28.2</v>
      </c>
      <c r="O2629">
        <v>38.299999999999997</v>
      </c>
      <c r="P2629">
        <v>34.1</v>
      </c>
      <c r="Q2629">
        <v>46.7</v>
      </c>
      <c r="R2629">
        <v>51.7</v>
      </c>
      <c r="S2629">
        <v>29</v>
      </c>
      <c r="T2629">
        <v>35.4</v>
      </c>
      <c r="U2629">
        <v>66.400000000000006</v>
      </c>
      <c r="V2629">
        <v>-11.9</v>
      </c>
      <c r="W2629" cm="1">
        <f t="array" ref="W2629">_xlfn.IFS(OR(X2629="N/A",X2629="NA"),0,OR(X2629="R64",X2629="R68"),1,X2629="R32",2,X2629="S16",3,X2629="E8",4,X2629="F4",5,X2629="2ND",6,X2629="Champions",7)</f>
        <v>0</v>
      </c>
      <c r="X2629" t="s">
        <v>425</v>
      </c>
      <c r="Y2629" t="s">
        <v>90</v>
      </c>
      <c r="Z2629">
        <v>2021</v>
      </c>
    </row>
    <row r="2630" spans="1:26" x14ac:dyDescent="0.3">
      <c r="A2630" t="s">
        <v>296</v>
      </c>
      <c r="B2630" t="s">
        <v>77</v>
      </c>
      <c r="C2630">
        <v>24</v>
      </c>
      <c r="D2630">
        <v>9</v>
      </c>
      <c r="E2630" s="1">
        <f t="shared" si="41"/>
        <v>0.375</v>
      </c>
      <c r="F2630">
        <v>101.6</v>
      </c>
      <c r="G2630">
        <v>110.9</v>
      </c>
      <c r="H2630">
        <v>0.26840000000000003</v>
      </c>
      <c r="I2630">
        <v>51.9</v>
      </c>
      <c r="J2630">
        <v>53</v>
      </c>
      <c r="K2630">
        <v>19.5</v>
      </c>
      <c r="L2630">
        <v>19.3</v>
      </c>
      <c r="M2630">
        <v>28.7</v>
      </c>
      <c r="N2630">
        <v>33.200000000000003</v>
      </c>
      <c r="O2630">
        <v>31.1</v>
      </c>
      <c r="P2630">
        <v>33.9</v>
      </c>
      <c r="Q2630">
        <v>49.4</v>
      </c>
      <c r="R2630">
        <v>54.8</v>
      </c>
      <c r="S2630">
        <v>37.5</v>
      </c>
      <c r="T2630">
        <v>33.5</v>
      </c>
      <c r="U2630">
        <v>71</v>
      </c>
      <c r="V2630">
        <v>-12</v>
      </c>
      <c r="W2630" cm="1">
        <f t="array" ref="W2630">_xlfn.IFS(OR(X2630="N/A",X2630="NA"),0,OR(X2630="R64",X2630="R68"),1,X2630="R32",2,X2630="S16",3,X2630="E8",4,X2630="F4",5,X2630="2ND",6,X2630="Champions",7)</f>
        <v>0</v>
      </c>
      <c r="X2630" t="s">
        <v>425</v>
      </c>
      <c r="Y2630" t="s">
        <v>90</v>
      </c>
      <c r="Z2630">
        <v>2021</v>
      </c>
    </row>
    <row r="2631" spans="1:26" x14ac:dyDescent="0.3">
      <c r="A2631" t="s">
        <v>39</v>
      </c>
      <c r="B2631" t="s">
        <v>29</v>
      </c>
      <c r="C2631">
        <v>25</v>
      </c>
      <c r="D2631">
        <v>9</v>
      </c>
      <c r="E2631" s="1">
        <f t="shared" si="41"/>
        <v>0.36</v>
      </c>
      <c r="F2631">
        <v>108.5</v>
      </c>
      <c r="G2631">
        <v>93.3</v>
      </c>
      <c r="H2631">
        <v>0.85040000000000004</v>
      </c>
      <c r="I2631">
        <v>47.1</v>
      </c>
      <c r="J2631">
        <v>46.7</v>
      </c>
      <c r="K2631">
        <v>19.8</v>
      </c>
      <c r="L2631">
        <v>17.899999999999999</v>
      </c>
      <c r="M2631">
        <v>32.6</v>
      </c>
      <c r="N2631">
        <v>30.5</v>
      </c>
      <c r="O2631">
        <v>34.5</v>
      </c>
      <c r="P2631">
        <v>29.7</v>
      </c>
      <c r="Q2631">
        <v>45.5</v>
      </c>
      <c r="R2631">
        <v>46.6</v>
      </c>
      <c r="S2631">
        <v>33.700000000000003</v>
      </c>
      <c r="T2631">
        <v>31.2</v>
      </c>
      <c r="U2631">
        <v>68.3</v>
      </c>
      <c r="V2631">
        <v>-3.9</v>
      </c>
      <c r="W2631" cm="1">
        <f t="array" ref="W2631">_xlfn.IFS(OR(X2631="N/A",X2631="NA"),0,OR(X2631="R64",X2631="R68"),1,X2631="R32",2,X2631="S16",3,X2631="E8",4,X2631="F4",5,X2631="2ND",6,X2631="Champions",7)</f>
        <v>0</v>
      </c>
      <c r="X2631" t="s">
        <v>425</v>
      </c>
      <c r="Y2631" t="s">
        <v>90</v>
      </c>
      <c r="Z2631">
        <v>2021</v>
      </c>
    </row>
    <row r="2632" spans="1:26" x14ac:dyDescent="0.3">
      <c r="A2632" t="s">
        <v>94</v>
      </c>
      <c r="B2632" t="s">
        <v>45</v>
      </c>
      <c r="C2632">
        <v>24</v>
      </c>
      <c r="D2632">
        <v>9</v>
      </c>
      <c r="E2632" s="1">
        <f t="shared" si="41"/>
        <v>0.375</v>
      </c>
      <c r="F2632">
        <v>101.9</v>
      </c>
      <c r="G2632">
        <v>105.3</v>
      </c>
      <c r="H2632">
        <v>0.40579999999999999</v>
      </c>
      <c r="I2632">
        <v>50.1</v>
      </c>
      <c r="J2632">
        <v>52.1</v>
      </c>
      <c r="K2632">
        <v>20.7</v>
      </c>
      <c r="L2632">
        <v>19.399999999999999</v>
      </c>
      <c r="M2632">
        <v>26.9</v>
      </c>
      <c r="N2632">
        <v>29.1</v>
      </c>
      <c r="O2632">
        <v>24.3</v>
      </c>
      <c r="P2632">
        <v>36.1</v>
      </c>
      <c r="Q2632">
        <v>49.9</v>
      </c>
      <c r="R2632">
        <v>53.8</v>
      </c>
      <c r="S2632">
        <v>33.6</v>
      </c>
      <c r="T2632">
        <v>32.9</v>
      </c>
      <c r="U2632">
        <v>68.8</v>
      </c>
      <c r="V2632">
        <v>-8.6999999999999993</v>
      </c>
      <c r="W2632" cm="1">
        <f t="array" ref="W2632">_xlfn.IFS(OR(X2632="N/A",X2632="NA"),0,OR(X2632="R64",X2632="R68"),1,X2632="R32",2,X2632="S16",3,X2632="E8",4,X2632="F4",5,X2632="2ND",6,X2632="Champions",7)</f>
        <v>0</v>
      </c>
      <c r="X2632" t="s">
        <v>425</v>
      </c>
      <c r="Y2632" t="s">
        <v>90</v>
      </c>
      <c r="Z2632">
        <v>2021</v>
      </c>
    </row>
    <row r="2633" spans="1:26" x14ac:dyDescent="0.3">
      <c r="A2633" t="s">
        <v>207</v>
      </c>
      <c r="B2633" t="s">
        <v>40</v>
      </c>
      <c r="C2633">
        <v>24</v>
      </c>
      <c r="D2633">
        <v>9</v>
      </c>
      <c r="E2633" s="1">
        <f t="shared" si="41"/>
        <v>0.375</v>
      </c>
      <c r="F2633">
        <v>95.9</v>
      </c>
      <c r="G2633">
        <v>103.7</v>
      </c>
      <c r="H2633">
        <v>0.2893</v>
      </c>
      <c r="I2633">
        <v>49.2</v>
      </c>
      <c r="J2633">
        <v>50.9</v>
      </c>
      <c r="K2633">
        <v>20.100000000000001</v>
      </c>
      <c r="L2633">
        <v>18.399999999999999</v>
      </c>
      <c r="M2633">
        <v>21.6</v>
      </c>
      <c r="N2633">
        <v>24.7</v>
      </c>
      <c r="O2633">
        <v>37.200000000000003</v>
      </c>
      <c r="P2633">
        <v>23.4</v>
      </c>
      <c r="Q2633">
        <v>49.3</v>
      </c>
      <c r="R2633">
        <v>52.9</v>
      </c>
      <c r="S2633">
        <v>32.700000000000003</v>
      </c>
      <c r="T2633">
        <v>31.8</v>
      </c>
      <c r="U2633">
        <v>62.9</v>
      </c>
      <c r="V2633">
        <v>-11.6</v>
      </c>
      <c r="W2633" cm="1">
        <f t="array" ref="W2633">_xlfn.IFS(OR(X2633="N/A",X2633="NA"),0,OR(X2633="R64",X2633="R68"),1,X2633="R32",2,X2633="S16",3,X2633="E8",4,X2633="F4",5,X2633="2ND",6,X2633="Champions",7)</f>
        <v>0</v>
      </c>
      <c r="X2633" t="s">
        <v>425</v>
      </c>
      <c r="Y2633" t="s">
        <v>90</v>
      </c>
      <c r="Z2633">
        <v>2021</v>
      </c>
    </row>
    <row r="2634" spans="1:26" x14ac:dyDescent="0.3">
      <c r="A2634" t="s">
        <v>277</v>
      </c>
      <c r="B2634" t="s">
        <v>47</v>
      </c>
      <c r="C2634">
        <v>25</v>
      </c>
      <c r="D2634">
        <v>9</v>
      </c>
      <c r="E2634" s="1">
        <f t="shared" si="41"/>
        <v>0.36</v>
      </c>
      <c r="F2634">
        <v>105.1</v>
      </c>
      <c r="G2634">
        <v>110</v>
      </c>
      <c r="H2634">
        <v>0.37319999999999998</v>
      </c>
      <c r="I2634">
        <v>53.2</v>
      </c>
      <c r="J2634">
        <v>57.4</v>
      </c>
      <c r="K2634">
        <v>17.2</v>
      </c>
      <c r="L2634">
        <v>18.3</v>
      </c>
      <c r="M2634">
        <v>19.100000000000001</v>
      </c>
      <c r="N2634">
        <v>24.1</v>
      </c>
      <c r="O2634">
        <v>25.4</v>
      </c>
      <c r="P2634">
        <v>34.299999999999997</v>
      </c>
      <c r="Q2634">
        <v>50</v>
      </c>
      <c r="R2634">
        <v>55.7</v>
      </c>
      <c r="S2634">
        <v>37.700000000000003</v>
      </c>
      <c r="T2634">
        <v>41</v>
      </c>
      <c r="U2634">
        <v>62.3</v>
      </c>
      <c r="V2634">
        <v>-10.4</v>
      </c>
      <c r="W2634" cm="1">
        <f t="array" ref="W2634">_xlfn.IFS(OR(X2634="N/A",X2634="NA"),0,OR(X2634="R64",X2634="R68"),1,X2634="R32",2,X2634="S16",3,X2634="E8",4,X2634="F4",5,X2634="2ND",6,X2634="Champions",7)</f>
        <v>0</v>
      </c>
      <c r="X2634" t="s">
        <v>425</v>
      </c>
      <c r="Y2634" t="s">
        <v>90</v>
      </c>
      <c r="Z2634">
        <v>2021</v>
      </c>
    </row>
    <row r="2635" spans="1:26" x14ac:dyDescent="0.3">
      <c r="A2635" t="s">
        <v>363</v>
      </c>
      <c r="B2635" t="s">
        <v>29</v>
      </c>
      <c r="C2635">
        <v>25</v>
      </c>
      <c r="D2635">
        <v>9</v>
      </c>
      <c r="E2635" s="1">
        <f t="shared" si="41"/>
        <v>0.36</v>
      </c>
      <c r="F2635">
        <v>108.6</v>
      </c>
      <c r="G2635">
        <v>100.1</v>
      </c>
      <c r="H2635">
        <v>0.71850000000000003</v>
      </c>
      <c r="I2635">
        <v>51.2</v>
      </c>
      <c r="J2635">
        <v>52.1</v>
      </c>
      <c r="K2635">
        <v>19.8</v>
      </c>
      <c r="L2635">
        <v>19.8</v>
      </c>
      <c r="M2635">
        <v>28.1</v>
      </c>
      <c r="N2635">
        <v>28.5</v>
      </c>
      <c r="O2635">
        <v>32.9</v>
      </c>
      <c r="P2635">
        <v>33.700000000000003</v>
      </c>
      <c r="Q2635">
        <v>50.2</v>
      </c>
      <c r="R2635">
        <v>52.9</v>
      </c>
      <c r="S2635">
        <v>34.9</v>
      </c>
      <c r="T2635">
        <v>33.799999999999997</v>
      </c>
      <c r="U2635">
        <v>68.5</v>
      </c>
      <c r="V2635">
        <v>-5.8</v>
      </c>
      <c r="W2635" cm="1">
        <f t="array" ref="W2635">_xlfn.IFS(OR(X2635="N/A",X2635="NA"),0,OR(X2635="R64",X2635="R68"),1,X2635="R32",2,X2635="S16",3,X2635="E8",4,X2635="F4",5,X2635="2ND",6,X2635="Champions",7)</f>
        <v>0</v>
      </c>
      <c r="X2635" t="s">
        <v>425</v>
      </c>
      <c r="Y2635" t="s">
        <v>90</v>
      </c>
      <c r="Z2635">
        <v>2021</v>
      </c>
    </row>
    <row r="2636" spans="1:26" x14ac:dyDescent="0.3">
      <c r="A2636" t="s">
        <v>208</v>
      </c>
      <c r="B2636" t="s">
        <v>40</v>
      </c>
      <c r="C2636">
        <v>22</v>
      </c>
      <c r="D2636">
        <v>9</v>
      </c>
      <c r="E2636" s="1">
        <f t="shared" si="41"/>
        <v>0.40909090909090912</v>
      </c>
      <c r="F2636">
        <v>96.5</v>
      </c>
      <c r="G2636">
        <v>107.9</v>
      </c>
      <c r="H2636">
        <v>0.2165</v>
      </c>
      <c r="I2636">
        <v>50.5</v>
      </c>
      <c r="J2636">
        <v>53.9</v>
      </c>
      <c r="K2636">
        <v>20.9</v>
      </c>
      <c r="L2636">
        <v>21.5</v>
      </c>
      <c r="M2636">
        <v>25.8</v>
      </c>
      <c r="N2636">
        <v>33.6</v>
      </c>
      <c r="O2636">
        <v>24</v>
      </c>
      <c r="P2636">
        <v>34.700000000000003</v>
      </c>
      <c r="Q2636">
        <v>51.9</v>
      </c>
      <c r="R2636">
        <v>53.2</v>
      </c>
      <c r="S2636">
        <v>32.700000000000003</v>
      </c>
      <c r="T2636">
        <v>36.9</v>
      </c>
      <c r="U2636">
        <v>70.599999999999994</v>
      </c>
      <c r="V2636">
        <v>-13.7</v>
      </c>
      <c r="W2636" cm="1">
        <f t="array" ref="W2636">_xlfn.IFS(OR(X2636="N/A",X2636="NA"),0,OR(X2636="R64",X2636="R68"),1,X2636="R32",2,X2636="S16",3,X2636="E8",4,X2636="F4",5,X2636="2ND",6,X2636="Champions",7)</f>
        <v>0</v>
      </c>
      <c r="X2636" t="s">
        <v>425</v>
      </c>
      <c r="Y2636" t="s">
        <v>90</v>
      </c>
      <c r="Z2636">
        <v>2021</v>
      </c>
    </row>
    <row r="2637" spans="1:26" x14ac:dyDescent="0.3">
      <c r="A2637" t="s">
        <v>310</v>
      </c>
      <c r="B2637" t="s">
        <v>64</v>
      </c>
      <c r="C2637">
        <v>25</v>
      </c>
      <c r="D2637">
        <v>9</v>
      </c>
      <c r="E2637" s="1">
        <f t="shared" si="41"/>
        <v>0.36</v>
      </c>
      <c r="F2637">
        <v>93</v>
      </c>
      <c r="G2637">
        <v>107.5</v>
      </c>
      <c r="H2637">
        <v>0.16020000000000001</v>
      </c>
      <c r="I2637">
        <v>49.2</v>
      </c>
      <c r="J2637">
        <v>52.6</v>
      </c>
      <c r="K2637">
        <v>22.8</v>
      </c>
      <c r="L2637">
        <v>19.600000000000001</v>
      </c>
      <c r="M2637">
        <v>26.7</v>
      </c>
      <c r="N2637">
        <v>31.8</v>
      </c>
      <c r="O2637">
        <v>33.200000000000003</v>
      </c>
      <c r="P2637">
        <v>33.700000000000003</v>
      </c>
      <c r="Q2637">
        <v>50.5</v>
      </c>
      <c r="R2637">
        <v>53.4</v>
      </c>
      <c r="S2637">
        <v>31.2</v>
      </c>
      <c r="T2637">
        <v>34.200000000000003</v>
      </c>
      <c r="U2637">
        <v>68.400000000000006</v>
      </c>
      <c r="V2637">
        <v>-13</v>
      </c>
      <c r="W2637" cm="1">
        <f t="array" ref="W2637">_xlfn.IFS(OR(X2637="N/A",X2637="NA"),0,OR(X2637="R64",X2637="R68"),1,X2637="R32",2,X2637="S16",3,X2637="E8",4,X2637="F4",5,X2637="2ND",6,X2637="Champions",7)</f>
        <v>0</v>
      </c>
      <c r="X2637" t="s">
        <v>425</v>
      </c>
      <c r="Y2637" t="s">
        <v>90</v>
      </c>
      <c r="Z2637">
        <v>2021</v>
      </c>
    </row>
    <row r="2638" spans="1:26" x14ac:dyDescent="0.3">
      <c r="A2638" t="s">
        <v>168</v>
      </c>
      <c r="B2638" t="s">
        <v>72</v>
      </c>
      <c r="C2638">
        <v>26</v>
      </c>
      <c r="D2638">
        <v>9</v>
      </c>
      <c r="E2638" s="1">
        <f t="shared" si="41"/>
        <v>0.34615384615384615</v>
      </c>
      <c r="F2638">
        <v>97.1</v>
      </c>
      <c r="G2638">
        <v>108.7</v>
      </c>
      <c r="H2638">
        <v>0.21460000000000001</v>
      </c>
      <c r="I2638">
        <v>49.4</v>
      </c>
      <c r="J2638">
        <v>53.2</v>
      </c>
      <c r="K2638">
        <v>18.7</v>
      </c>
      <c r="L2638">
        <v>16.899999999999999</v>
      </c>
      <c r="M2638">
        <v>23.5</v>
      </c>
      <c r="N2638">
        <v>26.6</v>
      </c>
      <c r="O2638">
        <v>34.6</v>
      </c>
      <c r="P2638">
        <v>30.4</v>
      </c>
      <c r="Q2638">
        <v>48.7</v>
      </c>
      <c r="R2638">
        <v>51.1</v>
      </c>
      <c r="S2638">
        <v>33.700000000000003</v>
      </c>
      <c r="T2638">
        <v>38.4</v>
      </c>
      <c r="U2638">
        <v>67.5</v>
      </c>
      <c r="V2638">
        <v>-13</v>
      </c>
      <c r="W2638" cm="1">
        <f t="array" ref="W2638">_xlfn.IFS(OR(X2638="N/A",X2638="NA"),0,OR(X2638="R64",X2638="R68"),1,X2638="R32",2,X2638="S16",3,X2638="E8",4,X2638="F4",5,X2638="2ND",6,X2638="Champions",7)</f>
        <v>0</v>
      </c>
      <c r="X2638" t="s">
        <v>425</v>
      </c>
      <c r="Y2638" t="s">
        <v>90</v>
      </c>
      <c r="Z2638">
        <v>2021</v>
      </c>
    </row>
    <row r="2639" spans="1:26" x14ac:dyDescent="0.3">
      <c r="A2639" t="s">
        <v>305</v>
      </c>
      <c r="B2639" t="s">
        <v>64</v>
      </c>
      <c r="C2639">
        <v>27</v>
      </c>
      <c r="D2639">
        <v>9</v>
      </c>
      <c r="E2639" s="1">
        <f t="shared" si="41"/>
        <v>0.33333333333333331</v>
      </c>
      <c r="F2639">
        <v>94.8</v>
      </c>
      <c r="G2639">
        <v>108.5</v>
      </c>
      <c r="H2639">
        <v>0.1754</v>
      </c>
      <c r="I2639">
        <v>49.3</v>
      </c>
      <c r="J2639">
        <v>51.9</v>
      </c>
      <c r="K2639">
        <v>20</v>
      </c>
      <c r="L2639">
        <v>18.7</v>
      </c>
      <c r="M2639">
        <v>28.8</v>
      </c>
      <c r="N2639">
        <v>29.6</v>
      </c>
      <c r="O2639">
        <v>25.7</v>
      </c>
      <c r="P2639">
        <v>31</v>
      </c>
      <c r="Q2639">
        <v>49.7</v>
      </c>
      <c r="R2639">
        <v>50.3</v>
      </c>
      <c r="S2639">
        <v>32.4</v>
      </c>
      <c r="T2639">
        <v>36.299999999999997</v>
      </c>
      <c r="U2639">
        <v>69.099999999999994</v>
      </c>
      <c r="V2639">
        <v>-13.8</v>
      </c>
      <c r="W2639" cm="1">
        <f t="array" ref="W2639">_xlfn.IFS(OR(X2639="N/A",X2639="NA"),0,OR(X2639="R64",X2639="R68"),1,X2639="R32",2,X2639="S16",3,X2639="E8",4,X2639="F4",5,X2639="2ND",6,X2639="Champions",7)</f>
        <v>0</v>
      </c>
      <c r="X2639" t="s">
        <v>425</v>
      </c>
      <c r="Y2639" t="s">
        <v>90</v>
      </c>
      <c r="Z2639">
        <v>2021</v>
      </c>
    </row>
    <row r="2640" spans="1:26" x14ac:dyDescent="0.3">
      <c r="A2640" t="s">
        <v>68</v>
      </c>
      <c r="B2640" t="s">
        <v>35</v>
      </c>
      <c r="C2640">
        <v>28</v>
      </c>
      <c r="D2640">
        <v>9</v>
      </c>
      <c r="E2640" s="1">
        <f t="shared" si="41"/>
        <v>0.32142857142857145</v>
      </c>
      <c r="F2640">
        <v>97.8</v>
      </c>
      <c r="G2640">
        <v>97.1</v>
      </c>
      <c r="H2640">
        <v>0.52100000000000002</v>
      </c>
      <c r="I2640">
        <v>47.2</v>
      </c>
      <c r="J2640">
        <v>53</v>
      </c>
      <c r="K2640">
        <v>22.3</v>
      </c>
      <c r="L2640">
        <v>19.7</v>
      </c>
      <c r="M2640">
        <v>29.9</v>
      </c>
      <c r="N2640">
        <v>27.9</v>
      </c>
      <c r="O2640">
        <v>27.9</v>
      </c>
      <c r="P2640">
        <v>32.200000000000003</v>
      </c>
      <c r="Q2640">
        <v>48.7</v>
      </c>
      <c r="R2640">
        <v>52</v>
      </c>
      <c r="S2640">
        <v>30</v>
      </c>
      <c r="T2640">
        <v>36.299999999999997</v>
      </c>
      <c r="U2640">
        <v>65.8</v>
      </c>
      <c r="V2640">
        <v>-8.1999999999999993</v>
      </c>
      <c r="W2640" cm="1">
        <f t="array" ref="W2640">_xlfn.IFS(OR(X2640="N/A",X2640="NA"),0,OR(X2640="R64",X2640="R68"),1,X2640="R32",2,X2640="S16",3,X2640="E8",4,X2640="F4",5,X2640="2ND",6,X2640="Champions",7)</f>
        <v>0</v>
      </c>
      <c r="X2640" t="s">
        <v>425</v>
      </c>
      <c r="Y2640" t="s">
        <v>90</v>
      </c>
      <c r="Z2640">
        <v>2021</v>
      </c>
    </row>
    <row r="2641" spans="1:26" x14ac:dyDescent="0.3">
      <c r="A2641" t="s">
        <v>317</v>
      </c>
      <c r="B2641" t="s">
        <v>38</v>
      </c>
      <c r="C2641">
        <v>28</v>
      </c>
      <c r="D2641">
        <v>9</v>
      </c>
      <c r="E2641" s="1">
        <f t="shared" si="41"/>
        <v>0.32142857142857145</v>
      </c>
      <c r="F2641">
        <v>102.7</v>
      </c>
      <c r="G2641">
        <v>100.9</v>
      </c>
      <c r="H2641">
        <v>0.54979999999999996</v>
      </c>
      <c r="I2641">
        <v>49.4</v>
      </c>
      <c r="J2641">
        <v>53</v>
      </c>
      <c r="K2641">
        <v>19.3</v>
      </c>
      <c r="L2641">
        <v>17.600000000000001</v>
      </c>
      <c r="M2641">
        <v>24.3</v>
      </c>
      <c r="N2641">
        <v>25.1</v>
      </c>
      <c r="O2641">
        <v>34</v>
      </c>
      <c r="P2641">
        <v>34</v>
      </c>
      <c r="Q2641">
        <v>49.5</v>
      </c>
      <c r="R2641">
        <v>51.1</v>
      </c>
      <c r="S2641">
        <v>32.9</v>
      </c>
      <c r="T2641">
        <v>37.9</v>
      </c>
      <c r="U2641">
        <v>65.099999999999994</v>
      </c>
      <c r="V2641">
        <v>-9.6999999999999993</v>
      </c>
      <c r="W2641" cm="1">
        <f t="array" ref="W2641">_xlfn.IFS(OR(X2641="N/A",X2641="NA"),0,OR(X2641="R64",X2641="R68"),1,X2641="R32",2,X2641="S16",3,X2641="E8",4,X2641="F4",5,X2641="2ND",6,X2641="Champions",7)</f>
        <v>0</v>
      </c>
      <c r="X2641" t="s">
        <v>425</v>
      </c>
      <c r="Y2641" t="s">
        <v>90</v>
      </c>
      <c r="Z2641">
        <v>2021</v>
      </c>
    </row>
    <row r="2642" spans="1:26" x14ac:dyDescent="0.3">
      <c r="A2642" t="s">
        <v>119</v>
      </c>
      <c r="B2642" t="s">
        <v>112</v>
      </c>
      <c r="C2642">
        <v>15</v>
      </c>
      <c r="D2642">
        <v>10</v>
      </c>
      <c r="E2642" s="1">
        <f t="shared" si="41"/>
        <v>0.66666666666666663</v>
      </c>
      <c r="F2642">
        <v>105.3</v>
      </c>
      <c r="G2642">
        <v>102.6</v>
      </c>
      <c r="H2642">
        <v>0.57530000000000003</v>
      </c>
      <c r="I2642">
        <v>53.3</v>
      </c>
      <c r="J2642">
        <v>47</v>
      </c>
      <c r="K2642">
        <v>18.100000000000001</v>
      </c>
      <c r="L2642">
        <v>19</v>
      </c>
      <c r="M2642">
        <v>26.6</v>
      </c>
      <c r="N2642">
        <v>23.2</v>
      </c>
      <c r="O2642">
        <v>33</v>
      </c>
      <c r="P2642">
        <v>33.5</v>
      </c>
      <c r="Q2642">
        <v>54.4</v>
      </c>
      <c r="R2642">
        <v>47.1</v>
      </c>
      <c r="S2642">
        <v>34.4</v>
      </c>
      <c r="T2642">
        <v>31.2</v>
      </c>
      <c r="U2642">
        <v>66.400000000000006</v>
      </c>
      <c r="V2642">
        <v>-3.8</v>
      </c>
      <c r="W2642" cm="1">
        <f t="array" ref="W2642">_xlfn.IFS(OR(X2642="N/A",X2642="NA"),0,OR(X2642="R64",X2642="R68"),1,X2642="R32",2,X2642="S16",3,X2642="E8",4,X2642="F4",5,X2642="2ND",6,X2642="Champions",7)</f>
        <v>0</v>
      </c>
      <c r="X2642" t="s">
        <v>425</v>
      </c>
      <c r="Y2642" t="s">
        <v>90</v>
      </c>
      <c r="Z2642">
        <v>2021</v>
      </c>
    </row>
    <row r="2643" spans="1:26" x14ac:dyDescent="0.3">
      <c r="A2643" t="s">
        <v>130</v>
      </c>
      <c r="B2643" t="s">
        <v>131</v>
      </c>
      <c r="C2643">
        <v>16</v>
      </c>
      <c r="D2643">
        <v>10</v>
      </c>
      <c r="E2643" s="1">
        <f t="shared" si="41"/>
        <v>0.625</v>
      </c>
      <c r="F2643">
        <v>92.1</v>
      </c>
      <c r="G2643">
        <v>104.1</v>
      </c>
      <c r="H2643">
        <v>0.1978</v>
      </c>
      <c r="I2643">
        <v>47.7</v>
      </c>
      <c r="J2643">
        <v>48.7</v>
      </c>
      <c r="K2643">
        <v>20.3</v>
      </c>
      <c r="L2643">
        <v>18.8</v>
      </c>
      <c r="M2643">
        <v>28.6</v>
      </c>
      <c r="N2643">
        <v>29.6</v>
      </c>
      <c r="O2643">
        <v>24</v>
      </c>
      <c r="P2643">
        <v>26.7</v>
      </c>
      <c r="Q2643">
        <v>51</v>
      </c>
      <c r="R2643">
        <v>49.5</v>
      </c>
      <c r="S2643">
        <v>28.9</v>
      </c>
      <c r="T2643">
        <v>31.5</v>
      </c>
      <c r="U2643">
        <v>71</v>
      </c>
      <c r="V2643">
        <v>-6.6</v>
      </c>
      <c r="W2643" cm="1">
        <f t="array" ref="W2643">_xlfn.IFS(OR(X2643="N/A",X2643="NA"),0,OR(X2643="R64",X2643="R68"),1,X2643="R32",2,X2643="S16",3,X2643="E8",4,X2643="F4",5,X2643="2ND",6,X2643="Champions",7)</f>
        <v>0</v>
      </c>
      <c r="X2643" t="s">
        <v>425</v>
      </c>
      <c r="Y2643" t="s">
        <v>90</v>
      </c>
      <c r="Z2643">
        <v>2021</v>
      </c>
    </row>
    <row r="2644" spans="1:26" x14ac:dyDescent="0.3">
      <c r="A2644" t="s">
        <v>193</v>
      </c>
      <c r="B2644" t="s">
        <v>48</v>
      </c>
      <c r="C2644">
        <v>17</v>
      </c>
      <c r="D2644">
        <v>10</v>
      </c>
      <c r="E2644" s="1">
        <f t="shared" si="41"/>
        <v>0.58823529411764708</v>
      </c>
      <c r="F2644">
        <v>96.5</v>
      </c>
      <c r="G2644">
        <v>102.6</v>
      </c>
      <c r="H2644">
        <v>0.3322</v>
      </c>
      <c r="I2644">
        <v>48.2</v>
      </c>
      <c r="J2644">
        <v>53</v>
      </c>
      <c r="K2644">
        <v>20.399999999999999</v>
      </c>
      <c r="L2644">
        <v>23.4</v>
      </c>
      <c r="M2644">
        <v>26.9</v>
      </c>
      <c r="N2644">
        <v>27.6</v>
      </c>
      <c r="O2644">
        <v>36.4</v>
      </c>
      <c r="P2644">
        <v>40.6</v>
      </c>
      <c r="Q2644">
        <v>48.3</v>
      </c>
      <c r="R2644">
        <v>52.6</v>
      </c>
      <c r="S2644">
        <v>31.9</v>
      </c>
      <c r="T2644">
        <v>35.799999999999997</v>
      </c>
      <c r="U2644">
        <v>69.5</v>
      </c>
      <c r="V2644">
        <v>-5.9</v>
      </c>
      <c r="W2644" cm="1">
        <f t="array" ref="W2644">_xlfn.IFS(OR(X2644="N/A",X2644="NA"),0,OR(X2644="R64",X2644="R68"),1,X2644="R32",2,X2644="S16",3,X2644="E8",4,X2644="F4",5,X2644="2ND",6,X2644="Champions",7)</f>
        <v>0</v>
      </c>
      <c r="X2644" t="s">
        <v>425</v>
      </c>
      <c r="Y2644" t="s">
        <v>90</v>
      </c>
      <c r="Z2644">
        <v>2021</v>
      </c>
    </row>
    <row r="2645" spans="1:26" x14ac:dyDescent="0.3">
      <c r="A2645" t="s">
        <v>115</v>
      </c>
      <c r="B2645" t="s">
        <v>112</v>
      </c>
      <c r="C2645">
        <v>18</v>
      </c>
      <c r="D2645">
        <v>10</v>
      </c>
      <c r="E2645" s="1">
        <f t="shared" si="41"/>
        <v>0.55555555555555558</v>
      </c>
      <c r="F2645">
        <v>95.8</v>
      </c>
      <c r="G2645">
        <v>106.7</v>
      </c>
      <c r="H2645">
        <v>0.22459999999999999</v>
      </c>
      <c r="I2645">
        <v>45.3</v>
      </c>
      <c r="J2645">
        <v>49.5</v>
      </c>
      <c r="K2645">
        <v>16.3</v>
      </c>
      <c r="L2645">
        <v>17.899999999999999</v>
      </c>
      <c r="M2645">
        <v>27.3</v>
      </c>
      <c r="N2645">
        <v>22</v>
      </c>
      <c r="O2645">
        <v>32.799999999999997</v>
      </c>
      <c r="P2645">
        <v>39.200000000000003</v>
      </c>
      <c r="Q2645">
        <v>44</v>
      </c>
      <c r="R2645">
        <v>48.6</v>
      </c>
      <c r="S2645">
        <v>31.8</v>
      </c>
      <c r="T2645">
        <v>34.1</v>
      </c>
      <c r="U2645">
        <v>66.400000000000006</v>
      </c>
      <c r="V2645">
        <v>-7.6</v>
      </c>
      <c r="W2645" cm="1">
        <f t="array" ref="W2645">_xlfn.IFS(OR(X2645="N/A",X2645="NA"),0,OR(X2645="R64",X2645="R68"),1,X2645="R32",2,X2645="S16",3,X2645="E8",4,X2645="F4",5,X2645="2ND",6,X2645="Champions",7)</f>
        <v>0</v>
      </c>
      <c r="X2645" t="s">
        <v>425</v>
      </c>
      <c r="Y2645" t="s">
        <v>90</v>
      </c>
      <c r="Z2645">
        <v>2021</v>
      </c>
    </row>
    <row r="2646" spans="1:26" x14ac:dyDescent="0.3">
      <c r="A2646" t="s">
        <v>206</v>
      </c>
      <c r="B2646" t="s">
        <v>53</v>
      </c>
      <c r="C2646">
        <v>19</v>
      </c>
      <c r="D2646">
        <v>10</v>
      </c>
      <c r="E2646" s="1">
        <f t="shared" si="41"/>
        <v>0.52631578947368418</v>
      </c>
      <c r="F2646">
        <v>98.1</v>
      </c>
      <c r="G2646">
        <v>98.1</v>
      </c>
      <c r="H2646">
        <v>0.49990000000000001</v>
      </c>
      <c r="I2646">
        <v>51.6</v>
      </c>
      <c r="J2646">
        <v>48.3</v>
      </c>
      <c r="K2646">
        <v>19.5</v>
      </c>
      <c r="L2646">
        <v>17.2</v>
      </c>
      <c r="M2646">
        <v>20.2</v>
      </c>
      <c r="N2646">
        <v>26.3</v>
      </c>
      <c r="O2646">
        <v>26</v>
      </c>
      <c r="P2646">
        <v>29.3</v>
      </c>
      <c r="Q2646">
        <v>50.4</v>
      </c>
      <c r="R2646">
        <v>48.3</v>
      </c>
      <c r="S2646">
        <v>35.4</v>
      </c>
      <c r="T2646">
        <v>32.299999999999997</v>
      </c>
      <c r="U2646">
        <v>67.3</v>
      </c>
      <c r="V2646">
        <v>-4.4000000000000004</v>
      </c>
      <c r="W2646" cm="1">
        <f t="array" ref="W2646">_xlfn.IFS(OR(X2646="N/A",X2646="NA"),0,OR(X2646="R64",X2646="R68"),1,X2646="R32",2,X2646="S16",3,X2646="E8",4,X2646="F4",5,X2646="2ND",6,X2646="Champions",7)</f>
        <v>0</v>
      </c>
      <c r="X2646" t="s">
        <v>425</v>
      </c>
      <c r="Y2646" t="s">
        <v>90</v>
      </c>
      <c r="Z2646">
        <v>2021</v>
      </c>
    </row>
    <row r="2647" spans="1:26" x14ac:dyDescent="0.3">
      <c r="A2647" t="s">
        <v>200</v>
      </c>
      <c r="B2647" t="s">
        <v>53</v>
      </c>
      <c r="C2647">
        <v>18</v>
      </c>
      <c r="D2647">
        <v>10</v>
      </c>
      <c r="E2647" s="1">
        <f t="shared" si="41"/>
        <v>0.55555555555555558</v>
      </c>
      <c r="F2647">
        <v>97.3</v>
      </c>
      <c r="G2647">
        <v>100</v>
      </c>
      <c r="H2647">
        <v>0.42230000000000001</v>
      </c>
      <c r="I2647">
        <v>48.3</v>
      </c>
      <c r="J2647">
        <v>49.6</v>
      </c>
      <c r="K2647">
        <v>17.5</v>
      </c>
      <c r="L2647">
        <v>17.899999999999999</v>
      </c>
      <c r="M2647">
        <v>24.6</v>
      </c>
      <c r="N2647">
        <v>22.7</v>
      </c>
      <c r="O2647">
        <v>23.2</v>
      </c>
      <c r="P2647">
        <v>39.5</v>
      </c>
      <c r="Q2647">
        <v>47.3</v>
      </c>
      <c r="R2647">
        <v>50.4</v>
      </c>
      <c r="S2647">
        <v>33.1</v>
      </c>
      <c r="T2647">
        <v>32.4</v>
      </c>
      <c r="U2647">
        <v>66.2</v>
      </c>
      <c r="V2647">
        <v>-6.4</v>
      </c>
      <c r="W2647" cm="1">
        <f t="array" ref="W2647">_xlfn.IFS(OR(X2647="N/A",X2647="NA"),0,OR(X2647="R64",X2647="R68"),1,X2647="R32",2,X2647="S16",3,X2647="E8",4,X2647="F4",5,X2647="2ND",6,X2647="Champions",7)</f>
        <v>0</v>
      </c>
      <c r="X2647" t="s">
        <v>425</v>
      </c>
      <c r="Y2647" t="s">
        <v>90</v>
      </c>
      <c r="Z2647">
        <v>2021</v>
      </c>
    </row>
    <row r="2648" spans="1:26" x14ac:dyDescent="0.3">
      <c r="A2648" t="s">
        <v>184</v>
      </c>
      <c r="B2648" t="s">
        <v>74</v>
      </c>
      <c r="C2648">
        <v>20</v>
      </c>
      <c r="D2648">
        <v>10</v>
      </c>
      <c r="E2648" s="1">
        <f t="shared" si="41"/>
        <v>0.5</v>
      </c>
      <c r="F2648">
        <v>99.6</v>
      </c>
      <c r="G2648">
        <v>107.2</v>
      </c>
      <c r="H2648">
        <v>0.29849999999999999</v>
      </c>
      <c r="I2648">
        <v>54.6</v>
      </c>
      <c r="J2648">
        <v>49.7</v>
      </c>
      <c r="K2648">
        <v>21.2</v>
      </c>
      <c r="L2648">
        <v>19.7</v>
      </c>
      <c r="M2648">
        <v>26.8</v>
      </c>
      <c r="N2648">
        <v>33.200000000000003</v>
      </c>
      <c r="O2648">
        <v>30.2</v>
      </c>
      <c r="P2648">
        <v>32.299999999999997</v>
      </c>
      <c r="Q2648">
        <v>55.2</v>
      </c>
      <c r="R2648">
        <v>50.2</v>
      </c>
      <c r="S2648">
        <v>35.799999999999997</v>
      </c>
      <c r="T2648">
        <v>32.4</v>
      </c>
      <c r="U2648">
        <v>68.900000000000006</v>
      </c>
      <c r="V2648">
        <v>-7.5</v>
      </c>
      <c r="W2648" cm="1">
        <f t="array" ref="W2648">_xlfn.IFS(OR(X2648="N/A",X2648="NA"),0,OR(X2648="R64",X2648="R68"),1,X2648="R32",2,X2648="S16",3,X2648="E8",4,X2648="F4",5,X2648="2ND",6,X2648="Champions",7)</f>
        <v>0</v>
      </c>
      <c r="X2648" t="s">
        <v>425</v>
      </c>
      <c r="Y2648" t="s">
        <v>90</v>
      </c>
      <c r="Z2648">
        <v>2021</v>
      </c>
    </row>
    <row r="2649" spans="1:26" x14ac:dyDescent="0.3">
      <c r="A2649" t="s">
        <v>429</v>
      </c>
      <c r="B2649" t="s">
        <v>51</v>
      </c>
      <c r="C2649">
        <v>15</v>
      </c>
      <c r="D2649">
        <v>10</v>
      </c>
      <c r="E2649" s="1">
        <f t="shared" si="41"/>
        <v>0.66666666666666663</v>
      </c>
      <c r="F2649">
        <v>98.9</v>
      </c>
      <c r="G2649">
        <v>103.4</v>
      </c>
      <c r="H2649">
        <v>0.376</v>
      </c>
      <c r="I2649">
        <v>48.6</v>
      </c>
      <c r="J2649">
        <v>52.1</v>
      </c>
      <c r="K2649">
        <v>18.399999999999999</v>
      </c>
      <c r="L2649">
        <v>23.4</v>
      </c>
      <c r="M2649">
        <v>19.3</v>
      </c>
      <c r="N2649">
        <v>31.7</v>
      </c>
      <c r="O2649">
        <v>38.1</v>
      </c>
      <c r="P2649">
        <v>45.5</v>
      </c>
      <c r="Q2649">
        <v>45.6</v>
      </c>
      <c r="R2649">
        <v>50</v>
      </c>
      <c r="S2649">
        <v>37.4</v>
      </c>
      <c r="T2649">
        <v>36.299999999999997</v>
      </c>
      <c r="U2649">
        <v>64.599999999999994</v>
      </c>
      <c r="V2649">
        <v>-7.6</v>
      </c>
      <c r="W2649" cm="1">
        <f t="array" ref="W2649">_xlfn.IFS(OR(X2649="N/A",X2649="NA"),0,OR(X2649="R64",X2649="R68"),1,X2649="R32",2,X2649="S16",3,X2649="E8",4,X2649="F4",5,X2649="2ND",6,X2649="Champions",7)</f>
        <v>0</v>
      </c>
      <c r="X2649" t="s">
        <v>425</v>
      </c>
      <c r="Y2649" t="s">
        <v>90</v>
      </c>
      <c r="Z2649">
        <v>2021</v>
      </c>
    </row>
    <row r="2650" spans="1:26" x14ac:dyDescent="0.3">
      <c r="A2650" t="s">
        <v>107</v>
      </c>
      <c r="B2650" t="s">
        <v>26</v>
      </c>
      <c r="C2650">
        <v>22</v>
      </c>
      <c r="D2650">
        <v>10</v>
      </c>
      <c r="E2650" s="1">
        <f t="shared" si="41"/>
        <v>0.45454545454545453</v>
      </c>
      <c r="F2650">
        <v>107.9</v>
      </c>
      <c r="G2650">
        <v>100</v>
      </c>
      <c r="H2650">
        <v>0.70620000000000005</v>
      </c>
      <c r="I2650">
        <v>48.8</v>
      </c>
      <c r="J2650">
        <v>50</v>
      </c>
      <c r="K2650">
        <v>18.3</v>
      </c>
      <c r="L2650">
        <v>17.5</v>
      </c>
      <c r="M2650">
        <v>34.5</v>
      </c>
      <c r="N2650">
        <v>26</v>
      </c>
      <c r="O2650">
        <v>36.9</v>
      </c>
      <c r="P2650">
        <v>33.299999999999997</v>
      </c>
      <c r="Q2650">
        <v>47.8</v>
      </c>
      <c r="R2650">
        <v>51.1</v>
      </c>
      <c r="S2650">
        <v>33.9</v>
      </c>
      <c r="T2650">
        <v>32.299999999999997</v>
      </c>
      <c r="U2650">
        <v>68.7</v>
      </c>
      <c r="V2650">
        <v>-4</v>
      </c>
      <c r="W2650" cm="1">
        <f t="array" ref="W2650">_xlfn.IFS(OR(X2650="N/A",X2650="NA"),0,OR(X2650="R64",X2650="R68"),1,X2650="R32",2,X2650="S16",3,X2650="E8",4,X2650="F4",5,X2650="2ND",6,X2650="Champions",7)</f>
        <v>0</v>
      </c>
      <c r="X2650" t="s">
        <v>425</v>
      </c>
      <c r="Y2650" t="s">
        <v>90</v>
      </c>
      <c r="Z2650">
        <v>2021</v>
      </c>
    </row>
    <row r="2651" spans="1:26" x14ac:dyDescent="0.3">
      <c r="A2651" t="s">
        <v>225</v>
      </c>
      <c r="B2651" t="s">
        <v>43</v>
      </c>
      <c r="C2651">
        <v>22</v>
      </c>
      <c r="D2651">
        <v>10</v>
      </c>
      <c r="E2651" s="1">
        <f t="shared" si="41"/>
        <v>0.45454545454545453</v>
      </c>
      <c r="F2651">
        <v>101.3</v>
      </c>
      <c r="G2651">
        <v>107.9</v>
      </c>
      <c r="H2651">
        <v>0.32479999999999998</v>
      </c>
      <c r="I2651">
        <v>49.5</v>
      </c>
      <c r="J2651">
        <v>52.6</v>
      </c>
      <c r="K2651">
        <v>15.3</v>
      </c>
      <c r="L2651">
        <v>18.600000000000001</v>
      </c>
      <c r="M2651">
        <v>24.3</v>
      </c>
      <c r="N2651">
        <v>26.8</v>
      </c>
      <c r="O2651">
        <v>33.200000000000003</v>
      </c>
      <c r="P2651">
        <v>35</v>
      </c>
      <c r="Q2651">
        <v>49.7</v>
      </c>
      <c r="R2651">
        <v>49.9</v>
      </c>
      <c r="S2651">
        <v>32.9</v>
      </c>
      <c r="T2651">
        <v>37.9</v>
      </c>
      <c r="U2651">
        <v>69.599999999999994</v>
      </c>
      <c r="V2651">
        <v>-8.8000000000000007</v>
      </c>
      <c r="W2651" cm="1">
        <f t="array" ref="W2651">_xlfn.IFS(OR(X2651="N/A",X2651="NA"),0,OR(X2651="R64",X2651="R68"),1,X2651="R32",2,X2651="S16",3,X2651="E8",4,X2651="F4",5,X2651="2ND",6,X2651="Champions",7)</f>
        <v>0</v>
      </c>
      <c r="X2651" t="s">
        <v>425</v>
      </c>
      <c r="Y2651" t="s">
        <v>90</v>
      </c>
      <c r="Z2651">
        <v>2021</v>
      </c>
    </row>
    <row r="2652" spans="1:26" x14ac:dyDescent="0.3">
      <c r="A2652" t="s">
        <v>126</v>
      </c>
      <c r="B2652" t="s">
        <v>50</v>
      </c>
      <c r="C2652">
        <v>23</v>
      </c>
      <c r="D2652">
        <v>10</v>
      </c>
      <c r="E2652" s="1">
        <f t="shared" si="41"/>
        <v>0.43478260869565216</v>
      </c>
      <c r="F2652">
        <v>98.7</v>
      </c>
      <c r="G2652">
        <v>97.4</v>
      </c>
      <c r="H2652">
        <v>0.5353</v>
      </c>
      <c r="I2652">
        <v>44.2</v>
      </c>
      <c r="J2652">
        <v>49.7</v>
      </c>
      <c r="K2652">
        <v>16.600000000000001</v>
      </c>
      <c r="L2652">
        <v>22.1</v>
      </c>
      <c r="M2652">
        <v>22.9</v>
      </c>
      <c r="N2652">
        <v>30.6</v>
      </c>
      <c r="O2652">
        <v>36.6</v>
      </c>
      <c r="P2652">
        <v>30</v>
      </c>
      <c r="Q2652">
        <v>44</v>
      </c>
      <c r="R2652">
        <v>46.7</v>
      </c>
      <c r="S2652">
        <v>29.8</v>
      </c>
      <c r="T2652">
        <v>35.799999999999997</v>
      </c>
      <c r="U2652">
        <v>67.3</v>
      </c>
      <c r="V2652">
        <v>-5.9</v>
      </c>
      <c r="W2652" cm="1">
        <f t="array" ref="W2652">_xlfn.IFS(OR(X2652="N/A",X2652="NA"),0,OR(X2652="R64",X2652="R68"),1,X2652="R32",2,X2652="S16",3,X2652="E8",4,X2652="F4",5,X2652="2ND",6,X2652="Champions",7)</f>
        <v>0</v>
      </c>
      <c r="X2652" t="s">
        <v>425</v>
      </c>
      <c r="Y2652" t="s">
        <v>90</v>
      </c>
      <c r="Z2652">
        <v>2021</v>
      </c>
    </row>
    <row r="2653" spans="1:26" x14ac:dyDescent="0.3">
      <c r="A2653" t="s">
        <v>252</v>
      </c>
      <c r="B2653" t="s">
        <v>57</v>
      </c>
      <c r="C2653">
        <v>23</v>
      </c>
      <c r="D2653">
        <v>10</v>
      </c>
      <c r="E2653" s="1">
        <f t="shared" si="41"/>
        <v>0.43478260869565216</v>
      </c>
      <c r="F2653">
        <v>102.7</v>
      </c>
      <c r="G2653">
        <v>101.1</v>
      </c>
      <c r="H2653">
        <v>0.54330000000000001</v>
      </c>
      <c r="I2653">
        <v>51.3</v>
      </c>
      <c r="J2653">
        <v>48.9</v>
      </c>
      <c r="K2653">
        <v>19.7</v>
      </c>
      <c r="L2653">
        <v>17.2</v>
      </c>
      <c r="M2653">
        <v>27.8</v>
      </c>
      <c r="N2653">
        <v>30.5</v>
      </c>
      <c r="O2653">
        <v>28.7</v>
      </c>
      <c r="P2653">
        <v>35.700000000000003</v>
      </c>
      <c r="Q2653">
        <v>51.4</v>
      </c>
      <c r="R2653">
        <v>50.4</v>
      </c>
      <c r="S2653">
        <v>34.200000000000003</v>
      </c>
      <c r="T2653">
        <v>31</v>
      </c>
      <c r="U2653">
        <v>70.8</v>
      </c>
      <c r="V2653">
        <v>-7.5</v>
      </c>
      <c r="W2653" cm="1">
        <f t="array" ref="W2653">_xlfn.IFS(OR(X2653="N/A",X2653="NA"),0,OR(X2653="R64",X2653="R68"),1,X2653="R32",2,X2653="S16",3,X2653="E8",4,X2653="F4",5,X2653="2ND",6,X2653="Champions",7)</f>
        <v>0</v>
      </c>
      <c r="X2653" t="s">
        <v>425</v>
      </c>
      <c r="Y2653" t="s">
        <v>90</v>
      </c>
      <c r="Z2653">
        <v>2021</v>
      </c>
    </row>
    <row r="2654" spans="1:26" x14ac:dyDescent="0.3">
      <c r="A2654" t="s">
        <v>373</v>
      </c>
      <c r="B2654" t="s">
        <v>61</v>
      </c>
      <c r="C2654">
        <v>18</v>
      </c>
      <c r="D2654">
        <v>10</v>
      </c>
      <c r="E2654" s="1">
        <f t="shared" si="41"/>
        <v>0.55555555555555558</v>
      </c>
      <c r="F2654">
        <v>95.8</v>
      </c>
      <c r="G2654">
        <v>114.3</v>
      </c>
      <c r="H2654">
        <v>0.1166</v>
      </c>
      <c r="I2654">
        <v>53.1</v>
      </c>
      <c r="J2654">
        <v>54.7</v>
      </c>
      <c r="K2654">
        <v>23</v>
      </c>
      <c r="L2654">
        <v>17.7</v>
      </c>
      <c r="M2654">
        <v>27</v>
      </c>
      <c r="N2654">
        <v>28.1</v>
      </c>
      <c r="O2654">
        <v>30.7</v>
      </c>
      <c r="P2654">
        <v>30.7</v>
      </c>
      <c r="Q2654">
        <v>51.7</v>
      </c>
      <c r="R2654">
        <v>52.5</v>
      </c>
      <c r="S2654">
        <v>37.200000000000003</v>
      </c>
      <c r="T2654">
        <v>39</v>
      </c>
      <c r="U2654">
        <v>68.400000000000006</v>
      </c>
      <c r="V2654">
        <v>-12.6</v>
      </c>
      <c r="W2654" cm="1">
        <f t="array" ref="W2654">_xlfn.IFS(OR(X2654="N/A",X2654="NA"),0,OR(X2654="R64",X2654="R68"),1,X2654="R32",2,X2654="S16",3,X2654="E8",4,X2654="F4",5,X2654="2ND",6,X2654="Champions",7)</f>
        <v>0</v>
      </c>
      <c r="X2654" t="s">
        <v>425</v>
      </c>
      <c r="Y2654" t="s">
        <v>90</v>
      </c>
      <c r="Z2654">
        <v>2021</v>
      </c>
    </row>
    <row r="2655" spans="1:26" x14ac:dyDescent="0.3">
      <c r="A2655" t="s">
        <v>96</v>
      </c>
      <c r="B2655" t="s">
        <v>45</v>
      </c>
      <c r="C2655">
        <v>25</v>
      </c>
      <c r="D2655">
        <v>10</v>
      </c>
      <c r="E2655" s="1">
        <f t="shared" si="41"/>
        <v>0.4</v>
      </c>
      <c r="F2655">
        <v>103.4</v>
      </c>
      <c r="G2655">
        <v>98.1</v>
      </c>
      <c r="H2655">
        <v>0.64829999999999999</v>
      </c>
      <c r="I2655">
        <v>49.2</v>
      </c>
      <c r="J2655">
        <v>47.9</v>
      </c>
      <c r="K2655">
        <v>19.7</v>
      </c>
      <c r="L2655">
        <v>17.5</v>
      </c>
      <c r="M2655">
        <v>30</v>
      </c>
      <c r="N2655">
        <v>26.7</v>
      </c>
      <c r="O2655">
        <v>38.9</v>
      </c>
      <c r="P2655">
        <v>33.5</v>
      </c>
      <c r="Q2655">
        <v>50.3</v>
      </c>
      <c r="R2655">
        <v>46.8</v>
      </c>
      <c r="S2655">
        <v>31.2</v>
      </c>
      <c r="T2655">
        <v>33</v>
      </c>
      <c r="U2655">
        <v>69.400000000000006</v>
      </c>
      <c r="V2655">
        <v>-6.8</v>
      </c>
      <c r="W2655" cm="1">
        <f t="array" ref="W2655">_xlfn.IFS(OR(X2655="N/A",X2655="NA"),0,OR(X2655="R64",X2655="R68"),1,X2655="R32",2,X2655="S16",3,X2655="E8",4,X2655="F4",5,X2655="2ND",6,X2655="Champions",7)</f>
        <v>0</v>
      </c>
      <c r="X2655" t="s">
        <v>425</v>
      </c>
      <c r="Y2655" t="s">
        <v>90</v>
      </c>
      <c r="Z2655">
        <v>2021</v>
      </c>
    </row>
    <row r="2656" spans="1:26" x14ac:dyDescent="0.3">
      <c r="A2656" t="s">
        <v>161</v>
      </c>
      <c r="B2656" t="s">
        <v>33</v>
      </c>
      <c r="C2656">
        <v>25</v>
      </c>
      <c r="D2656">
        <v>10</v>
      </c>
      <c r="E2656" s="1">
        <f t="shared" si="41"/>
        <v>0.4</v>
      </c>
      <c r="F2656">
        <v>102.3</v>
      </c>
      <c r="G2656">
        <v>97.9</v>
      </c>
      <c r="H2656">
        <v>0.62370000000000003</v>
      </c>
      <c r="I2656">
        <v>47.5</v>
      </c>
      <c r="J2656">
        <v>53</v>
      </c>
      <c r="K2656">
        <v>17.3</v>
      </c>
      <c r="L2656">
        <v>18.600000000000001</v>
      </c>
      <c r="M2656">
        <v>26</v>
      </c>
      <c r="N2656">
        <v>25.2</v>
      </c>
      <c r="O2656">
        <v>29.4</v>
      </c>
      <c r="P2656">
        <v>28.5</v>
      </c>
      <c r="Q2656">
        <v>46.8</v>
      </c>
      <c r="R2656">
        <v>53.4</v>
      </c>
      <c r="S2656">
        <v>32.299999999999997</v>
      </c>
      <c r="T2656">
        <v>35</v>
      </c>
      <c r="U2656">
        <v>64.599999999999994</v>
      </c>
      <c r="V2656">
        <v>-3.6</v>
      </c>
      <c r="W2656" cm="1">
        <f t="array" ref="W2656">_xlfn.IFS(OR(X2656="N/A",X2656="NA"),0,OR(X2656="R64",X2656="R68"),1,X2656="R32",2,X2656="S16",3,X2656="E8",4,X2656="F4",5,X2656="2ND",6,X2656="Champions",7)</f>
        <v>0</v>
      </c>
      <c r="X2656" t="s">
        <v>425</v>
      </c>
      <c r="Y2656" t="s">
        <v>90</v>
      </c>
      <c r="Z2656">
        <v>2021</v>
      </c>
    </row>
    <row r="2657" spans="1:26" x14ac:dyDescent="0.3">
      <c r="A2657" t="s">
        <v>282</v>
      </c>
      <c r="B2657" t="s">
        <v>47</v>
      </c>
      <c r="C2657">
        <v>23</v>
      </c>
      <c r="D2657">
        <v>10</v>
      </c>
      <c r="E2657" s="1">
        <f t="shared" si="41"/>
        <v>0.43478260869565216</v>
      </c>
      <c r="F2657">
        <v>102</v>
      </c>
      <c r="G2657">
        <v>103</v>
      </c>
      <c r="H2657">
        <v>0.47249999999999998</v>
      </c>
      <c r="I2657">
        <v>50</v>
      </c>
      <c r="J2657">
        <v>52.9</v>
      </c>
      <c r="K2657">
        <v>19.100000000000001</v>
      </c>
      <c r="L2657">
        <v>16.8</v>
      </c>
      <c r="M2657">
        <v>26.4</v>
      </c>
      <c r="N2657">
        <v>21.9</v>
      </c>
      <c r="O2657">
        <v>26.5</v>
      </c>
      <c r="P2657">
        <v>27.7</v>
      </c>
      <c r="Q2657">
        <v>51.1</v>
      </c>
      <c r="R2657">
        <v>54.2</v>
      </c>
      <c r="S2657">
        <v>32.200000000000003</v>
      </c>
      <c r="T2657">
        <v>34.1</v>
      </c>
      <c r="U2657">
        <v>69.2</v>
      </c>
      <c r="V2657">
        <v>-9</v>
      </c>
      <c r="W2657" cm="1">
        <f t="array" ref="W2657">_xlfn.IFS(OR(X2657="N/A",X2657="NA"),0,OR(X2657="R64",X2657="R68"),1,X2657="R32",2,X2657="S16",3,X2657="E8",4,X2657="F4",5,X2657="2ND",6,X2657="Champions",7)</f>
        <v>0</v>
      </c>
      <c r="X2657" t="s">
        <v>425</v>
      </c>
      <c r="Y2657" t="s">
        <v>90</v>
      </c>
      <c r="Z2657">
        <v>2021</v>
      </c>
    </row>
    <row r="2658" spans="1:26" x14ac:dyDescent="0.3">
      <c r="A2658" t="s">
        <v>374</v>
      </c>
      <c r="B2658" t="s">
        <v>61</v>
      </c>
      <c r="C2658">
        <v>24</v>
      </c>
      <c r="D2658">
        <v>10</v>
      </c>
      <c r="E2658" s="1">
        <f t="shared" si="41"/>
        <v>0.41666666666666669</v>
      </c>
      <c r="F2658">
        <v>97.3</v>
      </c>
      <c r="G2658">
        <v>107.7</v>
      </c>
      <c r="H2658">
        <v>0.2379</v>
      </c>
      <c r="I2658">
        <v>52.3</v>
      </c>
      <c r="J2658">
        <v>51.4</v>
      </c>
      <c r="K2658">
        <v>22.3</v>
      </c>
      <c r="L2658">
        <v>21.2</v>
      </c>
      <c r="M2658">
        <v>29.3</v>
      </c>
      <c r="N2658">
        <v>32</v>
      </c>
      <c r="O2658">
        <v>33.1</v>
      </c>
      <c r="P2658">
        <v>38.4</v>
      </c>
      <c r="Q2658">
        <v>52.8</v>
      </c>
      <c r="R2658">
        <v>52.6</v>
      </c>
      <c r="S2658">
        <v>33.9</v>
      </c>
      <c r="T2658">
        <v>32.5</v>
      </c>
      <c r="U2658">
        <v>72.5</v>
      </c>
      <c r="V2658">
        <v>-12.6</v>
      </c>
      <c r="W2658" cm="1">
        <f t="array" ref="W2658">_xlfn.IFS(OR(X2658="N/A",X2658="NA"),0,OR(X2658="R64",X2658="R68"),1,X2658="R32",2,X2658="S16",3,X2658="E8",4,X2658="F4",5,X2658="2ND",6,X2658="Champions",7)</f>
        <v>0</v>
      </c>
      <c r="X2658" t="s">
        <v>425</v>
      </c>
      <c r="Y2658" t="s">
        <v>90</v>
      </c>
      <c r="Z2658">
        <v>2021</v>
      </c>
    </row>
    <row r="2659" spans="1:26" x14ac:dyDescent="0.3">
      <c r="A2659" t="s">
        <v>106</v>
      </c>
      <c r="B2659" t="s">
        <v>26</v>
      </c>
      <c r="C2659">
        <v>27</v>
      </c>
      <c r="D2659">
        <v>10</v>
      </c>
      <c r="E2659" s="1">
        <f t="shared" si="41"/>
        <v>0.37037037037037035</v>
      </c>
      <c r="F2659">
        <v>102</v>
      </c>
      <c r="G2659">
        <v>99</v>
      </c>
      <c r="H2659">
        <v>0.58509999999999995</v>
      </c>
      <c r="I2659">
        <v>47.4</v>
      </c>
      <c r="J2659">
        <v>52.6</v>
      </c>
      <c r="K2659">
        <v>18.5</v>
      </c>
      <c r="L2659">
        <v>18</v>
      </c>
      <c r="M2659">
        <v>27.1</v>
      </c>
      <c r="N2659">
        <v>26.2</v>
      </c>
      <c r="O2659">
        <v>32.799999999999997</v>
      </c>
      <c r="P2659">
        <v>19.8</v>
      </c>
      <c r="Q2659">
        <v>49</v>
      </c>
      <c r="R2659">
        <v>49.6</v>
      </c>
      <c r="S2659">
        <v>29.5</v>
      </c>
      <c r="T2659">
        <v>37.9</v>
      </c>
      <c r="U2659">
        <v>67.900000000000006</v>
      </c>
      <c r="V2659">
        <v>-6.5</v>
      </c>
      <c r="W2659" cm="1">
        <f t="array" ref="W2659">_xlfn.IFS(OR(X2659="N/A",X2659="NA"),0,OR(X2659="R64",X2659="R68"),1,X2659="R32",2,X2659="S16",3,X2659="E8",4,X2659="F4",5,X2659="2ND",6,X2659="Champions",7)</f>
        <v>0</v>
      </c>
      <c r="X2659" t="s">
        <v>425</v>
      </c>
      <c r="Y2659" t="s">
        <v>90</v>
      </c>
      <c r="Z2659">
        <v>2021</v>
      </c>
    </row>
    <row r="2660" spans="1:26" x14ac:dyDescent="0.3">
      <c r="A2660" t="s">
        <v>241</v>
      </c>
      <c r="B2660" t="s">
        <v>69</v>
      </c>
      <c r="C2660">
        <v>27</v>
      </c>
      <c r="D2660">
        <v>10</v>
      </c>
      <c r="E2660" s="1">
        <f t="shared" si="41"/>
        <v>0.37037037037037035</v>
      </c>
      <c r="F2660">
        <v>95.9</v>
      </c>
      <c r="G2660">
        <v>106.5</v>
      </c>
      <c r="H2660">
        <v>0.23080000000000001</v>
      </c>
      <c r="I2660">
        <v>45.4</v>
      </c>
      <c r="J2660">
        <v>49.1</v>
      </c>
      <c r="K2660">
        <v>19.600000000000001</v>
      </c>
      <c r="L2660">
        <v>16.3</v>
      </c>
      <c r="M2660">
        <v>28.1</v>
      </c>
      <c r="N2660">
        <v>26.6</v>
      </c>
      <c r="O2660">
        <v>34.1</v>
      </c>
      <c r="P2660">
        <v>30.7</v>
      </c>
      <c r="Q2660">
        <v>44.4</v>
      </c>
      <c r="R2660">
        <v>49.3</v>
      </c>
      <c r="S2660">
        <v>31.5</v>
      </c>
      <c r="T2660">
        <v>32.6</v>
      </c>
      <c r="U2660">
        <v>64.7</v>
      </c>
      <c r="V2660">
        <v>-14.2</v>
      </c>
      <c r="W2660" cm="1">
        <f t="array" ref="W2660">_xlfn.IFS(OR(X2660="N/A",X2660="NA"),0,OR(X2660="R64",X2660="R68"),1,X2660="R32",2,X2660="S16",3,X2660="E8",4,X2660="F4",5,X2660="2ND",6,X2660="Champions",7)</f>
        <v>0</v>
      </c>
      <c r="X2660" t="s">
        <v>425</v>
      </c>
      <c r="Y2660" t="s">
        <v>90</v>
      </c>
      <c r="Z2660">
        <v>2021</v>
      </c>
    </row>
    <row r="2661" spans="1:26" x14ac:dyDescent="0.3">
      <c r="A2661" t="s">
        <v>229</v>
      </c>
      <c r="B2661" t="s">
        <v>47</v>
      </c>
      <c r="C2661">
        <v>26</v>
      </c>
      <c r="D2661">
        <v>10</v>
      </c>
      <c r="E2661" s="1">
        <f t="shared" si="41"/>
        <v>0.38461538461538464</v>
      </c>
      <c r="F2661">
        <v>96</v>
      </c>
      <c r="G2661">
        <v>99.4</v>
      </c>
      <c r="H2661">
        <v>0.4012</v>
      </c>
      <c r="I2661">
        <v>47.2</v>
      </c>
      <c r="J2661">
        <v>50.3</v>
      </c>
      <c r="K2661">
        <v>18</v>
      </c>
      <c r="L2661">
        <v>17.8</v>
      </c>
      <c r="M2661">
        <v>20.9</v>
      </c>
      <c r="N2661">
        <v>26.3</v>
      </c>
      <c r="O2661">
        <v>26.1</v>
      </c>
      <c r="P2661">
        <v>28.8</v>
      </c>
      <c r="Q2661">
        <v>48.9</v>
      </c>
      <c r="R2661">
        <v>50.2</v>
      </c>
      <c r="S2661">
        <v>29.7</v>
      </c>
      <c r="T2661">
        <v>33.6</v>
      </c>
      <c r="U2661">
        <v>67.099999999999994</v>
      </c>
      <c r="V2661">
        <v>-11.6</v>
      </c>
      <c r="W2661" cm="1">
        <f t="array" ref="W2661">_xlfn.IFS(OR(X2661="N/A",X2661="NA"),0,OR(X2661="R64",X2661="R68"),1,X2661="R32",2,X2661="S16",3,X2661="E8",4,X2661="F4",5,X2661="2ND",6,X2661="Champions",7)</f>
        <v>0</v>
      </c>
      <c r="X2661" t="s">
        <v>425</v>
      </c>
      <c r="Y2661" t="s">
        <v>90</v>
      </c>
      <c r="Z2661">
        <v>2021</v>
      </c>
    </row>
    <row r="2662" spans="1:26" x14ac:dyDescent="0.3">
      <c r="A2662" t="s">
        <v>372</v>
      </c>
      <c r="B2662" t="s">
        <v>61</v>
      </c>
      <c r="C2662">
        <v>28</v>
      </c>
      <c r="D2662">
        <v>10</v>
      </c>
      <c r="E2662" s="1">
        <f t="shared" si="41"/>
        <v>0.35714285714285715</v>
      </c>
      <c r="F2662">
        <v>93.5</v>
      </c>
      <c r="G2662">
        <v>105.9</v>
      </c>
      <c r="H2662">
        <v>0.1943</v>
      </c>
      <c r="I2662">
        <v>46</v>
      </c>
      <c r="J2662">
        <v>52.3</v>
      </c>
      <c r="K2662">
        <v>20.100000000000001</v>
      </c>
      <c r="L2662">
        <v>20</v>
      </c>
      <c r="M2662">
        <v>26.4</v>
      </c>
      <c r="N2662">
        <v>28.7</v>
      </c>
      <c r="O2662">
        <v>30.8</v>
      </c>
      <c r="P2662">
        <v>27.4</v>
      </c>
      <c r="Q2662">
        <v>45.7</v>
      </c>
      <c r="R2662">
        <v>49.1</v>
      </c>
      <c r="S2662">
        <v>31.2</v>
      </c>
      <c r="T2662">
        <v>38.700000000000003</v>
      </c>
      <c r="U2662">
        <v>68.099999999999994</v>
      </c>
      <c r="V2662">
        <v>-13.9</v>
      </c>
      <c r="W2662" cm="1">
        <f t="array" ref="W2662">_xlfn.IFS(OR(X2662="N/A",X2662="NA"),0,OR(X2662="R64",X2662="R68"),1,X2662="R32",2,X2662="S16",3,X2662="E8",4,X2662="F4",5,X2662="2ND",6,X2662="Champions",7)</f>
        <v>0</v>
      </c>
      <c r="X2662" t="s">
        <v>425</v>
      </c>
      <c r="Y2662" t="s">
        <v>90</v>
      </c>
      <c r="Z2662">
        <v>2021</v>
      </c>
    </row>
    <row r="2663" spans="1:26" x14ac:dyDescent="0.3">
      <c r="A2663" t="s">
        <v>129</v>
      </c>
      <c r="B2663" t="s">
        <v>50</v>
      </c>
      <c r="C2663">
        <v>16</v>
      </c>
      <c r="D2663">
        <v>11</v>
      </c>
      <c r="E2663" s="1">
        <f t="shared" si="41"/>
        <v>0.6875</v>
      </c>
      <c r="F2663">
        <v>107.9</v>
      </c>
      <c r="G2663">
        <v>95.2</v>
      </c>
      <c r="H2663">
        <v>0.80859999999999999</v>
      </c>
      <c r="I2663">
        <v>51.4</v>
      </c>
      <c r="J2663">
        <v>46.3</v>
      </c>
      <c r="K2663">
        <v>20.100000000000001</v>
      </c>
      <c r="L2663">
        <v>20.2</v>
      </c>
      <c r="M2663">
        <v>30.5</v>
      </c>
      <c r="N2663">
        <v>29.1</v>
      </c>
      <c r="O2663">
        <v>31.3</v>
      </c>
      <c r="P2663">
        <v>35.4</v>
      </c>
      <c r="Q2663">
        <v>51.8</v>
      </c>
      <c r="R2663">
        <v>43.4</v>
      </c>
      <c r="S2663">
        <v>33.9</v>
      </c>
      <c r="T2663">
        <v>34.1</v>
      </c>
      <c r="U2663">
        <v>69.5</v>
      </c>
      <c r="V2663">
        <v>0.2</v>
      </c>
      <c r="W2663" cm="1">
        <f t="array" ref="W2663">_xlfn.IFS(OR(X2663="N/A",X2663="NA"),0,OR(X2663="R64",X2663="R68"),1,X2663="R32",2,X2663="S16",3,X2663="E8",4,X2663="F4",5,X2663="2ND",6,X2663="Champions",7)</f>
        <v>0</v>
      </c>
      <c r="X2663" t="s">
        <v>425</v>
      </c>
      <c r="Y2663" t="s">
        <v>90</v>
      </c>
      <c r="Z2663">
        <v>2021</v>
      </c>
    </row>
    <row r="2664" spans="1:26" x14ac:dyDescent="0.3">
      <c r="A2664" t="s">
        <v>191</v>
      </c>
      <c r="B2664" t="s">
        <v>48</v>
      </c>
      <c r="C2664">
        <v>19</v>
      </c>
      <c r="D2664">
        <v>11</v>
      </c>
      <c r="E2664" s="1">
        <f t="shared" si="41"/>
        <v>0.57894736842105265</v>
      </c>
      <c r="F2664">
        <v>100.7</v>
      </c>
      <c r="G2664">
        <v>104.5</v>
      </c>
      <c r="H2664">
        <v>0.39589999999999997</v>
      </c>
      <c r="I2664">
        <v>50.6</v>
      </c>
      <c r="J2664">
        <v>50.1</v>
      </c>
      <c r="K2664">
        <v>19.8</v>
      </c>
      <c r="L2664">
        <v>16.7</v>
      </c>
      <c r="M2664">
        <v>29.1</v>
      </c>
      <c r="N2664">
        <v>25.6</v>
      </c>
      <c r="O2664">
        <v>30.3</v>
      </c>
      <c r="P2664">
        <v>27.7</v>
      </c>
      <c r="Q2664">
        <v>48.6</v>
      </c>
      <c r="R2664">
        <v>49.8</v>
      </c>
      <c r="S2664">
        <v>35.700000000000003</v>
      </c>
      <c r="T2664">
        <v>33.799999999999997</v>
      </c>
      <c r="U2664">
        <v>66.7</v>
      </c>
      <c r="V2664">
        <v>-7.3</v>
      </c>
      <c r="W2664" cm="1">
        <f t="array" ref="W2664">_xlfn.IFS(OR(X2664="N/A",X2664="NA"),0,OR(X2664="R64",X2664="R68"),1,X2664="R32",2,X2664="S16",3,X2664="E8",4,X2664="F4",5,X2664="2ND",6,X2664="Champions",7)</f>
        <v>0</v>
      </c>
      <c r="X2664" t="s">
        <v>425</v>
      </c>
      <c r="Y2664" t="s">
        <v>90</v>
      </c>
      <c r="Z2664">
        <v>2021</v>
      </c>
    </row>
    <row r="2665" spans="1:26" x14ac:dyDescent="0.3">
      <c r="A2665" t="s">
        <v>271</v>
      </c>
      <c r="B2665" t="s">
        <v>66</v>
      </c>
      <c r="C2665">
        <v>19</v>
      </c>
      <c r="D2665">
        <v>11</v>
      </c>
      <c r="E2665" s="1">
        <f t="shared" si="41"/>
        <v>0.57894736842105265</v>
      </c>
      <c r="F2665">
        <v>92.7</v>
      </c>
      <c r="G2665">
        <v>105</v>
      </c>
      <c r="H2665">
        <v>0.19209999999999999</v>
      </c>
      <c r="I2665">
        <v>45.4</v>
      </c>
      <c r="J2665">
        <v>52</v>
      </c>
      <c r="K2665">
        <v>18.600000000000001</v>
      </c>
      <c r="L2665">
        <v>24</v>
      </c>
      <c r="M2665">
        <v>27.6</v>
      </c>
      <c r="N2665">
        <v>35.799999999999997</v>
      </c>
      <c r="O2665">
        <v>35.799999999999997</v>
      </c>
      <c r="P2665">
        <v>31.2</v>
      </c>
      <c r="Q2665">
        <v>45.4</v>
      </c>
      <c r="R2665">
        <v>50.5</v>
      </c>
      <c r="S2665">
        <v>30.4</v>
      </c>
      <c r="T2665">
        <v>36.299999999999997</v>
      </c>
      <c r="U2665">
        <v>71.7</v>
      </c>
      <c r="V2665">
        <v>-7</v>
      </c>
      <c r="W2665" cm="1">
        <f t="array" ref="W2665">_xlfn.IFS(OR(X2665="N/A",X2665="NA"),0,OR(X2665="R64",X2665="R68"),1,X2665="R32",2,X2665="S16",3,X2665="E8",4,X2665="F4",5,X2665="2ND",6,X2665="Champions",7)</f>
        <v>0</v>
      </c>
      <c r="X2665" t="s">
        <v>425</v>
      </c>
      <c r="Y2665" t="s">
        <v>90</v>
      </c>
      <c r="Z2665">
        <v>2021</v>
      </c>
    </row>
    <row r="2666" spans="1:26" x14ac:dyDescent="0.3">
      <c r="A2666" t="s">
        <v>170</v>
      </c>
      <c r="B2666" t="s">
        <v>164</v>
      </c>
      <c r="C2666">
        <v>19</v>
      </c>
      <c r="D2666">
        <v>11</v>
      </c>
      <c r="E2666" s="1">
        <f t="shared" si="41"/>
        <v>0.57894736842105265</v>
      </c>
      <c r="F2666">
        <v>98.6</v>
      </c>
      <c r="G2666">
        <v>105.2</v>
      </c>
      <c r="H2666">
        <v>0.32290000000000002</v>
      </c>
      <c r="I2666">
        <v>51.3</v>
      </c>
      <c r="J2666">
        <v>49.2</v>
      </c>
      <c r="K2666">
        <v>20.399999999999999</v>
      </c>
      <c r="L2666">
        <v>15.9</v>
      </c>
      <c r="M2666">
        <v>24.6</v>
      </c>
      <c r="N2666">
        <v>24.3</v>
      </c>
      <c r="O2666">
        <v>32.299999999999997</v>
      </c>
      <c r="P2666">
        <v>34.799999999999997</v>
      </c>
      <c r="Q2666">
        <v>47.4</v>
      </c>
      <c r="R2666">
        <v>49.8</v>
      </c>
      <c r="S2666">
        <v>37.6</v>
      </c>
      <c r="T2666">
        <v>31.3</v>
      </c>
      <c r="U2666">
        <v>68.099999999999994</v>
      </c>
      <c r="V2666">
        <v>-8.1</v>
      </c>
      <c r="W2666" cm="1">
        <f t="array" ref="W2666">_xlfn.IFS(OR(X2666="N/A",X2666="NA"),0,OR(X2666="R64",X2666="R68"),1,X2666="R32",2,X2666="S16",3,X2666="E8",4,X2666="F4",5,X2666="2ND",6,X2666="Champions",7)</f>
        <v>0</v>
      </c>
      <c r="X2666" t="s">
        <v>425</v>
      </c>
      <c r="Y2666" t="s">
        <v>90</v>
      </c>
      <c r="Z2666">
        <v>2021</v>
      </c>
    </row>
    <row r="2667" spans="1:26" x14ac:dyDescent="0.3">
      <c r="A2667" t="s">
        <v>406</v>
      </c>
      <c r="B2667" t="s">
        <v>51</v>
      </c>
      <c r="C2667">
        <v>20</v>
      </c>
      <c r="D2667">
        <v>11</v>
      </c>
      <c r="E2667" s="1">
        <f t="shared" si="41"/>
        <v>0.55000000000000004</v>
      </c>
      <c r="F2667">
        <v>100.8</v>
      </c>
      <c r="G2667">
        <v>104.1</v>
      </c>
      <c r="H2667">
        <v>0.40920000000000001</v>
      </c>
      <c r="I2667">
        <v>51.4</v>
      </c>
      <c r="J2667">
        <v>48.7</v>
      </c>
      <c r="K2667">
        <v>21.2</v>
      </c>
      <c r="L2667">
        <v>14.8</v>
      </c>
      <c r="M2667">
        <v>31.7</v>
      </c>
      <c r="N2667">
        <v>24</v>
      </c>
      <c r="O2667">
        <v>43.5</v>
      </c>
      <c r="P2667">
        <v>34.6</v>
      </c>
      <c r="Q2667">
        <v>51.2</v>
      </c>
      <c r="R2667">
        <v>47.2</v>
      </c>
      <c r="S2667">
        <v>34.700000000000003</v>
      </c>
      <c r="T2667">
        <v>34.4</v>
      </c>
      <c r="U2667">
        <v>70.3</v>
      </c>
      <c r="V2667">
        <v>-7</v>
      </c>
      <c r="W2667" cm="1">
        <f t="array" ref="W2667">_xlfn.IFS(OR(X2667="N/A",X2667="NA"),0,OR(X2667="R64",X2667="R68"),1,X2667="R32",2,X2667="S16",3,X2667="E8",4,X2667="F4",5,X2667="2ND",6,X2667="Champions",7)</f>
        <v>0</v>
      </c>
      <c r="X2667" t="s">
        <v>425</v>
      </c>
      <c r="Y2667" t="s">
        <v>90</v>
      </c>
      <c r="Z2667">
        <v>2021</v>
      </c>
    </row>
    <row r="2668" spans="1:26" x14ac:dyDescent="0.3">
      <c r="A2668" t="s">
        <v>117</v>
      </c>
      <c r="B2668" t="s">
        <v>112</v>
      </c>
      <c r="C2668">
        <v>23</v>
      </c>
      <c r="D2668">
        <v>11</v>
      </c>
      <c r="E2668" s="1">
        <f t="shared" si="41"/>
        <v>0.47826086956521741</v>
      </c>
      <c r="F2668">
        <v>98.7</v>
      </c>
      <c r="G2668">
        <v>106.1</v>
      </c>
      <c r="H2668">
        <v>0.30199999999999999</v>
      </c>
      <c r="I2668">
        <v>51.2</v>
      </c>
      <c r="J2668">
        <v>48.4</v>
      </c>
      <c r="K2668">
        <v>21</v>
      </c>
      <c r="L2668">
        <v>16.3</v>
      </c>
      <c r="M2668">
        <v>27</v>
      </c>
      <c r="N2668">
        <v>26.6</v>
      </c>
      <c r="O2668">
        <v>37.200000000000003</v>
      </c>
      <c r="P2668">
        <v>39.5</v>
      </c>
      <c r="Q2668">
        <v>50.8</v>
      </c>
      <c r="R2668">
        <v>48.9</v>
      </c>
      <c r="S2668">
        <v>34.6</v>
      </c>
      <c r="T2668">
        <v>31.6</v>
      </c>
      <c r="U2668">
        <v>69.5</v>
      </c>
      <c r="V2668">
        <v>-8.6</v>
      </c>
      <c r="W2668" cm="1">
        <f t="array" ref="W2668">_xlfn.IFS(OR(X2668="N/A",X2668="NA"),0,OR(X2668="R64",X2668="R68"),1,X2668="R32",2,X2668="S16",3,X2668="E8",4,X2668="F4",5,X2668="2ND",6,X2668="Champions",7)</f>
        <v>0</v>
      </c>
      <c r="X2668" t="s">
        <v>425</v>
      </c>
      <c r="Y2668" t="s">
        <v>90</v>
      </c>
      <c r="Z2668">
        <v>2021</v>
      </c>
    </row>
    <row r="2669" spans="1:26" x14ac:dyDescent="0.3">
      <c r="A2669" t="s">
        <v>128</v>
      </c>
      <c r="B2669" t="s">
        <v>50</v>
      </c>
      <c r="C2669">
        <v>23</v>
      </c>
      <c r="D2669">
        <v>11</v>
      </c>
      <c r="E2669" s="1">
        <f t="shared" si="41"/>
        <v>0.47826086956521741</v>
      </c>
      <c r="F2669">
        <v>105.9</v>
      </c>
      <c r="G2669">
        <v>98.5</v>
      </c>
      <c r="H2669">
        <v>0.69569999999999999</v>
      </c>
      <c r="I2669">
        <v>50.1</v>
      </c>
      <c r="J2669">
        <v>49.3</v>
      </c>
      <c r="K2669">
        <v>21.6</v>
      </c>
      <c r="L2669">
        <v>19.5</v>
      </c>
      <c r="M2669">
        <v>28.2</v>
      </c>
      <c r="N2669">
        <v>31.5</v>
      </c>
      <c r="O2669">
        <v>30.7</v>
      </c>
      <c r="P2669">
        <v>33.6</v>
      </c>
      <c r="Q2669">
        <v>47.9</v>
      </c>
      <c r="R2669">
        <v>49.4</v>
      </c>
      <c r="S2669">
        <v>35.5</v>
      </c>
      <c r="T2669">
        <v>32.700000000000003</v>
      </c>
      <c r="U2669">
        <v>66.900000000000006</v>
      </c>
      <c r="V2669">
        <v>-3.1</v>
      </c>
      <c r="W2669" cm="1">
        <f t="array" ref="W2669">_xlfn.IFS(OR(X2669="N/A",X2669="NA"),0,OR(X2669="R64",X2669="R68"),1,X2669="R32",2,X2669="S16",3,X2669="E8",4,X2669="F4",5,X2669="2ND",6,X2669="Champions",7)</f>
        <v>0</v>
      </c>
      <c r="X2669" t="s">
        <v>425</v>
      </c>
      <c r="Y2669" t="s">
        <v>90</v>
      </c>
      <c r="Z2669">
        <v>2021</v>
      </c>
    </row>
    <row r="2670" spans="1:26" x14ac:dyDescent="0.3">
      <c r="A2670" t="s">
        <v>127</v>
      </c>
      <c r="B2670" t="s">
        <v>50</v>
      </c>
      <c r="C2670">
        <v>21</v>
      </c>
      <c r="D2670">
        <v>11</v>
      </c>
      <c r="E2670" s="1">
        <f t="shared" si="41"/>
        <v>0.52380952380952384</v>
      </c>
      <c r="F2670">
        <v>101.2</v>
      </c>
      <c r="G2670">
        <v>98.5</v>
      </c>
      <c r="H2670">
        <v>0.57689999999999997</v>
      </c>
      <c r="I2670">
        <v>49</v>
      </c>
      <c r="J2670">
        <v>48.5</v>
      </c>
      <c r="K2670">
        <v>20</v>
      </c>
      <c r="L2670">
        <v>21.7</v>
      </c>
      <c r="M2670">
        <v>26.5</v>
      </c>
      <c r="N2670">
        <v>32.1</v>
      </c>
      <c r="O2670">
        <v>33.1</v>
      </c>
      <c r="P2670">
        <v>35.1</v>
      </c>
      <c r="Q2670">
        <v>51.6</v>
      </c>
      <c r="R2670">
        <v>46.6</v>
      </c>
      <c r="S2670">
        <v>30</v>
      </c>
      <c r="T2670">
        <v>34.1</v>
      </c>
      <c r="U2670">
        <v>65.900000000000006</v>
      </c>
      <c r="V2670">
        <v>-5.3</v>
      </c>
      <c r="W2670" cm="1">
        <f t="array" ref="W2670">_xlfn.IFS(OR(X2670="N/A",X2670="NA"),0,OR(X2670="R64",X2670="R68"),1,X2670="R32",2,X2670="S16",3,X2670="E8",4,X2670="F4",5,X2670="2ND",6,X2670="Champions",7)</f>
        <v>0</v>
      </c>
      <c r="X2670" t="s">
        <v>425</v>
      </c>
      <c r="Y2670" t="s">
        <v>90</v>
      </c>
      <c r="Z2670">
        <v>2021</v>
      </c>
    </row>
    <row r="2671" spans="1:26" x14ac:dyDescent="0.3">
      <c r="A2671" t="s">
        <v>132</v>
      </c>
      <c r="B2671" t="s">
        <v>131</v>
      </c>
      <c r="C2671">
        <v>22</v>
      </c>
      <c r="D2671">
        <v>11</v>
      </c>
      <c r="E2671" s="1">
        <f t="shared" si="41"/>
        <v>0.5</v>
      </c>
      <c r="F2671">
        <v>91.8</v>
      </c>
      <c r="G2671">
        <v>105.3</v>
      </c>
      <c r="H2671">
        <v>0.17100000000000001</v>
      </c>
      <c r="I2671">
        <v>48.8</v>
      </c>
      <c r="J2671">
        <v>51.4</v>
      </c>
      <c r="K2671">
        <v>20.100000000000001</v>
      </c>
      <c r="L2671">
        <v>20.7</v>
      </c>
      <c r="M2671">
        <v>24.9</v>
      </c>
      <c r="N2671">
        <v>30.3</v>
      </c>
      <c r="O2671">
        <v>34.299999999999997</v>
      </c>
      <c r="P2671">
        <v>27.9</v>
      </c>
      <c r="Q2671">
        <v>49.9</v>
      </c>
      <c r="R2671">
        <v>52</v>
      </c>
      <c r="S2671">
        <v>31.4</v>
      </c>
      <c r="T2671">
        <v>33.700000000000003</v>
      </c>
      <c r="U2671">
        <v>68.099999999999994</v>
      </c>
      <c r="V2671">
        <v>-10.4</v>
      </c>
      <c r="W2671" cm="1">
        <f t="array" ref="W2671">_xlfn.IFS(OR(X2671="N/A",X2671="NA"),0,OR(X2671="R64",X2671="R68"),1,X2671="R32",2,X2671="S16",3,X2671="E8",4,X2671="F4",5,X2671="2ND",6,X2671="Champions",7)</f>
        <v>0</v>
      </c>
      <c r="X2671" t="s">
        <v>425</v>
      </c>
      <c r="Y2671" t="s">
        <v>90</v>
      </c>
      <c r="Z2671">
        <v>2021</v>
      </c>
    </row>
    <row r="2672" spans="1:26" x14ac:dyDescent="0.3">
      <c r="A2672" t="s">
        <v>338</v>
      </c>
      <c r="B2672" t="s">
        <v>58</v>
      </c>
      <c r="C2672">
        <v>21</v>
      </c>
      <c r="D2672">
        <v>11</v>
      </c>
      <c r="E2672" s="1">
        <f t="shared" si="41"/>
        <v>0.52380952380952384</v>
      </c>
      <c r="F2672">
        <v>100</v>
      </c>
      <c r="G2672">
        <v>105.9</v>
      </c>
      <c r="H2672">
        <v>0.33910000000000001</v>
      </c>
      <c r="I2672">
        <v>48</v>
      </c>
      <c r="J2672">
        <v>49.6</v>
      </c>
      <c r="K2672">
        <v>19.399999999999999</v>
      </c>
      <c r="L2672">
        <v>17.5</v>
      </c>
      <c r="M2672">
        <v>30.8</v>
      </c>
      <c r="N2672">
        <v>28</v>
      </c>
      <c r="O2672">
        <v>34.6</v>
      </c>
      <c r="P2672">
        <v>27.9</v>
      </c>
      <c r="Q2672">
        <v>44.8</v>
      </c>
      <c r="R2672">
        <v>47.9</v>
      </c>
      <c r="S2672">
        <v>37.4</v>
      </c>
      <c r="T2672">
        <v>35.200000000000003</v>
      </c>
      <c r="U2672">
        <v>67.8</v>
      </c>
      <c r="V2672">
        <v>-10.199999999999999</v>
      </c>
      <c r="W2672" cm="1">
        <f t="array" ref="W2672">_xlfn.IFS(OR(X2672="N/A",X2672="NA"),0,OR(X2672="R64",X2672="R68"),1,X2672="R32",2,X2672="S16",3,X2672="E8",4,X2672="F4",5,X2672="2ND",6,X2672="Champions",7)</f>
        <v>0</v>
      </c>
      <c r="X2672" t="s">
        <v>425</v>
      </c>
      <c r="Y2672" t="s">
        <v>90</v>
      </c>
      <c r="Z2672">
        <v>2021</v>
      </c>
    </row>
    <row r="2673" spans="1:26" x14ac:dyDescent="0.3">
      <c r="A2673" t="s">
        <v>404</v>
      </c>
      <c r="B2673" t="s">
        <v>72</v>
      </c>
      <c r="C2673">
        <v>20</v>
      </c>
      <c r="D2673">
        <v>11</v>
      </c>
      <c r="E2673" s="1">
        <f t="shared" si="41"/>
        <v>0.55000000000000004</v>
      </c>
      <c r="F2673">
        <v>95.6</v>
      </c>
      <c r="G2673">
        <v>100.9</v>
      </c>
      <c r="H2673">
        <v>0.3493</v>
      </c>
      <c r="I2673">
        <v>51.2</v>
      </c>
      <c r="J2673">
        <v>52.3</v>
      </c>
      <c r="K2673">
        <v>19.600000000000001</v>
      </c>
      <c r="L2673">
        <v>22.5</v>
      </c>
      <c r="M2673">
        <v>21.6</v>
      </c>
      <c r="N2673">
        <v>24.6</v>
      </c>
      <c r="O2673">
        <v>30.5</v>
      </c>
      <c r="P2673">
        <v>55.3</v>
      </c>
      <c r="Q2673">
        <v>50.4</v>
      </c>
      <c r="R2673">
        <v>50.9</v>
      </c>
      <c r="S2673">
        <v>35.1</v>
      </c>
      <c r="T2673">
        <v>36.5</v>
      </c>
      <c r="U2673">
        <v>62.7</v>
      </c>
      <c r="V2673">
        <v>-9.4</v>
      </c>
      <c r="W2673" cm="1">
        <f t="array" ref="W2673">_xlfn.IFS(OR(X2673="N/A",X2673="NA"),0,OR(X2673="R64",X2673="R68"),1,X2673="R32",2,X2673="S16",3,X2673="E8",4,X2673="F4",5,X2673="2ND",6,X2673="Champions",7)</f>
        <v>0</v>
      </c>
      <c r="X2673" t="s">
        <v>425</v>
      </c>
      <c r="Y2673" t="s">
        <v>90</v>
      </c>
      <c r="Z2673">
        <v>2021</v>
      </c>
    </row>
    <row r="2674" spans="1:26" x14ac:dyDescent="0.3">
      <c r="A2674" t="s">
        <v>145</v>
      </c>
      <c r="B2674" t="s">
        <v>31</v>
      </c>
      <c r="C2674">
        <v>25</v>
      </c>
      <c r="D2674">
        <v>11</v>
      </c>
      <c r="E2674" s="1">
        <f t="shared" si="41"/>
        <v>0.44</v>
      </c>
      <c r="F2674">
        <v>111.2</v>
      </c>
      <c r="G2674">
        <v>95.8</v>
      </c>
      <c r="H2674">
        <v>0.84840000000000004</v>
      </c>
      <c r="I2674">
        <v>47.9</v>
      </c>
      <c r="J2674">
        <v>53</v>
      </c>
      <c r="K2674">
        <v>16.3</v>
      </c>
      <c r="L2674">
        <v>19.7</v>
      </c>
      <c r="M2674">
        <v>31.9</v>
      </c>
      <c r="N2674">
        <v>24.8</v>
      </c>
      <c r="O2674">
        <v>27.8</v>
      </c>
      <c r="P2674">
        <v>33.5</v>
      </c>
      <c r="Q2674">
        <v>45.8</v>
      </c>
      <c r="R2674">
        <v>53.9</v>
      </c>
      <c r="S2674">
        <v>33.799999999999997</v>
      </c>
      <c r="T2674">
        <v>34.5</v>
      </c>
      <c r="U2674">
        <v>69.099999999999994</v>
      </c>
      <c r="V2674">
        <v>-0.5</v>
      </c>
      <c r="W2674" cm="1">
        <f t="array" ref="W2674">_xlfn.IFS(OR(X2674="N/A",X2674="NA"),0,OR(X2674="R64",X2674="R68"),1,X2674="R32",2,X2674="S16",3,X2674="E8",4,X2674="F4",5,X2674="2ND",6,X2674="Champions",7)</f>
        <v>0</v>
      </c>
      <c r="X2674" t="s">
        <v>425</v>
      </c>
      <c r="Y2674" t="s">
        <v>90</v>
      </c>
      <c r="Z2674">
        <v>2021</v>
      </c>
    </row>
    <row r="2675" spans="1:26" x14ac:dyDescent="0.3">
      <c r="A2675" t="s">
        <v>136</v>
      </c>
      <c r="B2675" t="s">
        <v>131</v>
      </c>
      <c r="C2675">
        <v>22</v>
      </c>
      <c r="D2675">
        <v>11</v>
      </c>
      <c r="E2675" s="1">
        <f t="shared" si="41"/>
        <v>0.5</v>
      </c>
      <c r="F2675">
        <v>101.6</v>
      </c>
      <c r="G2675">
        <v>108.1</v>
      </c>
      <c r="H2675">
        <v>0.32779999999999998</v>
      </c>
      <c r="I2675">
        <v>51.2</v>
      </c>
      <c r="J2675">
        <v>53.6</v>
      </c>
      <c r="K2675">
        <v>19.7</v>
      </c>
      <c r="L2675">
        <v>17.899999999999999</v>
      </c>
      <c r="M2675">
        <v>27.8</v>
      </c>
      <c r="N2675">
        <v>26.4</v>
      </c>
      <c r="O2675">
        <v>27.8</v>
      </c>
      <c r="P2675">
        <v>30.8</v>
      </c>
      <c r="Q2675">
        <v>48</v>
      </c>
      <c r="R2675">
        <v>53.8</v>
      </c>
      <c r="S2675">
        <v>36.9</v>
      </c>
      <c r="T2675">
        <v>35.4</v>
      </c>
      <c r="U2675">
        <v>68.2</v>
      </c>
      <c r="V2675">
        <v>-10.9</v>
      </c>
      <c r="W2675" cm="1">
        <f t="array" ref="W2675">_xlfn.IFS(OR(X2675="N/A",X2675="NA"),0,OR(X2675="R64",X2675="R68"),1,X2675="R32",2,X2675="S16",3,X2675="E8",4,X2675="F4",5,X2675="2ND",6,X2675="Champions",7)</f>
        <v>0</v>
      </c>
      <c r="X2675" t="s">
        <v>425</v>
      </c>
      <c r="Y2675" t="s">
        <v>90</v>
      </c>
      <c r="Z2675">
        <v>2021</v>
      </c>
    </row>
    <row r="2676" spans="1:26" x14ac:dyDescent="0.3">
      <c r="A2676" t="s">
        <v>187</v>
      </c>
      <c r="B2676" t="s">
        <v>74</v>
      </c>
      <c r="C2676">
        <v>25</v>
      </c>
      <c r="D2676">
        <v>11</v>
      </c>
      <c r="E2676" s="1">
        <f t="shared" si="41"/>
        <v>0.44</v>
      </c>
      <c r="F2676">
        <v>96.1</v>
      </c>
      <c r="G2676">
        <v>109.9</v>
      </c>
      <c r="H2676">
        <v>0.1762</v>
      </c>
      <c r="I2676">
        <v>49.5</v>
      </c>
      <c r="J2676">
        <v>49.2</v>
      </c>
      <c r="K2676">
        <v>18.2</v>
      </c>
      <c r="L2676">
        <v>17.899999999999999</v>
      </c>
      <c r="M2676">
        <v>22.2</v>
      </c>
      <c r="N2676">
        <v>31.9</v>
      </c>
      <c r="O2676">
        <v>28.6</v>
      </c>
      <c r="P2676">
        <v>35.4</v>
      </c>
      <c r="Q2676">
        <v>49.3</v>
      </c>
      <c r="R2676">
        <v>48.3</v>
      </c>
      <c r="S2676">
        <v>33.200000000000003</v>
      </c>
      <c r="T2676">
        <v>33.799999999999997</v>
      </c>
      <c r="U2676">
        <v>70.599999999999994</v>
      </c>
      <c r="V2676">
        <v>-12.1</v>
      </c>
      <c r="W2676" cm="1">
        <f t="array" ref="W2676">_xlfn.IFS(OR(X2676="N/A",X2676="NA"),0,OR(X2676="R64",X2676="R68"),1,X2676="R32",2,X2676="S16",3,X2676="E8",4,X2676="F4",5,X2676="2ND",6,X2676="Champions",7)</f>
        <v>0</v>
      </c>
      <c r="X2676" t="s">
        <v>425</v>
      </c>
      <c r="Y2676" t="s">
        <v>90</v>
      </c>
      <c r="Z2676">
        <v>2021</v>
      </c>
    </row>
    <row r="2677" spans="1:26" x14ac:dyDescent="0.3">
      <c r="A2677" t="s">
        <v>316</v>
      </c>
      <c r="B2677" t="s">
        <v>38</v>
      </c>
      <c r="C2677">
        <v>25</v>
      </c>
      <c r="D2677">
        <v>11</v>
      </c>
      <c r="E2677" s="1">
        <f t="shared" si="41"/>
        <v>0.44</v>
      </c>
      <c r="F2677">
        <v>106.6</v>
      </c>
      <c r="G2677">
        <v>99.7</v>
      </c>
      <c r="H2677">
        <v>0.68379999999999996</v>
      </c>
      <c r="I2677">
        <v>49.2</v>
      </c>
      <c r="J2677">
        <v>52.5</v>
      </c>
      <c r="K2677">
        <v>15</v>
      </c>
      <c r="L2677">
        <v>20.7</v>
      </c>
      <c r="M2677">
        <v>21.4</v>
      </c>
      <c r="N2677">
        <v>30.1</v>
      </c>
      <c r="O2677">
        <v>33.299999999999997</v>
      </c>
      <c r="P2677">
        <v>36.1</v>
      </c>
      <c r="Q2677">
        <v>48.8</v>
      </c>
      <c r="R2677">
        <v>51.5</v>
      </c>
      <c r="S2677">
        <v>33.299999999999997</v>
      </c>
      <c r="T2677">
        <v>36.200000000000003</v>
      </c>
      <c r="U2677">
        <v>72.900000000000006</v>
      </c>
      <c r="V2677">
        <v>-4.5999999999999996</v>
      </c>
      <c r="W2677" cm="1">
        <f t="array" ref="W2677">_xlfn.IFS(OR(X2677="N/A",X2677="NA"),0,OR(X2677="R64",X2677="R68"),1,X2677="R32",2,X2677="S16",3,X2677="E8",4,X2677="F4",5,X2677="2ND",6,X2677="Champions",7)</f>
        <v>0</v>
      </c>
      <c r="X2677" t="s">
        <v>425</v>
      </c>
      <c r="Y2677" t="s">
        <v>90</v>
      </c>
      <c r="Z2677">
        <v>2021</v>
      </c>
    </row>
    <row r="2678" spans="1:26" x14ac:dyDescent="0.3">
      <c r="A2678" t="s">
        <v>415</v>
      </c>
      <c r="B2678" t="s">
        <v>37</v>
      </c>
      <c r="C2678">
        <v>25</v>
      </c>
      <c r="D2678">
        <v>11</v>
      </c>
      <c r="E2678" s="1">
        <f t="shared" si="41"/>
        <v>0.44</v>
      </c>
      <c r="F2678">
        <v>105.1</v>
      </c>
      <c r="G2678">
        <v>98.3</v>
      </c>
      <c r="H2678">
        <v>0.68379999999999996</v>
      </c>
      <c r="I2678">
        <v>51.3</v>
      </c>
      <c r="J2678">
        <v>49.8</v>
      </c>
      <c r="K2678">
        <v>16.899999999999999</v>
      </c>
      <c r="L2678">
        <v>19.899999999999999</v>
      </c>
      <c r="M2678">
        <v>24.8</v>
      </c>
      <c r="N2678">
        <v>24.7</v>
      </c>
      <c r="O2678">
        <v>21.4</v>
      </c>
      <c r="P2678">
        <v>39.9</v>
      </c>
      <c r="Q2678">
        <v>51.5</v>
      </c>
      <c r="R2678">
        <v>50.1</v>
      </c>
      <c r="S2678">
        <v>34</v>
      </c>
      <c r="T2678">
        <v>32.6</v>
      </c>
      <c r="U2678">
        <v>68.5</v>
      </c>
      <c r="V2678">
        <v>-6.1</v>
      </c>
      <c r="W2678" cm="1">
        <f t="array" ref="W2678">_xlfn.IFS(OR(X2678="N/A",X2678="NA"),0,OR(X2678="R64",X2678="R68"),1,X2678="R32",2,X2678="S16",3,X2678="E8",4,X2678="F4",5,X2678="2ND",6,X2678="Champions",7)</f>
        <v>0</v>
      </c>
      <c r="X2678" t="s">
        <v>425</v>
      </c>
      <c r="Y2678" t="s">
        <v>90</v>
      </c>
      <c r="Z2678">
        <v>2021</v>
      </c>
    </row>
    <row r="2679" spans="1:26" x14ac:dyDescent="0.3">
      <c r="A2679" t="s">
        <v>56</v>
      </c>
      <c r="B2679" t="s">
        <v>26</v>
      </c>
      <c r="C2679">
        <v>26</v>
      </c>
      <c r="D2679">
        <v>11</v>
      </c>
      <c r="E2679" s="1">
        <f t="shared" si="41"/>
        <v>0.42307692307692307</v>
      </c>
      <c r="F2679">
        <v>113.4</v>
      </c>
      <c r="G2679">
        <v>102.6</v>
      </c>
      <c r="H2679">
        <v>0.75919999999999999</v>
      </c>
      <c r="I2679">
        <v>53.9</v>
      </c>
      <c r="J2679">
        <v>50.8</v>
      </c>
      <c r="K2679">
        <v>15.7</v>
      </c>
      <c r="L2679">
        <v>12.7</v>
      </c>
      <c r="M2679">
        <v>22</v>
      </c>
      <c r="N2679">
        <v>29.7</v>
      </c>
      <c r="O2679">
        <v>25.9</v>
      </c>
      <c r="P2679">
        <v>19.7</v>
      </c>
      <c r="Q2679">
        <v>52.9</v>
      </c>
      <c r="R2679">
        <v>48.5</v>
      </c>
      <c r="S2679">
        <v>36.799999999999997</v>
      </c>
      <c r="T2679">
        <v>36.6</v>
      </c>
      <c r="U2679">
        <v>67.3</v>
      </c>
      <c r="V2679">
        <v>-3.6</v>
      </c>
      <c r="W2679" cm="1">
        <f t="array" ref="W2679">_xlfn.IFS(OR(X2679="N/A",X2679="NA"),0,OR(X2679="R64",X2679="R68"),1,X2679="R32",2,X2679="S16",3,X2679="E8",4,X2679="F4",5,X2679="2ND",6,X2679="Champions",7)</f>
        <v>0</v>
      </c>
      <c r="X2679" t="s">
        <v>425</v>
      </c>
      <c r="Y2679" t="s">
        <v>90</v>
      </c>
      <c r="Z2679">
        <v>2021</v>
      </c>
    </row>
    <row r="2680" spans="1:26" x14ac:dyDescent="0.3">
      <c r="A2680" t="s">
        <v>178</v>
      </c>
      <c r="B2680" t="s">
        <v>74</v>
      </c>
      <c r="C2680">
        <v>26</v>
      </c>
      <c r="D2680">
        <v>11</v>
      </c>
      <c r="E2680" s="1">
        <f t="shared" si="41"/>
        <v>0.42307692307692307</v>
      </c>
      <c r="F2680">
        <v>104.6</v>
      </c>
      <c r="G2680">
        <v>105.5</v>
      </c>
      <c r="H2680">
        <v>0.47549999999999998</v>
      </c>
      <c r="I2680">
        <v>52.4</v>
      </c>
      <c r="J2680">
        <v>48.6</v>
      </c>
      <c r="K2680">
        <v>17.5</v>
      </c>
      <c r="L2680">
        <v>18.2</v>
      </c>
      <c r="M2680">
        <v>26.6</v>
      </c>
      <c r="N2680">
        <v>28.1</v>
      </c>
      <c r="O2680">
        <v>30</v>
      </c>
      <c r="P2680">
        <v>36.5</v>
      </c>
      <c r="Q2680">
        <v>51</v>
      </c>
      <c r="R2680">
        <v>46.9</v>
      </c>
      <c r="S2680">
        <v>36.1</v>
      </c>
      <c r="T2680">
        <v>34.1</v>
      </c>
      <c r="U2680">
        <v>66.599999999999994</v>
      </c>
      <c r="V2680">
        <v>-11</v>
      </c>
      <c r="W2680" cm="1">
        <f t="array" ref="W2680">_xlfn.IFS(OR(X2680="N/A",X2680="NA"),0,OR(X2680="R64",X2680="R68"),1,X2680="R32",2,X2680="S16",3,X2680="E8",4,X2680="F4",5,X2680="2ND",6,X2680="Champions",7)</f>
        <v>0</v>
      </c>
      <c r="X2680" t="s">
        <v>425</v>
      </c>
      <c r="Y2680" t="s">
        <v>90</v>
      </c>
      <c r="Z2680">
        <v>2021</v>
      </c>
    </row>
    <row r="2681" spans="1:26" x14ac:dyDescent="0.3">
      <c r="A2681" t="s">
        <v>347</v>
      </c>
      <c r="B2681" t="s">
        <v>58</v>
      </c>
      <c r="C2681">
        <v>25</v>
      </c>
      <c r="D2681">
        <v>11</v>
      </c>
      <c r="E2681" s="1">
        <f t="shared" si="41"/>
        <v>0.44</v>
      </c>
      <c r="F2681">
        <v>96.4</v>
      </c>
      <c r="G2681">
        <v>105.3</v>
      </c>
      <c r="H2681">
        <v>0.26750000000000002</v>
      </c>
      <c r="I2681">
        <v>50.4</v>
      </c>
      <c r="J2681">
        <v>50.7</v>
      </c>
      <c r="K2681">
        <v>22.4</v>
      </c>
      <c r="L2681">
        <v>20.100000000000001</v>
      </c>
      <c r="M2681">
        <v>31.1</v>
      </c>
      <c r="N2681">
        <v>28</v>
      </c>
      <c r="O2681">
        <v>37.700000000000003</v>
      </c>
      <c r="P2681">
        <v>27.8</v>
      </c>
      <c r="Q2681">
        <v>52.2</v>
      </c>
      <c r="R2681">
        <v>49.7</v>
      </c>
      <c r="S2681">
        <v>31.3</v>
      </c>
      <c r="T2681">
        <v>34.9</v>
      </c>
      <c r="U2681">
        <v>67.2</v>
      </c>
      <c r="V2681">
        <v>-11.9</v>
      </c>
      <c r="W2681" cm="1">
        <f t="array" ref="W2681">_xlfn.IFS(OR(X2681="N/A",X2681="NA"),0,OR(X2681="R64",X2681="R68"),1,X2681="R32",2,X2681="S16",3,X2681="E8",4,X2681="F4",5,X2681="2ND",6,X2681="Champions",7)</f>
        <v>0</v>
      </c>
      <c r="X2681" t="s">
        <v>425</v>
      </c>
      <c r="Y2681" t="s">
        <v>90</v>
      </c>
      <c r="Z2681">
        <v>2021</v>
      </c>
    </row>
    <row r="2682" spans="1:26" x14ac:dyDescent="0.3">
      <c r="A2682" t="s">
        <v>311</v>
      </c>
      <c r="B2682" t="s">
        <v>64</v>
      </c>
      <c r="C2682">
        <v>27</v>
      </c>
      <c r="D2682">
        <v>11</v>
      </c>
      <c r="E2682" s="1">
        <f t="shared" si="41"/>
        <v>0.40740740740740738</v>
      </c>
      <c r="F2682">
        <v>94.9</v>
      </c>
      <c r="G2682">
        <v>104.9</v>
      </c>
      <c r="H2682">
        <v>0.2394</v>
      </c>
      <c r="I2682">
        <v>49.9</v>
      </c>
      <c r="J2682">
        <v>51.9</v>
      </c>
      <c r="K2682">
        <v>21.7</v>
      </c>
      <c r="L2682">
        <v>19.7</v>
      </c>
      <c r="M2682">
        <v>27.6</v>
      </c>
      <c r="N2682">
        <v>23.6</v>
      </c>
      <c r="O2682">
        <v>40.5</v>
      </c>
      <c r="P2682">
        <v>38.9</v>
      </c>
      <c r="Q2682">
        <v>48</v>
      </c>
      <c r="R2682">
        <v>50.6</v>
      </c>
      <c r="S2682">
        <v>35.200000000000003</v>
      </c>
      <c r="T2682">
        <v>36.200000000000003</v>
      </c>
      <c r="U2682">
        <v>68.599999999999994</v>
      </c>
      <c r="V2682">
        <v>-12.9</v>
      </c>
      <c r="W2682" cm="1">
        <f t="array" ref="W2682">_xlfn.IFS(OR(X2682="N/A",X2682="NA"),0,OR(X2682="R64",X2682="R68"),1,X2682="R32",2,X2682="S16",3,X2682="E8",4,X2682="F4",5,X2682="2ND",6,X2682="Champions",7)</f>
        <v>0</v>
      </c>
      <c r="X2682" t="s">
        <v>425</v>
      </c>
      <c r="Y2682" t="s">
        <v>90</v>
      </c>
      <c r="Z2682">
        <v>2021</v>
      </c>
    </row>
    <row r="2683" spans="1:26" x14ac:dyDescent="0.3">
      <c r="A2683" t="s">
        <v>356</v>
      </c>
      <c r="B2683" t="s">
        <v>62</v>
      </c>
      <c r="C2683">
        <v>25</v>
      </c>
      <c r="D2683">
        <v>11</v>
      </c>
      <c r="E2683" s="1">
        <f t="shared" si="41"/>
        <v>0.44</v>
      </c>
      <c r="F2683">
        <v>99.4</v>
      </c>
      <c r="G2683">
        <v>106.7</v>
      </c>
      <c r="H2683">
        <v>0.30830000000000002</v>
      </c>
      <c r="I2683">
        <v>51.8</v>
      </c>
      <c r="J2683">
        <v>54.1</v>
      </c>
      <c r="K2683">
        <v>19.5</v>
      </c>
      <c r="L2683">
        <v>15.9</v>
      </c>
      <c r="M2683">
        <v>22.6</v>
      </c>
      <c r="N2683">
        <v>24.5</v>
      </c>
      <c r="O2683">
        <v>32.200000000000003</v>
      </c>
      <c r="P2683">
        <v>28.5</v>
      </c>
      <c r="Q2683">
        <v>53.2</v>
      </c>
      <c r="R2683">
        <v>54.6</v>
      </c>
      <c r="S2683">
        <v>33.200000000000003</v>
      </c>
      <c r="T2683">
        <v>35.6</v>
      </c>
      <c r="U2683">
        <v>70.599999999999994</v>
      </c>
      <c r="V2683">
        <v>-11.6</v>
      </c>
      <c r="W2683" cm="1">
        <f t="array" ref="W2683">_xlfn.IFS(OR(X2683="N/A",X2683="NA"),0,OR(X2683="R64",X2683="R68"),1,X2683="R32",2,X2683="S16",3,X2683="E8",4,X2683="F4",5,X2683="2ND",6,X2683="Champions",7)</f>
        <v>0</v>
      </c>
      <c r="X2683" t="s">
        <v>425</v>
      </c>
      <c r="Y2683" t="s">
        <v>90</v>
      </c>
      <c r="Z2683">
        <v>2021</v>
      </c>
    </row>
    <row r="2684" spans="1:26" x14ac:dyDescent="0.3">
      <c r="A2684" t="s">
        <v>344</v>
      </c>
      <c r="B2684" t="s">
        <v>58</v>
      </c>
      <c r="C2684">
        <v>25</v>
      </c>
      <c r="D2684">
        <v>11</v>
      </c>
      <c r="E2684" s="1">
        <f t="shared" si="41"/>
        <v>0.44</v>
      </c>
      <c r="F2684">
        <v>92.7</v>
      </c>
      <c r="G2684">
        <v>103.9</v>
      </c>
      <c r="H2684">
        <v>0.21129999999999999</v>
      </c>
      <c r="I2684">
        <v>44.4</v>
      </c>
      <c r="J2684">
        <v>51.3</v>
      </c>
      <c r="K2684">
        <v>21.4</v>
      </c>
      <c r="L2684">
        <v>18</v>
      </c>
      <c r="M2684">
        <v>28.3</v>
      </c>
      <c r="N2684">
        <v>26.4</v>
      </c>
      <c r="O2684">
        <v>33.1</v>
      </c>
      <c r="P2684">
        <v>30.5</v>
      </c>
      <c r="Q2684">
        <v>46</v>
      </c>
      <c r="R2684">
        <v>49.1</v>
      </c>
      <c r="S2684">
        <v>28.1</v>
      </c>
      <c r="T2684">
        <v>36.5</v>
      </c>
      <c r="U2684">
        <v>68.400000000000006</v>
      </c>
      <c r="V2684">
        <v>-13.1</v>
      </c>
      <c r="W2684" cm="1">
        <f t="array" ref="W2684">_xlfn.IFS(OR(X2684="N/A",X2684="NA"),0,OR(X2684="R64",X2684="R68"),1,X2684="R32",2,X2684="S16",3,X2684="E8",4,X2684="F4",5,X2684="2ND",6,X2684="Champions",7)</f>
        <v>0</v>
      </c>
      <c r="X2684" t="s">
        <v>425</v>
      </c>
      <c r="Y2684" t="s">
        <v>90</v>
      </c>
      <c r="Z2684">
        <v>2021</v>
      </c>
    </row>
    <row r="2685" spans="1:26" x14ac:dyDescent="0.3">
      <c r="A2685" t="s">
        <v>376</v>
      </c>
      <c r="B2685" t="s">
        <v>61</v>
      </c>
      <c r="C2685">
        <v>28</v>
      </c>
      <c r="D2685">
        <v>11</v>
      </c>
      <c r="E2685" s="1">
        <f t="shared" si="41"/>
        <v>0.39285714285714285</v>
      </c>
      <c r="F2685">
        <v>96.7</v>
      </c>
      <c r="G2685">
        <v>110.3</v>
      </c>
      <c r="H2685">
        <v>0.1794</v>
      </c>
      <c r="I2685">
        <v>48.9</v>
      </c>
      <c r="J2685">
        <v>53.5</v>
      </c>
      <c r="K2685">
        <v>19.5</v>
      </c>
      <c r="L2685">
        <v>18</v>
      </c>
      <c r="M2685">
        <v>26.2</v>
      </c>
      <c r="N2685">
        <v>31.7</v>
      </c>
      <c r="O2685">
        <v>30.1</v>
      </c>
      <c r="P2685">
        <v>35.1</v>
      </c>
      <c r="Q2685">
        <v>47.3</v>
      </c>
      <c r="R2685">
        <v>55.8</v>
      </c>
      <c r="S2685">
        <v>34.700000000000003</v>
      </c>
      <c r="T2685">
        <v>32.799999999999997</v>
      </c>
      <c r="U2685">
        <v>71.2</v>
      </c>
      <c r="V2685">
        <v>-12.5</v>
      </c>
      <c r="W2685" cm="1">
        <f t="array" ref="W2685">_xlfn.IFS(OR(X2685="N/A",X2685="NA"),0,OR(X2685="R64",X2685="R68"),1,X2685="R32",2,X2685="S16",3,X2685="E8",4,X2685="F4",5,X2685="2ND",6,X2685="Champions",7)</f>
        <v>0</v>
      </c>
      <c r="X2685" t="s">
        <v>425</v>
      </c>
      <c r="Y2685" t="s">
        <v>90</v>
      </c>
      <c r="Z2685">
        <v>2021</v>
      </c>
    </row>
    <row r="2686" spans="1:26" x14ac:dyDescent="0.3">
      <c r="A2686" t="s">
        <v>249</v>
      </c>
      <c r="B2686" t="s">
        <v>69</v>
      </c>
      <c r="C2686">
        <v>17</v>
      </c>
      <c r="D2686">
        <v>12</v>
      </c>
      <c r="E2686" s="1">
        <f t="shared" si="41"/>
        <v>0.70588235294117652</v>
      </c>
      <c r="F2686">
        <v>99.3</v>
      </c>
      <c r="G2686">
        <v>102.1</v>
      </c>
      <c r="H2686">
        <v>0.42280000000000001</v>
      </c>
      <c r="I2686">
        <v>52</v>
      </c>
      <c r="J2686">
        <v>46</v>
      </c>
      <c r="K2686">
        <v>19.5</v>
      </c>
      <c r="L2686">
        <v>17.8</v>
      </c>
      <c r="M2686">
        <v>28</v>
      </c>
      <c r="N2686">
        <v>27.1</v>
      </c>
      <c r="O2686">
        <v>37.200000000000003</v>
      </c>
      <c r="P2686">
        <v>24.7</v>
      </c>
      <c r="Q2686">
        <v>52.2</v>
      </c>
      <c r="R2686">
        <v>44.8</v>
      </c>
      <c r="S2686">
        <v>34.4</v>
      </c>
      <c r="T2686">
        <v>32.4</v>
      </c>
      <c r="U2686">
        <v>65.7</v>
      </c>
      <c r="V2686">
        <v>-3.7</v>
      </c>
      <c r="W2686" cm="1">
        <f t="array" ref="W2686">_xlfn.IFS(OR(X2686="N/A",X2686="NA"),0,OR(X2686="R64",X2686="R68"),1,X2686="R32",2,X2686="S16",3,X2686="E8",4,X2686="F4",5,X2686="2ND",6,X2686="Champions",7)</f>
        <v>0</v>
      </c>
      <c r="X2686" t="s">
        <v>425</v>
      </c>
      <c r="Y2686" t="s">
        <v>90</v>
      </c>
      <c r="Z2686">
        <v>2021</v>
      </c>
    </row>
    <row r="2687" spans="1:26" x14ac:dyDescent="0.3">
      <c r="A2687" t="s">
        <v>395</v>
      </c>
      <c r="B2687" t="s">
        <v>76</v>
      </c>
      <c r="C2687">
        <v>18</v>
      </c>
      <c r="D2687">
        <v>12</v>
      </c>
      <c r="E2687" s="1">
        <f t="shared" si="41"/>
        <v>0.66666666666666663</v>
      </c>
      <c r="F2687">
        <v>88.2</v>
      </c>
      <c r="G2687">
        <v>96.1</v>
      </c>
      <c r="H2687">
        <v>0.27039999999999997</v>
      </c>
      <c r="I2687">
        <v>44.7</v>
      </c>
      <c r="J2687">
        <v>43.8</v>
      </c>
      <c r="K2687">
        <v>21.6</v>
      </c>
      <c r="L2687">
        <v>22</v>
      </c>
      <c r="M2687">
        <v>28.9</v>
      </c>
      <c r="N2687">
        <v>26.6</v>
      </c>
      <c r="O2687">
        <v>42.2</v>
      </c>
      <c r="P2687">
        <v>41.2</v>
      </c>
      <c r="Q2687">
        <v>42</v>
      </c>
      <c r="R2687">
        <v>43.1</v>
      </c>
      <c r="S2687">
        <v>34</v>
      </c>
      <c r="T2687">
        <v>30.3</v>
      </c>
      <c r="U2687">
        <v>68.900000000000006</v>
      </c>
      <c r="V2687">
        <v>-3.7</v>
      </c>
      <c r="W2687" cm="1">
        <f t="array" ref="W2687">_xlfn.IFS(OR(X2687="N/A",X2687="NA"),0,OR(X2687="R64",X2687="R68"),1,X2687="R32",2,X2687="S16",3,X2687="E8",4,X2687="F4",5,X2687="2ND",6,X2687="Champions",7)</f>
        <v>0</v>
      </c>
      <c r="X2687" t="s">
        <v>425</v>
      </c>
      <c r="Y2687" t="s">
        <v>90</v>
      </c>
      <c r="Z2687">
        <v>2021</v>
      </c>
    </row>
    <row r="2688" spans="1:26" x14ac:dyDescent="0.3">
      <c r="A2688" t="s">
        <v>244</v>
      </c>
      <c r="B2688" t="s">
        <v>69</v>
      </c>
      <c r="C2688">
        <v>20</v>
      </c>
      <c r="D2688">
        <v>12</v>
      </c>
      <c r="E2688" s="1">
        <f t="shared" si="41"/>
        <v>0.6</v>
      </c>
      <c r="F2688">
        <v>98.6</v>
      </c>
      <c r="G2688">
        <v>104.2</v>
      </c>
      <c r="H2688">
        <v>0.34560000000000002</v>
      </c>
      <c r="I2688">
        <v>48.5</v>
      </c>
      <c r="J2688">
        <v>48.6</v>
      </c>
      <c r="K2688">
        <v>17.7</v>
      </c>
      <c r="L2688">
        <v>20.9</v>
      </c>
      <c r="M2688">
        <v>25.7</v>
      </c>
      <c r="N2688">
        <v>28.5</v>
      </c>
      <c r="O2688">
        <v>38.200000000000003</v>
      </c>
      <c r="P2688">
        <v>38.4</v>
      </c>
      <c r="Q2688">
        <v>45.4</v>
      </c>
      <c r="R2688">
        <v>48.2</v>
      </c>
      <c r="S2688">
        <v>36.299999999999997</v>
      </c>
      <c r="T2688">
        <v>32.9</v>
      </c>
      <c r="U2688">
        <v>74.3</v>
      </c>
      <c r="V2688">
        <v>-6.1</v>
      </c>
      <c r="W2688" cm="1">
        <f t="array" ref="W2688">_xlfn.IFS(OR(X2688="N/A",X2688="NA"),0,OR(X2688="R64",X2688="R68"),1,X2688="R32",2,X2688="S16",3,X2688="E8",4,X2688="F4",5,X2688="2ND",6,X2688="Champions",7)</f>
        <v>0</v>
      </c>
      <c r="X2688" t="s">
        <v>425</v>
      </c>
      <c r="Y2688" t="s">
        <v>90</v>
      </c>
      <c r="Z2688">
        <v>2021</v>
      </c>
    </row>
    <row r="2689" spans="1:26" x14ac:dyDescent="0.3">
      <c r="A2689" t="s">
        <v>407</v>
      </c>
      <c r="B2689" t="s">
        <v>51</v>
      </c>
      <c r="C2689">
        <v>17</v>
      </c>
      <c r="D2689">
        <v>12</v>
      </c>
      <c r="E2689" s="1">
        <f t="shared" si="41"/>
        <v>0.70588235294117652</v>
      </c>
      <c r="F2689">
        <v>104.7</v>
      </c>
      <c r="G2689">
        <v>103.7</v>
      </c>
      <c r="H2689">
        <v>0.52810000000000001</v>
      </c>
      <c r="I2689">
        <v>49.4</v>
      </c>
      <c r="J2689">
        <v>49.5</v>
      </c>
      <c r="K2689">
        <v>18.3</v>
      </c>
      <c r="L2689">
        <v>18.5</v>
      </c>
      <c r="M2689">
        <v>34.299999999999997</v>
      </c>
      <c r="N2689">
        <v>26.1</v>
      </c>
      <c r="O2689">
        <v>31</v>
      </c>
      <c r="P2689">
        <v>34</v>
      </c>
      <c r="Q2689">
        <v>50.6</v>
      </c>
      <c r="R2689">
        <v>50.5</v>
      </c>
      <c r="S2689">
        <v>32.1</v>
      </c>
      <c r="T2689">
        <v>31.8</v>
      </c>
      <c r="U2689">
        <v>64</v>
      </c>
      <c r="V2689">
        <v>-5.7</v>
      </c>
      <c r="W2689" cm="1">
        <f t="array" ref="W2689">_xlfn.IFS(OR(X2689="N/A",X2689="NA"),0,OR(X2689="R64",X2689="R68"),1,X2689="R32",2,X2689="S16",3,X2689="E8",4,X2689="F4",5,X2689="2ND",6,X2689="Champions",7)</f>
        <v>0</v>
      </c>
      <c r="X2689" t="s">
        <v>425</v>
      </c>
      <c r="Y2689" t="s">
        <v>90</v>
      </c>
      <c r="Z2689">
        <v>2021</v>
      </c>
    </row>
    <row r="2690" spans="1:26" x14ac:dyDescent="0.3">
      <c r="A2690" t="s">
        <v>416</v>
      </c>
      <c r="B2690" t="s">
        <v>37</v>
      </c>
      <c r="C2690">
        <v>19</v>
      </c>
      <c r="D2690">
        <v>12</v>
      </c>
      <c r="E2690" s="1">
        <f t="shared" si="41"/>
        <v>0.63157894736842102</v>
      </c>
      <c r="F2690">
        <v>100.8</v>
      </c>
      <c r="G2690">
        <v>99.2</v>
      </c>
      <c r="H2690">
        <v>0.54730000000000001</v>
      </c>
      <c r="I2690">
        <v>47.7</v>
      </c>
      <c r="J2690">
        <v>47.4</v>
      </c>
      <c r="K2690">
        <v>17.8</v>
      </c>
      <c r="L2690">
        <v>16.899999999999999</v>
      </c>
      <c r="M2690">
        <v>23</v>
      </c>
      <c r="N2690">
        <v>24.9</v>
      </c>
      <c r="O2690">
        <v>39.9</v>
      </c>
      <c r="P2690">
        <v>30.1</v>
      </c>
      <c r="Q2690">
        <v>49</v>
      </c>
      <c r="R2690">
        <v>47.2</v>
      </c>
      <c r="S2690">
        <v>29.9</v>
      </c>
      <c r="T2690">
        <v>31.9</v>
      </c>
      <c r="U2690">
        <v>70.900000000000006</v>
      </c>
      <c r="V2690">
        <v>-3.1</v>
      </c>
      <c r="W2690" cm="1">
        <f t="array" ref="W2690">_xlfn.IFS(OR(X2690="N/A",X2690="NA"),0,OR(X2690="R64",X2690="R68"),1,X2690="R32",2,X2690="S16",3,X2690="E8",4,X2690="F4",5,X2690="2ND",6,X2690="Champions",7)</f>
        <v>0</v>
      </c>
      <c r="X2690" t="s">
        <v>425</v>
      </c>
      <c r="Y2690" t="s">
        <v>90</v>
      </c>
      <c r="Z2690">
        <v>2021</v>
      </c>
    </row>
    <row r="2691" spans="1:26" x14ac:dyDescent="0.3">
      <c r="A2691" t="s">
        <v>243</v>
      </c>
      <c r="B2691" t="s">
        <v>69</v>
      </c>
      <c r="C2691">
        <v>21</v>
      </c>
      <c r="D2691">
        <v>12</v>
      </c>
      <c r="E2691" s="1">
        <f t="shared" ref="E2691:E2754" si="42">D2691/C2691</f>
        <v>0.5714285714285714</v>
      </c>
      <c r="F2691">
        <v>92.9</v>
      </c>
      <c r="G2691">
        <v>100.3</v>
      </c>
      <c r="H2691">
        <v>0.29270000000000002</v>
      </c>
      <c r="I2691">
        <v>49.1</v>
      </c>
      <c r="J2691">
        <v>45.7</v>
      </c>
      <c r="K2691">
        <v>21.4</v>
      </c>
      <c r="L2691">
        <v>18</v>
      </c>
      <c r="M2691">
        <v>23</v>
      </c>
      <c r="N2691">
        <v>25.4</v>
      </c>
      <c r="O2691">
        <v>31.5</v>
      </c>
      <c r="P2691">
        <v>32.200000000000003</v>
      </c>
      <c r="Q2691">
        <v>50.8</v>
      </c>
      <c r="R2691">
        <v>45.3</v>
      </c>
      <c r="S2691">
        <v>31</v>
      </c>
      <c r="T2691">
        <v>30.9</v>
      </c>
      <c r="U2691">
        <v>66.400000000000006</v>
      </c>
      <c r="V2691">
        <v>-7.4</v>
      </c>
      <c r="W2691" cm="1">
        <f t="array" ref="W2691">_xlfn.IFS(OR(X2691="N/A",X2691="NA"),0,OR(X2691="R64",X2691="R68"),1,X2691="R32",2,X2691="S16",3,X2691="E8",4,X2691="F4",5,X2691="2ND",6,X2691="Champions",7)</f>
        <v>0</v>
      </c>
      <c r="X2691" t="s">
        <v>425</v>
      </c>
      <c r="Y2691" t="s">
        <v>90</v>
      </c>
      <c r="Z2691">
        <v>2021</v>
      </c>
    </row>
    <row r="2692" spans="1:26" x14ac:dyDescent="0.3">
      <c r="A2692" t="s">
        <v>327</v>
      </c>
      <c r="B2692" t="s">
        <v>67</v>
      </c>
      <c r="C2692">
        <v>20</v>
      </c>
      <c r="D2692">
        <v>12</v>
      </c>
      <c r="E2692" s="1">
        <f t="shared" si="42"/>
        <v>0.6</v>
      </c>
      <c r="F2692">
        <v>99.2</v>
      </c>
      <c r="G2692">
        <v>101</v>
      </c>
      <c r="H2692">
        <v>0.44919999999999999</v>
      </c>
      <c r="I2692">
        <v>52.2</v>
      </c>
      <c r="J2692">
        <v>52.4</v>
      </c>
      <c r="K2692">
        <v>18.2</v>
      </c>
      <c r="L2692">
        <v>19.5</v>
      </c>
      <c r="M2692">
        <v>22.7</v>
      </c>
      <c r="N2692">
        <v>24.5</v>
      </c>
      <c r="O2692">
        <v>29.3</v>
      </c>
      <c r="P2692">
        <v>23.7</v>
      </c>
      <c r="Q2692">
        <v>54.3</v>
      </c>
      <c r="R2692">
        <v>50.5</v>
      </c>
      <c r="S2692">
        <v>32.700000000000003</v>
      </c>
      <c r="T2692">
        <v>36.700000000000003</v>
      </c>
      <c r="U2692">
        <v>68.599999999999994</v>
      </c>
      <c r="V2692">
        <v>-5.2</v>
      </c>
      <c r="W2692" cm="1">
        <f t="array" ref="W2692">_xlfn.IFS(OR(X2692="N/A",X2692="NA"),0,OR(X2692="R64",X2692="R68"),1,X2692="R32",2,X2692="S16",3,X2692="E8",4,X2692="F4",5,X2692="2ND",6,X2692="Champions",7)</f>
        <v>0</v>
      </c>
      <c r="X2692" t="s">
        <v>425</v>
      </c>
      <c r="Y2692" t="s">
        <v>90</v>
      </c>
      <c r="Z2692">
        <v>2021</v>
      </c>
    </row>
    <row r="2693" spans="1:26" x14ac:dyDescent="0.3">
      <c r="A2693" t="s">
        <v>222</v>
      </c>
      <c r="B2693" t="s">
        <v>43</v>
      </c>
      <c r="C2693">
        <v>22</v>
      </c>
      <c r="D2693">
        <v>12</v>
      </c>
      <c r="E2693" s="1">
        <f t="shared" si="42"/>
        <v>0.54545454545454541</v>
      </c>
      <c r="F2693">
        <v>108.3</v>
      </c>
      <c r="G2693">
        <v>108.8</v>
      </c>
      <c r="H2693">
        <v>0.48649999999999999</v>
      </c>
      <c r="I2693">
        <v>55.1</v>
      </c>
      <c r="J2693">
        <v>54.2</v>
      </c>
      <c r="K2693">
        <v>16.8</v>
      </c>
      <c r="L2693">
        <v>18.5</v>
      </c>
      <c r="M2693">
        <v>27.2</v>
      </c>
      <c r="N2693">
        <v>29.1</v>
      </c>
      <c r="O2693">
        <v>25.3</v>
      </c>
      <c r="P2693">
        <v>22.4</v>
      </c>
      <c r="Q2693">
        <v>52.2</v>
      </c>
      <c r="R2693">
        <v>53.4</v>
      </c>
      <c r="S2693">
        <v>39.1</v>
      </c>
      <c r="T2693">
        <v>36.799999999999997</v>
      </c>
      <c r="U2693">
        <v>67.400000000000006</v>
      </c>
      <c r="V2693">
        <v>-6.8</v>
      </c>
      <c r="W2693" cm="1">
        <f t="array" ref="W2693">_xlfn.IFS(OR(X2693="N/A",X2693="NA"),0,OR(X2693="R64",X2693="R68"),1,X2693="R32",2,X2693="S16",3,X2693="E8",4,X2693="F4",5,X2693="2ND",6,X2693="Champions",7)</f>
        <v>0</v>
      </c>
      <c r="X2693" t="s">
        <v>425</v>
      </c>
      <c r="Y2693" t="s">
        <v>90</v>
      </c>
      <c r="Z2693">
        <v>2021</v>
      </c>
    </row>
    <row r="2694" spans="1:26" x14ac:dyDescent="0.3">
      <c r="A2694" t="s">
        <v>421</v>
      </c>
      <c r="B2694" t="s">
        <v>50</v>
      </c>
      <c r="C2694">
        <v>23</v>
      </c>
      <c r="D2694">
        <v>12</v>
      </c>
      <c r="E2694" s="1">
        <f t="shared" si="42"/>
        <v>0.52173913043478259</v>
      </c>
      <c r="F2694">
        <v>102.5</v>
      </c>
      <c r="G2694">
        <v>97.9</v>
      </c>
      <c r="H2694">
        <v>0.62909999999999999</v>
      </c>
      <c r="I2694">
        <v>48.4</v>
      </c>
      <c r="J2694">
        <v>49.6</v>
      </c>
      <c r="K2694">
        <v>20.5</v>
      </c>
      <c r="L2694">
        <v>18.600000000000001</v>
      </c>
      <c r="M2694">
        <v>29.1</v>
      </c>
      <c r="N2694">
        <v>25.3</v>
      </c>
      <c r="O2694">
        <v>33</v>
      </c>
      <c r="P2694">
        <v>37.799999999999997</v>
      </c>
      <c r="Q2694">
        <v>49.4</v>
      </c>
      <c r="R2694">
        <v>49.2</v>
      </c>
      <c r="S2694">
        <v>31.1</v>
      </c>
      <c r="T2694">
        <v>33.6</v>
      </c>
      <c r="U2694">
        <v>71</v>
      </c>
      <c r="V2694">
        <v>-2.9</v>
      </c>
      <c r="W2694" cm="1">
        <f t="array" ref="W2694">_xlfn.IFS(OR(X2694="N/A",X2694="NA"),0,OR(X2694="R64",X2694="R68"),1,X2694="R32",2,X2694="S16",3,X2694="E8",4,X2694="F4",5,X2694="2ND",6,X2694="Champions",7)</f>
        <v>0</v>
      </c>
      <c r="X2694" t="s">
        <v>425</v>
      </c>
      <c r="Y2694" t="s">
        <v>90</v>
      </c>
      <c r="Z2694">
        <v>2021</v>
      </c>
    </row>
    <row r="2695" spans="1:26" x14ac:dyDescent="0.3">
      <c r="A2695" t="s">
        <v>257</v>
      </c>
      <c r="B2695" t="s">
        <v>57</v>
      </c>
      <c r="C2695">
        <v>22</v>
      </c>
      <c r="D2695">
        <v>12</v>
      </c>
      <c r="E2695" s="1">
        <f t="shared" si="42"/>
        <v>0.54545454545454541</v>
      </c>
      <c r="F2695">
        <v>105.3</v>
      </c>
      <c r="G2695">
        <v>104.4</v>
      </c>
      <c r="H2695">
        <v>0.52480000000000004</v>
      </c>
      <c r="I2695">
        <v>50.5</v>
      </c>
      <c r="J2695">
        <v>51.8</v>
      </c>
      <c r="K2695">
        <v>16.3</v>
      </c>
      <c r="L2695">
        <v>18.100000000000001</v>
      </c>
      <c r="M2695">
        <v>27.9</v>
      </c>
      <c r="N2695">
        <v>29</v>
      </c>
      <c r="O2695">
        <v>25.5</v>
      </c>
      <c r="P2695">
        <v>27.4</v>
      </c>
      <c r="Q2695">
        <v>48.1</v>
      </c>
      <c r="R2695">
        <v>51.1</v>
      </c>
      <c r="S2695">
        <v>36.200000000000003</v>
      </c>
      <c r="T2695">
        <v>35.299999999999997</v>
      </c>
      <c r="U2695">
        <v>65.8</v>
      </c>
      <c r="V2695">
        <v>-6.4</v>
      </c>
      <c r="W2695" cm="1">
        <f t="array" ref="W2695">_xlfn.IFS(OR(X2695="N/A",X2695="NA"),0,OR(X2695="R64",X2695="R68"),1,X2695="R32",2,X2695="S16",3,X2695="E8",4,X2695="F4",5,X2695="2ND",6,X2695="Champions",7)</f>
        <v>0</v>
      </c>
      <c r="X2695" t="s">
        <v>425</v>
      </c>
      <c r="Y2695" t="s">
        <v>90</v>
      </c>
      <c r="Z2695">
        <v>2021</v>
      </c>
    </row>
    <row r="2696" spans="1:26" x14ac:dyDescent="0.3">
      <c r="A2696" t="s">
        <v>403</v>
      </c>
      <c r="B2696" t="s">
        <v>51</v>
      </c>
      <c r="C2696">
        <v>19</v>
      </c>
      <c r="D2696">
        <v>12</v>
      </c>
      <c r="E2696" s="1">
        <f t="shared" si="42"/>
        <v>0.63157894736842102</v>
      </c>
      <c r="F2696">
        <v>97.9</v>
      </c>
      <c r="G2696">
        <v>102.4</v>
      </c>
      <c r="H2696">
        <v>0.37359999999999999</v>
      </c>
      <c r="I2696">
        <v>46.5</v>
      </c>
      <c r="J2696">
        <v>50.5</v>
      </c>
      <c r="K2696">
        <v>15.7</v>
      </c>
      <c r="L2696">
        <v>21.7</v>
      </c>
      <c r="M2696">
        <v>26.3</v>
      </c>
      <c r="N2696">
        <v>30.1</v>
      </c>
      <c r="O2696">
        <v>28.4</v>
      </c>
      <c r="P2696">
        <v>40.4</v>
      </c>
      <c r="Q2696">
        <v>45.6</v>
      </c>
      <c r="R2696">
        <v>50</v>
      </c>
      <c r="S2696">
        <v>31.8</v>
      </c>
      <c r="T2696">
        <v>34.299999999999997</v>
      </c>
      <c r="U2696">
        <v>69.3</v>
      </c>
      <c r="V2696">
        <v>-8.1999999999999993</v>
      </c>
      <c r="W2696" cm="1">
        <f t="array" ref="W2696">_xlfn.IFS(OR(X2696="N/A",X2696="NA"),0,OR(X2696="R64",X2696="R68"),1,X2696="R32",2,X2696="S16",3,X2696="E8",4,X2696="F4",5,X2696="2ND",6,X2696="Champions",7)</f>
        <v>0</v>
      </c>
      <c r="X2696" t="s">
        <v>425</v>
      </c>
      <c r="Y2696" t="s">
        <v>90</v>
      </c>
      <c r="Z2696">
        <v>2021</v>
      </c>
    </row>
    <row r="2697" spans="1:26" x14ac:dyDescent="0.3">
      <c r="A2697" t="s">
        <v>217</v>
      </c>
      <c r="B2697" t="s">
        <v>40</v>
      </c>
      <c r="C2697">
        <v>21</v>
      </c>
      <c r="D2697">
        <v>12</v>
      </c>
      <c r="E2697" s="1">
        <f t="shared" si="42"/>
        <v>0.5714285714285714</v>
      </c>
      <c r="F2697">
        <v>102.7</v>
      </c>
      <c r="G2697">
        <v>99.9</v>
      </c>
      <c r="H2697">
        <v>0.57720000000000005</v>
      </c>
      <c r="I2697">
        <v>47.5</v>
      </c>
      <c r="J2697">
        <v>49.7</v>
      </c>
      <c r="K2697">
        <v>16.100000000000001</v>
      </c>
      <c r="L2697">
        <v>19</v>
      </c>
      <c r="M2697">
        <v>24.8</v>
      </c>
      <c r="N2697">
        <v>25.4</v>
      </c>
      <c r="O2697">
        <v>29.9</v>
      </c>
      <c r="P2697">
        <v>40.9</v>
      </c>
      <c r="Q2697">
        <v>46.5</v>
      </c>
      <c r="R2697">
        <v>48.7</v>
      </c>
      <c r="S2697">
        <v>32.799999999999997</v>
      </c>
      <c r="T2697">
        <v>34.6</v>
      </c>
      <c r="U2697">
        <v>67.7</v>
      </c>
      <c r="V2697">
        <v>-6.6</v>
      </c>
      <c r="W2697" cm="1">
        <f t="array" ref="W2697">_xlfn.IFS(OR(X2697="N/A",X2697="NA"),0,OR(X2697="R64",X2697="R68"),1,X2697="R32",2,X2697="S16",3,X2697="E8",4,X2697="F4",5,X2697="2ND",6,X2697="Champions",7)</f>
        <v>0</v>
      </c>
      <c r="X2697" t="s">
        <v>425</v>
      </c>
      <c r="Y2697" t="s">
        <v>90</v>
      </c>
      <c r="Z2697">
        <v>2021</v>
      </c>
    </row>
    <row r="2698" spans="1:26" x14ac:dyDescent="0.3">
      <c r="A2698" t="s">
        <v>285</v>
      </c>
      <c r="B2698" t="s">
        <v>55</v>
      </c>
      <c r="C2698">
        <v>22</v>
      </c>
      <c r="D2698">
        <v>12</v>
      </c>
      <c r="E2698" s="1">
        <f t="shared" si="42"/>
        <v>0.54545454545454541</v>
      </c>
      <c r="F2698">
        <v>100.5</v>
      </c>
      <c r="G2698">
        <v>101.7</v>
      </c>
      <c r="H2698">
        <v>0.46779999999999999</v>
      </c>
      <c r="I2698">
        <v>48.8</v>
      </c>
      <c r="J2698">
        <v>51.3</v>
      </c>
      <c r="K2698">
        <v>21.5</v>
      </c>
      <c r="L2698">
        <v>18.899999999999999</v>
      </c>
      <c r="M2698">
        <v>30.5</v>
      </c>
      <c r="N2698">
        <v>25</v>
      </c>
      <c r="O2698">
        <v>36.799999999999997</v>
      </c>
      <c r="P2698">
        <v>33.6</v>
      </c>
      <c r="Q2698">
        <v>48.7</v>
      </c>
      <c r="R2698">
        <v>49.9</v>
      </c>
      <c r="S2698">
        <v>32.6</v>
      </c>
      <c r="T2698">
        <v>35.799999999999997</v>
      </c>
      <c r="U2698">
        <v>65.400000000000006</v>
      </c>
      <c r="V2698">
        <v>-6</v>
      </c>
      <c r="W2698" cm="1">
        <f t="array" ref="W2698">_xlfn.IFS(OR(X2698="N/A",X2698="NA"),0,OR(X2698="R64",X2698="R68"),1,X2698="R32",2,X2698="S16",3,X2698="E8",4,X2698="F4",5,X2698="2ND",6,X2698="Champions",7)</f>
        <v>0</v>
      </c>
      <c r="X2698" t="s">
        <v>425</v>
      </c>
      <c r="Y2698" t="s">
        <v>90</v>
      </c>
      <c r="Z2698">
        <v>2021</v>
      </c>
    </row>
    <row r="2699" spans="1:26" x14ac:dyDescent="0.3">
      <c r="A2699" t="s">
        <v>394</v>
      </c>
      <c r="B2699" t="s">
        <v>76</v>
      </c>
      <c r="C2699">
        <v>23</v>
      </c>
      <c r="D2699">
        <v>12</v>
      </c>
      <c r="E2699" s="1">
        <f t="shared" si="42"/>
        <v>0.52173913043478259</v>
      </c>
      <c r="F2699">
        <v>92.4</v>
      </c>
      <c r="G2699">
        <v>106.4</v>
      </c>
      <c r="H2699">
        <v>0.16470000000000001</v>
      </c>
      <c r="I2699">
        <v>47.8</v>
      </c>
      <c r="J2699">
        <v>46.8</v>
      </c>
      <c r="K2699">
        <v>21.6</v>
      </c>
      <c r="L2699">
        <v>21</v>
      </c>
      <c r="M2699">
        <v>26</v>
      </c>
      <c r="N2699">
        <v>31.6</v>
      </c>
      <c r="O2699">
        <v>41.9</v>
      </c>
      <c r="P2699">
        <v>38.1</v>
      </c>
      <c r="Q2699">
        <v>47</v>
      </c>
      <c r="R2699">
        <v>44</v>
      </c>
      <c r="S2699">
        <v>33.299999999999997</v>
      </c>
      <c r="T2699">
        <v>34.299999999999997</v>
      </c>
      <c r="U2699">
        <v>70</v>
      </c>
      <c r="V2699">
        <v>-9.1999999999999993</v>
      </c>
      <c r="W2699" cm="1">
        <f t="array" ref="W2699">_xlfn.IFS(OR(X2699="N/A",X2699="NA"),0,OR(X2699="R64",X2699="R68"),1,X2699="R32",2,X2699="S16",3,X2699="E8",4,X2699="F4",5,X2699="2ND",6,X2699="Champions",7)</f>
        <v>0</v>
      </c>
      <c r="X2699" t="s">
        <v>425</v>
      </c>
      <c r="Y2699" t="s">
        <v>90</v>
      </c>
      <c r="Z2699">
        <v>2021</v>
      </c>
    </row>
    <row r="2700" spans="1:26" x14ac:dyDescent="0.3">
      <c r="A2700" t="s">
        <v>411</v>
      </c>
      <c r="B2700" t="s">
        <v>37</v>
      </c>
      <c r="C2700">
        <v>22</v>
      </c>
      <c r="D2700">
        <v>12</v>
      </c>
      <c r="E2700" s="1">
        <f t="shared" si="42"/>
        <v>0.54545454545454541</v>
      </c>
      <c r="F2700">
        <v>107.6</v>
      </c>
      <c r="G2700">
        <v>99.3</v>
      </c>
      <c r="H2700">
        <v>0.7147</v>
      </c>
      <c r="I2700">
        <v>50.5</v>
      </c>
      <c r="J2700">
        <v>50.2</v>
      </c>
      <c r="K2700">
        <v>17.899999999999999</v>
      </c>
      <c r="L2700">
        <v>17.600000000000001</v>
      </c>
      <c r="M2700">
        <v>23.2</v>
      </c>
      <c r="N2700">
        <v>27.4</v>
      </c>
      <c r="O2700">
        <v>32.700000000000003</v>
      </c>
      <c r="P2700">
        <v>34.299999999999997</v>
      </c>
      <c r="Q2700">
        <v>51.5</v>
      </c>
      <c r="R2700">
        <v>55.4</v>
      </c>
      <c r="S2700">
        <v>32.5</v>
      </c>
      <c r="T2700">
        <v>27.8</v>
      </c>
      <c r="U2700">
        <v>71.2</v>
      </c>
      <c r="V2700">
        <v>-4.2</v>
      </c>
      <c r="W2700" cm="1">
        <f t="array" ref="W2700">_xlfn.IFS(OR(X2700="N/A",X2700="NA"),0,OR(X2700="R64",X2700="R68"),1,X2700="R32",2,X2700="S16",3,X2700="E8",4,X2700="F4",5,X2700="2ND",6,X2700="Champions",7)</f>
        <v>0</v>
      </c>
      <c r="X2700" t="s">
        <v>425</v>
      </c>
      <c r="Y2700" t="s">
        <v>90</v>
      </c>
      <c r="Z2700">
        <v>2021</v>
      </c>
    </row>
    <row r="2701" spans="1:26" x14ac:dyDescent="0.3">
      <c r="A2701" t="s">
        <v>325</v>
      </c>
      <c r="B2701" t="s">
        <v>38</v>
      </c>
      <c r="C2701">
        <v>25</v>
      </c>
      <c r="D2701">
        <v>12</v>
      </c>
      <c r="E2701" s="1">
        <f t="shared" si="42"/>
        <v>0.48</v>
      </c>
      <c r="F2701">
        <v>110.8</v>
      </c>
      <c r="G2701">
        <v>98.5</v>
      </c>
      <c r="H2701">
        <v>0.79420000000000002</v>
      </c>
      <c r="I2701">
        <v>53.1</v>
      </c>
      <c r="J2701">
        <v>51.2</v>
      </c>
      <c r="K2701">
        <v>18.399999999999999</v>
      </c>
      <c r="L2701">
        <v>19.600000000000001</v>
      </c>
      <c r="M2701">
        <v>23.6</v>
      </c>
      <c r="N2701">
        <v>29.5</v>
      </c>
      <c r="O2701">
        <v>28.8</v>
      </c>
      <c r="P2701">
        <v>27.3</v>
      </c>
      <c r="Q2701">
        <v>53</v>
      </c>
      <c r="R2701">
        <v>49.6</v>
      </c>
      <c r="S2701">
        <v>35.5</v>
      </c>
      <c r="T2701">
        <v>36</v>
      </c>
      <c r="U2701">
        <v>67.599999999999994</v>
      </c>
      <c r="V2701">
        <v>-3.9</v>
      </c>
      <c r="W2701" cm="1">
        <f t="array" ref="W2701">_xlfn.IFS(OR(X2701="N/A",X2701="NA"),0,OR(X2701="R64",X2701="R68"),1,X2701="R32",2,X2701="S16",3,X2701="E8",4,X2701="F4",5,X2701="2ND",6,X2701="Champions",7)</f>
        <v>0</v>
      </c>
      <c r="X2701" t="s">
        <v>425</v>
      </c>
      <c r="Y2701" t="s">
        <v>90</v>
      </c>
      <c r="Z2701">
        <v>2021</v>
      </c>
    </row>
    <row r="2702" spans="1:26" x14ac:dyDescent="0.3">
      <c r="A2702" t="s">
        <v>150</v>
      </c>
      <c r="B2702" t="s">
        <v>35</v>
      </c>
      <c r="C2702">
        <v>26</v>
      </c>
      <c r="D2702">
        <v>12</v>
      </c>
      <c r="E2702" s="1">
        <f t="shared" si="42"/>
        <v>0.46153846153846156</v>
      </c>
      <c r="F2702">
        <v>104.3</v>
      </c>
      <c r="G2702">
        <v>100</v>
      </c>
      <c r="H2702">
        <v>0.62029999999999996</v>
      </c>
      <c r="I2702">
        <v>49.9</v>
      </c>
      <c r="J2702">
        <v>50.7</v>
      </c>
      <c r="K2702">
        <v>20.9</v>
      </c>
      <c r="L2702">
        <v>17</v>
      </c>
      <c r="M2702">
        <v>28.9</v>
      </c>
      <c r="N2702">
        <v>29.3</v>
      </c>
      <c r="O2702">
        <v>32.4</v>
      </c>
      <c r="P2702">
        <v>29.3</v>
      </c>
      <c r="Q2702">
        <v>49.5</v>
      </c>
      <c r="R2702">
        <v>51</v>
      </c>
      <c r="S2702">
        <v>33.799999999999997</v>
      </c>
      <c r="T2702">
        <v>33.5</v>
      </c>
      <c r="U2702">
        <v>67</v>
      </c>
      <c r="V2702">
        <v>-4</v>
      </c>
      <c r="W2702" cm="1">
        <f t="array" ref="W2702">_xlfn.IFS(OR(X2702="N/A",X2702="NA"),0,OR(X2702="R64",X2702="R68"),1,X2702="R32",2,X2702="S16",3,X2702="E8",4,X2702="F4",5,X2702="2ND",6,X2702="Champions",7)</f>
        <v>0</v>
      </c>
      <c r="X2702" t="s">
        <v>425</v>
      </c>
      <c r="Y2702" t="s">
        <v>90</v>
      </c>
      <c r="Z2702">
        <v>2021</v>
      </c>
    </row>
    <row r="2703" spans="1:26" x14ac:dyDescent="0.3">
      <c r="A2703" t="s">
        <v>281</v>
      </c>
      <c r="B2703" t="s">
        <v>47</v>
      </c>
      <c r="C2703">
        <v>25</v>
      </c>
      <c r="D2703">
        <v>12</v>
      </c>
      <c r="E2703" s="1">
        <f t="shared" si="42"/>
        <v>0.48</v>
      </c>
      <c r="F2703">
        <v>99.3</v>
      </c>
      <c r="G2703">
        <v>102.1</v>
      </c>
      <c r="H2703">
        <v>0.42049999999999998</v>
      </c>
      <c r="I2703">
        <v>52.2</v>
      </c>
      <c r="J2703">
        <v>53.1</v>
      </c>
      <c r="K2703">
        <v>18.5</v>
      </c>
      <c r="L2703">
        <v>19</v>
      </c>
      <c r="M2703">
        <v>16.600000000000001</v>
      </c>
      <c r="N2703">
        <v>25.6</v>
      </c>
      <c r="O2703">
        <v>29.8</v>
      </c>
      <c r="P2703">
        <v>23.9</v>
      </c>
      <c r="Q2703">
        <v>49.7</v>
      </c>
      <c r="R2703">
        <v>54.1</v>
      </c>
      <c r="S2703">
        <v>37.200000000000003</v>
      </c>
      <c r="T2703">
        <v>34.4</v>
      </c>
      <c r="U2703">
        <v>66.2</v>
      </c>
      <c r="V2703">
        <v>-8.1</v>
      </c>
      <c r="W2703" cm="1">
        <f t="array" ref="W2703">_xlfn.IFS(OR(X2703="N/A",X2703="NA"),0,OR(X2703="R64",X2703="R68"),1,X2703="R32",2,X2703="S16",3,X2703="E8",4,X2703="F4",5,X2703="2ND",6,X2703="Champions",7)</f>
        <v>0</v>
      </c>
      <c r="X2703" t="s">
        <v>425</v>
      </c>
      <c r="Y2703" t="s">
        <v>90</v>
      </c>
      <c r="Z2703">
        <v>2021</v>
      </c>
    </row>
    <row r="2704" spans="1:26" x14ac:dyDescent="0.3">
      <c r="A2704" t="s">
        <v>147</v>
      </c>
      <c r="B2704" t="s">
        <v>31</v>
      </c>
      <c r="C2704">
        <v>27</v>
      </c>
      <c r="D2704">
        <v>12</v>
      </c>
      <c r="E2704" s="1">
        <f t="shared" si="42"/>
        <v>0.44444444444444442</v>
      </c>
      <c r="F2704">
        <v>108.3</v>
      </c>
      <c r="G2704">
        <v>94.4</v>
      </c>
      <c r="H2704">
        <v>0.82779999999999998</v>
      </c>
      <c r="I2704">
        <v>48.5</v>
      </c>
      <c r="J2704">
        <v>48.8</v>
      </c>
      <c r="K2704">
        <v>17.2</v>
      </c>
      <c r="L2704">
        <v>17.600000000000001</v>
      </c>
      <c r="M2704">
        <v>25.5</v>
      </c>
      <c r="N2704">
        <v>27.4</v>
      </c>
      <c r="O2704">
        <v>41.5</v>
      </c>
      <c r="P2704">
        <v>33.5</v>
      </c>
      <c r="Q2704">
        <v>48.5</v>
      </c>
      <c r="R2704">
        <v>48.1</v>
      </c>
      <c r="S2704">
        <v>32.4</v>
      </c>
      <c r="T2704">
        <v>33.4</v>
      </c>
      <c r="U2704">
        <v>66.3</v>
      </c>
      <c r="V2704">
        <v>-1.2</v>
      </c>
      <c r="W2704" cm="1">
        <f t="array" ref="W2704">_xlfn.IFS(OR(X2704="N/A",X2704="NA"),0,OR(X2704="R64",X2704="R68"),1,X2704="R32",2,X2704="S16",3,X2704="E8",4,X2704="F4",5,X2704="2ND",6,X2704="Champions",7)</f>
        <v>0</v>
      </c>
      <c r="X2704" t="s">
        <v>425</v>
      </c>
      <c r="Y2704" t="s">
        <v>90</v>
      </c>
      <c r="Z2704">
        <v>2021</v>
      </c>
    </row>
    <row r="2705" spans="1:26" x14ac:dyDescent="0.3">
      <c r="A2705" t="s">
        <v>289</v>
      </c>
      <c r="B2705" t="s">
        <v>55</v>
      </c>
      <c r="C2705">
        <v>25</v>
      </c>
      <c r="D2705">
        <v>12</v>
      </c>
      <c r="E2705" s="1">
        <f t="shared" si="42"/>
        <v>0.48</v>
      </c>
      <c r="F2705">
        <v>103.5</v>
      </c>
      <c r="G2705">
        <v>103.4</v>
      </c>
      <c r="H2705">
        <v>0.50280000000000002</v>
      </c>
      <c r="I2705">
        <v>50.7</v>
      </c>
      <c r="J2705">
        <v>51.9</v>
      </c>
      <c r="K2705">
        <v>19.600000000000001</v>
      </c>
      <c r="L2705">
        <v>17.7</v>
      </c>
      <c r="M2705">
        <v>28.8</v>
      </c>
      <c r="N2705">
        <v>25</v>
      </c>
      <c r="O2705">
        <v>21.4</v>
      </c>
      <c r="P2705">
        <v>33.700000000000003</v>
      </c>
      <c r="Q2705">
        <v>49.8</v>
      </c>
      <c r="R2705">
        <v>48.1</v>
      </c>
      <c r="S2705">
        <v>34.6</v>
      </c>
      <c r="T2705">
        <v>37.9</v>
      </c>
      <c r="U2705">
        <v>66</v>
      </c>
      <c r="V2705">
        <v>-7.7</v>
      </c>
      <c r="W2705" cm="1">
        <f t="array" ref="W2705">_xlfn.IFS(OR(X2705="N/A",X2705="NA"),0,OR(X2705="R64",X2705="R68"),1,X2705="R32",2,X2705="S16",3,X2705="E8",4,X2705="F4",5,X2705="2ND",6,X2705="Champions",7)</f>
        <v>0</v>
      </c>
      <c r="X2705" t="s">
        <v>425</v>
      </c>
      <c r="Y2705" t="s">
        <v>90</v>
      </c>
      <c r="Z2705">
        <v>2021</v>
      </c>
    </row>
    <row r="2706" spans="1:26" x14ac:dyDescent="0.3">
      <c r="A2706" t="s">
        <v>181</v>
      </c>
      <c r="B2706" t="s">
        <v>74</v>
      </c>
      <c r="C2706">
        <v>27</v>
      </c>
      <c r="D2706">
        <v>12</v>
      </c>
      <c r="E2706" s="1">
        <f t="shared" si="42"/>
        <v>0.44444444444444442</v>
      </c>
      <c r="F2706">
        <v>97.9</v>
      </c>
      <c r="G2706">
        <v>104</v>
      </c>
      <c r="H2706">
        <v>0.33289999999999997</v>
      </c>
      <c r="I2706">
        <v>49.8</v>
      </c>
      <c r="J2706">
        <v>51.7</v>
      </c>
      <c r="K2706">
        <v>19.8</v>
      </c>
      <c r="L2706">
        <v>20.6</v>
      </c>
      <c r="M2706">
        <v>28.1</v>
      </c>
      <c r="N2706">
        <v>26.9</v>
      </c>
      <c r="O2706">
        <v>31.5</v>
      </c>
      <c r="P2706">
        <v>33.799999999999997</v>
      </c>
      <c r="Q2706">
        <v>48.6</v>
      </c>
      <c r="R2706">
        <v>56.1</v>
      </c>
      <c r="S2706">
        <v>34.6</v>
      </c>
      <c r="T2706">
        <v>31</v>
      </c>
      <c r="U2706">
        <v>65.2</v>
      </c>
      <c r="V2706">
        <v>-12.5</v>
      </c>
      <c r="W2706" cm="1">
        <f t="array" ref="W2706">_xlfn.IFS(OR(X2706="N/A",X2706="NA"),0,OR(X2706="R64",X2706="R68"),1,X2706="R32",2,X2706="S16",3,X2706="E8",4,X2706="F4",5,X2706="2ND",6,X2706="Champions",7)</f>
        <v>0</v>
      </c>
      <c r="X2706" t="s">
        <v>425</v>
      </c>
      <c r="Y2706" t="s">
        <v>90</v>
      </c>
      <c r="Z2706">
        <v>2021</v>
      </c>
    </row>
    <row r="2707" spans="1:26" x14ac:dyDescent="0.3">
      <c r="A2707" t="s">
        <v>275</v>
      </c>
      <c r="B2707" t="s">
        <v>47</v>
      </c>
      <c r="C2707">
        <v>26</v>
      </c>
      <c r="D2707">
        <v>12</v>
      </c>
      <c r="E2707" s="1">
        <f t="shared" si="42"/>
        <v>0.46153846153846156</v>
      </c>
      <c r="F2707">
        <v>102.7</v>
      </c>
      <c r="G2707">
        <v>102.6</v>
      </c>
      <c r="H2707">
        <v>0.50270000000000004</v>
      </c>
      <c r="I2707">
        <v>49.9</v>
      </c>
      <c r="J2707">
        <v>51.1</v>
      </c>
      <c r="K2707">
        <v>18.899999999999999</v>
      </c>
      <c r="L2707">
        <v>17.8</v>
      </c>
      <c r="M2707">
        <v>28</v>
      </c>
      <c r="N2707">
        <v>26.2</v>
      </c>
      <c r="O2707">
        <v>22.6</v>
      </c>
      <c r="P2707">
        <v>30.2</v>
      </c>
      <c r="Q2707">
        <v>51.6</v>
      </c>
      <c r="R2707">
        <v>46.4</v>
      </c>
      <c r="S2707">
        <v>31.4</v>
      </c>
      <c r="T2707">
        <v>38.1</v>
      </c>
      <c r="U2707">
        <v>66</v>
      </c>
      <c r="V2707">
        <v>-9.8000000000000007</v>
      </c>
      <c r="W2707" cm="1">
        <f t="array" ref="W2707">_xlfn.IFS(OR(X2707="N/A",X2707="NA"),0,OR(X2707="R64",X2707="R68"),1,X2707="R32",2,X2707="S16",3,X2707="E8",4,X2707="F4",5,X2707="2ND",6,X2707="Champions",7)</f>
        <v>0</v>
      </c>
      <c r="X2707" t="s">
        <v>425</v>
      </c>
      <c r="Y2707" t="s">
        <v>90</v>
      </c>
      <c r="Z2707">
        <v>2021</v>
      </c>
    </row>
    <row r="2708" spans="1:26" x14ac:dyDescent="0.3">
      <c r="A2708" t="s">
        <v>226</v>
      </c>
      <c r="B2708" t="s">
        <v>43</v>
      </c>
      <c r="C2708">
        <v>30</v>
      </c>
      <c r="D2708">
        <v>12</v>
      </c>
      <c r="E2708" s="1">
        <f t="shared" si="42"/>
        <v>0.4</v>
      </c>
      <c r="F2708">
        <v>102.8</v>
      </c>
      <c r="G2708">
        <v>108.5</v>
      </c>
      <c r="H2708">
        <v>0.34970000000000001</v>
      </c>
      <c r="I2708">
        <v>48.7</v>
      </c>
      <c r="J2708">
        <v>55.4</v>
      </c>
      <c r="K2708">
        <v>17.8</v>
      </c>
      <c r="L2708">
        <v>18.7</v>
      </c>
      <c r="M2708">
        <v>30</v>
      </c>
      <c r="N2708">
        <v>33.6</v>
      </c>
      <c r="O2708">
        <v>33.200000000000003</v>
      </c>
      <c r="P2708">
        <v>21.3</v>
      </c>
      <c r="Q2708">
        <v>47.7</v>
      </c>
      <c r="R2708">
        <v>55</v>
      </c>
      <c r="S2708">
        <v>33.299999999999997</v>
      </c>
      <c r="T2708">
        <v>37.299999999999997</v>
      </c>
      <c r="U2708">
        <v>70.3</v>
      </c>
      <c r="V2708">
        <v>-11.5</v>
      </c>
      <c r="W2708" cm="1">
        <f t="array" ref="W2708">_xlfn.IFS(OR(X2708="N/A",X2708="NA"),0,OR(X2708="R64",X2708="R68"),1,X2708="R32",2,X2708="S16",3,X2708="E8",4,X2708="F4",5,X2708="2ND",6,X2708="Champions",7)</f>
        <v>0</v>
      </c>
      <c r="X2708" t="s">
        <v>425</v>
      </c>
      <c r="Y2708" t="s">
        <v>90</v>
      </c>
      <c r="Z2708">
        <v>2021</v>
      </c>
    </row>
    <row r="2709" spans="1:26" x14ac:dyDescent="0.3">
      <c r="A2709" t="s">
        <v>401</v>
      </c>
      <c r="B2709" t="s">
        <v>51</v>
      </c>
      <c r="C2709">
        <v>9</v>
      </c>
      <c r="D2709">
        <v>0</v>
      </c>
      <c r="E2709" s="1">
        <f t="shared" si="42"/>
        <v>0</v>
      </c>
      <c r="F2709">
        <v>85</v>
      </c>
      <c r="G2709">
        <v>117.2</v>
      </c>
      <c r="H2709">
        <v>2.41E-2</v>
      </c>
      <c r="I2709">
        <v>41.3</v>
      </c>
      <c r="J2709">
        <v>60.1</v>
      </c>
      <c r="K2709">
        <v>21.8</v>
      </c>
      <c r="L2709">
        <v>16.2</v>
      </c>
      <c r="M2709">
        <v>16.600000000000001</v>
      </c>
      <c r="N2709">
        <v>37.9</v>
      </c>
      <c r="O2709">
        <v>25.4</v>
      </c>
      <c r="P2709">
        <v>32.799999999999997</v>
      </c>
      <c r="Q2709">
        <v>43.9</v>
      </c>
      <c r="R2709">
        <v>60.6</v>
      </c>
      <c r="S2709">
        <v>25.1</v>
      </c>
      <c r="T2709">
        <v>39.5</v>
      </c>
      <c r="U2709">
        <v>70.5</v>
      </c>
      <c r="V2709">
        <v>-5.8</v>
      </c>
      <c r="W2709" cm="1">
        <f t="array" ref="W2709">_xlfn.IFS(OR(X2709="N/A",X2709="NA"),0,OR(X2709="R64",X2709="R68"),1,X2709="R32",2,X2709="S16",3,X2709="E8",4,X2709="F4",5,X2709="2ND",6,X2709="Champions",7)</f>
        <v>0</v>
      </c>
      <c r="X2709" t="s">
        <v>425</v>
      </c>
      <c r="Y2709" t="s">
        <v>90</v>
      </c>
      <c r="Z2709">
        <v>2021</v>
      </c>
    </row>
    <row r="2710" spans="1:26" x14ac:dyDescent="0.3">
      <c r="A2710" t="s">
        <v>110</v>
      </c>
      <c r="B2710" t="s">
        <v>26</v>
      </c>
      <c r="C2710">
        <v>23</v>
      </c>
      <c r="D2710">
        <v>13</v>
      </c>
      <c r="E2710" s="1">
        <f t="shared" si="42"/>
        <v>0.56521739130434778</v>
      </c>
      <c r="F2710">
        <v>110.6</v>
      </c>
      <c r="G2710">
        <v>97.2</v>
      </c>
      <c r="H2710">
        <v>0.81520000000000004</v>
      </c>
      <c r="I2710">
        <v>52.7</v>
      </c>
      <c r="J2710">
        <v>51.6</v>
      </c>
      <c r="K2710">
        <v>18.7</v>
      </c>
      <c r="L2710">
        <v>22</v>
      </c>
      <c r="M2710">
        <v>30.1</v>
      </c>
      <c r="N2710">
        <v>32.5</v>
      </c>
      <c r="O2710">
        <v>32.1</v>
      </c>
      <c r="P2710">
        <v>29.4</v>
      </c>
      <c r="Q2710">
        <v>51.7</v>
      </c>
      <c r="R2710">
        <v>50.6</v>
      </c>
      <c r="S2710">
        <v>36.6</v>
      </c>
      <c r="T2710">
        <v>35.700000000000003</v>
      </c>
      <c r="U2710">
        <v>68</v>
      </c>
      <c r="V2710">
        <v>-1.6</v>
      </c>
      <c r="W2710" cm="1">
        <f t="array" ref="W2710">_xlfn.IFS(OR(X2710="N/A",X2710="NA"),0,OR(X2710="R64",X2710="R68"),1,X2710="R32",2,X2710="S16",3,X2710="E8",4,X2710="F4",5,X2710="2ND",6,X2710="Champions",7)</f>
        <v>0</v>
      </c>
      <c r="X2710" t="s">
        <v>425</v>
      </c>
      <c r="Y2710" t="s">
        <v>90</v>
      </c>
      <c r="Z2710">
        <v>2021</v>
      </c>
    </row>
    <row r="2711" spans="1:26" x14ac:dyDescent="0.3">
      <c r="A2711" t="s">
        <v>167</v>
      </c>
      <c r="B2711" t="s">
        <v>164</v>
      </c>
      <c r="C2711">
        <v>21</v>
      </c>
      <c r="D2711">
        <v>13</v>
      </c>
      <c r="E2711" s="1">
        <f t="shared" si="42"/>
        <v>0.61904761904761907</v>
      </c>
      <c r="F2711">
        <v>98.9</v>
      </c>
      <c r="G2711">
        <v>105.3</v>
      </c>
      <c r="H2711">
        <v>0.3256</v>
      </c>
      <c r="I2711">
        <v>49.7</v>
      </c>
      <c r="J2711">
        <v>49.7</v>
      </c>
      <c r="K2711">
        <v>17.8</v>
      </c>
      <c r="L2711">
        <v>18.8</v>
      </c>
      <c r="M2711">
        <v>24.3</v>
      </c>
      <c r="N2711">
        <v>26.7</v>
      </c>
      <c r="O2711">
        <v>40.299999999999997</v>
      </c>
      <c r="P2711">
        <v>37.200000000000003</v>
      </c>
      <c r="Q2711">
        <v>50.5</v>
      </c>
      <c r="R2711">
        <v>48.5</v>
      </c>
      <c r="S2711">
        <v>32</v>
      </c>
      <c r="T2711">
        <v>34.4</v>
      </c>
      <c r="U2711">
        <v>68.3</v>
      </c>
      <c r="V2711">
        <v>-7.1</v>
      </c>
      <c r="W2711" cm="1">
        <f t="array" ref="W2711">_xlfn.IFS(OR(X2711="N/A",X2711="NA"),0,OR(X2711="R64",X2711="R68"),1,X2711="R32",2,X2711="S16",3,X2711="E8",4,X2711="F4",5,X2711="2ND",6,X2711="Champions",7)</f>
        <v>0</v>
      </c>
      <c r="X2711" t="s">
        <v>425</v>
      </c>
      <c r="Y2711" t="s">
        <v>90</v>
      </c>
      <c r="Z2711">
        <v>2021</v>
      </c>
    </row>
    <row r="2712" spans="1:26" x14ac:dyDescent="0.3">
      <c r="A2712" t="s">
        <v>201</v>
      </c>
      <c r="B2712" t="s">
        <v>53</v>
      </c>
      <c r="C2712">
        <v>23</v>
      </c>
      <c r="D2712">
        <v>13</v>
      </c>
      <c r="E2712" s="1">
        <f t="shared" si="42"/>
        <v>0.56521739130434778</v>
      </c>
      <c r="F2712">
        <v>106.3</v>
      </c>
      <c r="G2712">
        <v>106.6</v>
      </c>
      <c r="H2712">
        <v>0.49059999999999998</v>
      </c>
      <c r="I2712">
        <v>50.8</v>
      </c>
      <c r="J2712">
        <v>51.1</v>
      </c>
      <c r="K2712">
        <v>17.5</v>
      </c>
      <c r="L2712">
        <v>17.399999999999999</v>
      </c>
      <c r="M2712">
        <v>29.3</v>
      </c>
      <c r="N2712">
        <v>28.9</v>
      </c>
      <c r="O2712">
        <v>33.200000000000003</v>
      </c>
      <c r="P2712">
        <v>25.8</v>
      </c>
      <c r="Q2712">
        <v>51.7</v>
      </c>
      <c r="R2712">
        <v>51.4</v>
      </c>
      <c r="S2712">
        <v>33</v>
      </c>
      <c r="T2712">
        <v>33.799999999999997</v>
      </c>
      <c r="U2712">
        <v>68.400000000000006</v>
      </c>
      <c r="V2712">
        <v>-5.8</v>
      </c>
      <c r="W2712" cm="1">
        <f t="array" ref="W2712">_xlfn.IFS(OR(X2712="N/A",X2712="NA"),0,OR(X2712="R64",X2712="R68"),1,X2712="R32",2,X2712="S16",3,X2712="E8",4,X2712="F4",5,X2712="2ND",6,X2712="Champions",7)</f>
        <v>0</v>
      </c>
      <c r="X2712" t="s">
        <v>425</v>
      </c>
      <c r="Y2712" t="s">
        <v>90</v>
      </c>
      <c r="Z2712">
        <v>2021</v>
      </c>
    </row>
    <row r="2713" spans="1:26" x14ac:dyDescent="0.3">
      <c r="A2713" t="s">
        <v>209</v>
      </c>
      <c r="B2713" t="s">
        <v>40</v>
      </c>
      <c r="C2713">
        <v>19</v>
      </c>
      <c r="D2713">
        <v>13</v>
      </c>
      <c r="E2713" s="1">
        <f t="shared" si="42"/>
        <v>0.68421052631578949</v>
      </c>
      <c r="F2713">
        <v>102.2</v>
      </c>
      <c r="G2713">
        <v>101.4</v>
      </c>
      <c r="H2713">
        <v>0.5232</v>
      </c>
      <c r="I2713">
        <v>51.4</v>
      </c>
      <c r="J2713">
        <v>49.7</v>
      </c>
      <c r="K2713">
        <v>20.399999999999999</v>
      </c>
      <c r="L2713">
        <v>18.600000000000001</v>
      </c>
      <c r="M2713">
        <v>31.6</v>
      </c>
      <c r="N2713">
        <v>23.3</v>
      </c>
      <c r="O2713">
        <v>30.1</v>
      </c>
      <c r="P2713">
        <v>38</v>
      </c>
      <c r="Q2713">
        <v>50.2</v>
      </c>
      <c r="R2713">
        <v>47.7</v>
      </c>
      <c r="S2713">
        <v>35.4</v>
      </c>
      <c r="T2713">
        <v>35.4</v>
      </c>
      <c r="U2713">
        <v>68.3</v>
      </c>
      <c r="V2713">
        <v>-7.3</v>
      </c>
      <c r="W2713" cm="1">
        <f t="array" ref="W2713">_xlfn.IFS(OR(X2713="N/A",X2713="NA"),0,OR(X2713="R64",X2713="R68"),1,X2713="R32",2,X2713="S16",3,X2713="E8",4,X2713="F4",5,X2713="2ND",6,X2713="Champions",7)</f>
        <v>0</v>
      </c>
      <c r="X2713" t="s">
        <v>425</v>
      </c>
      <c r="Y2713" t="s">
        <v>90</v>
      </c>
      <c r="Z2713">
        <v>2021</v>
      </c>
    </row>
    <row r="2714" spans="1:26" x14ac:dyDescent="0.3">
      <c r="A2714" t="s">
        <v>408</v>
      </c>
      <c r="B2714" t="s">
        <v>51</v>
      </c>
      <c r="C2714">
        <v>19</v>
      </c>
      <c r="D2714">
        <v>13</v>
      </c>
      <c r="E2714" s="1">
        <f t="shared" si="42"/>
        <v>0.68421052631578949</v>
      </c>
      <c r="F2714">
        <v>104.8</v>
      </c>
      <c r="G2714">
        <v>109.8</v>
      </c>
      <c r="H2714">
        <v>0.36820000000000003</v>
      </c>
      <c r="I2714">
        <v>54</v>
      </c>
      <c r="J2714">
        <v>51.7</v>
      </c>
      <c r="K2714">
        <v>19.7</v>
      </c>
      <c r="L2714">
        <v>16.100000000000001</v>
      </c>
      <c r="M2714">
        <v>27.3</v>
      </c>
      <c r="N2714">
        <v>27.9</v>
      </c>
      <c r="O2714">
        <v>37.1</v>
      </c>
      <c r="P2714">
        <v>37.200000000000003</v>
      </c>
      <c r="Q2714">
        <v>50.4</v>
      </c>
      <c r="R2714">
        <v>50</v>
      </c>
      <c r="S2714">
        <v>39.6</v>
      </c>
      <c r="T2714">
        <v>36.799999999999997</v>
      </c>
      <c r="U2714">
        <v>70.599999999999994</v>
      </c>
      <c r="V2714">
        <v>-7.2</v>
      </c>
      <c r="W2714" cm="1">
        <f t="array" ref="W2714">_xlfn.IFS(OR(X2714="N/A",X2714="NA"),0,OR(X2714="R64",X2714="R68"),1,X2714="R32",2,X2714="S16",3,X2714="E8",4,X2714="F4",5,X2714="2ND",6,X2714="Champions",7)</f>
        <v>0</v>
      </c>
      <c r="X2714" t="s">
        <v>425</v>
      </c>
      <c r="Y2714" t="s">
        <v>90</v>
      </c>
      <c r="Z2714">
        <v>2021</v>
      </c>
    </row>
    <row r="2715" spans="1:26" x14ac:dyDescent="0.3">
      <c r="A2715" t="s">
        <v>41</v>
      </c>
      <c r="B2715" t="s">
        <v>26</v>
      </c>
      <c r="C2715">
        <v>24</v>
      </c>
      <c r="D2715">
        <v>13</v>
      </c>
      <c r="E2715" s="1">
        <f t="shared" si="42"/>
        <v>0.54166666666666663</v>
      </c>
      <c r="F2715">
        <v>115.1</v>
      </c>
      <c r="G2715">
        <v>97.1</v>
      </c>
      <c r="H2715">
        <v>0.87580000000000002</v>
      </c>
      <c r="I2715">
        <v>53.7</v>
      </c>
      <c r="J2715">
        <v>51.3</v>
      </c>
      <c r="K2715">
        <v>18.3</v>
      </c>
      <c r="L2715">
        <v>19.8</v>
      </c>
      <c r="M2715">
        <v>32</v>
      </c>
      <c r="N2715">
        <v>29</v>
      </c>
      <c r="O2715">
        <v>23.4</v>
      </c>
      <c r="P2715">
        <v>31.9</v>
      </c>
      <c r="Q2715">
        <v>54.3</v>
      </c>
      <c r="R2715">
        <v>50.4</v>
      </c>
      <c r="S2715">
        <v>35.1</v>
      </c>
      <c r="T2715">
        <v>35.5</v>
      </c>
      <c r="U2715">
        <v>68.5</v>
      </c>
      <c r="V2715">
        <v>-1.8</v>
      </c>
      <c r="W2715" cm="1">
        <f t="array" ref="W2715">_xlfn.IFS(OR(X2715="N/A",X2715="NA"),0,OR(X2715="R64",X2715="R68"),1,X2715="R32",2,X2715="S16",3,X2715="E8",4,X2715="F4",5,X2715="2ND",6,X2715="Champions",7)</f>
        <v>0</v>
      </c>
      <c r="X2715" t="s">
        <v>425</v>
      </c>
      <c r="Y2715" t="s">
        <v>90</v>
      </c>
      <c r="Z2715">
        <v>2021</v>
      </c>
    </row>
    <row r="2716" spans="1:26" x14ac:dyDescent="0.3">
      <c r="A2716" t="s">
        <v>140</v>
      </c>
      <c r="B2716" t="s">
        <v>131</v>
      </c>
      <c r="C2716">
        <v>20</v>
      </c>
      <c r="D2716">
        <v>13</v>
      </c>
      <c r="E2716" s="1">
        <f t="shared" si="42"/>
        <v>0.65</v>
      </c>
      <c r="F2716">
        <v>94.7</v>
      </c>
      <c r="G2716">
        <v>106.2</v>
      </c>
      <c r="H2716">
        <v>0.21110000000000001</v>
      </c>
      <c r="I2716">
        <v>48.2</v>
      </c>
      <c r="J2716">
        <v>51.3</v>
      </c>
      <c r="K2716">
        <v>20.3</v>
      </c>
      <c r="L2716">
        <v>18.600000000000001</v>
      </c>
      <c r="M2716">
        <v>26.1</v>
      </c>
      <c r="N2716">
        <v>24.2</v>
      </c>
      <c r="O2716">
        <v>28.3</v>
      </c>
      <c r="P2716">
        <v>35.700000000000003</v>
      </c>
      <c r="Q2716">
        <v>47.3</v>
      </c>
      <c r="R2716">
        <v>49.8</v>
      </c>
      <c r="S2716">
        <v>33</v>
      </c>
      <c r="T2716">
        <v>35.6</v>
      </c>
      <c r="U2716">
        <v>70.3</v>
      </c>
      <c r="V2716">
        <v>-8.5</v>
      </c>
      <c r="W2716" cm="1">
        <f t="array" ref="W2716">_xlfn.IFS(OR(X2716="N/A",X2716="NA"),0,OR(X2716="R64",X2716="R68"),1,X2716="R32",2,X2716="S16",3,X2716="E8",4,X2716="F4",5,X2716="2ND",6,X2716="Champions",7)</f>
        <v>0</v>
      </c>
      <c r="X2716" t="s">
        <v>425</v>
      </c>
      <c r="Y2716" t="s">
        <v>90</v>
      </c>
      <c r="Z2716">
        <v>2021</v>
      </c>
    </row>
    <row r="2717" spans="1:26" x14ac:dyDescent="0.3">
      <c r="A2717" t="s">
        <v>165</v>
      </c>
      <c r="B2717" t="s">
        <v>164</v>
      </c>
      <c r="C2717">
        <v>19</v>
      </c>
      <c r="D2717">
        <v>13</v>
      </c>
      <c r="E2717" s="1">
        <f t="shared" si="42"/>
        <v>0.68421052631578949</v>
      </c>
      <c r="F2717">
        <v>92.3</v>
      </c>
      <c r="G2717">
        <v>101.6</v>
      </c>
      <c r="H2717">
        <v>0.2485</v>
      </c>
      <c r="I2717">
        <v>47.2</v>
      </c>
      <c r="J2717">
        <v>48</v>
      </c>
      <c r="K2717">
        <v>23.5</v>
      </c>
      <c r="L2717">
        <v>18.100000000000001</v>
      </c>
      <c r="M2717">
        <v>30.8</v>
      </c>
      <c r="N2717">
        <v>26.3</v>
      </c>
      <c r="O2717">
        <v>38.700000000000003</v>
      </c>
      <c r="P2717">
        <v>35.6</v>
      </c>
      <c r="Q2717">
        <v>48.3</v>
      </c>
      <c r="R2717">
        <v>45.1</v>
      </c>
      <c r="S2717">
        <v>30.2</v>
      </c>
      <c r="T2717">
        <v>36.5</v>
      </c>
      <c r="U2717">
        <v>64.599999999999994</v>
      </c>
      <c r="V2717">
        <v>-8.5</v>
      </c>
      <c r="W2717" cm="1">
        <f t="array" ref="W2717">_xlfn.IFS(OR(X2717="N/A",X2717="NA"),0,OR(X2717="R64",X2717="R68"),1,X2717="R32",2,X2717="S16",3,X2717="E8",4,X2717="F4",5,X2717="2ND",6,X2717="Champions",7)</f>
        <v>0</v>
      </c>
      <c r="X2717" t="s">
        <v>425</v>
      </c>
      <c r="Y2717" t="s">
        <v>90</v>
      </c>
      <c r="Z2717">
        <v>2021</v>
      </c>
    </row>
    <row r="2718" spans="1:26" x14ac:dyDescent="0.3">
      <c r="A2718" t="s">
        <v>349</v>
      </c>
      <c r="B2718" t="s">
        <v>62</v>
      </c>
      <c r="C2718">
        <v>23</v>
      </c>
      <c r="D2718">
        <v>13</v>
      </c>
      <c r="E2718" s="1">
        <f t="shared" si="42"/>
        <v>0.56521739130434778</v>
      </c>
      <c r="F2718">
        <v>102.7</v>
      </c>
      <c r="G2718">
        <v>100.2</v>
      </c>
      <c r="H2718">
        <v>0.56879999999999997</v>
      </c>
      <c r="I2718">
        <v>50.3</v>
      </c>
      <c r="J2718">
        <v>50.4</v>
      </c>
      <c r="K2718">
        <v>20.3</v>
      </c>
      <c r="L2718">
        <v>19.8</v>
      </c>
      <c r="M2718">
        <v>30.5</v>
      </c>
      <c r="N2718">
        <v>26.5</v>
      </c>
      <c r="O2718">
        <v>29.8</v>
      </c>
      <c r="P2718">
        <v>31.6</v>
      </c>
      <c r="Q2718">
        <v>49</v>
      </c>
      <c r="R2718">
        <v>49.3</v>
      </c>
      <c r="S2718">
        <v>34.9</v>
      </c>
      <c r="T2718">
        <v>34.4</v>
      </c>
      <c r="U2718">
        <v>65.8</v>
      </c>
      <c r="V2718">
        <v>-7.3</v>
      </c>
      <c r="W2718" cm="1">
        <f t="array" ref="W2718">_xlfn.IFS(OR(X2718="N/A",X2718="NA"),0,OR(X2718="R64",X2718="R68"),1,X2718="R32",2,X2718="S16",3,X2718="E8",4,X2718="F4",5,X2718="2ND",6,X2718="Champions",7)</f>
        <v>0</v>
      </c>
      <c r="X2718" t="s">
        <v>425</v>
      </c>
      <c r="Y2718" t="s">
        <v>90</v>
      </c>
      <c r="Z2718">
        <v>2021</v>
      </c>
    </row>
    <row r="2719" spans="1:26" x14ac:dyDescent="0.3">
      <c r="A2719" t="s">
        <v>355</v>
      </c>
      <c r="B2719" t="s">
        <v>62</v>
      </c>
      <c r="C2719">
        <v>22</v>
      </c>
      <c r="D2719">
        <v>13</v>
      </c>
      <c r="E2719" s="1">
        <f t="shared" si="42"/>
        <v>0.59090909090909094</v>
      </c>
      <c r="F2719">
        <v>106.2</v>
      </c>
      <c r="G2719">
        <v>106.2</v>
      </c>
      <c r="H2719">
        <v>0.498</v>
      </c>
      <c r="I2719">
        <v>53.8</v>
      </c>
      <c r="J2719">
        <v>50.5</v>
      </c>
      <c r="K2719">
        <v>16.899999999999999</v>
      </c>
      <c r="L2719">
        <v>13.4</v>
      </c>
      <c r="M2719">
        <v>22.6</v>
      </c>
      <c r="N2719">
        <v>25.7</v>
      </c>
      <c r="O2719">
        <v>28.8</v>
      </c>
      <c r="P2719">
        <v>23.3</v>
      </c>
      <c r="Q2719">
        <v>52.4</v>
      </c>
      <c r="R2719">
        <v>50.8</v>
      </c>
      <c r="S2719">
        <v>37</v>
      </c>
      <c r="T2719">
        <v>33.4</v>
      </c>
      <c r="U2719">
        <v>70.3</v>
      </c>
      <c r="V2719">
        <v>-7.5</v>
      </c>
      <c r="W2719" cm="1">
        <f t="array" ref="W2719">_xlfn.IFS(OR(X2719="N/A",X2719="NA"),0,OR(X2719="R64",X2719="R68"),1,X2719="R32",2,X2719="S16",3,X2719="E8",4,X2719="F4",5,X2719="2ND",6,X2719="Champions",7)</f>
        <v>0</v>
      </c>
      <c r="X2719" t="s">
        <v>425</v>
      </c>
      <c r="Y2719" t="s">
        <v>90</v>
      </c>
      <c r="Z2719">
        <v>2021</v>
      </c>
    </row>
    <row r="2720" spans="1:26" x14ac:dyDescent="0.3">
      <c r="A2720" t="s">
        <v>353</v>
      </c>
      <c r="B2720" t="s">
        <v>62</v>
      </c>
      <c r="C2720">
        <v>21</v>
      </c>
      <c r="D2720">
        <v>13</v>
      </c>
      <c r="E2720" s="1">
        <f t="shared" si="42"/>
        <v>0.61904761904761907</v>
      </c>
      <c r="F2720">
        <v>102.8</v>
      </c>
      <c r="G2720">
        <v>109.4</v>
      </c>
      <c r="H2720">
        <v>0.32790000000000002</v>
      </c>
      <c r="I2720">
        <v>51.8</v>
      </c>
      <c r="J2720">
        <v>52.8</v>
      </c>
      <c r="K2720">
        <v>16.100000000000001</v>
      </c>
      <c r="L2720">
        <v>13.9</v>
      </c>
      <c r="M2720">
        <v>22.5</v>
      </c>
      <c r="N2720">
        <v>25.7</v>
      </c>
      <c r="O2720">
        <v>33.5</v>
      </c>
      <c r="P2720">
        <v>25.9</v>
      </c>
      <c r="Q2720">
        <v>53.8</v>
      </c>
      <c r="R2720">
        <v>55.8</v>
      </c>
      <c r="S2720">
        <v>32.799999999999997</v>
      </c>
      <c r="T2720">
        <v>31.6</v>
      </c>
      <c r="U2720">
        <v>74</v>
      </c>
      <c r="V2720">
        <v>-8.4</v>
      </c>
      <c r="W2720" cm="1">
        <f t="array" ref="W2720">_xlfn.IFS(OR(X2720="N/A",X2720="NA"),0,OR(X2720="R64",X2720="R68"),1,X2720="R32",2,X2720="S16",3,X2720="E8",4,X2720="F4",5,X2720="2ND",6,X2720="Champions",7)</f>
        <v>0</v>
      </c>
      <c r="X2720" t="s">
        <v>425</v>
      </c>
      <c r="Y2720" t="s">
        <v>90</v>
      </c>
      <c r="Z2720">
        <v>2021</v>
      </c>
    </row>
    <row r="2721" spans="1:26" x14ac:dyDescent="0.3">
      <c r="A2721" t="s">
        <v>162</v>
      </c>
      <c r="B2721" t="s">
        <v>33</v>
      </c>
      <c r="C2721">
        <v>26</v>
      </c>
      <c r="D2721">
        <v>13</v>
      </c>
      <c r="E2721" s="1">
        <f t="shared" si="42"/>
        <v>0.5</v>
      </c>
      <c r="F2721">
        <v>107.7</v>
      </c>
      <c r="G2721">
        <v>94.7</v>
      </c>
      <c r="H2721">
        <v>0.81510000000000005</v>
      </c>
      <c r="I2721">
        <v>48.3</v>
      </c>
      <c r="J2721">
        <v>48.6</v>
      </c>
      <c r="K2721">
        <v>17.2</v>
      </c>
      <c r="L2721">
        <v>16.8</v>
      </c>
      <c r="M2721">
        <v>29.1</v>
      </c>
      <c r="N2721">
        <v>29.9</v>
      </c>
      <c r="O2721">
        <v>31.6</v>
      </c>
      <c r="P2721">
        <v>30.1</v>
      </c>
      <c r="Q2721">
        <v>48.5</v>
      </c>
      <c r="R2721">
        <v>50.6</v>
      </c>
      <c r="S2721">
        <v>32</v>
      </c>
      <c r="T2721">
        <v>29.7</v>
      </c>
      <c r="U2721">
        <v>66.7</v>
      </c>
      <c r="V2721">
        <v>-1.8</v>
      </c>
      <c r="W2721" cm="1">
        <f t="array" ref="W2721">_xlfn.IFS(OR(X2721="N/A",X2721="NA"),0,OR(X2721="R64",X2721="R68"),1,X2721="R32",2,X2721="S16",3,X2721="E8",4,X2721="F4",5,X2721="2ND",6,X2721="Champions",7)</f>
        <v>0</v>
      </c>
      <c r="X2721" t="s">
        <v>425</v>
      </c>
      <c r="Y2721" t="s">
        <v>90</v>
      </c>
      <c r="Z2721">
        <v>2021</v>
      </c>
    </row>
    <row r="2722" spans="1:26" x14ac:dyDescent="0.3">
      <c r="A2722" t="s">
        <v>309</v>
      </c>
      <c r="B2722" t="s">
        <v>64</v>
      </c>
      <c r="C2722">
        <v>24</v>
      </c>
      <c r="D2722">
        <v>13</v>
      </c>
      <c r="E2722" s="1">
        <f t="shared" si="42"/>
        <v>0.54166666666666663</v>
      </c>
      <c r="F2722">
        <v>103.9</v>
      </c>
      <c r="G2722">
        <v>102.7</v>
      </c>
      <c r="H2722">
        <v>0.53310000000000002</v>
      </c>
      <c r="I2722">
        <v>54.7</v>
      </c>
      <c r="J2722">
        <v>49.6</v>
      </c>
      <c r="K2722">
        <v>19.3</v>
      </c>
      <c r="L2722">
        <v>19.5</v>
      </c>
      <c r="M2722">
        <v>27.6</v>
      </c>
      <c r="N2722">
        <v>26.1</v>
      </c>
      <c r="O2722">
        <v>26.1</v>
      </c>
      <c r="P2722">
        <v>31.4</v>
      </c>
      <c r="Q2722">
        <v>54.6</v>
      </c>
      <c r="R2722">
        <v>50.1</v>
      </c>
      <c r="S2722">
        <v>36.6</v>
      </c>
      <c r="T2722">
        <v>32.6</v>
      </c>
      <c r="U2722">
        <v>66.3</v>
      </c>
      <c r="V2722">
        <v>-10.4</v>
      </c>
      <c r="W2722" cm="1">
        <f t="array" ref="W2722">_xlfn.IFS(OR(X2722="N/A",X2722="NA"),0,OR(X2722="R64",X2722="R68"),1,X2722="R32",2,X2722="S16",3,X2722="E8",4,X2722="F4",5,X2722="2ND",6,X2722="Champions",7)</f>
        <v>0</v>
      </c>
      <c r="X2722" t="s">
        <v>425</v>
      </c>
      <c r="Y2722" t="s">
        <v>90</v>
      </c>
      <c r="Z2722">
        <v>2021</v>
      </c>
    </row>
    <row r="2723" spans="1:26" x14ac:dyDescent="0.3">
      <c r="A2723" t="s">
        <v>339</v>
      </c>
      <c r="B2723" t="s">
        <v>58</v>
      </c>
      <c r="C2723">
        <v>22</v>
      </c>
      <c r="D2723">
        <v>13</v>
      </c>
      <c r="E2723" s="1">
        <f t="shared" si="42"/>
        <v>0.59090909090909094</v>
      </c>
      <c r="F2723">
        <v>94.8</v>
      </c>
      <c r="G2723">
        <v>102.3</v>
      </c>
      <c r="H2723">
        <v>0.29349999999999998</v>
      </c>
      <c r="I2723">
        <v>48</v>
      </c>
      <c r="J2723">
        <v>51</v>
      </c>
      <c r="K2723">
        <v>21.4</v>
      </c>
      <c r="L2723">
        <v>22.1</v>
      </c>
      <c r="M2723">
        <v>30.4</v>
      </c>
      <c r="N2723">
        <v>31</v>
      </c>
      <c r="O2723">
        <v>29.1</v>
      </c>
      <c r="P2723">
        <v>31.4</v>
      </c>
      <c r="Q2723">
        <v>49.1</v>
      </c>
      <c r="R2723">
        <v>48.9</v>
      </c>
      <c r="S2723">
        <v>30.9</v>
      </c>
      <c r="T2723">
        <v>36.200000000000003</v>
      </c>
      <c r="U2723">
        <v>66.900000000000006</v>
      </c>
      <c r="V2723">
        <v>-10.5</v>
      </c>
      <c r="W2723" cm="1">
        <f t="array" ref="W2723">_xlfn.IFS(OR(X2723="N/A",X2723="NA"),0,OR(X2723="R64",X2723="R68"),1,X2723="R32",2,X2723="S16",3,X2723="E8",4,X2723="F4",5,X2723="2ND",6,X2723="Champions",7)</f>
        <v>0</v>
      </c>
      <c r="X2723" t="s">
        <v>425</v>
      </c>
      <c r="Y2723" t="s">
        <v>90</v>
      </c>
      <c r="Z2723">
        <v>2021</v>
      </c>
    </row>
    <row r="2724" spans="1:26" x14ac:dyDescent="0.3">
      <c r="A2724" t="s">
        <v>345</v>
      </c>
      <c r="B2724" t="s">
        <v>58</v>
      </c>
      <c r="C2724">
        <v>23</v>
      </c>
      <c r="D2724">
        <v>13</v>
      </c>
      <c r="E2724" s="1">
        <f t="shared" si="42"/>
        <v>0.56521739130434778</v>
      </c>
      <c r="F2724">
        <v>97.6</v>
      </c>
      <c r="G2724">
        <v>105.7</v>
      </c>
      <c r="H2724">
        <v>0.28689999999999999</v>
      </c>
      <c r="I2724">
        <v>46.1</v>
      </c>
      <c r="J2724">
        <v>50</v>
      </c>
      <c r="K2724">
        <v>16.100000000000001</v>
      </c>
      <c r="L2724">
        <v>19.600000000000001</v>
      </c>
      <c r="M2724">
        <v>26.9</v>
      </c>
      <c r="N2724">
        <v>32.299999999999997</v>
      </c>
      <c r="O2724">
        <v>26.2</v>
      </c>
      <c r="P2724">
        <v>29.4</v>
      </c>
      <c r="Q2724">
        <v>41.7</v>
      </c>
      <c r="R2724">
        <v>47.5</v>
      </c>
      <c r="S2724">
        <v>35.299999999999997</v>
      </c>
      <c r="T2724">
        <v>36.700000000000003</v>
      </c>
      <c r="U2724">
        <v>69.599999999999994</v>
      </c>
      <c r="V2724">
        <v>-9.6</v>
      </c>
      <c r="W2724" cm="1">
        <f t="array" ref="W2724">_xlfn.IFS(OR(X2724="N/A",X2724="NA"),0,OR(X2724="R64",X2724="R68"),1,X2724="R32",2,X2724="S16",3,X2724="E8",4,X2724="F4",5,X2724="2ND",6,X2724="Champions",7)</f>
        <v>0</v>
      </c>
      <c r="X2724" t="s">
        <v>425</v>
      </c>
      <c r="Y2724" t="s">
        <v>90</v>
      </c>
      <c r="Z2724">
        <v>2021</v>
      </c>
    </row>
    <row r="2725" spans="1:26" x14ac:dyDescent="0.3">
      <c r="A2725" t="s">
        <v>81</v>
      </c>
      <c r="B2725" t="s">
        <v>33</v>
      </c>
      <c r="C2725">
        <v>27</v>
      </c>
      <c r="D2725">
        <v>13</v>
      </c>
      <c r="E2725" s="1">
        <f t="shared" si="42"/>
        <v>0.48148148148148145</v>
      </c>
      <c r="F2725">
        <v>107.4</v>
      </c>
      <c r="G2725">
        <v>95.8</v>
      </c>
      <c r="H2725">
        <v>0.78849999999999998</v>
      </c>
      <c r="I2725">
        <v>50.6</v>
      </c>
      <c r="J2725">
        <v>47.7</v>
      </c>
      <c r="K2725">
        <v>20.9</v>
      </c>
      <c r="L2725">
        <v>15.9</v>
      </c>
      <c r="M2725">
        <v>29.1</v>
      </c>
      <c r="N2725">
        <v>28.3</v>
      </c>
      <c r="O2725">
        <v>35</v>
      </c>
      <c r="P2725">
        <v>30</v>
      </c>
      <c r="Q2725">
        <v>51.9</v>
      </c>
      <c r="R2725">
        <v>45.8</v>
      </c>
      <c r="S2725">
        <v>32.299999999999997</v>
      </c>
      <c r="T2725">
        <v>33.9</v>
      </c>
      <c r="U2725">
        <v>67.900000000000006</v>
      </c>
      <c r="V2725">
        <v>-2.1</v>
      </c>
      <c r="W2725" cm="1">
        <f t="array" ref="W2725">_xlfn.IFS(OR(X2725="N/A",X2725="NA"),0,OR(X2725="R64",X2725="R68"),1,X2725="R32",2,X2725="S16",3,X2725="E8",4,X2725="F4",5,X2725="2ND",6,X2725="Champions",7)</f>
        <v>0</v>
      </c>
      <c r="X2725" t="s">
        <v>425</v>
      </c>
      <c r="Y2725" t="s">
        <v>90</v>
      </c>
      <c r="Z2725">
        <v>2021</v>
      </c>
    </row>
    <row r="2726" spans="1:26" x14ac:dyDescent="0.3">
      <c r="A2726" t="s">
        <v>87</v>
      </c>
      <c r="B2726" t="s">
        <v>29</v>
      </c>
      <c r="C2726">
        <v>27</v>
      </c>
      <c r="D2726">
        <v>13</v>
      </c>
      <c r="E2726" s="1">
        <f t="shared" si="42"/>
        <v>0.48148148148148145</v>
      </c>
      <c r="F2726">
        <v>110.5</v>
      </c>
      <c r="G2726">
        <v>98.7</v>
      </c>
      <c r="H2726">
        <v>0.78600000000000003</v>
      </c>
      <c r="I2726">
        <v>51.2</v>
      </c>
      <c r="J2726">
        <v>49.6</v>
      </c>
      <c r="K2726">
        <v>21.9</v>
      </c>
      <c r="L2726">
        <v>18.5</v>
      </c>
      <c r="M2726">
        <v>35</v>
      </c>
      <c r="N2726">
        <v>31.7</v>
      </c>
      <c r="O2726">
        <v>36.200000000000003</v>
      </c>
      <c r="P2726">
        <v>31.6</v>
      </c>
      <c r="Q2726">
        <v>53.1</v>
      </c>
      <c r="R2726">
        <v>49.9</v>
      </c>
      <c r="S2726">
        <v>32.6</v>
      </c>
      <c r="T2726">
        <v>32.700000000000003</v>
      </c>
      <c r="U2726">
        <v>71</v>
      </c>
      <c r="V2726">
        <v>-2.2000000000000002</v>
      </c>
      <c r="W2726" cm="1">
        <f t="array" ref="W2726">_xlfn.IFS(OR(X2726="N/A",X2726="NA"),0,OR(X2726="R64",X2726="R68"),1,X2726="R32",2,X2726="S16",3,X2726="E8",4,X2726="F4",5,X2726="2ND",6,X2726="Champions",7)</f>
        <v>0</v>
      </c>
      <c r="X2726" t="s">
        <v>425</v>
      </c>
      <c r="Y2726" t="s">
        <v>90</v>
      </c>
      <c r="Z2726">
        <v>2021</v>
      </c>
    </row>
    <row r="2727" spans="1:26" x14ac:dyDescent="0.3">
      <c r="A2727" t="s">
        <v>52</v>
      </c>
      <c r="B2727" t="s">
        <v>26</v>
      </c>
      <c r="C2727">
        <v>20</v>
      </c>
      <c r="D2727">
        <v>13</v>
      </c>
      <c r="E2727" s="1">
        <f t="shared" si="42"/>
        <v>0.65</v>
      </c>
      <c r="F2727">
        <v>106.6</v>
      </c>
      <c r="G2727">
        <v>94.7</v>
      </c>
      <c r="H2727">
        <v>0.79669999999999996</v>
      </c>
      <c r="I2727">
        <v>47.8</v>
      </c>
      <c r="J2727">
        <v>48.4</v>
      </c>
      <c r="K2727">
        <v>17.2</v>
      </c>
      <c r="L2727">
        <v>16.600000000000001</v>
      </c>
      <c r="M2727">
        <v>32</v>
      </c>
      <c r="N2727">
        <v>26.2</v>
      </c>
      <c r="O2727">
        <v>32.1</v>
      </c>
      <c r="P2727">
        <v>29.8</v>
      </c>
      <c r="Q2727">
        <v>48.4</v>
      </c>
      <c r="R2727">
        <v>50.3</v>
      </c>
      <c r="S2727">
        <v>30.8</v>
      </c>
      <c r="T2727">
        <v>30.5</v>
      </c>
      <c r="U2727">
        <v>66.099999999999994</v>
      </c>
      <c r="V2727">
        <v>1.3</v>
      </c>
      <c r="W2727" cm="1">
        <f t="array" ref="W2727">_xlfn.IFS(OR(X2727="N/A",X2727="NA"),0,OR(X2727="R64",X2727="R68"),1,X2727="R32",2,X2727="S16",3,X2727="E8",4,X2727="F4",5,X2727="2ND",6,X2727="Champions",7)</f>
        <v>0</v>
      </c>
      <c r="X2727" t="s">
        <v>425</v>
      </c>
      <c r="Y2727" t="s">
        <v>90</v>
      </c>
      <c r="Z2727">
        <v>2021</v>
      </c>
    </row>
    <row r="2728" spans="1:26" x14ac:dyDescent="0.3">
      <c r="A2728" t="s">
        <v>430</v>
      </c>
      <c r="B2728" t="s">
        <v>131</v>
      </c>
      <c r="C2728">
        <v>18</v>
      </c>
      <c r="D2728">
        <v>13</v>
      </c>
      <c r="E2728" s="1">
        <f t="shared" si="42"/>
        <v>0.72222222222222221</v>
      </c>
      <c r="F2728">
        <v>107.5</v>
      </c>
      <c r="G2728">
        <v>107.6</v>
      </c>
      <c r="H2728">
        <v>0.49780000000000002</v>
      </c>
      <c r="I2728">
        <v>55.9</v>
      </c>
      <c r="J2728">
        <v>55.8</v>
      </c>
      <c r="K2728">
        <v>17.5</v>
      </c>
      <c r="L2728">
        <v>23.3</v>
      </c>
      <c r="M2728">
        <v>26.4</v>
      </c>
      <c r="N2728">
        <v>28.6</v>
      </c>
      <c r="O2728">
        <v>28.4</v>
      </c>
      <c r="P2728">
        <v>28.2</v>
      </c>
      <c r="Q2728">
        <v>55.9</v>
      </c>
      <c r="R2728">
        <v>52.4</v>
      </c>
      <c r="S2728">
        <v>37.1</v>
      </c>
      <c r="T2728">
        <v>39.5</v>
      </c>
      <c r="U2728">
        <v>64.5</v>
      </c>
      <c r="V2728">
        <v>-4.8</v>
      </c>
      <c r="W2728" cm="1">
        <f t="array" ref="W2728">_xlfn.IFS(OR(X2728="N/A",X2728="NA"),0,OR(X2728="R64",X2728="R68"),1,X2728="R32",2,X2728="S16",3,X2728="E8",4,X2728="F4",5,X2728="2ND",6,X2728="Champions",7)</f>
        <v>0</v>
      </c>
      <c r="X2728" t="s">
        <v>425</v>
      </c>
      <c r="Y2728" t="s">
        <v>90</v>
      </c>
      <c r="Z2728">
        <v>2021</v>
      </c>
    </row>
    <row r="2729" spans="1:26" x14ac:dyDescent="0.3">
      <c r="A2729" t="s">
        <v>202</v>
      </c>
      <c r="B2729" t="s">
        <v>53</v>
      </c>
      <c r="C2729">
        <v>17</v>
      </c>
      <c r="D2729">
        <v>13</v>
      </c>
      <c r="E2729" s="1">
        <f t="shared" si="42"/>
        <v>0.76470588235294112</v>
      </c>
      <c r="F2729">
        <v>104.4</v>
      </c>
      <c r="G2729">
        <v>101.7</v>
      </c>
      <c r="H2729">
        <v>0.57609999999999995</v>
      </c>
      <c r="I2729">
        <v>50.5</v>
      </c>
      <c r="J2729">
        <v>49.6</v>
      </c>
      <c r="K2729">
        <v>16.7</v>
      </c>
      <c r="L2729">
        <v>20.8</v>
      </c>
      <c r="M2729">
        <v>27.9</v>
      </c>
      <c r="N2729">
        <v>28.2</v>
      </c>
      <c r="O2729">
        <v>40.799999999999997</v>
      </c>
      <c r="P2729">
        <v>33.4</v>
      </c>
      <c r="Q2729">
        <v>50.9</v>
      </c>
      <c r="R2729">
        <v>50.3</v>
      </c>
      <c r="S2729">
        <v>33.299999999999997</v>
      </c>
      <c r="T2729">
        <v>32.6</v>
      </c>
      <c r="U2729">
        <v>72</v>
      </c>
      <c r="V2729">
        <v>-4.5</v>
      </c>
      <c r="W2729" cm="1">
        <f t="array" ref="W2729">_xlfn.IFS(OR(X2729="N/A",X2729="NA"),0,OR(X2729="R64",X2729="R68"),1,X2729="R32",2,X2729="S16",3,X2729="E8",4,X2729="F4",5,X2729="2ND",6,X2729="Champions",7)</f>
        <v>0</v>
      </c>
      <c r="X2729" t="s">
        <v>425</v>
      </c>
      <c r="Y2729" t="s">
        <v>90</v>
      </c>
      <c r="Z2729">
        <v>2021</v>
      </c>
    </row>
    <row r="2730" spans="1:26" x14ac:dyDescent="0.3">
      <c r="A2730" t="s">
        <v>302</v>
      </c>
      <c r="B2730" t="s">
        <v>77</v>
      </c>
      <c r="C2730">
        <v>20</v>
      </c>
      <c r="D2730">
        <v>13</v>
      </c>
      <c r="E2730" s="1">
        <f t="shared" si="42"/>
        <v>0.65</v>
      </c>
      <c r="F2730">
        <v>101.3</v>
      </c>
      <c r="G2730">
        <v>105.5</v>
      </c>
      <c r="H2730">
        <v>0.38500000000000001</v>
      </c>
      <c r="I2730">
        <v>49.1</v>
      </c>
      <c r="J2730">
        <v>50.3</v>
      </c>
      <c r="K2730">
        <v>18.100000000000001</v>
      </c>
      <c r="L2730">
        <v>20.9</v>
      </c>
      <c r="M2730">
        <v>34.799999999999997</v>
      </c>
      <c r="N2730">
        <v>28.1</v>
      </c>
      <c r="O2730">
        <v>28</v>
      </c>
      <c r="P2730">
        <v>44.3</v>
      </c>
      <c r="Q2730">
        <v>49.7</v>
      </c>
      <c r="R2730">
        <v>49.3</v>
      </c>
      <c r="S2730">
        <v>31.8</v>
      </c>
      <c r="T2730">
        <v>34.5</v>
      </c>
      <c r="U2730">
        <v>65.3</v>
      </c>
      <c r="V2730">
        <v>-5</v>
      </c>
      <c r="W2730" cm="1">
        <f t="array" ref="W2730">_xlfn.IFS(OR(X2730="N/A",X2730="NA"),0,OR(X2730="R64",X2730="R68"),1,X2730="R32",2,X2730="S16",3,X2730="E8",4,X2730="F4",5,X2730="2ND",6,X2730="Champions",7)</f>
        <v>0</v>
      </c>
      <c r="X2730" t="s">
        <v>425</v>
      </c>
      <c r="Y2730" t="s">
        <v>90</v>
      </c>
      <c r="Z2730">
        <v>2021</v>
      </c>
    </row>
    <row r="2731" spans="1:26" x14ac:dyDescent="0.3">
      <c r="A2731" t="s">
        <v>97</v>
      </c>
      <c r="B2731" t="s">
        <v>45</v>
      </c>
      <c r="C2731">
        <v>20</v>
      </c>
      <c r="D2731">
        <v>13</v>
      </c>
      <c r="E2731" s="1">
        <f t="shared" si="42"/>
        <v>0.65</v>
      </c>
      <c r="F2731">
        <v>109.7</v>
      </c>
      <c r="G2731">
        <v>97.5</v>
      </c>
      <c r="H2731">
        <v>0.79600000000000004</v>
      </c>
      <c r="I2731">
        <v>53</v>
      </c>
      <c r="J2731">
        <v>52.4</v>
      </c>
      <c r="K2731">
        <v>15</v>
      </c>
      <c r="L2731">
        <v>21.3</v>
      </c>
      <c r="M2731">
        <v>19.5</v>
      </c>
      <c r="N2731">
        <v>27.9</v>
      </c>
      <c r="O2731">
        <v>30.8</v>
      </c>
      <c r="P2731">
        <v>28.9</v>
      </c>
      <c r="Q2731">
        <v>53.9</v>
      </c>
      <c r="R2731">
        <v>54.8</v>
      </c>
      <c r="S2731">
        <v>34.299999999999997</v>
      </c>
      <c r="T2731">
        <v>32.200000000000003</v>
      </c>
      <c r="U2731">
        <v>69.3</v>
      </c>
      <c r="V2731">
        <v>-1.4</v>
      </c>
      <c r="W2731" cm="1">
        <f t="array" ref="W2731">_xlfn.IFS(OR(X2731="N/A",X2731="NA"),0,OR(X2731="R64",X2731="R68"),1,X2731="R32",2,X2731="S16",3,X2731="E8",4,X2731="F4",5,X2731="2ND",6,X2731="Champions",7)</f>
        <v>0</v>
      </c>
      <c r="X2731" t="s">
        <v>425</v>
      </c>
      <c r="Y2731" t="s">
        <v>90</v>
      </c>
      <c r="Z2731">
        <v>2021</v>
      </c>
    </row>
    <row r="2732" spans="1:26" x14ac:dyDescent="0.3">
      <c r="A2732" t="s">
        <v>101</v>
      </c>
      <c r="B2732" t="s">
        <v>45</v>
      </c>
      <c r="C2732">
        <v>20</v>
      </c>
      <c r="D2732">
        <v>13</v>
      </c>
      <c r="E2732" s="1">
        <f t="shared" si="42"/>
        <v>0.65</v>
      </c>
      <c r="F2732">
        <v>112.9</v>
      </c>
      <c r="G2732">
        <v>100.3</v>
      </c>
      <c r="H2732">
        <v>0.79590000000000005</v>
      </c>
      <c r="I2732">
        <v>55.5</v>
      </c>
      <c r="J2732">
        <v>49.3</v>
      </c>
      <c r="K2732">
        <v>17.3</v>
      </c>
      <c r="L2732">
        <v>16.2</v>
      </c>
      <c r="M2732">
        <v>28.3</v>
      </c>
      <c r="N2732">
        <v>22.2</v>
      </c>
      <c r="O2732">
        <v>27.1</v>
      </c>
      <c r="P2732">
        <v>28.9</v>
      </c>
      <c r="Q2732">
        <v>56.9</v>
      </c>
      <c r="R2732">
        <v>48.7</v>
      </c>
      <c r="S2732">
        <v>36</v>
      </c>
      <c r="T2732">
        <v>33.4</v>
      </c>
      <c r="U2732">
        <v>63.3</v>
      </c>
      <c r="V2732">
        <v>-2.1</v>
      </c>
      <c r="W2732" cm="1">
        <f t="array" ref="W2732">_xlfn.IFS(OR(X2732="N/A",X2732="NA"),0,OR(X2732="R64",X2732="R68"),1,X2732="R32",2,X2732="S16",3,X2732="E8",4,X2732="F4",5,X2732="2ND",6,X2732="Champions",7)</f>
        <v>0</v>
      </c>
      <c r="X2732" t="s">
        <v>425</v>
      </c>
      <c r="Y2732" t="s">
        <v>90</v>
      </c>
      <c r="Z2732">
        <v>2021</v>
      </c>
    </row>
    <row r="2733" spans="1:26" x14ac:dyDescent="0.3">
      <c r="A2733" t="s">
        <v>70</v>
      </c>
      <c r="B2733" t="s">
        <v>33</v>
      </c>
      <c r="C2733">
        <v>21</v>
      </c>
      <c r="D2733">
        <v>13</v>
      </c>
      <c r="E2733" s="1">
        <f t="shared" si="42"/>
        <v>0.61904761904761907</v>
      </c>
      <c r="F2733">
        <v>109.8</v>
      </c>
      <c r="G2733">
        <v>96.8</v>
      </c>
      <c r="H2733">
        <v>0.80869999999999997</v>
      </c>
      <c r="I2733">
        <v>52.1</v>
      </c>
      <c r="J2733">
        <v>47.6</v>
      </c>
      <c r="K2733">
        <v>15.8</v>
      </c>
      <c r="L2733">
        <v>16.399999999999999</v>
      </c>
      <c r="M2733">
        <v>26.8</v>
      </c>
      <c r="N2733">
        <v>27.3</v>
      </c>
      <c r="O2733">
        <v>25.9</v>
      </c>
      <c r="P2733">
        <v>23.5</v>
      </c>
      <c r="Q2733">
        <v>54.3</v>
      </c>
      <c r="R2733">
        <v>45.7</v>
      </c>
      <c r="S2733">
        <v>32.5</v>
      </c>
      <c r="T2733">
        <v>33.799999999999997</v>
      </c>
      <c r="U2733">
        <v>68.400000000000006</v>
      </c>
      <c r="V2733">
        <v>-0.6</v>
      </c>
      <c r="W2733" cm="1">
        <f t="array" ref="W2733">_xlfn.IFS(OR(X2733="N/A",X2733="NA"),0,OR(X2733="R64",X2733="R68"),1,X2733="R32",2,X2733="S16",3,X2733="E8",4,X2733="F4",5,X2733="2ND",6,X2733="Champions",7)</f>
        <v>0</v>
      </c>
      <c r="X2733" t="s">
        <v>425</v>
      </c>
      <c r="Y2733" t="s">
        <v>90</v>
      </c>
      <c r="Z2733">
        <v>2021</v>
      </c>
    </row>
    <row r="2734" spans="1:26" x14ac:dyDescent="0.3">
      <c r="A2734" t="s">
        <v>92</v>
      </c>
      <c r="B2734" t="s">
        <v>45</v>
      </c>
      <c r="C2734">
        <v>21</v>
      </c>
      <c r="D2734">
        <v>13</v>
      </c>
      <c r="E2734" s="1">
        <f t="shared" si="42"/>
        <v>0.61904761904761907</v>
      </c>
      <c r="F2734">
        <v>101.4</v>
      </c>
      <c r="G2734">
        <v>98</v>
      </c>
      <c r="H2734">
        <v>0.59560000000000002</v>
      </c>
      <c r="I2734">
        <v>48.7</v>
      </c>
      <c r="J2734">
        <v>50.3</v>
      </c>
      <c r="K2734">
        <v>17.600000000000001</v>
      </c>
      <c r="L2734">
        <v>19.3</v>
      </c>
      <c r="M2734">
        <v>30.3</v>
      </c>
      <c r="N2734">
        <v>22.9</v>
      </c>
      <c r="O2734">
        <v>29.3</v>
      </c>
      <c r="P2734">
        <v>28.6</v>
      </c>
      <c r="Q2734">
        <v>48.5</v>
      </c>
      <c r="R2734">
        <v>48.4</v>
      </c>
      <c r="S2734">
        <v>32.700000000000003</v>
      </c>
      <c r="T2734">
        <v>35.700000000000003</v>
      </c>
      <c r="U2734">
        <v>68.2</v>
      </c>
      <c r="V2734">
        <v>-3.9</v>
      </c>
      <c r="W2734" cm="1">
        <f t="array" ref="W2734">_xlfn.IFS(OR(X2734="N/A",X2734="NA"),0,OR(X2734="R64",X2734="R68"),1,X2734="R32",2,X2734="S16",3,X2734="E8",4,X2734="F4",5,X2734="2ND",6,X2734="Champions",7)</f>
        <v>0</v>
      </c>
      <c r="X2734" t="s">
        <v>425</v>
      </c>
      <c r="Y2734" t="s">
        <v>90</v>
      </c>
      <c r="Z2734">
        <v>2021</v>
      </c>
    </row>
    <row r="2735" spans="1:26" x14ac:dyDescent="0.3">
      <c r="A2735" t="s">
        <v>409</v>
      </c>
      <c r="B2735" t="s">
        <v>37</v>
      </c>
      <c r="C2735">
        <v>22</v>
      </c>
      <c r="D2735">
        <v>13</v>
      </c>
      <c r="E2735" s="1">
        <f t="shared" si="42"/>
        <v>0.59090909090909094</v>
      </c>
      <c r="F2735">
        <v>107</v>
      </c>
      <c r="G2735">
        <v>99.8</v>
      </c>
      <c r="H2735">
        <v>0.69089999999999996</v>
      </c>
      <c r="I2735">
        <v>51.7</v>
      </c>
      <c r="J2735">
        <v>50.8</v>
      </c>
      <c r="K2735">
        <v>23.4</v>
      </c>
      <c r="L2735">
        <v>17.3</v>
      </c>
      <c r="M2735">
        <v>32.6</v>
      </c>
      <c r="N2735">
        <v>20.7</v>
      </c>
      <c r="O2735">
        <v>41.3</v>
      </c>
      <c r="P2735">
        <v>34.799999999999997</v>
      </c>
      <c r="Q2735">
        <v>52.2</v>
      </c>
      <c r="R2735">
        <v>50.3</v>
      </c>
      <c r="S2735">
        <v>33.799999999999997</v>
      </c>
      <c r="T2735">
        <v>34.5</v>
      </c>
      <c r="U2735">
        <v>66.400000000000006</v>
      </c>
      <c r="V2735">
        <v>-2.5</v>
      </c>
      <c r="W2735" cm="1">
        <f t="array" ref="W2735">_xlfn.IFS(OR(X2735="N/A",X2735="NA"),0,OR(X2735="R64",X2735="R68"),1,X2735="R32",2,X2735="S16",3,X2735="E8",4,X2735="F4",5,X2735="2ND",6,X2735="Champions",7)</f>
        <v>0</v>
      </c>
      <c r="X2735" t="s">
        <v>425</v>
      </c>
      <c r="Y2735" t="s">
        <v>90</v>
      </c>
      <c r="Z2735">
        <v>2021</v>
      </c>
    </row>
    <row r="2736" spans="1:26" x14ac:dyDescent="0.3">
      <c r="A2736" t="s">
        <v>135</v>
      </c>
      <c r="B2736" t="s">
        <v>43</v>
      </c>
      <c r="C2736">
        <v>25</v>
      </c>
      <c r="D2736">
        <v>14</v>
      </c>
      <c r="E2736" s="1">
        <f t="shared" si="42"/>
        <v>0.56000000000000005</v>
      </c>
      <c r="F2736">
        <v>102.8</v>
      </c>
      <c r="G2736">
        <v>108.2</v>
      </c>
      <c r="H2736">
        <v>0.35780000000000001</v>
      </c>
      <c r="I2736">
        <v>50.6</v>
      </c>
      <c r="J2736">
        <v>51.7</v>
      </c>
      <c r="K2736">
        <v>18.600000000000001</v>
      </c>
      <c r="L2736">
        <v>18.899999999999999</v>
      </c>
      <c r="M2736">
        <v>34.9</v>
      </c>
      <c r="N2736">
        <v>32.700000000000003</v>
      </c>
      <c r="O2736">
        <v>27.8</v>
      </c>
      <c r="P2736">
        <v>32.5</v>
      </c>
      <c r="Q2736">
        <v>53.7</v>
      </c>
      <c r="R2736">
        <v>50.8</v>
      </c>
      <c r="S2736">
        <v>30.7</v>
      </c>
      <c r="T2736">
        <v>35.5</v>
      </c>
      <c r="U2736">
        <v>65.099999999999994</v>
      </c>
      <c r="V2736">
        <v>-7.8</v>
      </c>
      <c r="W2736" cm="1">
        <f t="array" ref="W2736">_xlfn.IFS(OR(X2736="N/A",X2736="NA"),0,OR(X2736="R64",X2736="R68"),1,X2736="R32",2,X2736="S16",3,X2736="E8",4,X2736="F4",5,X2736="2ND",6,X2736="Champions",7)</f>
        <v>0</v>
      </c>
      <c r="X2736" t="s">
        <v>425</v>
      </c>
      <c r="Y2736" t="s">
        <v>90</v>
      </c>
      <c r="Z2736">
        <v>2021</v>
      </c>
    </row>
    <row r="2737" spans="1:26" x14ac:dyDescent="0.3">
      <c r="A2737" t="s">
        <v>248</v>
      </c>
      <c r="B2737" t="s">
        <v>69</v>
      </c>
      <c r="C2737">
        <v>25</v>
      </c>
      <c r="D2737">
        <v>14</v>
      </c>
      <c r="E2737" s="1">
        <f t="shared" si="42"/>
        <v>0.56000000000000005</v>
      </c>
      <c r="F2737">
        <v>90.2</v>
      </c>
      <c r="G2737">
        <v>95.2</v>
      </c>
      <c r="H2737">
        <v>0.35049999999999998</v>
      </c>
      <c r="I2737">
        <v>45.6</v>
      </c>
      <c r="J2737">
        <v>44.9</v>
      </c>
      <c r="K2737">
        <v>21.8</v>
      </c>
      <c r="L2737">
        <v>22.5</v>
      </c>
      <c r="M2737">
        <v>30.4</v>
      </c>
      <c r="N2737">
        <v>27.7</v>
      </c>
      <c r="O2737">
        <v>32.700000000000003</v>
      </c>
      <c r="P2737">
        <v>39.5</v>
      </c>
      <c r="Q2737">
        <v>44.1</v>
      </c>
      <c r="R2737">
        <v>41.6</v>
      </c>
      <c r="S2737">
        <v>32.299999999999997</v>
      </c>
      <c r="T2737">
        <v>33.6</v>
      </c>
      <c r="U2737">
        <v>67.2</v>
      </c>
      <c r="V2737">
        <v>-8.1</v>
      </c>
      <c r="W2737" cm="1">
        <f t="array" ref="W2737">_xlfn.IFS(OR(X2737="N/A",X2737="NA"),0,OR(X2737="R64",X2737="R68"),1,X2737="R32",2,X2737="S16",3,X2737="E8",4,X2737="F4",5,X2737="2ND",6,X2737="Champions",7)</f>
        <v>0</v>
      </c>
      <c r="X2737" t="s">
        <v>425</v>
      </c>
      <c r="Y2737" t="s">
        <v>90</v>
      </c>
      <c r="Z2737">
        <v>2021</v>
      </c>
    </row>
    <row r="2738" spans="1:26" x14ac:dyDescent="0.3">
      <c r="A2738" t="s">
        <v>253</v>
      </c>
      <c r="B2738" t="s">
        <v>57</v>
      </c>
      <c r="C2738">
        <v>24</v>
      </c>
      <c r="D2738">
        <v>14</v>
      </c>
      <c r="E2738" s="1">
        <f t="shared" si="42"/>
        <v>0.58333333333333337</v>
      </c>
      <c r="F2738">
        <v>104.5</v>
      </c>
      <c r="G2738">
        <v>103.6</v>
      </c>
      <c r="H2738">
        <v>0.52470000000000006</v>
      </c>
      <c r="I2738">
        <v>48.1</v>
      </c>
      <c r="J2738">
        <v>51.5</v>
      </c>
      <c r="K2738">
        <v>13.7</v>
      </c>
      <c r="L2738">
        <v>19.100000000000001</v>
      </c>
      <c r="M2738">
        <v>30.3</v>
      </c>
      <c r="N2738">
        <v>29.2</v>
      </c>
      <c r="O2738">
        <v>28.9</v>
      </c>
      <c r="P2738">
        <v>30.1</v>
      </c>
      <c r="Q2738">
        <v>48.4</v>
      </c>
      <c r="R2738">
        <v>51.7</v>
      </c>
      <c r="S2738">
        <v>31.8</v>
      </c>
      <c r="T2738">
        <v>34.1</v>
      </c>
      <c r="U2738">
        <v>70.5</v>
      </c>
      <c r="V2738">
        <v>-5.5</v>
      </c>
      <c r="W2738" cm="1">
        <f t="array" ref="W2738">_xlfn.IFS(OR(X2738="N/A",X2738="NA"),0,OR(X2738="R64",X2738="R68"),1,X2738="R32",2,X2738="S16",3,X2738="E8",4,X2738="F4",5,X2738="2ND",6,X2738="Champions",7)</f>
        <v>0</v>
      </c>
      <c r="X2738" t="s">
        <v>425</v>
      </c>
      <c r="Y2738" t="s">
        <v>90</v>
      </c>
      <c r="Z2738">
        <v>2021</v>
      </c>
    </row>
    <row r="2739" spans="1:26" x14ac:dyDescent="0.3">
      <c r="A2739" t="s">
        <v>293</v>
      </c>
      <c r="B2739" t="s">
        <v>55</v>
      </c>
      <c r="C2739">
        <v>25</v>
      </c>
      <c r="D2739">
        <v>14</v>
      </c>
      <c r="E2739" s="1">
        <f t="shared" si="42"/>
        <v>0.56000000000000005</v>
      </c>
      <c r="F2739">
        <v>108.4</v>
      </c>
      <c r="G2739">
        <v>107.6</v>
      </c>
      <c r="H2739">
        <v>0.52100000000000002</v>
      </c>
      <c r="I2739">
        <v>53.7</v>
      </c>
      <c r="J2739">
        <v>52.9</v>
      </c>
      <c r="K2739">
        <v>15.9</v>
      </c>
      <c r="L2739">
        <v>18.100000000000001</v>
      </c>
      <c r="M2739">
        <v>22.9</v>
      </c>
      <c r="N2739">
        <v>27.8</v>
      </c>
      <c r="O2739">
        <v>35.299999999999997</v>
      </c>
      <c r="P2739">
        <v>33.9</v>
      </c>
      <c r="Q2739">
        <v>53.9</v>
      </c>
      <c r="R2739">
        <v>54.4</v>
      </c>
      <c r="S2739">
        <v>35.700000000000003</v>
      </c>
      <c r="T2739">
        <v>33</v>
      </c>
      <c r="U2739">
        <v>69.400000000000006</v>
      </c>
      <c r="V2739">
        <v>-5.2</v>
      </c>
      <c r="W2739" cm="1">
        <f t="array" ref="W2739">_xlfn.IFS(OR(X2739="N/A",X2739="NA"),0,OR(X2739="R64",X2739="R68"),1,X2739="R32",2,X2739="S16",3,X2739="E8",4,X2739="F4",5,X2739="2ND",6,X2739="Champions",7)</f>
        <v>0</v>
      </c>
      <c r="X2739" t="s">
        <v>425</v>
      </c>
      <c r="Y2739" t="s">
        <v>90</v>
      </c>
      <c r="Z2739">
        <v>2021</v>
      </c>
    </row>
    <row r="2740" spans="1:26" x14ac:dyDescent="0.3">
      <c r="A2740" t="s">
        <v>385</v>
      </c>
      <c r="B2740" t="s">
        <v>72</v>
      </c>
      <c r="C2740">
        <v>24</v>
      </c>
      <c r="D2740">
        <v>14</v>
      </c>
      <c r="E2740" s="1">
        <f t="shared" si="42"/>
        <v>0.58333333333333337</v>
      </c>
      <c r="F2740">
        <v>106.7</v>
      </c>
      <c r="G2740">
        <v>105.9</v>
      </c>
      <c r="H2740">
        <v>0.52090000000000003</v>
      </c>
      <c r="I2740">
        <v>53.2</v>
      </c>
      <c r="J2740">
        <v>49.5</v>
      </c>
      <c r="K2740">
        <v>15.4</v>
      </c>
      <c r="L2740">
        <v>15.4</v>
      </c>
      <c r="M2740">
        <v>21.7</v>
      </c>
      <c r="N2740">
        <v>24.4</v>
      </c>
      <c r="O2740">
        <v>33.1</v>
      </c>
      <c r="P2740">
        <v>35.299999999999997</v>
      </c>
      <c r="Q2740">
        <v>50.5</v>
      </c>
      <c r="R2740">
        <v>47.3</v>
      </c>
      <c r="S2740">
        <v>39.1</v>
      </c>
      <c r="T2740">
        <v>35.4</v>
      </c>
      <c r="U2740">
        <v>69.2</v>
      </c>
      <c r="V2740">
        <v>-7.3</v>
      </c>
      <c r="W2740" cm="1">
        <f t="array" ref="W2740">_xlfn.IFS(OR(X2740="N/A",X2740="NA"),0,OR(X2740="R64",X2740="R68"),1,X2740="R32",2,X2740="S16",3,X2740="E8",4,X2740="F4",5,X2740="2ND",6,X2740="Champions",7)</f>
        <v>0</v>
      </c>
      <c r="X2740" t="s">
        <v>425</v>
      </c>
      <c r="Y2740" t="s">
        <v>90</v>
      </c>
      <c r="Z2740">
        <v>2021</v>
      </c>
    </row>
    <row r="2741" spans="1:26" x14ac:dyDescent="0.3">
      <c r="A2741" t="s">
        <v>365</v>
      </c>
      <c r="B2741" t="s">
        <v>29</v>
      </c>
      <c r="C2741">
        <v>25</v>
      </c>
      <c r="D2741">
        <v>14</v>
      </c>
      <c r="E2741" s="1">
        <f t="shared" si="42"/>
        <v>0.56000000000000005</v>
      </c>
      <c r="F2741">
        <v>108.2</v>
      </c>
      <c r="G2741">
        <v>99.7</v>
      </c>
      <c r="H2741">
        <v>0.7198</v>
      </c>
      <c r="I2741">
        <v>50.7</v>
      </c>
      <c r="J2741">
        <v>52.5</v>
      </c>
      <c r="K2741">
        <v>21.5</v>
      </c>
      <c r="L2741">
        <v>21.6</v>
      </c>
      <c r="M2741">
        <v>32.799999999999997</v>
      </c>
      <c r="N2741">
        <v>32.299999999999997</v>
      </c>
      <c r="O2741">
        <v>34.299999999999997</v>
      </c>
      <c r="P2741">
        <v>31.4</v>
      </c>
      <c r="Q2741">
        <v>51.8</v>
      </c>
      <c r="R2741">
        <v>53.3</v>
      </c>
      <c r="S2741">
        <v>32.299999999999997</v>
      </c>
      <c r="T2741">
        <v>34.200000000000003</v>
      </c>
      <c r="U2741">
        <v>73.3</v>
      </c>
      <c r="V2741">
        <v>-2.2000000000000002</v>
      </c>
      <c r="W2741" cm="1">
        <f t="array" ref="W2741">_xlfn.IFS(OR(X2741="N/A",X2741="NA"),0,OR(X2741="R64",X2741="R68"),1,X2741="R32",2,X2741="S16",3,X2741="E8",4,X2741="F4",5,X2741="2ND",6,X2741="Champions",7)</f>
        <v>0</v>
      </c>
      <c r="X2741" t="s">
        <v>425</v>
      </c>
      <c r="Y2741" t="s">
        <v>90</v>
      </c>
      <c r="Z2741">
        <v>2021</v>
      </c>
    </row>
    <row r="2742" spans="1:26" x14ac:dyDescent="0.3">
      <c r="A2742" t="s">
        <v>158</v>
      </c>
      <c r="B2742" t="s">
        <v>33</v>
      </c>
      <c r="C2742">
        <v>27</v>
      </c>
      <c r="D2742">
        <v>14</v>
      </c>
      <c r="E2742" s="1">
        <f t="shared" si="42"/>
        <v>0.51851851851851849</v>
      </c>
      <c r="F2742">
        <v>109.5</v>
      </c>
      <c r="G2742">
        <v>94.8</v>
      </c>
      <c r="H2742">
        <v>0.84009999999999996</v>
      </c>
      <c r="I2742">
        <v>50</v>
      </c>
      <c r="J2742">
        <v>49.4</v>
      </c>
      <c r="K2742">
        <v>18.899999999999999</v>
      </c>
      <c r="L2742">
        <v>19.2</v>
      </c>
      <c r="M2742">
        <v>29.7</v>
      </c>
      <c r="N2742">
        <v>29.8</v>
      </c>
      <c r="O2742">
        <v>35.700000000000003</v>
      </c>
      <c r="P2742">
        <v>27.3</v>
      </c>
      <c r="Q2742">
        <v>51.1</v>
      </c>
      <c r="R2742">
        <v>46.6</v>
      </c>
      <c r="S2742">
        <v>32.1</v>
      </c>
      <c r="T2742">
        <v>36.6</v>
      </c>
      <c r="U2742">
        <v>67.099999999999994</v>
      </c>
      <c r="V2742">
        <v>-1</v>
      </c>
      <c r="W2742" cm="1">
        <f t="array" ref="W2742">_xlfn.IFS(OR(X2742="N/A",X2742="NA"),0,OR(X2742="R64",X2742="R68"),1,X2742="R32",2,X2742="S16",3,X2742="E8",4,X2742="F4",5,X2742="2ND",6,X2742="Champions",7)</f>
        <v>0</v>
      </c>
      <c r="X2742" t="s">
        <v>425</v>
      </c>
      <c r="Y2742" t="s">
        <v>90</v>
      </c>
      <c r="Z2742">
        <v>2021</v>
      </c>
    </row>
    <row r="2743" spans="1:26" x14ac:dyDescent="0.3">
      <c r="A2743" t="s">
        <v>304</v>
      </c>
      <c r="B2743" t="s">
        <v>64</v>
      </c>
      <c r="C2743">
        <v>25</v>
      </c>
      <c r="D2743">
        <v>14</v>
      </c>
      <c r="E2743" s="1">
        <f t="shared" si="42"/>
        <v>0.56000000000000005</v>
      </c>
      <c r="F2743">
        <v>104.3</v>
      </c>
      <c r="G2743">
        <v>106.9</v>
      </c>
      <c r="H2743">
        <v>0.43159999999999998</v>
      </c>
      <c r="I2743">
        <v>50.4</v>
      </c>
      <c r="J2743">
        <v>54.8</v>
      </c>
      <c r="K2743">
        <v>21.2</v>
      </c>
      <c r="L2743">
        <v>22.3</v>
      </c>
      <c r="M2743">
        <v>35.700000000000003</v>
      </c>
      <c r="N2743">
        <v>29.6</v>
      </c>
      <c r="O2743">
        <v>29.4</v>
      </c>
      <c r="P2743">
        <v>32.9</v>
      </c>
      <c r="Q2743">
        <v>50.6</v>
      </c>
      <c r="R2743">
        <v>54.5</v>
      </c>
      <c r="S2743">
        <v>33.299999999999997</v>
      </c>
      <c r="T2743">
        <v>36.9</v>
      </c>
      <c r="U2743">
        <v>66.900000000000006</v>
      </c>
      <c r="V2743">
        <v>-10.4</v>
      </c>
      <c r="W2743" cm="1">
        <f t="array" ref="W2743">_xlfn.IFS(OR(X2743="N/A",X2743="NA"),0,OR(X2743="R64",X2743="R68"),1,X2743="R32",2,X2743="S16",3,X2743="E8",4,X2743="F4",5,X2743="2ND",6,X2743="Champions",7)</f>
        <v>0</v>
      </c>
      <c r="X2743" t="s">
        <v>425</v>
      </c>
      <c r="Y2743" t="s">
        <v>90</v>
      </c>
      <c r="Z2743">
        <v>2021</v>
      </c>
    </row>
    <row r="2744" spans="1:26" x14ac:dyDescent="0.3">
      <c r="A2744" t="s">
        <v>320</v>
      </c>
      <c r="B2744" t="s">
        <v>38</v>
      </c>
      <c r="C2744">
        <v>27</v>
      </c>
      <c r="D2744">
        <v>14</v>
      </c>
      <c r="E2744" s="1">
        <f t="shared" si="42"/>
        <v>0.51851851851851849</v>
      </c>
      <c r="F2744">
        <v>103.8</v>
      </c>
      <c r="G2744">
        <v>93.6</v>
      </c>
      <c r="H2744">
        <v>0.76790000000000003</v>
      </c>
      <c r="I2744">
        <v>51.4</v>
      </c>
      <c r="J2744">
        <v>48.3</v>
      </c>
      <c r="K2744">
        <v>21</v>
      </c>
      <c r="L2744">
        <v>20.3</v>
      </c>
      <c r="M2744">
        <v>25.1</v>
      </c>
      <c r="N2744">
        <v>28.7</v>
      </c>
      <c r="O2744">
        <v>36.5</v>
      </c>
      <c r="P2744">
        <v>27</v>
      </c>
      <c r="Q2744">
        <v>52.8</v>
      </c>
      <c r="R2744">
        <v>46.9</v>
      </c>
      <c r="S2744">
        <v>32.200000000000003</v>
      </c>
      <c r="T2744">
        <v>33.6</v>
      </c>
      <c r="U2744">
        <v>69.400000000000006</v>
      </c>
      <c r="V2744">
        <v>-2.4</v>
      </c>
      <c r="W2744" cm="1">
        <f t="array" ref="W2744">_xlfn.IFS(OR(X2744="N/A",X2744="NA"),0,OR(X2744="R64",X2744="R68"),1,X2744="R32",2,X2744="S16",3,X2744="E8",4,X2744="F4",5,X2744="2ND",6,X2744="Champions",7)</f>
        <v>0</v>
      </c>
      <c r="X2744" t="s">
        <v>425</v>
      </c>
      <c r="Y2744" t="s">
        <v>90</v>
      </c>
      <c r="Z2744">
        <v>2021</v>
      </c>
    </row>
    <row r="2745" spans="1:26" x14ac:dyDescent="0.3">
      <c r="A2745" t="s">
        <v>323</v>
      </c>
      <c r="B2745" t="s">
        <v>38</v>
      </c>
      <c r="C2745">
        <v>27</v>
      </c>
      <c r="D2745">
        <v>14</v>
      </c>
      <c r="E2745" s="1">
        <f t="shared" si="42"/>
        <v>0.51851851851851849</v>
      </c>
      <c r="F2745">
        <v>101.1</v>
      </c>
      <c r="G2745">
        <v>93.6</v>
      </c>
      <c r="H2745">
        <v>0.7087</v>
      </c>
      <c r="I2745">
        <v>47.9</v>
      </c>
      <c r="J2745">
        <v>46.6</v>
      </c>
      <c r="K2745">
        <v>21.6</v>
      </c>
      <c r="L2745">
        <v>18.5</v>
      </c>
      <c r="M2745">
        <v>30.8</v>
      </c>
      <c r="N2745">
        <v>26</v>
      </c>
      <c r="O2745">
        <v>34.700000000000003</v>
      </c>
      <c r="P2745">
        <v>32.700000000000003</v>
      </c>
      <c r="Q2745">
        <v>45.7</v>
      </c>
      <c r="R2745">
        <v>46.4</v>
      </c>
      <c r="S2745">
        <v>34.1</v>
      </c>
      <c r="T2745">
        <v>31.3</v>
      </c>
      <c r="U2745">
        <v>68</v>
      </c>
      <c r="V2745">
        <v>-4.5</v>
      </c>
      <c r="W2745" cm="1">
        <f t="array" ref="W2745">_xlfn.IFS(OR(X2745="N/A",X2745="NA"),0,OR(X2745="R64",X2745="R68"),1,X2745="R32",2,X2745="S16",3,X2745="E8",4,X2745="F4",5,X2745="2ND",6,X2745="Champions",7)</f>
        <v>0</v>
      </c>
      <c r="X2745" t="s">
        <v>425</v>
      </c>
      <c r="Y2745" t="s">
        <v>90</v>
      </c>
      <c r="Z2745">
        <v>2021</v>
      </c>
    </row>
    <row r="2746" spans="1:26" x14ac:dyDescent="0.3">
      <c r="A2746" t="s">
        <v>142</v>
      </c>
      <c r="B2746" t="s">
        <v>31</v>
      </c>
      <c r="C2746">
        <v>29</v>
      </c>
      <c r="D2746">
        <v>14</v>
      </c>
      <c r="E2746" s="1">
        <f t="shared" si="42"/>
        <v>0.48275862068965519</v>
      </c>
      <c r="F2746">
        <v>107.4</v>
      </c>
      <c r="G2746">
        <v>95.7</v>
      </c>
      <c r="H2746">
        <v>0.79110000000000003</v>
      </c>
      <c r="I2746">
        <v>45</v>
      </c>
      <c r="J2746">
        <v>49.7</v>
      </c>
      <c r="K2746">
        <v>15.5</v>
      </c>
      <c r="L2746">
        <v>19</v>
      </c>
      <c r="M2746">
        <v>29</v>
      </c>
      <c r="N2746">
        <v>31.3</v>
      </c>
      <c r="O2746">
        <v>36.700000000000003</v>
      </c>
      <c r="P2746">
        <v>34.299999999999997</v>
      </c>
      <c r="Q2746">
        <v>46.7</v>
      </c>
      <c r="R2746">
        <v>48.3</v>
      </c>
      <c r="S2746">
        <v>28.4</v>
      </c>
      <c r="T2746">
        <v>35.200000000000003</v>
      </c>
      <c r="U2746">
        <v>70.5</v>
      </c>
      <c r="V2746">
        <v>-1.1000000000000001</v>
      </c>
      <c r="W2746" cm="1">
        <f t="array" ref="W2746">_xlfn.IFS(OR(X2746="N/A",X2746="NA"),0,OR(X2746="R64",X2746="R68"),1,X2746="R32",2,X2746="S16",3,X2746="E8",4,X2746="F4",5,X2746="2ND",6,X2746="Champions",7)</f>
        <v>0</v>
      </c>
      <c r="X2746" t="s">
        <v>425</v>
      </c>
      <c r="Y2746" t="s">
        <v>90</v>
      </c>
      <c r="Z2746">
        <v>2021</v>
      </c>
    </row>
    <row r="2747" spans="1:26" x14ac:dyDescent="0.3">
      <c r="A2747" t="s">
        <v>99</v>
      </c>
      <c r="B2747" t="s">
        <v>45</v>
      </c>
      <c r="C2747">
        <v>20</v>
      </c>
      <c r="D2747">
        <v>14</v>
      </c>
      <c r="E2747" s="1">
        <f t="shared" si="42"/>
        <v>0.7</v>
      </c>
      <c r="F2747">
        <v>110.1</v>
      </c>
      <c r="G2747">
        <v>95</v>
      </c>
      <c r="H2747">
        <v>0.84470000000000001</v>
      </c>
      <c r="I2747">
        <v>51.8</v>
      </c>
      <c r="J2747">
        <v>48</v>
      </c>
      <c r="K2747">
        <v>17.600000000000001</v>
      </c>
      <c r="L2747">
        <v>19.600000000000001</v>
      </c>
      <c r="M2747">
        <v>36.1</v>
      </c>
      <c r="N2747">
        <v>22</v>
      </c>
      <c r="O2747">
        <v>30.5</v>
      </c>
      <c r="P2747">
        <v>36.299999999999997</v>
      </c>
      <c r="Q2747">
        <v>51.4</v>
      </c>
      <c r="R2747">
        <v>46.8</v>
      </c>
      <c r="S2747">
        <v>35.200000000000003</v>
      </c>
      <c r="T2747">
        <v>33.299999999999997</v>
      </c>
      <c r="U2747">
        <v>68</v>
      </c>
      <c r="V2747">
        <v>-0.7</v>
      </c>
      <c r="W2747" cm="1">
        <f t="array" ref="W2747">_xlfn.IFS(OR(X2747="N/A",X2747="NA"),0,OR(X2747="R64",X2747="R68"),1,X2747="R32",2,X2747="S16",3,X2747="E8",4,X2747="F4",5,X2747="2ND",6,X2747="Champions",7)</f>
        <v>0</v>
      </c>
      <c r="X2747" t="s">
        <v>425</v>
      </c>
      <c r="Y2747" t="s">
        <v>90</v>
      </c>
      <c r="Z2747">
        <v>2021</v>
      </c>
    </row>
    <row r="2748" spans="1:26" x14ac:dyDescent="0.3">
      <c r="A2748" t="s">
        <v>118</v>
      </c>
      <c r="B2748" t="s">
        <v>112</v>
      </c>
      <c r="C2748">
        <v>20</v>
      </c>
      <c r="D2748">
        <v>14</v>
      </c>
      <c r="E2748" s="1">
        <f t="shared" si="42"/>
        <v>0.7</v>
      </c>
      <c r="F2748">
        <v>100</v>
      </c>
      <c r="G2748">
        <v>100.2</v>
      </c>
      <c r="H2748">
        <v>0.49459999999999998</v>
      </c>
      <c r="I2748">
        <v>50.3</v>
      </c>
      <c r="J2748">
        <v>46.5</v>
      </c>
      <c r="K2748">
        <v>18.8</v>
      </c>
      <c r="L2748">
        <v>17.899999999999999</v>
      </c>
      <c r="M2748">
        <v>25.8</v>
      </c>
      <c r="N2748">
        <v>24.3</v>
      </c>
      <c r="O2748">
        <v>36.6</v>
      </c>
      <c r="P2748">
        <v>25.6</v>
      </c>
      <c r="Q2748">
        <v>49.8</v>
      </c>
      <c r="R2748">
        <v>44.5</v>
      </c>
      <c r="S2748">
        <v>34.1</v>
      </c>
      <c r="T2748">
        <v>32.9</v>
      </c>
      <c r="U2748">
        <v>68.2</v>
      </c>
      <c r="V2748">
        <v>-3.8</v>
      </c>
      <c r="W2748" cm="1">
        <f t="array" ref="W2748">_xlfn.IFS(OR(X2748="N/A",X2748="NA"),0,OR(X2748="R64",X2748="R68"),1,X2748="R32",2,X2748="S16",3,X2748="E8",4,X2748="F4",5,X2748="2ND",6,X2748="Champions",7)</f>
        <v>0</v>
      </c>
      <c r="X2748" t="s">
        <v>425</v>
      </c>
      <c r="Y2748" t="s">
        <v>90</v>
      </c>
      <c r="Z2748">
        <v>2021</v>
      </c>
    </row>
    <row r="2749" spans="1:26" x14ac:dyDescent="0.3">
      <c r="A2749" t="s">
        <v>194</v>
      </c>
      <c r="B2749" t="s">
        <v>48</v>
      </c>
      <c r="C2749">
        <v>22</v>
      </c>
      <c r="D2749">
        <v>14</v>
      </c>
      <c r="E2749" s="1">
        <f t="shared" si="42"/>
        <v>0.63636363636363635</v>
      </c>
      <c r="F2749">
        <v>102.5</v>
      </c>
      <c r="G2749">
        <v>97.5</v>
      </c>
      <c r="H2749">
        <v>0.63839999999999997</v>
      </c>
      <c r="I2749">
        <v>52.5</v>
      </c>
      <c r="J2749">
        <v>45.8</v>
      </c>
      <c r="K2749">
        <v>17.600000000000001</v>
      </c>
      <c r="L2749">
        <v>16.399999999999999</v>
      </c>
      <c r="M2749">
        <v>26.1</v>
      </c>
      <c r="N2749">
        <v>23.8</v>
      </c>
      <c r="O2749">
        <v>22</v>
      </c>
      <c r="P2749">
        <v>28.6</v>
      </c>
      <c r="Q2749">
        <v>50.3</v>
      </c>
      <c r="R2749">
        <v>44.7</v>
      </c>
      <c r="S2749">
        <v>36.9</v>
      </c>
      <c r="T2749">
        <v>31.9</v>
      </c>
      <c r="U2749">
        <v>66.8</v>
      </c>
      <c r="V2749">
        <v>-4.7</v>
      </c>
      <c r="W2749" cm="1">
        <f t="array" ref="W2749">_xlfn.IFS(OR(X2749="N/A",X2749="NA"),0,OR(X2749="R64",X2749="R68"),1,X2749="R32",2,X2749="S16",3,X2749="E8",4,X2749="F4",5,X2749="2ND",6,X2749="Champions",7)</f>
        <v>0</v>
      </c>
      <c r="X2749" t="s">
        <v>425</v>
      </c>
      <c r="Y2749" t="s">
        <v>90</v>
      </c>
      <c r="Z2749">
        <v>2021</v>
      </c>
    </row>
    <row r="2750" spans="1:26" x14ac:dyDescent="0.3">
      <c r="A2750" t="s">
        <v>269</v>
      </c>
      <c r="B2750" t="s">
        <v>66</v>
      </c>
      <c r="C2750">
        <v>19</v>
      </c>
      <c r="D2750">
        <v>14</v>
      </c>
      <c r="E2750" s="1">
        <f t="shared" si="42"/>
        <v>0.73684210526315785</v>
      </c>
      <c r="F2750">
        <v>99.9</v>
      </c>
      <c r="G2750">
        <v>105.3</v>
      </c>
      <c r="H2750">
        <v>0.3543</v>
      </c>
      <c r="I2750">
        <v>48.7</v>
      </c>
      <c r="J2750">
        <v>48</v>
      </c>
      <c r="K2750">
        <v>20.7</v>
      </c>
      <c r="L2750">
        <v>22.1</v>
      </c>
      <c r="M2750">
        <v>34.5</v>
      </c>
      <c r="N2750">
        <v>29.5</v>
      </c>
      <c r="O2750">
        <v>37.5</v>
      </c>
      <c r="P2750">
        <v>42.9</v>
      </c>
      <c r="Q2750">
        <v>48.2</v>
      </c>
      <c r="R2750">
        <v>50.2</v>
      </c>
      <c r="S2750">
        <v>32.9</v>
      </c>
      <c r="T2750">
        <v>29.9</v>
      </c>
      <c r="U2750">
        <v>71.599999999999994</v>
      </c>
      <c r="V2750">
        <v>-6.3</v>
      </c>
      <c r="W2750" cm="1">
        <f t="array" ref="W2750">_xlfn.IFS(OR(X2750="N/A",X2750="NA"),0,OR(X2750="R64",X2750="R68"),1,X2750="R32",2,X2750="S16",3,X2750="E8",4,X2750="F4",5,X2750="2ND",6,X2750="Champions",7)</f>
        <v>0</v>
      </c>
      <c r="X2750" t="s">
        <v>425</v>
      </c>
      <c r="Y2750" t="s">
        <v>90</v>
      </c>
      <c r="Z2750">
        <v>2021</v>
      </c>
    </row>
    <row r="2751" spans="1:26" x14ac:dyDescent="0.3">
      <c r="A2751" t="s">
        <v>79</v>
      </c>
      <c r="B2751" t="s">
        <v>45</v>
      </c>
      <c r="C2751">
        <v>23</v>
      </c>
      <c r="D2751">
        <v>14</v>
      </c>
      <c r="E2751" s="1">
        <f t="shared" si="42"/>
        <v>0.60869565217391308</v>
      </c>
      <c r="F2751">
        <v>107.5</v>
      </c>
      <c r="G2751">
        <v>98.6</v>
      </c>
      <c r="H2751">
        <v>0.73040000000000005</v>
      </c>
      <c r="I2751">
        <v>55.5</v>
      </c>
      <c r="J2751">
        <v>48.4</v>
      </c>
      <c r="K2751">
        <v>21.4</v>
      </c>
      <c r="L2751">
        <v>17.5</v>
      </c>
      <c r="M2751">
        <v>23.7</v>
      </c>
      <c r="N2751">
        <v>28.4</v>
      </c>
      <c r="O2751">
        <v>34.5</v>
      </c>
      <c r="P2751">
        <v>26.7</v>
      </c>
      <c r="Q2751">
        <v>55</v>
      </c>
      <c r="R2751">
        <v>48.7</v>
      </c>
      <c r="S2751">
        <v>37.4</v>
      </c>
      <c r="T2751">
        <v>31.8</v>
      </c>
      <c r="U2751">
        <v>65.8</v>
      </c>
      <c r="V2751">
        <v>-1.9</v>
      </c>
      <c r="W2751" cm="1">
        <f t="array" ref="W2751">_xlfn.IFS(OR(X2751="N/A",X2751="NA"),0,OR(X2751="R64",X2751="R68"),1,X2751="R32",2,X2751="S16",3,X2751="E8",4,X2751="F4",5,X2751="2ND",6,X2751="Champions",7)</f>
        <v>0</v>
      </c>
      <c r="X2751" t="s">
        <v>425</v>
      </c>
      <c r="Y2751" t="s">
        <v>90</v>
      </c>
      <c r="Z2751">
        <v>2021</v>
      </c>
    </row>
    <row r="2752" spans="1:26" x14ac:dyDescent="0.3">
      <c r="A2752" t="s">
        <v>413</v>
      </c>
      <c r="B2752" t="s">
        <v>37</v>
      </c>
      <c r="C2752">
        <v>23</v>
      </c>
      <c r="D2752">
        <v>14</v>
      </c>
      <c r="E2752" s="1">
        <f t="shared" si="42"/>
        <v>0.60869565217391308</v>
      </c>
      <c r="F2752">
        <v>99.2</v>
      </c>
      <c r="G2752">
        <v>89.2</v>
      </c>
      <c r="H2752">
        <v>0.77149999999999996</v>
      </c>
      <c r="I2752">
        <v>47.6</v>
      </c>
      <c r="J2752">
        <v>47.6</v>
      </c>
      <c r="K2752">
        <v>17.100000000000001</v>
      </c>
      <c r="L2752">
        <v>18.8</v>
      </c>
      <c r="M2752">
        <v>26</v>
      </c>
      <c r="N2752">
        <v>22</v>
      </c>
      <c r="O2752">
        <v>27.7</v>
      </c>
      <c r="P2752">
        <v>27.7</v>
      </c>
      <c r="Q2752">
        <v>49.8</v>
      </c>
      <c r="R2752">
        <v>45.9</v>
      </c>
      <c r="S2752">
        <v>29.3</v>
      </c>
      <c r="T2752">
        <v>34.799999999999997</v>
      </c>
      <c r="U2752">
        <v>63.6</v>
      </c>
      <c r="V2752">
        <v>-0.7</v>
      </c>
      <c r="W2752" cm="1">
        <f t="array" ref="W2752">_xlfn.IFS(OR(X2752="N/A",X2752="NA"),0,OR(X2752="R64",X2752="R68"),1,X2752="R32",2,X2752="S16",3,X2752="E8",4,X2752="F4",5,X2752="2ND",6,X2752="Champions",7)</f>
        <v>0</v>
      </c>
      <c r="X2752" t="s">
        <v>425</v>
      </c>
      <c r="Y2752" t="s">
        <v>90</v>
      </c>
      <c r="Z2752">
        <v>2021</v>
      </c>
    </row>
    <row r="2753" spans="1:26" x14ac:dyDescent="0.3">
      <c r="A2753" t="s">
        <v>279</v>
      </c>
      <c r="B2753" t="s">
        <v>47</v>
      </c>
      <c r="C2753">
        <v>24</v>
      </c>
      <c r="D2753">
        <v>15</v>
      </c>
      <c r="E2753" s="1">
        <f t="shared" si="42"/>
        <v>0.625</v>
      </c>
      <c r="F2753">
        <v>101.5</v>
      </c>
      <c r="G2753">
        <v>97.9</v>
      </c>
      <c r="H2753">
        <v>0.60019999999999996</v>
      </c>
      <c r="I2753">
        <v>48.9</v>
      </c>
      <c r="J2753">
        <v>51.5</v>
      </c>
      <c r="K2753">
        <v>18.3</v>
      </c>
      <c r="L2753">
        <v>21.7</v>
      </c>
      <c r="M2753">
        <v>25.3</v>
      </c>
      <c r="N2753">
        <v>27.4</v>
      </c>
      <c r="O2753">
        <v>36.299999999999997</v>
      </c>
      <c r="P2753">
        <v>28.3</v>
      </c>
      <c r="Q2753">
        <v>47.9</v>
      </c>
      <c r="R2753">
        <v>52.6</v>
      </c>
      <c r="S2753">
        <v>33.799999999999997</v>
      </c>
      <c r="T2753">
        <v>33.1</v>
      </c>
      <c r="U2753">
        <v>67</v>
      </c>
      <c r="V2753">
        <v>-3.9</v>
      </c>
      <c r="W2753" cm="1">
        <f t="array" ref="W2753">_xlfn.IFS(OR(X2753="N/A",X2753="NA"),0,OR(X2753="R64",X2753="R68"),1,X2753="R32",2,X2753="S16",3,X2753="E8",4,X2753="F4",5,X2753="2ND",6,X2753="Champions",7)</f>
        <v>0</v>
      </c>
      <c r="X2753" t="s">
        <v>425</v>
      </c>
      <c r="Y2753" t="s">
        <v>90</v>
      </c>
      <c r="Z2753">
        <v>2021</v>
      </c>
    </row>
    <row r="2754" spans="1:26" x14ac:dyDescent="0.3">
      <c r="A2754" t="s">
        <v>400</v>
      </c>
      <c r="B2754" t="s">
        <v>48</v>
      </c>
      <c r="C2754">
        <v>24</v>
      </c>
      <c r="D2754">
        <v>15</v>
      </c>
      <c r="E2754" s="1">
        <f t="shared" si="42"/>
        <v>0.625</v>
      </c>
      <c r="F2754">
        <v>102.3</v>
      </c>
      <c r="G2754">
        <v>102.4</v>
      </c>
      <c r="H2754">
        <v>0.49630000000000002</v>
      </c>
      <c r="I2754">
        <v>48.4</v>
      </c>
      <c r="J2754">
        <v>50.6</v>
      </c>
      <c r="K2754">
        <v>19.600000000000001</v>
      </c>
      <c r="L2754">
        <v>20.6</v>
      </c>
      <c r="M2754">
        <v>38.5</v>
      </c>
      <c r="N2754">
        <v>25.7</v>
      </c>
      <c r="O2754">
        <v>26.9</v>
      </c>
      <c r="P2754">
        <v>42.3</v>
      </c>
      <c r="Q2754">
        <v>47.6</v>
      </c>
      <c r="R2754">
        <v>49.4</v>
      </c>
      <c r="S2754">
        <v>33.799999999999997</v>
      </c>
      <c r="T2754">
        <v>34.9</v>
      </c>
      <c r="U2754">
        <v>63.8</v>
      </c>
      <c r="V2754">
        <v>-6.2</v>
      </c>
      <c r="W2754" cm="1">
        <f t="array" ref="W2754">_xlfn.IFS(OR(X2754="N/A",X2754="NA"),0,OR(X2754="R64",X2754="R68"),1,X2754="R32",2,X2754="S16",3,X2754="E8",4,X2754="F4",5,X2754="2ND",6,X2754="Champions",7)</f>
        <v>0</v>
      </c>
      <c r="X2754" t="s">
        <v>425</v>
      </c>
      <c r="Y2754" t="s">
        <v>90</v>
      </c>
      <c r="Z2754">
        <v>2021</v>
      </c>
    </row>
    <row r="2755" spans="1:26" x14ac:dyDescent="0.3">
      <c r="A2755" t="s">
        <v>218</v>
      </c>
      <c r="B2755" t="s">
        <v>40</v>
      </c>
      <c r="C2755">
        <v>22</v>
      </c>
      <c r="D2755">
        <v>15</v>
      </c>
      <c r="E2755" s="1">
        <f t="shared" ref="E2755:E2818" si="43">D2755/C2755</f>
        <v>0.68181818181818177</v>
      </c>
      <c r="F2755">
        <v>106.2</v>
      </c>
      <c r="G2755">
        <v>104.9</v>
      </c>
      <c r="H2755">
        <v>0.53320000000000001</v>
      </c>
      <c r="I2755">
        <v>49.4</v>
      </c>
      <c r="J2755">
        <v>50.9</v>
      </c>
      <c r="K2755">
        <v>15.7</v>
      </c>
      <c r="L2755">
        <v>18.100000000000001</v>
      </c>
      <c r="M2755">
        <v>26.5</v>
      </c>
      <c r="N2755">
        <v>26.9</v>
      </c>
      <c r="O2755">
        <v>23.7</v>
      </c>
      <c r="P2755">
        <v>38.299999999999997</v>
      </c>
      <c r="Q2755">
        <v>49.2</v>
      </c>
      <c r="R2755">
        <v>49.8</v>
      </c>
      <c r="S2755">
        <v>33.1</v>
      </c>
      <c r="T2755">
        <v>35.1</v>
      </c>
      <c r="U2755">
        <v>71.900000000000006</v>
      </c>
      <c r="V2755">
        <v>-6.4</v>
      </c>
      <c r="W2755" cm="1">
        <f t="array" ref="W2755">_xlfn.IFS(OR(X2755="N/A",X2755="NA"),0,OR(X2755="R64",X2755="R68"),1,X2755="R32",2,X2755="S16",3,X2755="E8",4,X2755="F4",5,X2755="2ND",6,X2755="Champions",7)</f>
        <v>0</v>
      </c>
      <c r="X2755" t="s">
        <v>425</v>
      </c>
      <c r="Y2755" t="s">
        <v>90</v>
      </c>
      <c r="Z2755">
        <v>2021</v>
      </c>
    </row>
    <row r="2756" spans="1:26" x14ac:dyDescent="0.3">
      <c r="A2756" t="s">
        <v>134</v>
      </c>
      <c r="B2756" t="s">
        <v>131</v>
      </c>
      <c r="C2756">
        <v>23</v>
      </c>
      <c r="D2756">
        <v>15</v>
      </c>
      <c r="E2756" s="1">
        <f t="shared" si="43"/>
        <v>0.65217391304347827</v>
      </c>
      <c r="F2756">
        <v>100.2</v>
      </c>
      <c r="G2756">
        <v>106.5</v>
      </c>
      <c r="H2756">
        <v>0.33110000000000001</v>
      </c>
      <c r="I2756">
        <v>51.2</v>
      </c>
      <c r="J2756">
        <v>51.5</v>
      </c>
      <c r="K2756">
        <v>17.399999999999999</v>
      </c>
      <c r="L2756">
        <v>18.399999999999999</v>
      </c>
      <c r="M2756">
        <v>23.2</v>
      </c>
      <c r="N2756">
        <v>28.4</v>
      </c>
      <c r="O2756">
        <v>36.5</v>
      </c>
      <c r="P2756">
        <v>22.7</v>
      </c>
      <c r="Q2756">
        <v>51.2</v>
      </c>
      <c r="R2756">
        <v>53.4</v>
      </c>
      <c r="S2756">
        <v>34.1</v>
      </c>
      <c r="T2756">
        <v>32.799999999999997</v>
      </c>
      <c r="U2756">
        <v>66.5</v>
      </c>
      <c r="V2756">
        <v>-8.9</v>
      </c>
      <c r="W2756" cm="1">
        <f t="array" ref="W2756">_xlfn.IFS(OR(X2756="N/A",X2756="NA"),0,OR(X2756="R64",X2756="R68"),1,X2756="R32",2,X2756="S16",3,X2756="E8",4,X2756="F4",5,X2756="2ND",6,X2756="Champions",7)</f>
        <v>0</v>
      </c>
      <c r="X2756" t="s">
        <v>425</v>
      </c>
      <c r="Y2756" t="s">
        <v>90</v>
      </c>
      <c r="Z2756">
        <v>2021</v>
      </c>
    </row>
    <row r="2757" spans="1:26" x14ac:dyDescent="0.3">
      <c r="A2757" t="s">
        <v>183</v>
      </c>
      <c r="B2757" t="s">
        <v>74</v>
      </c>
      <c r="C2757">
        <v>25</v>
      </c>
      <c r="D2757">
        <v>15</v>
      </c>
      <c r="E2757" s="1">
        <f t="shared" si="43"/>
        <v>0.6</v>
      </c>
      <c r="F2757">
        <v>97.9</v>
      </c>
      <c r="G2757">
        <v>103.9</v>
      </c>
      <c r="H2757">
        <v>0.33510000000000001</v>
      </c>
      <c r="I2757">
        <v>50.5</v>
      </c>
      <c r="J2757">
        <v>49.9</v>
      </c>
      <c r="K2757">
        <v>23.2</v>
      </c>
      <c r="L2757">
        <v>18</v>
      </c>
      <c r="M2757">
        <v>33.4</v>
      </c>
      <c r="N2757">
        <v>24.5</v>
      </c>
      <c r="O2757">
        <v>40.200000000000003</v>
      </c>
      <c r="P2757">
        <v>25</v>
      </c>
      <c r="Q2757">
        <v>52.9</v>
      </c>
      <c r="R2757">
        <v>46</v>
      </c>
      <c r="S2757">
        <v>30.9</v>
      </c>
      <c r="T2757">
        <v>37.200000000000003</v>
      </c>
      <c r="U2757">
        <v>63.9</v>
      </c>
      <c r="V2757">
        <v>-8.8000000000000007</v>
      </c>
      <c r="W2757" cm="1">
        <f t="array" ref="W2757">_xlfn.IFS(OR(X2757="N/A",X2757="NA"),0,OR(X2757="R64",X2757="R68"),1,X2757="R32",2,X2757="S16",3,X2757="E8",4,X2757="F4",5,X2757="2ND",6,X2757="Champions",7)</f>
        <v>0</v>
      </c>
      <c r="X2757" t="s">
        <v>425</v>
      </c>
      <c r="Y2757" t="s">
        <v>90</v>
      </c>
      <c r="Z2757">
        <v>2021</v>
      </c>
    </row>
    <row r="2758" spans="1:26" x14ac:dyDescent="0.3">
      <c r="A2758" t="s">
        <v>228</v>
      </c>
      <c r="B2758" t="s">
        <v>43</v>
      </c>
      <c r="C2758">
        <v>23</v>
      </c>
      <c r="D2758">
        <v>15</v>
      </c>
      <c r="E2758" s="1">
        <f t="shared" si="43"/>
        <v>0.65217391304347827</v>
      </c>
      <c r="F2758">
        <v>101.7</v>
      </c>
      <c r="G2758">
        <v>108.2</v>
      </c>
      <c r="H2758">
        <v>0.32750000000000001</v>
      </c>
      <c r="I2758">
        <v>48.7</v>
      </c>
      <c r="J2758">
        <v>54.3</v>
      </c>
      <c r="K2758">
        <v>16.7</v>
      </c>
      <c r="L2758">
        <v>18.7</v>
      </c>
      <c r="M2758">
        <v>32.9</v>
      </c>
      <c r="N2758">
        <v>29</v>
      </c>
      <c r="O2758">
        <v>31.6</v>
      </c>
      <c r="P2758">
        <v>26.3</v>
      </c>
      <c r="Q2758">
        <v>50.1</v>
      </c>
      <c r="R2758">
        <v>54.1</v>
      </c>
      <c r="S2758">
        <v>30.9</v>
      </c>
      <c r="T2758">
        <v>36.4</v>
      </c>
      <c r="U2758">
        <v>67.400000000000006</v>
      </c>
      <c r="V2758">
        <v>-9.3000000000000007</v>
      </c>
      <c r="W2758" cm="1">
        <f t="array" ref="W2758">_xlfn.IFS(OR(X2758="N/A",X2758="NA"),0,OR(X2758="R64",X2758="R68"),1,X2758="R32",2,X2758="S16",3,X2758="E8",4,X2758="F4",5,X2758="2ND",6,X2758="Champions",7)</f>
        <v>0</v>
      </c>
      <c r="X2758" t="s">
        <v>425</v>
      </c>
      <c r="Y2758" t="s">
        <v>90</v>
      </c>
      <c r="Z2758">
        <v>2021</v>
      </c>
    </row>
    <row r="2759" spans="1:26" x14ac:dyDescent="0.3">
      <c r="A2759" t="s">
        <v>388</v>
      </c>
      <c r="B2759" t="s">
        <v>72</v>
      </c>
      <c r="C2759">
        <v>27</v>
      </c>
      <c r="D2759">
        <v>15</v>
      </c>
      <c r="E2759" s="1">
        <f t="shared" si="43"/>
        <v>0.55555555555555558</v>
      </c>
      <c r="F2759">
        <v>101.9</v>
      </c>
      <c r="G2759">
        <v>102</v>
      </c>
      <c r="H2759">
        <v>0.49880000000000002</v>
      </c>
      <c r="I2759">
        <v>50.4</v>
      </c>
      <c r="J2759">
        <v>49.9</v>
      </c>
      <c r="K2759">
        <v>18.7</v>
      </c>
      <c r="L2759">
        <v>13.8</v>
      </c>
      <c r="M2759">
        <v>28.7</v>
      </c>
      <c r="N2759">
        <v>19.7</v>
      </c>
      <c r="O2759">
        <v>33.6</v>
      </c>
      <c r="P2759">
        <v>26.3</v>
      </c>
      <c r="Q2759">
        <v>49.9</v>
      </c>
      <c r="R2759">
        <v>49.5</v>
      </c>
      <c r="S2759">
        <v>34.1</v>
      </c>
      <c r="T2759">
        <v>33.700000000000003</v>
      </c>
      <c r="U2759">
        <v>64.900000000000006</v>
      </c>
      <c r="V2759">
        <v>-7.2</v>
      </c>
      <c r="W2759" cm="1">
        <f t="array" ref="W2759">_xlfn.IFS(OR(X2759="N/A",X2759="NA"),0,OR(X2759="R64",X2759="R68"),1,X2759="R32",2,X2759="S16",3,X2759="E8",4,X2759="F4",5,X2759="2ND",6,X2759="Champions",7)</f>
        <v>0</v>
      </c>
      <c r="X2759" t="s">
        <v>425</v>
      </c>
      <c r="Y2759" t="s">
        <v>90</v>
      </c>
      <c r="Z2759">
        <v>2021</v>
      </c>
    </row>
    <row r="2760" spans="1:26" x14ac:dyDescent="0.3">
      <c r="A2760" t="s">
        <v>166</v>
      </c>
      <c r="B2760" t="s">
        <v>164</v>
      </c>
      <c r="C2760">
        <v>23</v>
      </c>
      <c r="D2760">
        <v>15</v>
      </c>
      <c r="E2760" s="1">
        <f t="shared" si="43"/>
        <v>0.65217391304347827</v>
      </c>
      <c r="F2760">
        <v>98.4</v>
      </c>
      <c r="G2760">
        <v>102.4</v>
      </c>
      <c r="H2760">
        <v>0.38740000000000002</v>
      </c>
      <c r="I2760">
        <v>48.9</v>
      </c>
      <c r="J2760">
        <v>49.6</v>
      </c>
      <c r="K2760">
        <v>19.399999999999999</v>
      </c>
      <c r="L2760">
        <v>18.2</v>
      </c>
      <c r="M2760">
        <v>22.7</v>
      </c>
      <c r="N2760">
        <v>29.1</v>
      </c>
      <c r="O2760">
        <v>35.9</v>
      </c>
      <c r="P2760">
        <v>40.4</v>
      </c>
      <c r="Q2760">
        <v>46.5</v>
      </c>
      <c r="R2760">
        <v>50.2</v>
      </c>
      <c r="S2760">
        <v>36.6</v>
      </c>
      <c r="T2760">
        <v>32.4</v>
      </c>
      <c r="U2760">
        <v>65.900000000000006</v>
      </c>
      <c r="V2760">
        <v>-8.6</v>
      </c>
      <c r="W2760" cm="1">
        <f t="array" ref="W2760">_xlfn.IFS(OR(X2760="N/A",X2760="NA"),0,OR(X2760="R64",X2760="R68"),1,X2760="R32",2,X2760="S16",3,X2760="E8",4,X2760="F4",5,X2760="2ND",6,X2760="Champions",7)</f>
        <v>0</v>
      </c>
      <c r="X2760" t="s">
        <v>425</v>
      </c>
      <c r="Y2760" t="s">
        <v>90</v>
      </c>
      <c r="Z2760">
        <v>2021</v>
      </c>
    </row>
    <row r="2761" spans="1:26" x14ac:dyDescent="0.3">
      <c r="A2761" t="s">
        <v>215</v>
      </c>
      <c r="B2761" t="s">
        <v>40</v>
      </c>
      <c r="C2761">
        <v>25</v>
      </c>
      <c r="D2761">
        <v>15</v>
      </c>
      <c r="E2761" s="1">
        <f t="shared" si="43"/>
        <v>0.6</v>
      </c>
      <c r="F2761">
        <v>103.3</v>
      </c>
      <c r="G2761">
        <v>106</v>
      </c>
      <c r="H2761">
        <v>0.4244</v>
      </c>
      <c r="I2761">
        <v>52.6</v>
      </c>
      <c r="J2761">
        <v>51.8</v>
      </c>
      <c r="K2761">
        <v>21.1</v>
      </c>
      <c r="L2761">
        <v>17.100000000000001</v>
      </c>
      <c r="M2761">
        <v>26.7</v>
      </c>
      <c r="N2761">
        <v>26.8</v>
      </c>
      <c r="O2761">
        <v>26.3</v>
      </c>
      <c r="P2761">
        <v>22</v>
      </c>
      <c r="Q2761">
        <v>51.2</v>
      </c>
      <c r="R2761">
        <v>50.7</v>
      </c>
      <c r="S2761">
        <v>36.1</v>
      </c>
      <c r="T2761">
        <v>35.799999999999997</v>
      </c>
      <c r="U2761">
        <v>69.7</v>
      </c>
      <c r="V2761">
        <v>-7.6</v>
      </c>
      <c r="W2761" cm="1">
        <f t="array" ref="W2761">_xlfn.IFS(OR(X2761="N/A",X2761="NA"),0,OR(X2761="R64",X2761="R68"),1,X2761="R32",2,X2761="S16",3,X2761="E8",4,X2761="F4",5,X2761="2ND",6,X2761="Champions",7)</f>
        <v>0</v>
      </c>
      <c r="X2761" t="s">
        <v>425</v>
      </c>
      <c r="Y2761" t="s">
        <v>90</v>
      </c>
      <c r="Z2761">
        <v>2021</v>
      </c>
    </row>
    <row r="2762" spans="1:26" x14ac:dyDescent="0.3">
      <c r="A2762" t="s">
        <v>359</v>
      </c>
      <c r="B2762" t="s">
        <v>29</v>
      </c>
      <c r="C2762">
        <v>29</v>
      </c>
      <c r="D2762">
        <v>15</v>
      </c>
      <c r="E2762" s="1">
        <f t="shared" si="43"/>
        <v>0.51724137931034486</v>
      </c>
      <c r="F2762">
        <v>105.4</v>
      </c>
      <c r="G2762">
        <v>94.1</v>
      </c>
      <c r="H2762">
        <v>0.78749999999999998</v>
      </c>
      <c r="I2762">
        <v>49.6</v>
      </c>
      <c r="J2762">
        <v>47</v>
      </c>
      <c r="K2762">
        <v>21.9</v>
      </c>
      <c r="L2762">
        <v>17.5</v>
      </c>
      <c r="M2762">
        <v>36.4</v>
      </c>
      <c r="N2762">
        <v>27.6</v>
      </c>
      <c r="O2762">
        <v>32.9</v>
      </c>
      <c r="P2762">
        <v>24.1</v>
      </c>
      <c r="Q2762">
        <v>49.4</v>
      </c>
      <c r="R2762">
        <v>45.9</v>
      </c>
      <c r="S2762">
        <v>33.6</v>
      </c>
      <c r="T2762">
        <v>32.299999999999997</v>
      </c>
      <c r="U2762">
        <v>65.599999999999994</v>
      </c>
      <c r="V2762">
        <v>-3</v>
      </c>
      <c r="W2762" cm="1">
        <f t="array" ref="W2762">_xlfn.IFS(OR(X2762="N/A",X2762="NA"),0,OR(X2762="R64",X2762="R68"),1,X2762="R32",2,X2762="S16",3,X2762="E8",4,X2762="F4",5,X2762="2ND",6,X2762="Champions",7)</f>
        <v>0</v>
      </c>
      <c r="X2762" t="s">
        <v>425</v>
      </c>
      <c r="Y2762" t="s">
        <v>90</v>
      </c>
      <c r="Z2762">
        <v>2021</v>
      </c>
    </row>
    <row r="2763" spans="1:26" x14ac:dyDescent="0.3">
      <c r="A2763" t="s">
        <v>334</v>
      </c>
      <c r="B2763" t="s">
        <v>67</v>
      </c>
      <c r="C2763">
        <v>18</v>
      </c>
      <c r="D2763">
        <v>15</v>
      </c>
      <c r="E2763" s="1">
        <f t="shared" si="43"/>
        <v>0.83333333333333337</v>
      </c>
      <c r="F2763">
        <v>103.6</v>
      </c>
      <c r="G2763">
        <v>101.9</v>
      </c>
      <c r="H2763">
        <v>0.54810000000000003</v>
      </c>
      <c r="I2763">
        <v>50.1</v>
      </c>
      <c r="J2763">
        <v>52.4</v>
      </c>
      <c r="K2763">
        <v>18.2</v>
      </c>
      <c r="L2763">
        <v>22.4</v>
      </c>
      <c r="M2763">
        <v>32.4</v>
      </c>
      <c r="N2763">
        <v>24.9</v>
      </c>
      <c r="O2763">
        <v>33</v>
      </c>
      <c r="P2763">
        <v>32.5</v>
      </c>
      <c r="Q2763">
        <v>50.6</v>
      </c>
      <c r="R2763">
        <v>53.7</v>
      </c>
      <c r="S2763">
        <v>32.700000000000003</v>
      </c>
      <c r="T2763">
        <v>33.5</v>
      </c>
      <c r="U2763">
        <v>66.7</v>
      </c>
      <c r="V2763">
        <v>-0.5</v>
      </c>
      <c r="W2763" cm="1">
        <f t="array" ref="W2763">_xlfn.IFS(OR(X2763="N/A",X2763="NA"),0,OR(X2763="R64",X2763="R68"),1,X2763="R32",2,X2763="S16",3,X2763="E8",4,X2763="F4",5,X2763="2ND",6,X2763="Champions",7)</f>
        <v>0</v>
      </c>
      <c r="X2763" t="s">
        <v>425</v>
      </c>
      <c r="Y2763" t="s">
        <v>90</v>
      </c>
      <c r="Z2763">
        <v>2021</v>
      </c>
    </row>
    <row r="2764" spans="1:26" x14ac:dyDescent="0.3">
      <c r="A2764" t="s">
        <v>294</v>
      </c>
      <c r="B2764" t="s">
        <v>77</v>
      </c>
      <c r="C2764">
        <v>20</v>
      </c>
      <c r="D2764">
        <v>15</v>
      </c>
      <c r="E2764" s="1">
        <f t="shared" si="43"/>
        <v>0.75</v>
      </c>
      <c r="F2764">
        <v>103.3</v>
      </c>
      <c r="G2764">
        <v>102.6</v>
      </c>
      <c r="H2764">
        <v>0.51859999999999995</v>
      </c>
      <c r="I2764">
        <v>53.7</v>
      </c>
      <c r="J2764">
        <v>46.5</v>
      </c>
      <c r="K2764">
        <v>20.6</v>
      </c>
      <c r="L2764">
        <v>17</v>
      </c>
      <c r="M2764">
        <v>29.1</v>
      </c>
      <c r="N2764">
        <v>29.7</v>
      </c>
      <c r="O2764">
        <v>34.6</v>
      </c>
      <c r="P2764">
        <v>27</v>
      </c>
      <c r="Q2764">
        <v>51.5</v>
      </c>
      <c r="R2764">
        <v>48.6</v>
      </c>
      <c r="S2764">
        <v>37.9</v>
      </c>
      <c r="T2764">
        <v>28.9</v>
      </c>
      <c r="U2764">
        <v>74</v>
      </c>
      <c r="V2764">
        <v>-3.9</v>
      </c>
      <c r="W2764" cm="1">
        <f t="array" ref="W2764">_xlfn.IFS(OR(X2764="N/A",X2764="NA"),0,OR(X2764="R64",X2764="R68"),1,X2764="R32",2,X2764="S16",3,X2764="E8",4,X2764="F4",5,X2764="2ND",6,X2764="Champions",7)</f>
        <v>0</v>
      </c>
      <c r="X2764" t="s">
        <v>425</v>
      </c>
      <c r="Y2764" t="s">
        <v>90</v>
      </c>
      <c r="Z2764">
        <v>2021</v>
      </c>
    </row>
    <row r="2765" spans="1:26" x14ac:dyDescent="0.3">
      <c r="A2765" t="s">
        <v>211</v>
      </c>
      <c r="B2765" t="s">
        <v>40</v>
      </c>
      <c r="C2765">
        <v>22</v>
      </c>
      <c r="D2765">
        <v>15</v>
      </c>
      <c r="E2765" s="1">
        <f t="shared" si="43"/>
        <v>0.68181818181818177</v>
      </c>
      <c r="F2765">
        <v>108.8</v>
      </c>
      <c r="G2765">
        <v>102</v>
      </c>
      <c r="H2765">
        <v>0.67720000000000002</v>
      </c>
      <c r="I2765">
        <v>54.8</v>
      </c>
      <c r="J2765">
        <v>49.9</v>
      </c>
      <c r="K2765">
        <v>16.3</v>
      </c>
      <c r="L2765">
        <v>19.8</v>
      </c>
      <c r="M2765">
        <v>23.8</v>
      </c>
      <c r="N2765">
        <v>28.2</v>
      </c>
      <c r="O2765">
        <v>24.2</v>
      </c>
      <c r="P2765">
        <v>27.5</v>
      </c>
      <c r="Q2765">
        <v>55.5</v>
      </c>
      <c r="R2765">
        <v>47.7</v>
      </c>
      <c r="S2765">
        <v>36</v>
      </c>
      <c r="T2765">
        <v>35.9</v>
      </c>
      <c r="U2765">
        <v>73</v>
      </c>
      <c r="V2765">
        <v>-2.7</v>
      </c>
      <c r="W2765" cm="1">
        <f t="array" ref="W2765">_xlfn.IFS(OR(X2765="N/A",X2765="NA"),0,OR(X2765="R64",X2765="R68"),1,X2765="R32",2,X2765="S16",3,X2765="E8",4,X2765="F4",5,X2765="2ND",6,X2765="Champions",7)</f>
        <v>0</v>
      </c>
      <c r="X2765" t="s">
        <v>425</v>
      </c>
      <c r="Y2765" t="s">
        <v>90</v>
      </c>
      <c r="Z2765">
        <v>2021</v>
      </c>
    </row>
    <row r="2766" spans="1:26" x14ac:dyDescent="0.3">
      <c r="A2766" t="s">
        <v>214</v>
      </c>
      <c r="B2766" t="s">
        <v>40</v>
      </c>
      <c r="C2766">
        <v>22</v>
      </c>
      <c r="D2766">
        <v>15</v>
      </c>
      <c r="E2766" s="1">
        <f t="shared" si="43"/>
        <v>0.68181818181818177</v>
      </c>
      <c r="F2766">
        <v>100.8</v>
      </c>
      <c r="G2766">
        <v>99.4</v>
      </c>
      <c r="H2766">
        <v>0.53910000000000002</v>
      </c>
      <c r="I2766">
        <v>48.6</v>
      </c>
      <c r="J2766">
        <v>50</v>
      </c>
      <c r="K2766">
        <v>18.5</v>
      </c>
      <c r="L2766">
        <v>19.399999999999999</v>
      </c>
      <c r="M2766">
        <v>27.9</v>
      </c>
      <c r="N2766">
        <v>25.7</v>
      </c>
      <c r="O2766">
        <v>31.3</v>
      </c>
      <c r="P2766">
        <v>29.4</v>
      </c>
      <c r="Q2766">
        <v>50.6</v>
      </c>
      <c r="R2766">
        <v>47.5</v>
      </c>
      <c r="S2766">
        <v>29.4</v>
      </c>
      <c r="T2766">
        <v>35.6</v>
      </c>
      <c r="U2766">
        <v>67.5</v>
      </c>
      <c r="V2766">
        <v>-3.1</v>
      </c>
      <c r="W2766" cm="1">
        <f t="array" ref="W2766">_xlfn.IFS(OR(X2766="N/A",X2766="NA"),0,OR(X2766="R64",X2766="R68"),1,X2766="R32",2,X2766="S16",3,X2766="E8",4,X2766="F4",5,X2766="2ND",6,X2766="Champions",7)</f>
        <v>0</v>
      </c>
      <c r="X2766" t="s">
        <v>425</v>
      </c>
      <c r="Y2766" t="s">
        <v>90</v>
      </c>
      <c r="Z2766">
        <v>2021</v>
      </c>
    </row>
    <row r="2767" spans="1:26" x14ac:dyDescent="0.3">
      <c r="A2767" t="s">
        <v>251</v>
      </c>
      <c r="B2767" t="s">
        <v>57</v>
      </c>
      <c r="C2767">
        <v>21</v>
      </c>
      <c r="D2767">
        <v>15</v>
      </c>
      <c r="E2767" s="1">
        <f t="shared" si="43"/>
        <v>0.7142857142857143</v>
      </c>
      <c r="F2767">
        <v>106.6</v>
      </c>
      <c r="G2767">
        <v>102</v>
      </c>
      <c r="H2767">
        <v>0.62370000000000003</v>
      </c>
      <c r="I2767">
        <v>51.5</v>
      </c>
      <c r="J2767">
        <v>48.6</v>
      </c>
      <c r="K2767">
        <v>17</v>
      </c>
      <c r="L2767">
        <v>16.399999999999999</v>
      </c>
      <c r="M2767">
        <v>30</v>
      </c>
      <c r="N2767">
        <v>28.8</v>
      </c>
      <c r="O2767">
        <v>30.7</v>
      </c>
      <c r="P2767">
        <v>27.3</v>
      </c>
      <c r="Q2767">
        <v>52.7</v>
      </c>
      <c r="R2767">
        <v>49.3</v>
      </c>
      <c r="S2767">
        <v>33.4</v>
      </c>
      <c r="T2767">
        <v>31.6</v>
      </c>
      <c r="U2767">
        <v>68.400000000000006</v>
      </c>
      <c r="V2767">
        <v>-3.1</v>
      </c>
      <c r="W2767" cm="1">
        <f t="array" ref="W2767">_xlfn.IFS(OR(X2767="N/A",X2767="NA"),0,OR(X2767="R64",X2767="R68"),1,X2767="R32",2,X2767="S16",3,X2767="E8",4,X2767="F4",5,X2767="2ND",6,X2767="Champions",7)</f>
        <v>0</v>
      </c>
      <c r="X2767" t="s">
        <v>425</v>
      </c>
      <c r="Y2767" t="s">
        <v>90</v>
      </c>
      <c r="Z2767">
        <v>2021</v>
      </c>
    </row>
    <row r="2768" spans="1:26" x14ac:dyDescent="0.3">
      <c r="A2768" t="s">
        <v>256</v>
      </c>
      <c r="B2768" t="s">
        <v>57</v>
      </c>
      <c r="C2768">
        <v>22</v>
      </c>
      <c r="D2768">
        <v>15</v>
      </c>
      <c r="E2768" s="1">
        <f t="shared" si="43"/>
        <v>0.68181818181818177</v>
      </c>
      <c r="F2768">
        <v>104</v>
      </c>
      <c r="G2768">
        <v>100.8</v>
      </c>
      <c r="H2768">
        <v>0.58909999999999996</v>
      </c>
      <c r="I2768">
        <v>50.8</v>
      </c>
      <c r="J2768">
        <v>49.6</v>
      </c>
      <c r="K2768">
        <v>19.3</v>
      </c>
      <c r="L2768">
        <v>17.600000000000001</v>
      </c>
      <c r="M2768">
        <v>34.200000000000003</v>
      </c>
      <c r="N2768">
        <v>28.6</v>
      </c>
      <c r="O2768">
        <v>28.1</v>
      </c>
      <c r="P2768">
        <v>27.9</v>
      </c>
      <c r="Q2768">
        <v>51.3</v>
      </c>
      <c r="R2768">
        <v>47.5</v>
      </c>
      <c r="S2768">
        <v>33.5</v>
      </c>
      <c r="T2768">
        <v>35.299999999999997</v>
      </c>
      <c r="U2768">
        <v>69.7</v>
      </c>
      <c r="V2768">
        <v>-2.8</v>
      </c>
      <c r="W2768" cm="1">
        <f t="array" ref="W2768">_xlfn.IFS(OR(X2768="N/A",X2768="NA"),0,OR(X2768="R64",X2768="R68"),1,X2768="R32",2,X2768="S16",3,X2768="E8",4,X2768="F4",5,X2768="2ND",6,X2768="Champions",7)</f>
        <v>0</v>
      </c>
      <c r="X2768" t="s">
        <v>425</v>
      </c>
      <c r="Y2768" t="s">
        <v>90</v>
      </c>
      <c r="Z2768">
        <v>2021</v>
      </c>
    </row>
    <row r="2769" spans="1:26" x14ac:dyDescent="0.3">
      <c r="A2769" t="s">
        <v>357</v>
      </c>
      <c r="B2769" t="s">
        <v>62</v>
      </c>
      <c r="C2769">
        <v>22</v>
      </c>
      <c r="D2769">
        <v>15</v>
      </c>
      <c r="E2769" s="1">
        <f t="shared" si="43"/>
        <v>0.68181818181818177</v>
      </c>
      <c r="F2769">
        <v>104.8</v>
      </c>
      <c r="G2769">
        <v>103.1</v>
      </c>
      <c r="H2769">
        <v>0.54600000000000004</v>
      </c>
      <c r="I2769">
        <v>54.9</v>
      </c>
      <c r="J2769">
        <v>52</v>
      </c>
      <c r="K2769">
        <v>18.899999999999999</v>
      </c>
      <c r="L2769">
        <v>18.600000000000001</v>
      </c>
      <c r="M2769">
        <v>25.5</v>
      </c>
      <c r="N2769">
        <v>28</v>
      </c>
      <c r="O2769">
        <v>24.3</v>
      </c>
      <c r="P2769">
        <v>25.4</v>
      </c>
      <c r="Q2769">
        <v>56.6</v>
      </c>
      <c r="R2769">
        <v>52.2</v>
      </c>
      <c r="S2769">
        <v>35.6</v>
      </c>
      <c r="T2769">
        <v>34.5</v>
      </c>
      <c r="U2769">
        <v>65.8</v>
      </c>
      <c r="V2769">
        <v>-4.8</v>
      </c>
      <c r="W2769" cm="1">
        <f t="array" ref="W2769">_xlfn.IFS(OR(X2769="N/A",X2769="NA"),0,OR(X2769="R64",X2769="R68"),1,X2769="R32",2,X2769="S16",3,X2769="E8",4,X2769="F4",5,X2769="2ND",6,X2769="Champions",7)</f>
        <v>0</v>
      </c>
      <c r="X2769" t="s">
        <v>425</v>
      </c>
      <c r="Y2769" t="s">
        <v>90</v>
      </c>
      <c r="Z2769">
        <v>2021</v>
      </c>
    </row>
    <row r="2770" spans="1:26" x14ac:dyDescent="0.3">
      <c r="A2770" t="s">
        <v>286</v>
      </c>
      <c r="B2770" t="s">
        <v>55</v>
      </c>
      <c r="C2770">
        <v>25</v>
      </c>
      <c r="D2770">
        <v>16</v>
      </c>
      <c r="E2770" s="1">
        <f t="shared" si="43"/>
        <v>0.64</v>
      </c>
      <c r="F2770">
        <v>108</v>
      </c>
      <c r="G2770">
        <v>100.1</v>
      </c>
      <c r="H2770">
        <v>0.70379999999999998</v>
      </c>
      <c r="I2770">
        <v>51.3</v>
      </c>
      <c r="J2770">
        <v>48.4</v>
      </c>
      <c r="K2770">
        <v>18.3</v>
      </c>
      <c r="L2770">
        <v>17.8</v>
      </c>
      <c r="M2770">
        <v>24.3</v>
      </c>
      <c r="N2770">
        <v>24.3</v>
      </c>
      <c r="O2770">
        <v>38.9</v>
      </c>
      <c r="P2770">
        <v>41.4</v>
      </c>
      <c r="Q2770">
        <v>50</v>
      </c>
      <c r="R2770">
        <v>46.9</v>
      </c>
      <c r="S2770">
        <v>35.5</v>
      </c>
      <c r="T2770">
        <v>33.6</v>
      </c>
      <c r="U2770">
        <v>70.3</v>
      </c>
      <c r="V2770">
        <v>-2.8</v>
      </c>
      <c r="W2770" cm="1">
        <f t="array" ref="W2770">_xlfn.IFS(OR(X2770="N/A",X2770="NA"),0,OR(X2770="R64",X2770="R68"),1,X2770="R32",2,X2770="S16",3,X2770="E8",4,X2770="F4",5,X2770="2ND",6,X2770="Champions",7)</f>
        <v>0</v>
      </c>
      <c r="X2770" t="s">
        <v>425</v>
      </c>
      <c r="Y2770" t="s">
        <v>90</v>
      </c>
      <c r="Z2770">
        <v>2021</v>
      </c>
    </row>
    <row r="2771" spans="1:26" x14ac:dyDescent="0.3">
      <c r="A2771" t="s">
        <v>367</v>
      </c>
      <c r="B2771" t="s">
        <v>29</v>
      </c>
      <c r="C2771">
        <v>27</v>
      </c>
      <c r="D2771">
        <v>16</v>
      </c>
      <c r="E2771" s="1">
        <f t="shared" si="43"/>
        <v>0.59259259259259256</v>
      </c>
      <c r="F2771">
        <v>106.4</v>
      </c>
      <c r="G2771">
        <v>91.5</v>
      </c>
      <c r="H2771">
        <v>0.84930000000000005</v>
      </c>
      <c r="I2771">
        <v>48.9</v>
      </c>
      <c r="J2771">
        <v>48.6</v>
      </c>
      <c r="K2771">
        <v>20.399999999999999</v>
      </c>
      <c r="L2771">
        <v>22.7</v>
      </c>
      <c r="M2771">
        <v>34.799999999999997</v>
      </c>
      <c r="N2771">
        <v>27.2</v>
      </c>
      <c r="O2771">
        <v>34.4</v>
      </c>
      <c r="P2771">
        <v>33</v>
      </c>
      <c r="Q2771">
        <v>50.6</v>
      </c>
      <c r="R2771">
        <v>45.8</v>
      </c>
      <c r="S2771">
        <v>29.9</v>
      </c>
      <c r="T2771">
        <v>35.700000000000003</v>
      </c>
      <c r="U2771">
        <v>65.099999999999994</v>
      </c>
      <c r="V2771">
        <v>-1.3</v>
      </c>
      <c r="W2771" cm="1">
        <f t="array" ref="W2771">_xlfn.IFS(OR(X2771="N/A",X2771="NA"),0,OR(X2771="R64",X2771="R68"),1,X2771="R32",2,X2771="S16",3,X2771="E8",4,X2771="F4",5,X2771="2ND",6,X2771="Champions",7)</f>
        <v>0</v>
      </c>
      <c r="X2771" t="s">
        <v>425</v>
      </c>
      <c r="Y2771" t="s">
        <v>90</v>
      </c>
      <c r="Z2771">
        <v>2021</v>
      </c>
    </row>
    <row r="2772" spans="1:26" x14ac:dyDescent="0.3">
      <c r="A2772" t="s">
        <v>160</v>
      </c>
      <c r="B2772" t="s">
        <v>33</v>
      </c>
      <c r="C2772">
        <v>27</v>
      </c>
      <c r="D2772">
        <v>16</v>
      </c>
      <c r="E2772" s="1">
        <f t="shared" si="43"/>
        <v>0.59259259259259256</v>
      </c>
      <c r="F2772">
        <v>110.7</v>
      </c>
      <c r="G2772">
        <v>98.3</v>
      </c>
      <c r="H2772">
        <v>0.7974</v>
      </c>
      <c r="I2772">
        <v>50.4</v>
      </c>
      <c r="J2772">
        <v>52.6</v>
      </c>
      <c r="K2772">
        <v>16.8</v>
      </c>
      <c r="L2772">
        <v>21.9</v>
      </c>
      <c r="M2772">
        <v>29.2</v>
      </c>
      <c r="N2772">
        <v>30.5</v>
      </c>
      <c r="O2772">
        <v>28.6</v>
      </c>
      <c r="P2772">
        <v>31.8</v>
      </c>
      <c r="Q2772">
        <v>49.8</v>
      </c>
      <c r="R2772">
        <v>53.3</v>
      </c>
      <c r="S2772">
        <v>34.4</v>
      </c>
      <c r="T2772">
        <v>34.200000000000003</v>
      </c>
      <c r="U2772">
        <v>73.8</v>
      </c>
      <c r="V2772">
        <v>-0.6</v>
      </c>
      <c r="W2772" cm="1">
        <f t="array" ref="W2772">_xlfn.IFS(OR(X2772="N/A",X2772="NA"),0,OR(X2772="R64",X2772="R68"),1,X2772="R32",2,X2772="S16",3,X2772="E8",4,X2772="F4",5,X2772="2ND",6,X2772="Champions",7)</f>
        <v>0</v>
      </c>
      <c r="X2772" t="s">
        <v>425</v>
      </c>
      <c r="Y2772" t="s">
        <v>90</v>
      </c>
      <c r="Z2772">
        <v>2021</v>
      </c>
    </row>
    <row r="2773" spans="1:26" x14ac:dyDescent="0.3">
      <c r="A2773" t="s">
        <v>380</v>
      </c>
      <c r="B2773" t="s">
        <v>61</v>
      </c>
      <c r="C2773">
        <v>18</v>
      </c>
      <c r="D2773">
        <v>16</v>
      </c>
      <c r="E2773" s="1">
        <f t="shared" si="43"/>
        <v>0.88888888888888884</v>
      </c>
      <c r="F2773">
        <v>102.9</v>
      </c>
      <c r="G2773">
        <v>102.5</v>
      </c>
      <c r="H2773">
        <v>0.51239999999999997</v>
      </c>
      <c r="I2773">
        <v>55</v>
      </c>
      <c r="J2773">
        <v>50.9</v>
      </c>
      <c r="K2773">
        <v>23.4</v>
      </c>
      <c r="L2773">
        <v>24.5</v>
      </c>
      <c r="M2773">
        <v>36.5</v>
      </c>
      <c r="N2773">
        <v>27.2</v>
      </c>
      <c r="O2773">
        <v>44</v>
      </c>
      <c r="P2773">
        <v>42.2</v>
      </c>
      <c r="Q2773">
        <v>57.1</v>
      </c>
      <c r="R2773">
        <v>50.5</v>
      </c>
      <c r="S2773">
        <v>32.200000000000003</v>
      </c>
      <c r="T2773">
        <v>34.5</v>
      </c>
      <c r="U2773">
        <v>69.7</v>
      </c>
      <c r="V2773">
        <v>-2.7</v>
      </c>
      <c r="W2773" cm="1">
        <f t="array" ref="W2773">_xlfn.IFS(OR(X2773="N/A",X2773="NA"),0,OR(X2773="R64",X2773="R68"),1,X2773="R32",2,X2773="S16",3,X2773="E8",4,X2773="F4",5,X2773="2ND",6,X2773="Champions",7)</f>
        <v>0</v>
      </c>
      <c r="X2773" t="s">
        <v>425</v>
      </c>
      <c r="Y2773" t="s">
        <v>90</v>
      </c>
      <c r="Z2773">
        <v>2021</v>
      </c>
    </row>
    <row r="2774" spans="1:26" x14ac:dyDescent="0.3">
      <c r="A2774" t="s">
        <v>397</v>
      </c>
      <c r="B2774" t="s">
        <v>76</v>
      </c>
      <c r="C2774">
        <v>21</v>
      </c>
      <c r="D2774">
        <v>16</v>
      </c>
      <c r="E2774" s="1">
        <f t="shared" si="43"/>
        <v>0.76190476190476186</v>
      </c>
      <c r="F2774">
        <v>94.9</v>
      </c>
      <c r="G2774">
        <v>101</v>
      </c>
      <c r="H2774">
        <v>0.32769999999999999</v>
      </c>
      <c r="I2774">
        <v>50.3</v>
      </c>
      <c r="J2774">
        <v>47.3</v>
      </c>
      <c r="K2774">
        <v>19.399999999999999</v>
      </c>
      <c r="L2774">
        <v>25.7</v>
      </c>
      <c r="M2774">
        <v>30.9</v>
      </c>
      <c r="N2774">
        <v>31.4</v>
      </c>
      <c r="O2774">
        <v>26.9</v>
      </c>
      <c r="P2774">
        <v>46.3</v>
      </c>
      <c r="Q2774">
        <v>53</v>
      </c>
      <c r="R2774">
        <v>47.1</v>
      </c>
      <c r="S2774">
        <v>30.4</v>
      </c>
      <c r="T2774">
        <v>31.8</v>
      </c>
      <c r="U2774">
        <v>68.900000000000006</v>
      </c>
      <c r="V2774">
        <v>-3.2</v>
      </c>
      <c r="W2774" cm="1">
        <f t="array" ref="W2774">_xlfn.IFS(OR(X2774="N/A",X2774="NA"),0,OR(X2774="R64",X2774="R68"),1,X2774="R32",2,X2774="S16",3,X2774="E8",4,X2774="F4",5,X2774="2ND",6,X2774="Champions",7)</f>
        <v>0</v>
      </c>
      <c r="X2774" t="s">
        <v>425</v>
      </c>
      <c r="Y2774" t="s">
        <v>90</v>
      </c>
      <c r="Z2774">
        <v>2021</v>
      </c>
    </row>
    <row r="2775" spans="1:26" x14ac:dyDescent="0.3">
      <c r="A2775" t="s">
        <v>346</v>
      </c>
      <c r="B2775" t="s">
        <v>58</v>
      </c>
      <c r="C2775">
        <v>20</v>
      </c>
      <c r="D2775">
        <v>16</v>
      </c>
      <c r="E2775" s="1">
        <f t="shared" si="43"/>
        <v>0.8</v>
      </c>
      <c r="F2775">
        <v>105.3</v>
      </c>
      <c r="G2775">
        <v>104.2</v>
      </c>
      <c r="H2775">
        <v>0.52980000000000005</v>
      </c>
      <c r="I2775">
        <v>51.3</v>
      </c>
      <c r="J2775">
        <v>48.8</v>
      </c>
      <c r="K2775">
        <v>16.8</v>
      </c>
      <c r="L2775">
        <v>19.7</v>
      </c>
      <c r="M2775">
        <v>30.9</v>
      </c>
      <c r="N2775">
        <v>32.5</v>
      </c>
      <c r="O2775">
        <v>32.6</v>
      </c>
      <c r="P2775">
        <v>34.6</v>
      </c>
      <c r="Q2775">
        <v>51</v>
      </c>
      <c r="R2775">
        <v>47.2</v>
      </c>
      <c r="S2775">
        <v>34.5</v>
      </c>
      <c r="T2775">
        <v>34.1</v>
      </c>
      <c r="U2775">
        <v>70.8</v>
      </c>
      <c r="V2775">
        <v>-3.3</v>
      </c>
      <c r="W2775" cm="1">
        <f t="array" ref="W2775">_xlfn.IFS(OR(X2775="N/A",X2775="NA"),0,OR(X2775="R64",X2775="R68"),1,X2775="R32",2,X2775="S16",3,X2775="E8",4,X2775="F4",5,X2775="2ND",6,X2775="Champions",7)</f>
        <v>0</v>
      </c>
      <c r="X2775" t="s">
        <v>425</v>
      </c>
      <c r="Y2775" t="s">
        <v>90</v>
      </c>
      <c r="Z2775">
        <v>2021</v>
      </c>
    </row>
    <row r="2776" spans="1:26" x14ac:dyDescent="0.3">
      <c r="A2776" t="s">
        <v>186</v>
      </c>
      <c r="B2776" t="s">
        <v>58</v>
      </c>
      <c r="C2776">
        <v>19</v>
      </c>
      <c r="D2776">
        <v>16</v>
      </c>
      <c r="E2776" s="1">
        <f t="shared" si="43"/>
        <v>0.84210526315789469</v>
      </c>
      <c r="F2776">
        <v>99.1</v>
      </c>
      <c r="G2776">
        <v>101.6</v>
      </c>
      <c r="H2776">
        <v>0.4284</v>
      </c>
      <c r="I2776">
        <v>50</v>
      </c>
      <c r="J2776">
        <v>45.9</v>
      </c>
      <c r="K2776">
        <v>21.8</v>
      </c>
      <c r="L2776">
        <v>18.100000000000001</v>
      </c>
      <c r="M2776">
        <v>35.5</v>
      </c>
      <c r="N2776">
        <v>27.2</v>
      </c>
      <c r="O2776">
        <v>32.200000000000003</v>
      </c>
      <c r="P2776">
        <v>29.8</v>
      </c>
      <c r="Q2776">
        <v>48.7</v>
      </c>
      <c r="R2776">
        <v>45.3</v>
      </c>
      <c r="S2776">
        <v>34.6</v>
      </c>
      <c r="T2776">
        <v>31</v>
      </c>
      <c r="U2776">
        <v>70.7</v>
      </c>
      <c r="V2776">
        <v>-5.3</v>
      </c>
      <c r="W2776" cm="1">
        <f t="array" ref="W2776">_xlfn.IFS(OR(X2776="N/A",X2776="NA"),0,OR(X2776="R64",X2776="R68"),1,X2776="R32",2,X2776="S16",3,X2776="E8",4,X2776="F4",5,X2776="2ND",6,X2776="Champions",7)</f>
        <v>0</v>
      </c>
      <c r="X2776" t="s">
        <v>425</v>
      </c>
      <c r="Y2776" t="s">
        <v>90</v>
      </c>
      <c r="Z2776">
        <v>2021</v>
      </c>
    </row>
    <row r="2777" spans="1:26" x14ac:dyDescent="0.3">
      <c r="A2777" t="s">
        <v>386</v>
      </c>
      <c r="B2777" t="s">
        <v>72</v>
      </c>
      <c r="C2777">
        <v>22</v>
      </c>
      <c r="D2777">
        <v>16</v>
      </c>
      <c r="E2777" s="1">
        <f t="shared" si="43"/>
        <v>0.72727272727272729</v>
      </c>
      <c r="F2777">
        <v>108.6</v>
      </c>
      <c r="G2777">
        <v>105.6</v>
      </c>
      <c r="H2777">
        <v>0.57889999999999997</v>
      </c>
      <c r="I2777">
        <v>56.5</v>
      </c>
      <c r="J2777">
        <v>51.2</v>
      </c>
      <c r="K2777">
        <v>17.3</v>
      </c>
      <c r="L2777">
        <v>15.3</v>
      </c>
      <c r="M2777">
        <v>24</v>
      </c>
      <c r="N2777">
        <v>21.1</v>
      </c>
      <c r="O2777">
        <v>38</v>
      </c>
      <c r="P2777">
        <v>26.3</v>
      </c>
      <c r="Q2777">
        <v>53.9</v>
      </c>
      <c r="R2777">
        <v>49.9</v>
      </c>
      <c r="S2777">
        <v>40.9</v>
      </c>
      <c r="T2777">
        <v>35.5</v>
      </c>
      <c r="U2777">
        <v>71.3</v>
      </c>
      <c r="V2777">
        <v>-3.2</v>
      </c>
      <c r="W2777" cm="1">
        <f t="array" ref="W2777">_xlfn.IFS(OR(X2777="N/A",X2777="NA"),0,OR(X2777="R64",X2777="R68"),1,X2777="R32",2,X2777="S16",3,X2777="E8",4,X2777="F4",5,X2777="2ND",6,X2777="Champions",7)</f>
        <v>0</v>
      </c>
      <c r="X2777" t="s">
        <v>425</v>
      </c>
      <c r="Y2777" t="s">
        <v>90</v>
      </c>
      <c r="Z2777">
        <v>2021</v>
      </c>
    </row>
    <row r="2778" spans="1:26" x14ac:dyDescent="0.3">
      <c r="A2778" t="s">
        <v>123</v>
      </c>
      <c r="B2778" t="s">
        <v>50</v>
      </c>
      <c r="C2778">
        <v>24</v>
      </c>
      <c r="D2778">
        <v>16</v>
      </c>
      <c r="E2778" s="1">
        <f t="shared" si="43"/>
        <v>0.66666666666666663</v>
      </c>
      <c r="F2778">
        <v>103.2</v>
      </c>
      <c r="G2778">
        <v>86.3</v>
      </c>
      <c r="H2778">
        <v>0.88719999999999999</v>
      </c>
      <c r="I2778">
        <v>50.4</v>
      </c>
      <c r="J2778">
        <v>43.9</v>
      </c>
      <c r="K2778">
        <v>22.4</v>
      </c>
      <c r="L2778">
        <v>22.4</v>
      </c>
      <c r="M2778">
        <v>33.700000000000003</v>
      </c>
      <c r="N2778">
        <v>24.9</v>
      </c>
      <c r="O2778">
        <v>34.200000000000003</v>
      </c>
      <c r="P2778">
        <v>36.1</v>
      </c>
      <c r="Q2778">
        <v>48.8</v>
      </c>
      <c r="R2778">
        <v>45.9</v>
      </c>
      <c r="S2778">
        <v>35.4</v>
      </c>
      <c r="T2778">
        <v>27.1</v>
      </c>
      <c r="U2778">
        <v>72.3</v>
      </c>
      <c r="V2778">
        <v>-1</v>
      </c>
      <c r="W2778" cm="1">
        <f t="array" ref="W2778">_xlfn.IFS(OR(X2778="N/A",X2778="NA"),0,OR(X2778="R64",X2778="R68"),1,X2778="R32",2,X2778="S16",3,X2778="E8",4,X2778="F4",5,X2778="2ND",6,X2778="Champions",7)</f>
        <v>0</v>
      </c>
      <c r="X2778" t="s">
        <v>425</v>
      </c>
      <c r="Y2778" t="s">
        <v>90</v>
      </c>
      <c r="Z2778">
        <v>2021</v>
      </c>
    </row>
    <row r="2779" spans="1:26" x14ac:dyDescent="0.3">
      <c r="A2779" t="s">
        <v>262</v>
      </c>
      <c r="B2779" t="s">
        <v>57</v>
      </c>
      <c r="C2779">
        <v>23</v>
      </c>
      <c r="D2779">
        <v>16</v>
      </c>
      <c r="E2779" s="1">
        <f t="shared" si="43"/>
        <v>0.69565217391304346</v>
      </c>
      <c r="F2779">
        <v>106.7</v>
      </c>
      <c r="G2779">
        <v>95.8</v>
      </c>
      <c r="H2779">
        <v>0.77649999999999997</v>
      </c>
      <c r="I2779">
        <v>51.1</v>
      </c>
      <c r="J2779">
        <v>46.2</v>
      </c>
      <c r="K2779">
        <v>18.399999999999999</v>
      </c>
      <c r="L2779">
        <v>17.600000000000001</v>
      </c>
      <c r="M2779">
        <v>37.4</v>
      </c>
      <c r="N2779">
        <v>26.8</v>
      </c>
      <c r="O2779">
        <v>30.4</v>
      </c>
      <c r="P2779">
        <v>29.5</v>
      </c>
      <c r="Q2779">
        <v>51.1</v>
      </c>
      <c r="R2779">
        <v>48</v>
      </c>
      <c r="S2779">
        <v>34</v>
      </c>
      <c r="T2779">
        <v>28.3</v>
      </c>
      <c r="U2779">
        <v>73.5</v>
      </c>
      <c r="V2779">
        <v>-3.5</v>
      </c>
      <c r="W2779" cm="1">
        <f t="array" ref="W2779">_xlfn.IFS(OR(X2779="N/A",X2779="NA"),0,OR(X2779="R64",X2779="R68"),1,X2779="R32",2,X2779="S16",3,X2779="E8",4,X2779="F4",5,X2779="2ND",6,X2779="Champions",7)</f>
        <v>0</v>
      </c>
      <c r="X2779" t="s">
        <v>425</v>
      </c>
      <c r="Y2779" t="s">
        <v>90</v>
      </c>
      <c r="Z2779">
        <v>2021</v>
      </c>
    </row>
    <row r="2780" spans="1:26" x14ac:dyDescent="0.3">
      <c r="A2780" t="s">
        <v>350</v>
      </c>
      <c r="B2780" t="s">
        <v>62</v>
      </c>
      <c r="C2780">
        <v>22</v>
      </c>
      <c r="D2780">
        <v>16</v>
      </c>
      <c r="E2780" s="1">
        <f t="shared" si="43"/>
        <v>0.72727272727272729</v>
      </c>
      <c r="F2780">
        <v>108.1</v>
      </c>
      <c r="G2780">
        <v>100.5</v>
      </c>
      <c r="H2780">
        <v>0.69869999999999999</v>
      </c>
      <c r="I2780">
        <v>56.7</v>
      </c>
      <c r="J2780">
        <v>51.5</v>
      </c>
      <c r="K2780">
        <v>17.8</v>
      </c>
      <c r="L2780">
        <v>20.5</v>
      </c>
      <c r="M2780">
        <v>26.3</v>
      </c>
      <c r="N2780">
        <v>27.4</v>
      </c>
      <c r="O2780">
        <v>25.8</v>
      </c>
      <c r="P2780">
        <v>28.7</v>
      </c>
      <c r="Q2780">
        <v>60.8</v>
      </c>
      <c r="R2780">
        <v>51.5</v>
      </c>
      <c r="S2780">
        <v>34.799999999999997</v>
      </c>
      <c r="T2780">
        <v>34.299999999999997</v>
      </c>
      <c r="U2780">
        <v>68.2</v>
      </c>
      <c r="V2780">
        <v>-4.7</v>
      </c>
      <c r="W2780" cm="1">
        <f t="array" ref="W2780">_xlfn.IFS(OR(X2780="N/A",X2780="NA"),0,OR(X2780="R64",X2780="R68"),1,X2780="R32",2,X2780="S16",3,X2780="E8",4,X2780="F4",5,X2780="2ND",6,X2780="Champions",7)</f>
        <v>0</v>
      </c>
      <c r="X2780" t="s">
        <v>425</v>
      </c>
      <c r="Y2780" t="s">
        <v>90</v>
      </c>
      <c r="Z2780">
        <v>2021</v>
      </c>
    </row>
    <row r="2781" spans="1:26" x14ac:dyDescent="0.3">
      <c r="A2781" t="s">
        <v>176</v>
      </c>
      <c r="B2781" t="s">
        <v>74</v>
      </c>
      <c r="C2781">
        <v>25</v>
      </c>
      <c r="D2781">
        <v>17</v>
      </c>
      <c r="E2781" s="1">
        <f t="shared" si="43"/>
        <v>0.68</v>
      </c>
      <c r="F2781">
        <v>102.8</v>
      </c>
      <c r="G2781">
        <v>106.2</v>
      </c>
      <c r="H2781">
        <v>0.40539999999999998</v>
      </c>
      <c r="I2781">
        <v>55.7</v>
      </c>
      <c r="J2781">
        <v>52</v>
      </c>
      <c r="K2781">
        <v>18.5</v>
      </c>
      <c r="L2781">
        <v>21.5</v>
      </c>
      <c r="M2781">
        <v>19.600000000000001</v>
      </c>
      <c r="N2781">
        <v>30.9</v>
      </c>
      <c r="O2781">
        <v>33.799999999999997</v>
      </c>
      <c r="P2781">
        <v>30.5</v>
      </c>
      <c r="Q2781">
        <v>55.4</v>
      </c>
      <c r="R2781">
        <v>55.4</v>
      </c>
      <c r="S2781">
        <v>37.4</v>
      </c>
      <c r="T2781">
        <v>31</v>
      </c>
      <c r="U2781">
        <v>64.2</v>
      </c>
      <c r="V2781">
        <v>-6.7</v>
      </c>
      <c r="W2781" cm="1">
        <f t="array" ref="W2781">_xlfn.IFS(OR(X2781="N/A",X2781="NA"),0,OR(X2781="R64",X2781="R68"),1,X2781="R32",2,X2781="S16",3,X2781="E8",4,X2781="F4",5,X2781="2ND",6,X2781="Champions",7)</f>
        <v>0</v>
      </c>
      <c r="X2781" t="s">
        <v>425</v>
      </c>
      <c r="Y2781" t="s">
        <v>90</v>
      </c>
      <c r="Z2781">
        <v>2021</v>
      </c>
    </row>
    <row r="2782" spans="1:26" x14ac:dyDescent="0.3">
      <c r="A2782" t="s">
        <v>342</v>
      </c>
      <c r="B2782" t="s">
        <v>58</v>
      </c>
      <c r="C2782">
        <v>24</v>
      </c>
      <c r="D2782">
        <v>17</v>
      </c>
      <c r="E2782" s="1">
        <f t="shared" si="43"/>
        <v>0.70833333333333337</v>
      </c>
      <c r="F2782">
        <v>101.9</v>
      </c>
      <c r="G2782">
        <v>107.1</v>
      </c>
      <c r="H2782">
        <v>0.36299999999999999</v>
      </c>
      <c r="I2782">
        <v>50.8</v>
      </c>
      <c r="J2782">
        <v>49.7</v>
      </c>
      <c r="K2782">
        <v>17.7</v>
      </c>
      <c r="L2782">
        <v>19.3</v>
      </c>
      <c r="M2782">
        <v>26.4</v>
      </c>
      <c r="N2782">
        <v>33</v>
      </c>
      <c r="O2782">
        <v>31</v>
      </c>
      <c r="P2782">
        <v>24.6</v>
      </c>
      <c r="Q2782">
        <v>49.4</v>
      </c>
      <c r="R2782">
        <v>49.1</v>
      </c>
      <c r="S2782">
        <v>35.1</v>
      </c>
      <c r="T2782">
        <v>33.5</v>
      </c>
      <c r="U2782">
        <v>66.8</v>
      </c>
      <c r="V2782">
        <v>-8.1999999999999993</v>
      </c>
      <c r="W2782" cm="1">
        <f t="array" ref="W2782">_xlfn.IFS(OR(X2782="N/A",X2782="NA"),0,OR(X2782="R64",X2782="R68"),1,X2782="R32",2,X2782="S16",3,X2782="E8",4,X2782="F4",5,X2782="2ND",6,X2782="Champions",7)</f>
        <v>0</v>
      </c>
      <c r="X2782" t="s">
        <v>425</v>
      </c>
      <c r="Y2782" t="s">
        <v>90</v>
      </c>
      <c r="Z2782">
        <v>2021</v>
      </c>
    </row>
    <row r="2783" spans="1:26" x14ac:dyDescent="0.3">
      <c r="A2783" t="s">
        <v>174</v>
      </c>
      <c r="B2783" t="s">
        <v>164</v>
      </c>
      <c r="C2783">
        <v>20</v>
      </c>
      <c r="D2783">
        <v>17</v>
      </c>
      <c r="E2783" s="1">
        <f t="shared" si="43"/>
        <v>0.85</v>
      </c>
      <c r="F2783">
        <v>105.7</v>
      </c>
      <c r="G2783">
        <v>104.3</v>
      </c>
      <c r="H2783">
        <v>0.5383</v>
      </c>
      <c r="I2783">
        <v>56.4</v>
      </c>
      <c r="J2783">
        <v>49.9</v>
      </c>
      <c r="K2783">
        <v>17.2</v>
      </c>
      <c r="L2783">
        <v>18.899999999999999</v>
      </c>
      <c r="M2783">
        <v>22.4</v>
      </c>
      <c r="N2783">
        <v>24.5</v>
      </c>
      <c r="O2783">
        <v>36.799999999999997</v>
      </c>
      <c r="P2783">
        <v>32.200000000000003</v>
      </c>
      <c r="Q2783">
        <v>57.3</v>
      </c>
      <c r="R2783">
        <v>48.3</v>
      </c>
      <c r="S2783">
        <v>36.6</v>
      </c>
      <c r="T2783">
        <v>35.200000000000003</v>
      </c>
      <c r="U2783">
        <v>71.8</v>
      </c>
      <c r="V2783">
        <v>-3.4</v>
      </c>
      <c r="W2783" cm="1">
        <f t="array" ref="W2783">_xlfn.IFS(OR(X2783="N/A",X2783="NA"),0,OR(X2783="R64",X2783="R68"),1,X2783="R32",2,X2783="S16",3,X2783="E8",4,X2783="F4",5,X2783="2ND",6,X2783="Champions",7)</f>
        <v>0</v>
      </c>
      <c r="X2783" t="s">
        <v>425</v>
      </c>
      <c r="Y2783" t="s">
        <v>90</v>
      </c>
      <c r="Z2783">
        <v>2021</v>
      </c>
    </row>
    <row r="2784" spans="1:26" x14ac:dyDescent="0.3">
      <c r="A2784" t="s">
        <v>280</v>
      </c>
      <c r="B2784" t="s">
        <v>47</v>
      </c>
      <c r="C2784">
        <v>22</v>
      </c>
      <c r="D2784">
        <v>17</v>
      </c>
      <c r="E2784" s="1">
        <f t="shared" si="43"/>
        <v>0.77272727272727271</v>
      </c>
      <c r="F2784">
        <v>105.3</v>
      </c>
      <c r="G2784">
        <v>99</v>
      </c>
      <c r="H2784">
        <v>0.67079999999999995</v>
      </c>
      <c r="I2784">
        <v>54.2</v>
      </c>
      <c r="J2784">
        <v>47.5</v>
      </c>
      <c r="K2784">
        <v>18.2</v>
      </c>
      <c r="L2784">
        <v>14.2</v>
      </c>
      <c r="M2784">
        <v>23.8</v>
      </c>
      <c r="N2784">
        <v>22.2</v>
      </c>
      <c r="O2784">
        <v>30.6</v>
      </c>
      <c r="P2784">
        <v>28</v>
      </c>
      <c r="Q2784">
        <v>55.2</v>
      </c>
      <c r="R2784">
        <v>46.4</v>
      </c>
      <c r="S2784">
        <v>35</v>
      </c>
      <c r="T2784">
        <v>33</v>
      </c>
      <c r="U2784">
        <v>69</v>
      </c>
      <c r="V2784">
        <v>-2.8</v>
      </c>
      <c r="W2784" cm="1">
        <f t="array" ref="W2784">_xlfn.IFS(OR(X2784="N/A",X2784="NA"),0,OR(X2784="R64",X2784="R68"),1,X2784="R32",2,X2784="S16",3,X2784="E8",4,X2784="F4",5,X2784="2ND",6,X2784="Champions",7)</f>
        <v>0</v>
      </c>
      <c r="X2784" t="s">
        <v>425</v>
      </c>
      <c r="Y2784" t="s">
        <v>90</v>
      </c>
      <c r="Z2784">
        <v>2021</v>
      </c>
    </row>
    <row r="2785" spans="1:26" x14ac:dyDescent="0.3">
      <c r="A2785" t="s">
        <v>71</v>
      </c>
      <c r="B2785" t="s">
        <v>38</v>
      </c>
      <c r="C2785">
        <v>26</v>
      </c>
      <c r="D2785">
        <v>17</v>
      </c>
      <c r="E2785" s="1">
        <f t="shared" si="43"/>
        <v>0.65384615384615385</v>
      </c>
      <c r="F2785">
        <v>113.1</v>
      </c>
      <c r="G2785">
        <v>96.9</v>
      </c>
      <c r="H2785">
        <v>0.85589999999999999</v>
      </c>
      <c r="I2785">
        <v>50.5</v>
      </c>
      <c r="J2785">
        <v>49.2</v>
      </c>
      <c r="K2785">
        <v>17.2</v>
      </c>
      <c r="L2785">
        <v>18</v>
      </c>
      <c r="M2785">
        <v>34.299999999999997</v>
      </c>
      <c r="N2785">
        <v>24.4</v>
      </c>
      <c r="O2785">
        <v>41.8</v>
      </c>
      <c r="P2785">
        <v>32.4</v>
      </c>
      <c r="Q2785">
        <v>48.1</v>
      </c>
      <c r="R2785">
        <v>48</v>
      </c>
      <c r="S2785">
        <v>37.200000000000003</v>
      </c>
      <c r="T2785">
        <v>34.1</v>
      </c>
      <c r="U2785">
        <v>68.099999999999994</v>
      </c>
      <c r="V2785">
        <v>-0.6</v>
      </c>
      <c r="W2785" cm="1">
        <f t="array" ref="W2785">_xlfn.IFS(OR(X2785="N/A",X2785="NA"),0,OR(X2785="R64",X2785="R68"),1,X2785="R32",2,X2785="S16",3,X2785="E8",4,X2785="F4",5,X2785="2ND",6,X2785="Champions",7)</f>
        <v>0</v>
      </c>
      <c r="X2785" t="s">
        <v>425</v>
      </c>
      <c r="Y2785" t="s">
        <v>90</v>
      </c>
      <c r="Z2785">
        <v>2021</v>
      </c>
    </row>
    <row r="2786" spans="1:26" x14ac:dyDescent="0.3">
      <c r="A2786" t="s">
        <v>340</v>
      </c>
      <c r="B2786" t="s">
        <v>58</v>
      </c>
      <c r="C2786">
        <v>24</v>
      </c>
      <c r="D2786">
        <v>17</v>
      </c>
      <c r="E2786" s="1">
        <f t="shared" si="43"/>
        <v>0.70833333333333337</v>
      </c>
      <c r="F2786">
        <v>101.2</v>
      </c>
      <c r="G2786">
        <v>104.9</v>
      </c>
      <c r="H2786">
        <v>0.39779999999999999</v>
      </c>
      <c r="I2786">
        <v>50.3</v>
      </c>
      <c r="J2786">
        <v>48.4</v>
      </c>
      <c r="K2786">
        <v>20.399999999999999</v>
      </c>
      <c r="L2786">
        <v>17.2</v>
      </c>
      <c r="M2786">
        <v>32.200000000000003</v>
      </c>
      <c r="N2786">
        <v>27.9</v>
      </c>
      <c r="O2786">
        <v>30.1</v>
      </c>
      <c r="P2786">
        <v>30.3</v>
      </c>
      <c r="Q2786">
        <v>48.8</v>
      </c>
      <c r="R2786">
        <v>46.7</v>
      </c>
      <c r="S2786">
        <v>35.6</v>
      </c>
      <c r="T2786">
        <v>34.9</v>
      </c>
      <c r="U2786">
        <v>71.099999999999994</v>
      </c>
      <c r="V2786">
        <v>-5.9</v>
      </c>
      <c r="W2786" cm="1">
        <f t="array" ref="W2786">_xlfn.IFS(OR(X2786="N/A",X2786="NA"),0,OR(X2786="R64",X2786="R68"),1,X2786="R32",2,X2786="S16",3,X2786="E8",4,X2786="F4",5,X2786="2ND",6,X2786="Champions",7)</f>
        <v>0</v>
      </c>
      <c r="X2786" t="s">
        <v>425</v>
      </c>
      <c r="Y2786" t="s">
        <v>90</v>
      </c>
      <c r="Z2786">
        <v>2021</v>
      </c>
    </row>
    <row r="2787" spans="1:26" x14ac:dyDescent="0.3">
      <c r="A2787" t="s">
        <v>351</v>
      </c>
      <c r="B2787" t="s">
        <v>62</v>
      </c>
      <c r="C2787">
        <v>26</v>
      </c>
      <c r="D2787">
        <v>18</v>
      </c>
      <c r="E2787" s="1">
        <f t="shared" si="43"/>
        <v>0.69230769230769229</v>
      </c>
      <c r="F2787">
        <v>105.2</v>
      </c>
      <c r="G2787">
        <v>102.8</v>
      </c>
      <c r="H2787">
        <v>0.56579999999999997</v>
      </c>
      <c r="I2787">
        <v>54.3</v>
      </c>
      <c r="J2787">
        <v>50.2</v>
      </c>
      <c r="K2787">
        <v>18</v>
      </c>
      <c r="L2787">
        <v>16.8</v>
      </c>
      <c r="M2787">
        <v>26.1</v>
      </c>
      <c r="N2787">
        <v>26</v>
      </c>
      <c r="O2787">
        <v>24.8</v>
      </c>
      <c r="P2787">
        <v>27.1</v>
      </c>
      <c r="Q2787">
        <v>53.9</v>
      </c>
      <c r="R2787">
        <v>52.1</v>
      </c>
      <c r="S2787">
        <v>36.6</v>
      </c>
      <c r="T2787">
        <v>31.4</v>
      </c>
      <c r="U2787">
        <v>67.900000000000006</v>
      </c>
      <c r="V2787">
        <v>-6.3</v>
      </c>
      <c r="W2787" cm="1">
        <f t="array" ref="W2787">_xlfn.IFS(OR(X2787="N/A",X2787="NA"),0,OR(X2787="R64",X2787="R68"),1,X2787="R32",2,X2787="S16",3,X2787="E8",4,X2787="F4",5,X2787="2ND",6,X2787="Champions",7)</f>
        <v>0</v>
      </c>
      <c r="X2787" t="s">
        <v>425</v>
      </c>
      <c r="Y2787" t="s">
        <v>90</v>
      </c>
      <c r="Z2787">
        <v>2021</v>
      </c>
    </row>
    <row r="2788" spans="1:26" x14ac:dyDescent="0.3">
      <c r="A2788" t="s">
        <v>227</v>
      </c>
      <c r="B2788" t="s">
        <v>43</v>
      </c>
      <c r="C2788">
        <v>24</v>
      </c>
      <c r="D2788">
        <v>18</v>
      </c>
      <c r="E2788" s="1">
        <f t="shared" si="43"/>
        <v>0.75</v>
      </c>
      <c r="F2788">
        <v>107</v>
      </c>
      <c r="G2788">
        <v>96.8</v>
      </c>
      <c r="H2788">
        <v>0.75900000000000001</v>
      </c>
      <c r="I2788">
        <v>54.4</v>
      </c>
      <c r="J2788">
        <v>45.1</v>
      </c>
      <c r="K2788">
        <v>18</v>
      </c>
      <c r="L2788">
        <v>16.600000000000001</v>
      </c>
      <c r="M2788">
        <v>34.1</v>
      </c>
      <c r="N2788">
        <v>24.9</v>
      </c>
      <c r="O2788">
        <v>34.5</v>
      </c>
      <c r="P2788">
        <v>21.8</v>
      </c>
      <c r="Q2788">
        <v>53.8</v>
      </c>
      <c r="R2788">
        <v>44.8</v>
      </c>
      <c r="S2788">
        <v>37</v>
      </c>
      <c r="T2788">
        <v>30.6</v>
      </c>
      <c r="U2788">
        <v>71.400000000000006</v>
      </c>
      <c r="V2788">
        <v>-3.6</v>
      </c>
      <c r="W2788" cm="1">
        <f t="array" ref="W2788">_xlfn.IFS(OR(X2788="N/A",X2788="NA"),0,OR(X2788="R64",X2788="R68"),1,X2788="R32",2,X2788="S16",3,X2788="E8",4,X2788="F4",5,X2788="2ND",6,X2788="Champions",7)</f>
        <v>0</v>
      </c>
      <c r="X2788" t="s">
        <v>425</v>
      </c>
      <c r="Y2788" t="s">
        <v>90</v>
      </c>
      <c r="Z2788">
        <v>2021</v>
      </c>
    </row>
    <row r="2789" spans="1:26" x14ac:dyDescent="0.3">
      <c r="A2789" t="s">
        <v>284</v>
      </c>
      <c r="B2789" t="s">
        <v>55</v>
      </c>
      <c r="C2789">
        <v>23</v>
      </c>
      <c r="D2789">
        <v>18</v>
      </c>
      <c r="E2789" s="1">
        <f t="shared" si="43"/>
        <v>0.78260869565217395</v>
      </c>
      <c r="F2789">
        <v>106.4</v>
      </c>
      <c r="G2789">
        <v>96.5</v>
      </c>
      <c r="H2789">
        <v>0.75419999999999998</v>
      </c>
      <c r="I2789">
        <v>54.9</v>
      </c>
      <c r="J2789">
        <v>47.5</v>
      </c>
      <c r="K2789">
        <v>20</v>
      </c>
      <c r="L2789">
        <v>19.899999999999999</v>
      </c>
      <c r="M2789">
        <v>24.6</v>
      </c>
      <c r="N2789">
        <v>26</v>
      </c>
      <c r="O2789">
        <v>33.9</v>
      </c>
      <c r="P2789">
        <v>27.8</v>
      </c>
      <c r="Q2789">
        <v>55.7</v>
      </c>
      <c r="R2789">
        <v>49.6</v>
      </c>
      <c r="S2789">
        <v>36</v>
      </c>
      <c r="T2789">
        <v>29.9</v>
      </c>
      <c r="U2789">
        <v>69.3</v>
      </c>
      <c r="V2789">
        <v>0.2</v>
      </c>
      <c r="W2789" cm="1">
        <f t="array" ref="W2789">_xlfn.IFS(OR(X2789="N/A",X2789="NA"),0,OR(X2789="R64",X2789="R68"),1,X2789="R32",2,X2789="S16",3,X2789="E8",4,X2789="F4",5,X2789="2ND",6,X2789="Champions",7)</f>
        <v>0</v>
      </c>
      <c r="X2789" t="s">
        <v>425</v>
      </c>
      <c r="Y2789" t="s">
        <v>90</v>
      </c>
      <c r="Z2789">
        <v>2021</v>
      </c>
    </row>
    <row r="2790" spans="1:26" x14ac:dyDescent="0.3">
      <c r="A2790" t="s">
        <v>343</v>
      </c>
      <c r="B2790" t="s">
        <v>58</v>
      </c>
      <c r="C2790">
        <v>23</v>
      </c>
      <c r="D2790">
        <v>18</v>
      </c>
      <c r="E2790" s="1">
        <f t="shared" si="43"/>
        <v>0.78260869565217395</v>
      </c>
      <c r="F2790">
        <v>99.6</v>
      </c>
      <c r="G2790">
        <v>99.3</v>
      </c>
      <c r="H2790">
        <v>0.50729999999999997</v>
      </c>
      <c r="I2790">
        <v>51.8</v>
      </c>
      <c r="J2790">
        <v>49.7</v>
      </c>
      <c r="K2790">
        <v>20.100000000000001</v>
      </c>
      <c r="L2790">
        <v>22.7</v>
      </c>
      <c r="M2790">
        <v>28.6</v>
      </c>
      <c r="N2790">
        <v>26.5</v>
      </c>
      <c r="O2790">
        <v>27.1</v>
      </c>
      <c r="P2790">
        <v>33.299999999999997</v>
      </c>
      <c r="Q2790">
        <v>49.1</v>
      </c>
      <c r="R2790">
        <v>47.5</v>
      </c>
      <c r="S2790">
        <v>39.4</v>
      </c>
      <c r="T2790">
        <v>35.200000000000003</v>
      </c>
      <c r="U2790">
        <v>62.9</v>
      </c>
      <c r="V2790">
        <v>-4.4000000000000004</v>
      </c>
      <c r="W2790" cm="1">
        <f t="array" ref="W2790">_xlfn.IFS(OR(X2790="N/A",X2790="NA"),0,OR(X2790="R64",X2790="R68"),1,X2790="R32",2,X2790="S16",3,X2790="E8",4,X2790="F4",5,X2790="2ND",6,X2790="Champions",7)</f>
        <v>0</v>
      </c>
      <c r="X2790" t="s">
        <v>425</v>
      </c>
      <c r="Y2790" t="s">
        <v>90</v>
      </c>
      <c r="Z2790">
        <v>2021</v>
      </c>
    </row>
    <row r="2791" spans="1:26" x14ac:dyDescent="0.3">
      <c r="A2791" t="s">
        <v>375</v>
      </c>
      <c r="B2791" t="s">
        <v>61</v>
      </c>
      <c r="C2791">
        <v>24</v>
      </c>
      <c r="D2791">
        <v>18</v>
      </c>
      <c r="E2791" s="1">
        <f t="shared" si="43"/>
        <v>0.75</v>
      </c>
      <c r="F2791">
        <v>98</v>
      </c>
      <c r="G2791">
        <v>104.1</v>
      </c>
      <c r="H2791">
        <v>0.33310000000000001</v>
      </c>
      <c r="I2791">
        <v>51</v>
      </c>
      <c r="J2791">
        <v>49.2</v>
      </c>
      <c r="K2791">
        <v>17.600000000000001</v>
      </c>
      <c r="L2791">
        <v>20.6</v>
      </c>
      <c r="M2791">
        <v>28.6</v>
      </c>
      <c r="N2791">
        <v>28</v>
      </c>
      <c r="O2791">
        <v>27.8</v>
      </c>
      <c r="P2791">
        <v>34.4</v>
      </c>
      <c r="Q2791">
        <v>53</v>
      </c>
      <c r="R2791">
        <v>47.6</v>
      </c>
      <c r="S2791">
        <v>31.8</v>
      </c>
      <c r="T2791">
        <v>34.799999999999997</v>
      </c>
      <c r="U2791">
        <v>71.8</v>
      </c>
      <c r="V2791">
        <v>-4.0999999999999996</v>
      </c>
      <c r="W2791" cm="1">
        <f t="array" ref="W2791">_xlfn.IFS(OR(X2791="N/A",X2791="NA"),0,OR(X2791="R64",X2791="R68"),1,X2791="R32",2,X2791="S16",3,X2791="E8",4,X2791="F4",5,X2791="2ND",6,X2791="Champions",7)</f>
        <v>0</v>
      </c>
      <c r="X2791" t="s">
        <v>425</v>
      </c>
      <c r="Y2791" t="s">
        <v>90</v>
      </c>
      <c r="Z2791">
        <v>2021</v>
      </c>
    </row>
    <row r="2792" spans="1:26" x14ac:dyDescent="0.3">
      <c r="A2792" t="s">
        <v>291</v>
      </c>
      <c r="B2792" t="s">
        <v>55</v>
      </c>
      <c r="C2792">
        <v>25</v>
      </c>
      <c r="D2792">
        <v>18</v>
      </c>
      <c r="E2792" s="1">
        <f t="shared" si="43"/>
        <v>0.72</v>
      </c>
      <c r="F2792">
        <v>107.7</v>
      </c>
      <c r="G2792">
        <v>96.7</v>
      </c>
      <c r="H2792">
        <v>0.77529999999999999</v>
      </c>
      <c r="I2792">
        <v>52.1</v>
      </c>
      <c r="J2792">
        <v>48.7</v>
      </c>
      <c r="K2792">
        <v>16.5</v>
      </c>
      <c r="L2792">
        <v>20.2</v>
      </c>
      <c r="M2792">
        <v>27.3</v>
      </c>
      <c r="N2792">
        <v>23.8</v>
      </c>
      <c r="O2792">
        <v>34.4</v>
      </c>
      <c r="P2792">
        <v>28</v>
      </c>
      <c r="Q2792">
        <v>52.4</v>
      </c>
      <c r="R2792">
        <v>48.5</v>
      </c>
      <c r="S2792">
        <v>34.4</v>
      </c>
      <c r="T2792">
        <v>32.6</v>
      </c>
      <c r="U2792">
        <v>69.3</v>
      </c>
      <c r="V2792">
        <v>-0.7</v>
      </c>
      <c r="W2792" cm="1">
        <f t="array" ref="W2792">_xlfn.IFS(OR(X2792="N/A",X2792="NA"),0,OR(X2792="R64",X2792="R68"),1,X2792="R32",2,X2792="S16",3,X2792="E8",4,X2792="F4",5,X2792="2ND",6,X2792="Champions",7)</f>
        <v>0</v>
      </c>
      <c r="X2792" t="s">
        <v>425</v>
      </c>
      <c r="Y2792" t="s">
        <v>90</v>
      </c>
      <c r="Z2792">
        <v>2021</v>
      </c>
    </row>
    <row r="2793" spans="1:26" x14ac:dyDescent="0.3">
      <c r="A2793" t="s">
        <v>348</v>
      </c>
      <c r="B2793" t="s">
        <v>62</v>
      </c>
      <c r="C2793">
        <v>24</v>
      </c>
      <c r="D2793">
        <v>18</v>
      </c>
      <c r="E2793" s="1">
        <f t="shared" si="43"/>
        <v>0.75</v>
      </c>
      <c r="F2793">
        <v>102.9</v>
      </c>
      <c r="G2793">
        <v>101.1</v>
      </c>
      <c r="H2793">
        <v>0.54879999999999995</v>
      </c>
      <c r="I2793">
        <v>50.4</v>
      </c>
      <c r="J2793">
        <v>51.9</v>
      </c>
      <c r="K2793">
        <v>15.9</v>
      </c>
      <c r="L2793">
        <v>18.8</v>
      </c>
      <c r="M2793">
        <v>22.6</v>
      </c>
      <c r="N2793">
        <v>25.1</v>
      </c>
      <c r="O2793">
        <v>28.1</v>
      </c>
      <c r="P2793">
        <v>23.4</v>
      </c>
      <c r="Q2793">
        <v>48.6</v>
      </c>
      <c r="R2793">
        <v>52.2</v>
      </c>
      <c r="S2793">
        <v>35.4</v>
      </c>
      <c r="T2793">
        <v>34.299999999999997</v>
      </c>
      <c r="U2793">
        <v>66.8</v>
      </c>
      <c r="V2793">
        <v>-4.3</v>
      </c>
      <c r="W2793" cm="1">
        <f t="array" ref="W2793">_xlfn.IFS(OR(X2793="N/A",X2793="NA"),0,OR(X2793="R64",X2793="R68"),1,X2793="R32",2,X2793="S16",3,X2793="E8",4,X2793="F4",5,X2793="2ND",6,X2793="Champions",7)</f>
        <v>0</v>
      </c>
      <c r="X2793" t="s">
        <v>425</v>
      </c>
      <c r="Y2793" t="s">
        <v>90</v>
      </c>
      <c r="Z2793">
        <v>2021</v>
      </c>
    </row>
    <row r="2794" spans="1:26" x14ac:dyDescent="0.3">
      <c r="A2794" t="s">
        <v>196</v>
      </c>
      <c r="B2794" t="s">
        <v>48</v>
      </c>
      <c r="C2794">
        <v>25</v>
      </c>
      <c r="D2794">
        <v>18</v>
      </c>
      <c r="E2794" s="1">
        <f t="shared" si="43"/>
        <v>0.72</v>
      </c>
      <c r="F2794">
        <v>99</v>
      </c>
      <c r="G2794">
        <v>94.3</v>
      </c>
      <c r="H2794">
        <v>0.63570000000000004</v>
      </c>
      <c r="I2794">
        <v>47.3</v>
      </c>
      <c r="J2794">
        <v>45.6</v>
      </c>
      <c r="K2794">
        <v>18.899999999999999</v>
      </c>
      <c r="L2794">
        <v>18.2</v>
      </c>
      <c r="M2794">
        <v>31.1</v>
      </c>
      <c r="N2794">
        <v>24.7</v>
      </c>
      <c r="O2794">
        <v>29.1</v>
      </c>
      <c r="P2794">
        <v>28.1</v>
      </c>
      <c r="Q2794">
        <v>46.7</v>
      </c>
      <c r="R2794">
        <v>43.2</v>
      </c>
      <c r="S2794">
        <v>32.9</v>
      </c>
      <c r="T2794">
        <v>32.9</v>
      </c>
      <c r="U2794">
        <v>67.8</v>
      </c>
      <c r="V2794">
        <v>-3.7</v>
      </c>
      <c r="W2794" cm="1">
        <f t="array" ref="W2794">_xlfn.IFS(OR(X2794="N/A",X2794="NA"),0,OR(X2794="R64",X2794="R68"),1,X2794="R32",2,X2794="S16",3,X2794="E8",4,X2794="F4",5,X2794="2ND",6,X2794="Champions",7)</f>
        <v>0</v>
      </c>
      <c r="X2794" t="s">
        <v>425</v>
      </c>
      <c r="Y2794" t="s">
        <v>90</v>
      </c>
      <c r="Z2794">
        <v>2021</v>
      </c>
    </row>
    <row r="2795" spans="1:26" x14ac:dyDescent="0.3">
      <c r="A2795" t="s">
        <v>307</v>
      </c>
      <c r="B2795" t="s">
        <v>64</v>
      </c>
      <c r="C2795">
        <v>25</v>
      </c>
      <c r="D2795">
        <v>18</v>
      </c>
      <c r="E2795" s="1">
        <f t="shared" si="43"/>
        <v>0.72</v>
      </c>
      <c r="F2795">
        <v>104.5</v>
      </c>
      <c r="G2795">
        <v>104.1</v>
      </c>
      <c r="H2795">
        <v>0.51149999999999995</v>
      </c>
      <c r="I2795">
        <v>52.5</v>
      </c>
      <c r="J2795">
        <v>48.1</v>
      </c>
      <c r="K2795">
        <v>19.899999999999999</v>
      </c>
      <c r="L2795">
        <v>15.7</v>
      </c>
      <c r="M2795">
        <v>32.200000000000003</v>
      </c>
      <c r="N2795">
        <v>28</v>
      </c>
      <c r="O2795">
        <v>31</v>
      </c>
      <c r="P2795">
        <v>25.5</v>
      </c>
      <c r="Q2795">
        <v>52.8</v>
      </c>
      <c r="R2795">
        <v>47.5</v>
      </c>
      <c r="S2795">
        <v>34.6</v>
      </c>
      <c r="T2795">
        <v>32.700000000000003</v>
      </c>
      <c r="U2795">
        <v>66.099999999999994</v>
      </c>
      <c r="V2795">
        <v>-5.2</v>
      </c>
      <c r="W2795" cm="1">
        <f t="array" ref="W2795">_xlfn.IFS(OR(X2795="N/A",X2795="NA"),0,OR(X2795="R64",X2795="R68"),1,X2795="R32",2,X2795="S16",3,X2795="E8",4,X2795="F4",5,X2795="2ND",6,X2795="Champions",7)</f>
        <v>0</v>
      </c>
      <c r="X2795" t="s">
        <v>425</v>
      </c>
      <c r="Y2795" t="s">
        <v>90</v>
      </c>
      <c r="Z2795">
        <v>2021</v>
      </c>
    </row>
    <row r="2796" spans="1:26" x14ac:dyDescent="0.3">
      <c r="A2796" t="s">
        <v>377</v>
      </c>
      <c r="B2796" t="s">
        <v>61</v>
      </c>
      <c r="C2796">
        <v>24</v>
      </c>
      <c r="D2796">
        <v>19</v>
      </c>
      <c r="E2796" s="1">
        <f t="shared" si="43"/>
        <v>0.79166666666666663</v>
      </c>
      <c r="F2796">
        <v>100.4</v>
      </c>
      <c r="G2796">
        <v>102.2</v>
      </c>
      <c r="H2796">
        <v>0.44829999999999998</v>
      </c>
      <c r="I2796">
        <v>50.4</v>
      </c>
      <c r="J2796">
        <v>48.5</v>
      </c>
      <c r="K2796">
        <v>20.3</v>
      </c>
      <c r="L2796">
        <v>22</v>
      </c>
      <c r="M2796">
        <v>29.3</v>
      </c>
      <c r="N2796">
        <v>32.700000000000003</v>
      </c>
      <c r="O2796">
        <v>30</v>
      </c>
      <c r="P2796">
        <v>39.5</v>
      </c>
      <c r="Q2796">
        <v>49.1</v>
      </c>
      <c r="R2796">
        <v>50.3</v>
      </c>
      <c r="S2796">
        <v>34.799999999999997</v>
      </c>
      <c r="T2796">
        <v>30.3</v>
      </c>
      <c r="U2796">
        <v>71</v>
      </c>
      <c r="V2796">
        <v>-4.4000000000000004</v>
      </c>
      <c r="W2796" cm="1">
        <f t="array" ref="W2796">_xlfn.IFS(OR(X2796="N/A",X2796="NA"),0,OR(X2796="R64",X2796="R68"),1,X2796="R32",2,X2796="S16",3,X2796="E8",4,X2796="F4",5,X2796="2ND",6,X2796="Champions",7)</f>
        <v>0</v>
      </c>
      <c r="X2796" t="s">
        <v>425</v>
      </c>
      <c r="Y2796" t="s">
        <v>90</v>
      </c>
      <c r="Z2796">
        <v>2021</v>
      </c>
    </row>
    <row r="2797" spans="1:26" x14ac:dyDescent="0.3">
      <c r="A2797" t="s">
        <v>173</v>
      </c>
      <c r="B2797" t="s">
        <v>164</v>
      </c>
      <c r="C2797">
        <v>19</v>
      </c>
      <c r="D2797">
        <v>20</v>
      </c>
      <c r="E2797" s="1">
        <f t="shared" si="43"/>
        <v>1.0526315789473684</v>
      </c>
      <c r="F2797">
        <v>106.6</v>
      </c>
      <c r="G2797">
        <v>105.9</v>
      </c>
      <c r="H2797">
        <v>0.51959999999999995</v>
      </c>
      <c r="I2797">
        <v>52.4</v>
      </c>
      <c r="J2797">
        <v>51.7</v>
      </c>
      <c r="K2797">
        <v>16</v>
      </c>
      <c r="L2797">
        <v>17</v>
      </c>
      <c r="M2797">
        <v>29.2</v>
      </c>
      <c r="N2797">
        <v>23.9</v>
      </c>
      <c r="O2797">
        <v>39.4</v>
      </c>
      <c r="P2797">
        <v>31.2</v>
      </c>
      <c r="Q2797">
        <v>54</v>
      </c>
      <c r="R2797">
        <v>50.4</v>
      </c>
      <c r="S2797">
        <v>33.4</v>
      </c>
      <c r="T2797">
        <v>35.799999999999997</v>
      </c>
      <c r="U2797">
        <v>70.3</v>
      </c>
      <c r="V2797">
        <v>-1.7</v>
      </c>
      <c r="W2797" cm="1">
        <f t="array" ref="W2797">_xlfn.IFS(OR(X2797="N/A",X2797="NA"),0,OR(X2797="R64",X2797="R68"),1,X2797="R32",2,X2797="S16",3,X2797="E8",4,X2797="F4",5,X2797="2ND",6,X2797="Champions",7)</f>
        <v>0</v>
      </c>
      <c r="X2797" t="s">
        <v>425</v>
      </c>
      <c r="Y2797" t="s">
        <v>90</v>
      </c>
      <c r="Z2797">
        <v>2021</v>
      </c>
    </row>
    <row r="2798" spans="1:26" x14ac:dyDescent="0.3">
      <c r="A2798" t="s">
        <v>219</v>
      </c>
      <c r="B2798" t="s">
        <v>40</v>
      </c>
      <c r="C2798">
        <v>27</v>
      </c>
      <c r="D2798">
        <v>20</v>
      </c>
      <c r="E2798" s="1">
        <f t="shared" si="43"/>
        <v>0.7407407407407407</v>
      </c>
      <c r="F2798">
        <v>104.6</v>
      </c>
      <c r="G2798">
        <v>96.4</v>
      </c>
      <c r="H2798">
        <v>0.71870000000000001</v>
      </c>
      <c r="I2798">
        <v>51</v>
      </c>
      <c r="J2798">
        <v>48.9</v>
      </c>
      <c r="K2798">
        <v>21.2</v>
      </c>
      <c r="L2798">
        <v>19</v>
      </c>
      <c r="M2798">
        <v>32.1</v>
      </c>
      <c r="N2798">
        <v>24.4</v>
      </c>
      <c r="O2798">
        <v>36.200000000000003</v>
      </c>
      <c r="P2798">
        <v>22.2</v>
      </c>
      <c r="Q2798">
        <v>50.6</v>
      </c>
      <c r="R2798">
        <v>45.8</v>
      </c>
      <c r="S2798">
        <v>34.5</v>
      </c>
      <c r="T2798">
        <v>35.799999999999997</v>
      </c>
      <c r="U2798">
        <v>68.099999999999994</v>
      </c>
      <c r="V2798">
        <v>-0.4</v>
      </c>
      <c r="W2798" cm="1">
        <f t="array" ref="W2798">_xlfn.IFS(OR(X2798="N/A",X2798="NA"),0,OR(X2798="R64",X2798="R68"),1,X2798="R32",2,X2798="S16",3,X2798="E8",4,X2798="F4",5,X2798="2ND",6,X2798="Champions",7)</f>
        <v>0</v>
      </c>
      <c r="X2798" t="s">
        <v>425</v>
      </c>
      <c r="Y2798" t="s">
        <v>90</v>
      </c>
      <c r="Z2798">
        <v>2021</v>
      </c>
    </row>
    <row r="2799" spans="1:26" x14ac:dyDescent="0.3">
      <c r="A2799" t="s">
        <v>210</v>
      </c>
      <c r="B2799" t="s">
        <v>40</v>
      </c>
      <c r="C2799">
        <v>27</v>
      </c>
      <c r="D2799">
        <v>21</v>
      </c>
      <c r="E2799" s="1">
        <f t="shared" si="43"/>
        <v>0.77777777777777779</v>
      </c>
      <c r="F2799">
        <v>102.7</v>
      </c>
      <c r="G2799">
        <v>93.4</v>
      </c>
      <c r="H2799">
        <v>0.74790000000000001</v>
      </c>
      <c r="I2799">
        <v>50.5</v>
      </c>
      <c r="J2799">
        <v>45.6</v>
      </c>
      <c r="K2799">
        <v>18.399999999999999</v>
      </c>
      <c r="L2799">
        <v>18.8</v>
      </c>
      <c r="M2799">
        <v>27.1</v>
      </c>
      <c r="N2799">
        <v>23.4</v>
      </c>
      <c r="O2799">
        <v>35.299999999999997</v>
      </c>
      <c r="P2799">
        <v>26.4</v>
      </c>
      <c r="Q2799">
        <v>49.7</v>
      </c>
      <c r="R2799">
        <v>46.4</v>
      </c>
      <c r="S2799">
        <v>34.6</v>
      </c>
      <c r="T2799">
        <v>29.6</v>
      </c>
      <c r="U2799">
        <v>69.599999999999994</v>
      </c>
      <c r="V2799">
        <v>-1.7</v>
      </c>
      <c r="W2799" cm="1">
        <f t="array" ref="W2799">_xlfn.IFS(OR(X2799="N/A",X2799="NA"),0,OR(X2799="R64",X2799="R68"),1,X2799="R32",2,X2799="S16",3,X2799="E8",4,X2799="F4",5,X2799="2ND",6,X2799="Champions",7)</f>
        <v>0</v>
      </c>
      <c r="X2799" t="s">
        <v>425</v>
      </c>
      <c r="Y2799" t="s">
        <v>90</v>
      </c>
      <c r="Z2799">
        <v>2021</v>
      </c>
    </row>
    <row r="2800" spans="1:26" x14ac:dyDescent="0.3">
      <c r="A2800" t="s">
        <v>260</v>
      </c>
      <c r="B2800" t="s">
        <v>57</v>
      </c>
      <c r="C2800">
        <v>29</v>
      </c>
      <c r="D2800">
        <v>21</v>
      </c>
      <c r="E2800" s="1">
        <f t="shared" si="43"/>
        <v>0.72413793103448276</v>
      </c>
      <c r="F2800">
        <v>113.3</v>
      </c>
      <c r="G2800">
        <v>101.8</v>
      </c>
      <c r="H2800">
        <v>0.77429999999999999</v>
      </c>
      <c r="I2800">
        <v>54.3</v>
      </c>
      <c r="J2800">
        <v>48.3</v>
      </c>
      <c r="K2800">
        <v>15.5</v>
      </c>
      <c r="L2800">
        <v>17.399999999999999</v>
      </c>
      <c r="M2800">
        <v>29.6</v>
      </c>
      <c r="N2800">
        <v>30.7</v>
      </c>
      <c r="O2800">
        <v>28.5</v>
      </c>
      <c r="P2800">
        <v>23.4</v>
      </c>
      <c r="Q2800">
        <v>52.5</v>
      </c>
      <c r="R2800">
        <v>51</v>
      </c>
      <c r="S2800">
        <v>37.700000000000003</v>
      </c>
      <c r="T2800">
        <v>29.5</v>
      </c>
      <c r="U2800">
        <v>69.099999999999994</v>
      </c>
      <c r="V2800">
        <v>-2.1</v>
      </c>
      <c r="W2800" cm="1">
        <f t="array" ref="W2800">_xlfn.IFS(OR(X2800="N/A",X2800="NA"),0,OR(X2800="R64",X2800="R68"),1,X2800="R32",2,X2800="S16",3,X2800="E8",4,X2800="F4",5,X2800="2ND",6,X2800="Champions",7)</f>
        <v>0</v>
      </c>
      <c r="X2800" t="s">
        <v>425</v>
      </c>
      <c r="Y2800" t="s">
        <v>90</v>
      </c>
      <c r="Z2800">
        <v>2021</v>
      </c>
    </row>
    <row r="2801" spans="1:26" x14ac:dyDescent="0.3">
      <c r="A2801" t="s">
        <v>220</v>
      </c>
      <c r="B2801" t="s">
        <v>40</v>
      </c>
      <c r="C2801">
        <v>27</v>
      </c>
      <c r="D2801">
        <v>22</v>
      </c>
      <c r="E2801" s="1">
        <f t="shared" si="43"/>
        <v>0.81481481481481477</v>
      </c>
      <c r="F2801">
        <v>102.5</v>
      </c>
      <c r="G2801">
        <v>94.6</v>
      </c>
      <c r="H2801">
        <v>0.71530000000000005</v>
      </c>
      <c r="I2801">
        <v>48.6</v>
      </c>
      <c r="J2801">
        <v>47</v>
      </c>
      <c r="K2801">
        <v>15.6</v>
      </c>
      <c r="L2801">
        <v>23.6</v>
      </c>
      <c r="M2801">
        <v>29</v>
      </c>
      <c r="N2801">
        <v>25.4</v>
      </c>
      <c r="O2801">
        <v>29.9</v>
      </c>
      <c r="P2801">
        <v>27.1</v>
      </c>
      <c r="Q2801">
        <v>49.4</v>
      </c>
      <c r="R2801">
        <v>46.1</v>
      </c>
      <c r="S2801">
        <v>31.1</v>
      </c>
      <c r="T2801">
        <v>32.4</v>
      </c>
      <c r="U2801">
        <v>67.5</v>
      </c>
      <c r="V2801">
        <v>-2.7</v>
      </c>
      <c r="W2801" cm="1">
        <f t="array" ref="W2801">_xlfn.IFS(OR(X2801="N/A",X2801="NA"),0,OR(X2801="R64",X2801="R68"),1,X2801="R32",2,X2801="S16",3,X2801="E8",4,X2801="F4",5,X2801="2ND",6,X2801="Champions",7)</f>
        <v>0</v>
      </c>
      <c r="X2801" t="s">
        <v>425</v>
      </c>
      <c r="Y2801" t="s">
        <v>90</v>
      </c>
      <c r="Z2801">
        <v>2021</v>
      </c>
    </row>
    <row r="2802" spans="1:26" x14ac:dyDescent="0.3">
      <c r="A2802" t="s">
        <v>306</v>
      </c>
      <c r="B2802" t="s">
        <v>64</v>
      </c>
      <c r="C2802">
        <v>27</v>
      </c>
      <c r="D2802">
        <v>22</v>
      </c>
      <c r="E2802" s="1">
        <f t="shared" si="43"/>
        <v>0.81481481481481477</v>
      </c>
      <c r="F2802">
        <v>101.5</v>
      </c>
      <c r="G2802">
        <v>102.3</v>
      </c>
      <c r="H2802">
        <v>0.47489999999999999</v>
      </c>
      <c r="I2802">
        <v>51.2</v>
      </c>
      <c r="J2802">
        <v>51</v>
      </c>
      <c r="K2802">
        <v>16.600000000000001</v>
      </c>
      <c r="L2802">
        <v>24.3</v>
      </c>
      <c r="M2802">
        <v>26.8</v>
      </c>
      <c r="N2802">
        <v>30.2</v>
      </c>
      <c r="O2802">
        <v>25.6</v>
      </c>
      <c r="P2802">
        <v>32.200000000000003</v>
      </c>
      <c r="Q2802">
        <v>49.6</v>
      </c>
      <c r="R2802">
        <v>51.8</v>
      </c>
      <c r="S2802">
        <v>35.799999999999997</v>
      </c>
      <c r="T2802">
        <v>33</v>
      </c>
      <c r="U2802">
        <v>75.099999999999994</v>
      </c>
      <c r="V2802">
        <v>-3.8</v>
      </c>
      <c r="W2802" cm="1">
        <f t="array" ref="W2802">_xlfn.IFS(OR(X2802="N/A",X2802="NA"),0,OR(X2802="R64",X2802="R68"),1,X2802="R32",2,X2802="S16",3,X2802="E8",4,X2802="F4",5,X2802="2ND",6,X2802="Champions",7)</f>
        <v>0</v>
      </c>
      <c r="X2802" t="s">
        <v>425</v>
      </c>
      <c r="Y2802" t="s">
        <v>90</v>
      </c>
      <c r="Z2802">
        <v>2021</v>
      </c>
    </row>
    <row r="2803" spans="1:26" x14ac:dyDescent="0.3">
      <c r="A2803" t="s">
        <v>315</v>
      </c>
      <c r="B2803" t="s">
        <v>64</v>
      </c>
      <c r="C2803">
        <v>29</v>
      </c>
      <c r="D2803">
        <v>26</v>
      </c>
      <c r="E2803" s="1">
        <f t="shared" si="43"/>
        <v>0.89655172413793105</v>
      </c>
      <c r="F2803">
        <v>108.5</v>
      </c>
      <c r="G2803">
        <v>101.6</v>
      </c>
      <c r="H2803">
        <v>0.67859999999999998</v>
      </c>
      <c r="I2803">
        <v>56.3</v>
      </c>
      <c r="J2803">
        <v>49.3</v>
      </c>
      <c r="K2803">
        <v>16.600000000000001</v>
      </c>
      <c r="L2803">
        <v>20.3</v>
      </c>
      <c r="M2803">
        <v>26.1</v>
      </c>
      <c r="N2803">
        <v>27.2</v>
      </c>
      <c r="O2803">
        <v>27.9</v>
      </c>
      <c r="P2803">
        <v>24.6</v>
      </c>
      <c r="Q2803">
        <v>59.4</v>
      </c>
      <c r="R2803">
        <v>48.2</v>
      </c>
      <c r="S2803">
        <v>34.700000000000003</v>
      </c>
      <c r="T2803">
        <v>34</v>
      </c>
      <c r="U2803">
        <v>71.099999999999994</v>
      </c>
      <c r="V2803">
        <v>-1.1000000000000001</v>
      </c>
      <c r="W2803" cm="1">
        <f t="array" ref="W2803">_xlfn.IFS(OR(X2803="N/A",X2803="NA"),0,OR(X2803="R64",X2803="R68"),1,X2803="R32",2,X2803="S16",3,X2803="E8",4,X2803="F4",5,X2803="2ND",6,X2803="Champions",7)</f>
        <v>0</v>
      </c>
      <c r="X2803" t="s">
        <v>425</v>
      </c>
      <c r="Y2803" t="s">
        <v>90</v>
      </c>
      <c r="Z2803">
        <v>2021</v>
      </c>
    </row>
    <row r="2804" spans="1:26" x14ac:dyDescent="0.3">
      <c r="A2804" t="s">
        <v>36</v>
      </c>
      <c r="B2804" t="s">
        <v>37</v>
      </c>
      <c r="C2804">
        <v>32</v>
      </c>
      <c r="D2804">
        <v>28</v>
      </c>
      <c r="E2804" s="1">
        <f t="shared" si="43"/>
        <v>0.875</v>
      </c>
      <c r="F2804">
        <v>120.3</v>
      </c>
      <c r="G2804">
        <v>89.9</v>
      </c>
      <c r="H2804">
        <v>0.96619999999999995</v>
      </c>
      <c r="I2804">
        <v>58.7</v>
      </c>
      <c r="J2804">
        <v>43.1</v>
      </c>
      <c r="K2804">
        <v>15.7</v>
      </c>
      <c r="L2804">
        <v>16.3</v>
      </c>
      <c r="M2804">
        <v>29.1</v>
      </c>
      <c r="N2804">
        <v>23.4</v>
      </c>
      <c r="O2804">
        <v>30.6</v>
      </c>
      <c r="P2804">
        <v>22.7</v>
      </c>
      <c r="Q2804">
        <v>60.4</v>
      </c>
      <c r="R2804">
        <v>41.8</v>
      </c>
      <c r="S2804">
        <v>37</v>
      </c>
      <c r="T2804">
        <v>30.5</v>
      </c>
      <c r="U2804">
        <v>72.599999999999994</v>
      </c>
      <c r="V2804">
        <v>6.7</v>
      </c>
      <c r="W2804" cm="1">
        <f t="array" ref="W2804">_xlfn.IFS(OR(X2804="N/A",X2804="NA"),0,OR(X2804="R64",X2804="R68"),1,X2804="R32",2,X2804="S16",3,X2804="E8",4,X2804="F4",5,X2804="2ND",6,X2804="Champions",7)</f>
        <v>3</v>
      </c>
      <c r="X2804" t="s">
        <v>424</v>
      </c>
      <c r="Y2804">
        <v>1</v>
      </c>
      <c r="Z2804">
        <v>2022</v>
      </c>
    </row>
    <row r="2805" spans="1:26" x14ac:dyDescent="0.3">
      <c r="A2805" t="s">
        <v>65</v>
      </c>
      <c r="B2805" t="s">
        <v>35</v>
      </c>
      <c r="C2805">
        <v>40</v>
      </c>
      <c r="D2805">
        <v>34</v>
      </c>
      <c r="E2805" s="1">
        <f t="shared" si="43"/>
        <v>0.85</v>
      </c>
      <c r="F2805">
        <v>119.8</v>
      </c>
      <c r="G2805">
        <v>91.3</v>
      </c>
      <c r="H2805">
        <v>0.95799999999999996</v>
      </c>
      <c r="I2805">
        <v>53.8</v>
      </c>
      <c r="J2805">
        <v>45.8</v>
      </c>
      <c r="K2805">
        <v>17.3</v>
      </c>
      <c r="L2805">
        <v>18.100000000000001</v>
      </c>
      <c r="M2805">
        <v>32.9</v>
      </c>
      <c r="N2805">
        <v>28.6</v>
      </c>
      <c r="O2805">
        <v>32.299999999999997</v>
      </c>
      <c r="P2805">
        <v>27.7</v>
      </c>
      <c r="Q2805">
        <v>53.6</v>
      </c>
      <c r="R2805">
        <v>46.4</v>
      </c>
      <c r="S2805">
        <v>36.1</v>
      </c>
      <c r="T2805">
        <v>29.8</v>
      </c>
      <c r="U2805">
        <v>69.099999999999994</v>
      </c>
      <c r="V2805">
        <v>10.4</v>
      </c>
      <c r="W2805" cm="1">
        <f t="array" ref="W2805">_xlfn.IFS(OR(X2805="N/A",X2805="NA"),0,OR(X2805="R64",X2805="R68"),1,X2805="R32",2,X2805="S16",3,X2805="E8",4,X2805="F4",5,X2805="2ND",6,X2805="Champions",7)</f>
        <v>7</v>
      </c>
      <c r="X2805" t="s">
        <v>42</v>
      </c>
      <c r="Y2805">
        <v>1</v>
      </c>
      <c r="Z2805">
        <v>2022</v>
      </c>
    </row>
    <row r="2806" spans="1:26" x14ac:dyDescent="0.3">
      <c r="A2806" t="s">
        <v>153</v>
      </c>
      <c r="B2806" t="s">
        <v>35</v>
      </c>
      <c r="C2806">
        <v>34</v>
      </c>
      <c r="D2806">
        <v>27</v>
      </c>
      <c r="E2806" s="1">
        <f t="shared" si="43"/>
        <v>0.79411764705882348</v>
      </c>
      <c r="F2806">
        <v>117.8</v>
      </c>
      <c r="G2806">
        <v>91.3</v>
      </c>
      <c r="H2806">
        <v>0.94910000000000005</v>
      </c>
      <c r="I2806">
        <v>52.8</v>
      </c>
      <c r="J2806">
        <v>47.8</v>
      </c>
      <c r="K2806">
        <v>17.899999999999999</v>
      </c>
      <c r="L2806">
        <v>22.9</v>
      </c>
      <c r="M2806">
        <v>36.299999999999997</v>
      </c>
      <c r="N2806">
        <v>28.8</v>
      </c>
      <c r="O2806">
        <v>29</v>
      </c>
      <c r="P2806">
        <v>27.7</v>
      </c>
      <c r="Q2806">
        <v>53.6</v>
      </c>
      <c r="R2806">
        <v>49.2</v>
      </c>
      <c r="S2806">
        <v>34.299999999999997</v>
      </c>
      <c r="T2806">
        <v>30.2</v>
      </c>
      <c r="U2806">
        <v>67.599999999999994</v>
      </c>
      <c r="V2806">
        <v>8.9</v>
      </c>
      <c r="W2806" cm="1">
        <f t="array" ref="W2806">_xlfn.IFS(OR(X2806="N/A",X2806="NA"),0,OR(X2806="R64",X2806="R68"),1,X2806="R32",2,X2806="S16",3,X2806="E8",4,X2806="F4",5,X2806="2ND",6,X2806="Champions",7)</f>
        <v>2</v>
      </c>
      <c r="X2806" t="s">
        <v>420</v>
      </c>
      <c r="Y2806">
        <v>1</v>
      </c>
      <c r="Z2806">
        <v>2022</v>
      </c>
    </row>
    <row r="2807" spans="1:26" x14ac:dyDescent="0.3">
      <c r="A2807" t="s">
        <v>71</v>
      </c>
      <c r="B2807" t="s">
        <v>38</v>
      </c>
      <c r="C2807">
        <v>37</v>
      </c>
      <c r="D2807">
        <v>33</v>
      </c>
      <c r="E2807" s="1">
        <f t="shared" si="43"/>
        <v>0.89189189189189189</v>
      </c>
      <c r="F2807">
        <v>118</v>
      </c>
      <c r="G2807">
        <v>93.7</v>
      </c>
      <c r="H2807">
        <v>0.93410000000000004</v>
      </c>
      <c r="I2807">
        <v>55.6</v>
      </c>
      <c r="J2807">
        <v>44.4</v>
      </c>
      <c r="K2807">
        <v>18.3</v>
      </c>
      <c r="L2807">
        <v>17.399999999999999</v>
      </c>
      <c r="M2807">
        <v>34.700000000000003</v>
      </c>
      <c r="N2807">
        <v>28.6</v>
      </c>
      <c r="O2807">
        <v>34.9</v>
      </c>
      <c r="P2807">
        <v>24</v>
      </c>
      <c r="Q2807">
        <v>57</v>
      </c>
      <c r="R2807">
        <v>41.8</v>
      </c>
      <c r="S2807">
        <v>35.299999999999997</v>
      </c>
      <c r="T2807">
        <v>32.799999999999997</v>
      </c>
      <c r="U2807">
        <v>72.3</v>
      </c>
      <c r="V2807">
        <v>8.8000000000000007</v>
      </c>
      <c r="W2807" cm="1">
        <f t="array" ref="W2807">_xlfn.IFS(OR(X2807="N/A",X2807="NA"),0,OR(X2807="R64",X2807="R68"),1,X2807="R32",2,X2807="S16",3,X2807="E8",4,X2807="F4",5,X2807="2ND",6,X2807="Champions",7)</f>
        <v>3</v>
      </c>
      <c r="X2807" t="s">
        <v>424</v>
      </c>
      <c r="Y2807">
        <v>1</v>
      </c>
      <c r="Z2807">
        <v>2022</v>
      </c>
    </row>
    <row r="2808" spans="1:26" x14ac:dyDescent="0.3">
      <c r="A2808" t="s">
        <v>41</v>
      </c>
      <c r="B2808" t="s">
        <v>26</v>
      </c>
      <c r="C2808">
        <v>39</v>
      </c>
      <c r="D2808">
        <v>32</v>
      </c>
      <c r="E2808" s="1">
        <f t="shared" si="43"/>
        <v>0.82051282051282048</v>
      </c>
      <c r="F2808">
        <v>122.7</v>
      </c>
      <c r="G2808">
        <v>96</v>
      </c>
      <c r="H2808">
        <v>0.94399999999999995</v>
      </c>
      <c r="I2808">
        <v>55.6</v>
      </c>
      <c r="J2808">
        <v>47.1</v>
      </c>
      <c r="K2808">
        <v>15</v>
      </c>
      <c r="L2808">
        <v>15.7</v>
      </c>
      <c r="M2808">
        <v>31.7</v>
      </c>
      <c r="N2808">
        <v>28.9</v>
      </c>
      <c r="O2808">
        <v>28.6</v>
      </c>
      <c r="P2808">
        <v>19.100000000000001</v>
      </c>
      <c r="Q2808">
        <v>56</v>
      </c>
      <c r="R2808">
        <v>46.6</v>
      </c>
      <c r="S2808">
        <v>36.6</v>
      </c>
      <c r="T2808">
        <v>32</v>
      </c>
      <c r="U2808">
        <v>67.400000000000006</v>
      </c>
      <c r="V2808">
        <v>7.2</v>
      </c>
      <c r="W2808" cm="1">
        <f t="array" ref="W2808">_xlfn.IFS(OR(X2808="N/A",X2808="NA"),0,OR(X2808="R64",X2808="R68"),1,X2808="R32",2,X2808="S16",3,X2808="E8",4,X2808="F4",5,X2808="2ND",6,X2808="Champions",7)</f>
        <v>5</v>
      </c>
      <c r="X2808" t="s">
        <v>83</v>
      </c>
      <c r="Y2808">
        <v>2</v>
      </c>
      <c r="Z2808">
        <v>2022</v>
      </c>
    </row>
    <row r="2809" spans="1:26" x14ac:dyDescent="0.3">
      <c r="A2809" t="s">
        <v>46</v>
      </c>
      <c r="B2809" t="s">
        <v>33</v>
      </c>
      <c r="C2809">
        <v>38</v>
      </c>
      <c r="D2809">
        <v>30</v>
      </c>
      <c r="E2809" s="1">
        <f t="shared" si="43"/>
        <v>0.78947368421052633</v>
      </c>
      <c r="F2809">
        <v>117.2</v>
      </c>
      <c r="G2809">
        <v>93</v>
      </c>
      <c r="H2809">
        <v>0.93459999999999999</v>
      </c>
      <c r="I2809">
        <v>51.5</v>
      </c>
      <c r="J2809">
        <v>47.3</v>
      </c>
      <c r="K2809">
        <v>15.5</v>
      </c>
      <c r="L2809">
        <v>18.399999999999999</v>
      </c>
      <c r="M2809">
        <v>31.2</v>
      </c>
      <c r="N2809">
        <v>28.9</v>
      </c>
      <c r="O2809">
        <v>29.8</v>
      </c>
      <c r="P2809">
        <v>25</v>
      </c>
      <c r="Q2809">
        <v>49.5</v>
      </c>
      <c r="R2809">
        <v>48.1</v>
      </c>
      <c r="S2809">
        <v>35.9</v>
      </c>
      <c r="T2809">
        <v>30.8</v>
      </c>
      <c r="U2809">
        <v>62.2</v>
      </c>
      <c r="V2809">
        <v>7.3</v>
      </c>
      <c r="W2809" cm="1">
        <f t="array" ref="W2809">_xlfn.IFS(OR(X2809="N/A",X2809="NA"),0,OR(X2809="R64",X2809="R68"),1,X2809="R32",2,X2809="S16",3,X2809="E8",4,X2809="F4",5,X2809="2ND",6,X2809="Champions",7)</f>
        <v>5</v>
      </c>
      <c r="X2809" t="s">
        <v>83</v>
      </c>
      <c r="Y2809">
        <v>2</v>
      </c>
      <c r="Z2809">
        <v>2022</v>
      </c>
    </row>
    <row r="2810" spans="1:26" x14ac:dyDescent="0.3">
      <c r="A2810" t="s">
        <v>39</v>
      </c>
      <c r="B2810" t="s">
        <v>29</v>
      </c>
      <c r="C2810">
        <v>34</v>
      </c>
      <c r="D2810">
        <v>26</v>
      </c>
      <c r="E2810" s="1">
        <f t="shared" si="43"/>
        <v>0.76470588235294112</v>
      </c>
      <c r="F2810">
        <v>119.4</v>
      </c>
      <c r="G2810">
        <v>95.4</v>
      </c>
      <c r="H2810">
        <v>0.92949999999999999</v>
      </c>
      <c r="I2810">
        <v>53.1</v>
      </c>
      <c r="J2810">
        <v>46.9</v>
      </c>
      <c r="K2810">
        <v>16.7</v>
      </c>
      <c r="L2810">
        <v>17.5</v>
      </c>
      <c r="M2810">
        <v>37.700000000000003</v>
      </c>
      <c r="N2810">
        <v>24.9</v>
      </c>
      <c r="O2810">
        <v>28</v>
      </c>
      <c r="P2810">
        <v>25.4</v>
      </c>
      <c r="Q2810">
        <v>53.5</v>
      </c>
      <c r="R2810">
        <v>47.3</v>
      </c>
      <c r="S2810">
        <v>34.700000000000003</v>
      </c>
      <c r="T2810">
        <v>30.8</v>
      </c>
      <c r="U2810">
        <v>67.8</v>
      </c>
      <c r="V2810">
        <v>6.9</v>
      </c>
      <c r="W2810" cm="1">
        <f t="array" ref="W2810">_xlfn.IFS(OR(X2810="N/A",X2810="NA"),0,OR(X2810="R64",X2810="R68"),1,X2810="R32",2,X2810="S16",3,X2810="E8",4,X2810="F4",5,X2810="2ND",6,X2810="Champions",7)</f>
        <v>1</v>
      </c>
      <c r="X2810" t="s">
        <v>422</v>
      </c>
      <c r="Y2810">
        <v>2</v>
      </c>
      <c r="Z2810">
        <v>2022</v>
      </c>
    </row>
    <row r="2811" spans="1:26" x14ac:dyDescent="0.3">
      <c r="A2811" t="s">
        <v>87</v>
      </c>
      <c r="B2811" t="s">
        <v>29</v>
      </c>
      <c r="C2811">
        <v>34</v>
      </c>
      <c r="D2811">
        <v>28</v>
      </c>
      <c r="E2811" s="1">
        <f t="shared" si="43"/>
        <v>0.82352941176470584</v>
      </c>
      <c r="F2811">
        <v>111.7</v>
      </c>
      <c r="G2811">
        <v>90</v>
      </c>
      <c r="H2811">
        <v>0.92279999999999995</v>
      </c>
      <c r="I2811">
        <v>49.9</v>
      </c>
      <c r="J2811">
        <v>44.1</v>
      </c>
      <c r="K2811">
        <v>16.7</v>
      </c>
      <c r="L2811">
        <v>20</v>
      </c>
      <c r="M2811">
        <v>33.700000000000003</v>
      </c>
      <c r="N2811">
        <v>28.9</v>
      </c>
      <c r="O2811">
        <v>31.6</v>
      </c>
      <c r="P2811">
        <v>34.200000000000003</v>
      </c>
      <c r="Q2811">
        <v>51.3</v>
      </c>
      <c r="R2811">
        <v>42.8</v>
      </c>
      <c r="S2811">
        <v>31.8</v>
      </c>
      <c r="T2811">
        <v>31</v>
      </c>
      <c r="U2811">
        <v>70</v>
      </c>
      <c r="V2811">
        <v>7.4</v>
      </c>
      <c r="W2811" cm="1">
        <f t="array" ref="W2811">_xlfn.IFS(OR(X2811="N/A",X2811="NA"),0,OR(X2811="R64",X2811="R68"),1,X2811="R32",2,X2811="S16",3,X2811="E8",4,X2811="F4",5,X2811="2ND",6,X2811="Champions",7)</f>
        <v>2</v>
      </c>
      <c r="X2811" t="s">
        <v>420</v>
      </c>
      <c r="Y2811">
        <v>2</v>
      </c>
      <c r="Z2811">
        <v>2022</v>
      </c>
    </row>
    <row r="2812" spans="1:26" x14ac:dyDescent="0.3">
      <c r="A2812" t="s">
        <v>34</v>
      </c>
      <c r="B2812" t="s">
        <v>35</v>
      </c>
      <c r="C2812">
        <v>37</v>
      </c>
      <c r="D2812">
        <v>27</v>
      </c>
      <c r="E2812" s="1">
        <f t="shared" si="43"/>
        <v>0.72972972972972971</v>
      </c>
      <c r="F2812">
        <v>110.5</v>
      </c>
      <c r="G2812">
        <v>85.4</v>
      </c>
      <c r="H2812">
        <v>0.95089999999999997</v>
      </c>
      <c r="I2812">
        <v>52.6</v>
      </c>
      <c r="J2812">
        <v>45.8</v>
      </c>
      <c r="K2812">
        <v>19.8</v>
      </c>
      <c r="L2812">
        <v>23.2</v>
      </c>
      <c r="M2812">
        <v>33.200000000000003</v>
      </c>
      <c r="N2812">
        <v>25.8</v>
      </c>
      <c r="O2812">
        <v>35.1</v>
      </c>
      <c r="P2812">
        <v>31.9</v>
      </c>
      <c r="Q2812">
        <v>54.9</v>
      </c>
      <c r="R2812">
        <v>44.5</v>
      </c>
      <c r="S2812">
        <v>32.1</v>
      </c>
      <c r="T2812">
        <v>31.5</v>
      </c>
      <c r="U2812">
        <v>66.3</v>
      </c>
      <c r="V2812">
        <v>6.6</v>
      </c>
      <c r="W2812" cm="1">
        <f t="array" ref="W2812">_xlfn.IFS(OR(X2812="N/A",X2812="NA"),0,OR(X2812="R64",X2812="R68"),1,X2812="R32",2,X2812="S16",3,X2812="E8",4,X2812="F4",5,X2812="2ND",6,X2812="Champions",7)</f>
        <v>3</v>
      </c>
      <c r="X2812" t="s">
        <v>424</v>
      </c>
      <c r="Y2812">
        <v>3</v>
      </c>
      <c r="Z2812">
        <v>2022</v>
      </c>
    </row>
    <row r="2813" spans="1:26" x14ac:dyDescent="0.3">
      <c r="A2813" t="s">
        <v>361</v>
      </c>
      <c r="B2813" t="s">
        <v>29</v>
      </c>
      <c r="C2813">
        <v>35</v>
      </c>
      <c r="D2813">
        <v>27</v>
      </c>
      <c r="E2813" s="1">
        <f t="shared" si="43"/>
        <v>0.77142857142857146</v>
      </c>
      <c r="F2813">
        <v>111.3</v>
      </c>
      <c r="G2813">
        <v>87.1</v>
      </c>
      <c r="H2813">
        <v>0.94389999999999996</v>
      </c>
      <c r="I2813">
        <v>50.7</v>
      </c>
      <c r="J2813">
        <v>46.4</v>
      </c>
      <c r="K2813">
        <v>17.7</v>
      </c>
      <c r="L2813">
        <v>22.9</v>
      </c>
      <c r="M2813">
        <v>32.4</v>
      </c>
      <c r="N2813">
        <v>27.2</v>
      </c>
      <c r="O2813">
        <v>29</v>
      </c>
      <c r="P2813">
        <v>31.5</v>
      </c>
      <c r="Q2813">
        <v>48.5</v>
      </c>
      <c r="R2813">
        <v>46</v>
      </c>
      <c r="S2813">
        <v>35.9</v>
      </c>
      <c r="T2813">
        <v>31.3</v>
      </c>
      <c r="U2813">
        <v>67.400000000000006</v>
      </c>
      <c r="V2813">
        <v>8</v>
      </c>
      <c r="W2813" cm="1">
        <f t="array" ref="W2813">_xlfn.IFS(OR(X2813="N/A",X2813="NA"),0,OR(X2813="R64",X2813="R68"),1,X2813="R32",2,X2813="S16",3,X2813="E8",4,X2813="F4",5,X2813="2ND",6,X2813="Champions",7)</f>
        <v>2</v>
      </c>
      <c r="X2813" t="s">
        <v>420</v>
      </c>
      <c r="Y2813">
        <v>3</v>
      </c>
      <c r="Z2813">
        <v>2022</v>
      </c>
    </row>
    <row r="2814" spans="1:26" x14ac:dyDescent="0.3">
      <c r="A2814" t="s">
        <v>63</v>
      </c>
      <c r="B2814" t="s">
        <v>31</v>
      </c>
      <c r="C2814">
        <v>37</v>
      </c>
      <c r="D2814">
        <v>29</v>
      </c>
      <c r="E2814" s="1">
        <f t="shared" si="43"/>
        <v>0.78378378378378377</v>
      </c>
      <c r="F2814">
        <v>121.6</v>
      </c>
      <c r="G2814">
        <v>97.5</v>
      </c>
      <c r="H2814">
        <v>0.92669999999999997</v>
      </c>
      <c r="I2814">
        <v>56.5</v>
      </c>
      <c r="J2814">
        <v>49.1</v>
      </c>
      <c r="K2814">
        <v>17.5</v>
      </c>
      <c r="L2814">
        <v>14</v>
      </c>
      <c r="M2814">
        <v>35.200000000000003</v>
      </c>
      <c r="N2814">
        <v>23.8</v>
      </c>
      <c r="O2814">
        <v>38.200000000000003</v>
      </c>
      <c r="P2814">
        <v>21.6</v>
      </c>
      <c r="Q2814">
        <v>55.8</v>
      </c>
      <c r="R2814">
        <v>48.6</v>
      </c>
      <c r="S2814">
        <v>38.4</v>
      </c>
      <c r="T2814">
        <v>33.200000000000003</v>
      </c>
      <c r="U2814">
        <v>66</v>
      </c>
      <c r="V2814">
        <v>7</v>
      </c>
      <c r="W2814" cm="1">
        <f t="array" ref="W2814">_xlfn.IFS(OR(X2814="N/A",X2814="NA"),0,OR(X2814="R64",X2814="R68"),1,X2814="R32",2,X2814="S16",3,X2814="E8",4,X2814="F4",5,X2814="2ND",6,X2814="Champions",7)</f>
        <v>3</v>
      </c>
      <c r="X2814" t="s">
        <v>424</v>
      </c>
      <c r="Y2814">
        <v>3</v>
      </c>
      <c r="Z2814">
        <v>2022</v>
      </c>
    </row>
    <row r="2815" spans="1:26" x14ac:dyDescent="0.3">
      <c r="A2815" t="s">
        <v>30</v>
      </c>
      <c r="B2815" t="s">
        <v>31</v>
      </c>
      <c r="C2815">
        <v>33</v>
      </c>
      <c r="D2815">
        <v>25</v>
      </c>
      <c r="E2815" s="1">
        <f t="shared" si="43"/>
        <v>0.75757575757575757</v>
      </c>
      <c r="F2815">
        <v>108.7</v>
      </c>
      <c r="G2815">
        <v>93.4</v>
      </c>
      <c r="H2815">
        <v>0.85109999999999997</v>
      </c>
      <c r="I2815">
        <v>47.7</v>
      </c>
      <c r="J2815">
        <v>49</v>
      </c>
      <c r="K2815">
        <v>13</v>
      </c>
      <c r="L2815">
        <v>17</v>
      </c>
      <c r="M2815">
        <v>25.9</v>
      </c>
      <c r="N2815">
        <v>24.4</v>
      </c>
      <c r="O2815">
        <v>32.4</v>
      </c>
      <c r="P2815">
        <v>27.2</v>
      </c>
      <c r="Q2815">
        <v>48.7</v>
      </c>
      <c r="R2815">
        <v>49</v>
      </c>
      <c r="S2815">
        <v>30.7</v>
      </c>
      <c r="T2815">
        <v>32.5</v>
      </c>
      <c r="U2815">
        <v>66.400000000000006</v>
      </c>
      <c r="V2815">
        <v>6.5</v>
      </c>
      <c r="W2815" cm="1">
        <f t="array" ref="W2815">_xlfn.IFS(OR(X2815="N/A",X2815="NA"),0,OR(X2815="R64",X2815="R68"),1,X2815="R32",2,X2815="S16",3,X2815="E8",4,X2815="F4",5,X2815="2ND",6,X2815="Champions",7)</f>
        <v>2</v>
      </c>
      <c r="X2815" t="s">
        <v>420</v>
      </c>
      <c r="Y2815">
        <v>3</v>
      </c>
      <c r="Z2815">
        <v>2022</v>
      </c>
    </row>
    <row r="2816" spans="1:26" x14ac:dyDescent="0.3">
      <c r="A2816" t="s">
        <v>324</v>
      </c>
      <c r="B2816" t="s">
        <v>38</v>
      </c>
      <c r="C2816">
        <v>35</v>
      </c>
      <c r="D2816">
        <v>27</v>
      </c>
      <c r="E2816" s="1">
        <f t="shared" si="43"/>
        <v>0.77142857142857146</v>
      </c>
      <c r="F2816">
        <v>115.8</v>
      </c>
      <c r="G2816">
        <v>92.2</v>
      </c>
      <c r="H2816">
        <v>0.93210000000000004</v>
      </c>
      <c r="I2816">
        <v>50.6</v>
      </c>
      <c r="J2816">
        <v>47.6</v>
      </c>
      <c r="K2816">
        <v>13.2</v>
      </c>
      <c r="L2816">
        <v>19.399999999999999</v>
      </c>
      <c r="M2816">
        <v>31.3</v>
      </c>
      <c r="N2816">
        <v>25.3</v>
      </c>
      <c r="O2816">
        <v>29.5</v>
      </c>
      <c r="P2816">
        <v>28.3</v>
      </c>
      <c r="Q2816">
        <v>49.5</v>
      </c>
      <c r="R2816">
        <v>47.3</v>
      </c>
      <c r="S2816">
        <v>35.4</v>
      </c>
      <c r="T2816">
        <v>32.1</v>
      </c>
      <c r="U2816">
        <v>65.400000000000006</v>
      </c>
      <c r="V2816">
        <v>5.0999999999999996</v>
      </c>
      <c r="W2816" cm="1">
        <f t="array" ref="W2816">_xlfn.IFS(OR(X2816="N/A",X2816="NA"),0,OR(X2816="R64",X2816="R68"),1,X2816="R32",2,X2816="S16",3,X2816="E8",4,X2816="F4",5,X2816="2ND",6,X2816="Champions",7)</f>
        <v>3</v>
      </c>
      <c r="X2816" t="s">
        <v>424</v>
      </c>
      <c r="Y2816">
        <v>4</v>
      </c>
      <c r="Z2816">
        <v>2022</v>
      </c>
    </row>
    <row r="2817" spans="1:26" x14ac:dyDescent="0.3">
      <c r="A2817" t="s">
        <v>141</v>
      </c>
      <c r="B2817" t="s">
        <v>31</v>
      </c>
      <c r="C2817">
        <v>33</v>
      </c>
      <c r="D2817">
        <v>23</v>
      </c>
      <c r="E2817" s="1">
        <f t="shared" si="43"/>
        <v>0.69696969696969702</v>
      </c>
      <c r="F2817">
        <v>111.9</v>
      </c>
      <c r="G2817">
        <v>93</v>
      </c>
      <c r="H2817">
        <v>0.89429999999999998</v>
      </c>
      <c r="I2817">
        <v>52.5</v>
      </c>
      <c r="J2817">
        <v>46</v>
      </c>
      <c r="K2817">
        <v>18.100000000000001</v>
      </c>
      <c r="L2817">
        <v>15.5</v>
      </c>
      <c r="M2817">
        <v>33.1</v>
      </c>
      <c r="N2817">
        <v>26.6</v>
      </c>
      <c r="O2817">
        <v>32</v>
      </c>
      <c r="P2817">
        <v>28.2</v>
      </c>
      <c r="Q2817">
        <v>51.4</v>
      </c>
      <c r="R2817">
        <v>45.2</v>
      </c>
      <c r="S2817">
        <v>35.9</v>
      </c>
      <c r="T2817">
        <v>31.9</v>
      </c>
      <c r="U2817">
        <v>67.099999999999994</v>
      </c>
      <c r="V2817">
        <v>4.2</v>
      </c>
      <c r="W2817" cm="1">
        <f t="array" ref="W2817">_xlfn.IFS(OR(X2817="N/A",X2817="NA"),0,OR(X2817="R64",X2817="R68"),1,X2817="R32",2,X2817="S16",3,X2817="E8",4,X2817="F4",5,X2817="2ND",6,X2817="Champions",7)</f>
        <v>2</v>
      </c>
      <c r="X2817" t="s">
        <v>420</v>
      </c>
      <c r="Y2817">
        <v>4</v>
      </c>
      <c r="Z2817">
        <v>2022</v>
      </c>
    </row>
    <row r="2818" spans="1:26" x14ac:dyDescent="0.3">
      <c r="A2818" t="s">
        <v>364</v>
      </c>
      <c r="B2818" t="s">
        <v>29</v>
      </c>
      <c r="C2818">
        <v>37</v>
      </c>
      <c r="D2818">
        <v>28</v>
      </c>
      <c r="E2818" s="1">
        <f t="shared" si="43"/>
        <v>0.7567567567567568</v>
      </c>
      <c r="F2818">
        <v>108.7</v>
      </c>
      <c r="G2818">
        <v>90.7</v>
      </c>
      <c r="H2818">
        <v>0.88939999999999997</v>
      </c>
      <c r="I2818">
        <v>48.6</v>
      </c>
      <c r="J2818">
        <v>47.5</v>
      </c>
      <c r="K2818">
        <v>16.899999999999999</v>
      </c>
      <c r="L2818">
        <v>20.5</v>
      </c>
      <c r="M2818">
        <v>29.6</v>
      </c>
      <c r="N2818">
        <v>25.3</v>
      </c>
      <c r="O2818">
        <v>37.200000000000003</v>
      </c>
      <c r="P2818">
        <v>31.9</v>
      </c>
      <c r="Q2818">
        <v>50.1</v>
      </c>
      <c r="R2818">
        <v>46.8</v>
      </c>
      <c r="S2818">
        <v>30.4</v>
      </c>
      <c r="T2818">
        <v>32.4</v>
      </c>
      <c r="U2818">
        <v>70.599999999999994</v>
      </c>
      <c r="V2818">
        <v>4.5</v>
      </c>
      <c r="W2818" cm="1">
        <f t="array" ref="W2818">_xlfn.IFS(OR(X2818="N/A",X2818="NA"),0,OR(X2818="R64",X2818="R68"),1,X2818="R32",2,X2818="S16",3,X2818="E8",4,X2818="F4",5,X2818="2ND",6,X2818="Champions",7)</f>
        <v>4</v>
      </c>
      <c r="X2818" t="s">
        <v>54</v>
      </c>
      <c r="Y2818">
        <v>4</v>
      </c>
      <c r="Z2818">
        <v>2022</v>
      </c>
    </row>
    <row r="2819" spans="1:26" x14ac:dyDescent="0.3">
      <c r="A2819" t="s">
        <v>162</v>
      </c>
      <c r="B2819" t="s">
        <v>33</v>
      </c>
      <c r="C2819">
        <v>33</v>
      </c>
      <c r="D2819">
        <v>27</v>
      </c>
      <c r="E2819" s="1">
        <f t="shared" ref="E2819:E2882" si="44">D2819/C2819</f>
        <v>0.81818181818181823</v>
      </c>
      <c r="F2819">
        <v>111.4</v>
      </c>
      <c r="G2819">
        <v>95.5</v>
      </c>
      <c r="H2819">
        <v>0.85540000000000005</v>
      </c>
      <c r="I2819">
        <v>50</v>
      </c>
      <c r="J2819">
        <v>46.3</v>
      </c>
      <c r="K2819">
        <v>17</v>
      </c>
      <c r="L2819">
        <v>15.6</v>
      </c>
      <c r="M2819">
        <v>30.3</v>
      </c>
      <c r="N2819">
        <v>27.4</v>
      </c>
      <c r="O2819">
        <v>37</v>
      </c>
      <c r="P2819">
        <v>27</v>
      </c>
      <c r="Q2819">
        <v>49</v>
      </c>
      <c r="R2819">
        <v>47.1</v>
      </c>
      <c r="S2819">
        <v>34.4</v>
      </c>
      <c r="T2819">
        <v>30</v>
      </c>
      <c r="U2819">
        <v>65.3</v>
      </c>
      <c r="V2819">
        <v>5.9</v>
      </c>
      <c r="W2819" cm="1">
        <f t="array" ref="W2819">_xlfn.IFS(OR(X2819="N/A",X2819="NA"),0,OR(X2819="R64",X2819="R68"),1,X2819="R32",2,X2819="S16",3,X2819="E8",4,X2819="F4",5,X2819="2ND",6,X2819="Champions",7)</f>
        <v>3</v>
      </c>
      <c r="X2819" t="s">
        <v>424</v>
      </c>
      <c r="Y2819">
        <v>4</v>
      </c>
      <c r="Z2819">
        <v>2022</v>
      </c>
    </row>
    <row r="2820" spans="1:26" x14ac:dyDescent="0.3">
      <c r="A2820" t="s">
        <v>122</v>
      </c>
      <c r="B2820" t="s">
        <v>50</v>
      </c>
      <c r="C2820">
        <v>38</v>
      </c>
      <c r="D2820">
        <v>32</v>
      </c>
      <c r="E2820" s="1">
        <f t="shared" si="44"/>
        <v>0.84210526315789469</v>
      </c>
      <c r="F2820">
        <v>116.5</v>
      </c>
      <c r="G2820">
        <v>88.5</v>
      </c>
      <c r="H2820">
        <v>0.95950000000000002</v>
      </c>
      <c r="I2820">
        <v>53.1</v>
      </c>
      <c r="J2820">
        <v>43.3</v>
      </c>
      <c r="K2820">
        <v>16.899999999999999</v>
      </c>
      <c r="L2820">
        <v>21.7</v>
      </c>
      <c r="M2820">
        <v>37.700000000000003</v>
      </c>
      <c r="N2820">
        <v>28</v>
      </c>
      <c r="O2820">
        <v>29</v>
      </c>
      <c r="P2820">
        <v>34.700000000000003</v>
      </c>
      <c r="Q2820">
        <v>54.5</v>
      </c>
      <c r="R2820">
        <v>43.4</v>
      </c>
      <c r="S2820">
        <v>33.799999999999997</v>
      </c>
      <c r="T2820">
        <v>28.8</v>
      </c>
      <c r="U2820">
        <v>63.7</v>
      </c>
      <c r="V2820">
        <v>6.2</v>
      </c>
      <c r="W2820" cm="1">
        <f t="array" ref="W2820">_xlfn.IFS(OR(X2820="N/A",X2820="NA"),0,OR(X2820="R64",X2820="R68"),1,X2820="R32",2,X2820="S16",3,X2820="E8",4,X2820="F4",5,X2820="2ND",6,X2820="Champions",7)</f>
        <v>4</v>
      </c>
      <c r="X2820" t="s">
        <v>54</v>
      </c>
      <c r="Y2820">
        <v>5</v>
      </c>
      <c r="Z2820">
        <v>2022</v>
      </c>
    </row>
    <row r="2821" spans="1:26" x14ac:dyDescent="0.3">
      <c r="A2821" t="s">
        <v>148</v>
      </c>
      <c r="B2821" t="s">
        <v>31</v>
      </c>
      <c r="C2821">
        <v>36</v>
      </c>
      <c r="D2821">
        <v>26</v>
      </c>
      <c r="E2821" s="1">
        <f t="shared" si="44"/>
        <v>0.72222222222222221</v>
      </c>
      <c r="F2821">
        <v>121.1</v>
      </c>
      <c r="G2821">
        <v>97.2</v>
      </c>
      <c r="H2821">
        <v>0.92649999999999999</v>
      </c>
      <c r="I2821">
        <v>53.3</v>
      </c>
      <c r="J2821">
        <v>49.7</v>
      </c>
      <c r="K2821">
        <v>13</v>
      </c>
      <c r="L2821">
        <v>19.2</v>
      </c>
      <c r="M2821">
        <v>32.299999999999997</v>
      </c>
      <c r="N2821">
        <v>30</v>
      </c>
      <c r="O2821">
        <v>30</v>
      </c>
      <c r="P2821">
        <v>26.3</v>
      </c>
      <c r="Q2821">
        <v>52.5</v>
      </c>
      <c r="R2821">
        <v>49.9</v>
      </c>
      <c r="S2821">
        <v>36.299999999999997</v>
      </c>
      <c r="T2821">
        <v>32.9</v>
      </c>
      <c r="U2821">
        <v>69.8</v>
      </c>
      <c r="V2821">
        <v>4.5</v>
      </c>
      <c r="W2821" cm="1">
        <f t="array" ref="W2821">_xlfn.IFS(OR(X2821="N/A",X2821="NA"),0,OR(X2821="R64",X2821="R68"),1,X2821="R32",2,X2821="S16",3,X2821="E8",4,X2821="F4",5,X2821="2ND",6,X2821="Champions",7)</f>
        <v>1</v>
      </c>
      <c r="X2821" t="s">
        <v>422</v>
      </c>
      <c r="Y2821">
        <v>5</v>
      </c>
      <c r="Z2821">
        <v>2022</v>
      </c>
    </row>
    <row r="2822" spans="1:26" x14ac:dyDescent="0.3">
      <c r="A2822" t="s">
        <v>413</v>
      </c>
      <c r="B2822" t="s">
        <v>37</v>
      </c>
      <c r="C2822">
        <v>33</v>
      </c>
      <c r="D2822">
        <v>26</v>
      </c>
      <c r="E2822" s="1">
        <f t="shared" si="44"/>
        <v>0.78787878787878785</v>
      </c>
      <c r="F2822">
        <v>109.8</v>
      </c>
      <c r="G2822">
        <v>90.5</v>
      </c>
      <c r="H2822">
        <v>0.90239999999999998</v>
      </c>
      <c r="I2822">
        <v>52.7</v>
      </c>
      <c r="J2822">
        <v>48.3</v>
      </c>
      <c r="K2822">
        <v>17</v>
      </c>
      <c r="L2822">
        <v>19.2</v>
      </c>
      <c r="M2822">
        <v>27.4</v>
      </c>
      <c r="N2822">
        <v>21.7</v>
      </c>
      <c r="O2822">
        <v>23.3</v>
      </c>
      <c r="P2822">
        <v>25.1</v>
      </c>
      <c r="Q2822">
        <v>52.5</v>
      </c>
      <c r="R2822">
        <v>47</v>
      </c>
      <c r="S2822">
        <v>35.5</v>
      </c>
      <c r="T2822">
        <v>34.299999999999997</v>
      </c>
      <c r="U2822">
        <v>63.7</v>
      </c>
      <c r="V2822">
        <v>3.9</v>
      </c>
      <c r="W2822" cm="1">
        <f t="array" ref="W2822">_xlfn.IFS(OR(X2822="N/A",X2822="NA"),0,OR(X2822="R64",X2822="R68"),1,X2822="R32",2,X2822="S16",3,X2822="E8",4,X2822="F4",5,X2822="2ND",6,X2822="Champions",7)</f>
        <v>2</v>
      </c>
      <c r="X2822" t="s">
        <v>420</v>
      </c>
      <c r="Y2822">
        <v>5</v>
      </c>
      <c r="Z2822">
        <v>2022</v>
      </c>
    </row>
    <row r="2823" spans="1:26" x14ac:dyDescent="0.3">
      <c r="A2823" t="s">
        <v>49</v>
      </c>
      <c r="B2823" t="s">
        <v>33</v>
      </c>
      <c r="C2823">
        <v>33</v>
      </c>
      <c r="D2823">
        <v>23</v>
      </c>
      <c r="E2823" s="1">
        <f t="shared" si="44"/>
        <v>0.69696969696969702</v>
      </c>
      <c r="F2823">
        <v>113.2</v>
      </c>
      <c r="G2823">
        <v>95.9</v>
      </c>
      <c r="H2823">
        <v>0.87090000000000001</v>
      </c>
      <c r="I2823">
        <v>49.6</v>
      </c>
      <c r="J2823">
        <v>46</v>
      </c>
      <c r="K2823">
        <v>17.3</v>
      </c>
      <c r="L2823">
        <v>18</v>
      </c>
      <c r="M2823">
        <v>37.9</v>
      </c>
      <c r="N2823">
        <v>27.6</v>
      </c>
      <c r="O2823">
        <v>30.5</v>
      </c>
      <c r="P2823">
        <v>31.7</v>
      </c>
      <c r="Q2823">
        <v>48</v>
      </c>
      <c r="R2823">
        <v>42.6</v>
      </c>
      <c r="S2823">
        <v>35.200000000000003</v>
      </c>
      <c r="T2823">
        <v>35.299999999999997</v>
      </c>
      <c r="U2823">
        <v>65</v>
      </c>
      <c r="V2823">
        <v>3.1</v>
      </c>
      <c r="W2823" cm="1">
        <f t="array" ref="W2823">_xlfn.IFS(OR(X2823="N/A",X2823="NA"),0,OR(X2823="R64",X2823="R68"),1,X2823="R32",2,X2823="S16",3,X2823="E8",4,X2823="F4",5,X2823="2ND",6,X2823="Champions",7)</f>
        <v>1</v>
      </c>
      <c r="X2823" t="s">
        <v>422</v>
      </c>
      <c r="Y2823">
        <v>5</v>
      </c>
      <c r="Z2823">
        <v>2022</v>
      </c>
    </row>
    <row r="2824" spans="1:26" x14ac:dyDescent="0.3">
      <c r="A2824" t="s">
        <v>152</v>
      </c>
      <c r="B2824" t="s">
        <v>35</v>
      </c>
      <c r="C2824">
        <v>34</v>
      </c>
      <c r="D2824">
        <v>22</v>
      </c>
      <c r="E2824" s="1">
        <f t="shared" si="44"/>
        <v>0.6470588235294118</v>
      </c>
      <c r="F2824">
        <v>112.5</v>
      </c>
      <c r="G2824">
        <v>91.5</v>
      </c>
      <c r="H2824">
        <v>0.91520000000000001</v>
      </c>
      <c r="I2824">
        <v>50.1</v>
      </c>
      <c r="J2824">
        <v>47</v>
      </c>
      <c r="K2824">
        <v>17.8</v>
      </c>
      <c r="L2824">
        <v>23</v>
      </c>
      <c r="M2824">
        <v>31.6</v>
      </c>
      <c r="N2824">
        <v>29.8</v>
      </c>
      <c r="O2824">
        <v>32</v>
      </c>
      <c r="P2824">
        <v>39</v>
      </c>
      <c r="Q2824">
        <v>50.5</v>
      </c>
      <c r="R2824">
        <v>46.6</v>
      </c>
      <c r="S2824">
        <v>33</v>
      </c>
      <c r="T2824">
        <v>31.8</v>
      </c>
      <c r="U2824">
        <v>63.5</v>
      </c>
      <c r="V2824">
        <v>3.4</v>
      </c>
      <c r="W2824" cm="1">
        <f t="array" ref="W2824">_xlfn.IFS(OR(X2824="N/A",X2824="NA"),0,OR(X2824="R64",X2824="R68"),1,X2824="R32",2,X2824="S16",3,X2824="E8",4,X2824="F4",5,X2824="2ND",6,X2824="Champions",7)</f>
        <v>2</v>
      </c>
      <c r="X2824" t="s">
        <v>420</v>
      </c>
      <c r="Y2824">
        <v>6</v>
      </c>
      <c r="Z2824">
        <v>2022</v>
      </c>
    </row>
    <row r="2825" spans="1:26" x14ac:dyDescent="0.3">
      <c r="A2825" t="s">
        <v>366</v>
      </c>
      <c r="B2825" t="s">
        <v>29</v>
      </c>
      <c r="C2825">
        <v>34</v>
      </c>
      <c r="D2825">
        <v>22</v>
      </c>
      <c r="E2825" s="1">
        <f t="shared" si="44"/>
        <v>0.6470588235294118</v>
      </c>
      <c r="F2825">
        <v>106.3</v>
      </c>
      <c r="G2825">
        <v>89.6</v>
      </c>
      <c r="H2825">
        <v>0.87660000000000005</v>
      </c>
      <c r="I2825">
        <v>49.4</v>
      </c>
      <c r="J2825">
        <v>45.1</v>
      </c>
      <c r="K2825">
        <v>20.7</v>
      </c>
      <c r="L2825">
        <v>25.1</v>
      </c>
      <c r="M2825">
        <v>33.799999999999997</v>
      </c>
      <c r="N2825">
        <v>30.9</v>
      </c>
      <c r="O2825">
        <v>33.4</v>
      </c>
      <c r="P2825">
        <v>37.799999999999997</v>
      </c>
      <c r="Q2825">
        <v>50.4</v>
      </c>
      <c r="R2825">
        <v>47.6</v>
      </c>
      <c r="S2825">
        <v>31.6</v>
      </c>
      <c r="T2825">
        <v>28.2</v>
      </c>
      <c r="U2825">
        <v>68.7</v>
      </c>
      <c r="V2825">
        <v>2.2999999999999998</v>
      </c>
      <c r="W2825" cm="1">
        <f t="array" ref="W2825">_xlfn.IFS(OR(X2825="N/A",X2825="NA"),0,OR(X2825="R64",X2825="R68"),1,X2825="R32",2,X2825="S16",3,X2825="E8",4,X2825="F4",5,X2825="2ND",6,X2825="Champions",7)</f>
        <v>1</v>
      </c>
      <c r="X2825" t="s">
        <v>422</v>
      </c>
      <c r="Y2825">
        <v>6</v>
      </c>
      <c r="Z2825">
        <v>2022</v>
      </c>
    </row>
    <row r="2826" spans="1:26" x14ac:dyDescent="0.3">
      <c r="A2826" t="s">
        <v>358</v>
      </c>
      <c r="B2826" t="s">
        <v>29</v>
      </c>
      <c r="C2826">
        <v>33</v>
      </c>
      <c r="D2826">
        <v>19</v>
      </c>
      <c r="E2826" s="1">
        <f t="shared" si="44"/>
        <v>0.5757575757575758</v>
      </c>
      <c r="F2826">
        <v>115.2</v>
      </c>
      <c r="G2826">
        <v>98.3</v>
      </c>
      <c r="H2826">
        <v>0.86119999999999997</v>
      </c>
      <c r="I2826">
        <v>51.3</v>
      </c>
      <c r="J2826">
        <v>49.8</v>
      </c>
      <c r="K2826">
        <v>19.8</v>
      </c>
      <c r="L2826">
        <v>17.899999999999999</v>
      </c>
      <c r="M2826">
        <v>35.299999999999997</v>
      </c>
      <c r="N2826">
        <v>30.5</v>
      </c>
      <c r="O2826">
        <v>32.9</v>
      </c>
      <c r="P2826">
        <v>34.799999999999997</v>
      </c>
      <c r="Q2826">
        <v>55.9</v>
      </c>
      <c r="R2826">
        <v>49.3</v>
      </c>
      <c r="S2826">
        <v>30.9</v>
      </c>
      <c r="T2826">
        <v>33.799999999999997</v>
      </c>
      <c r="U2826">
        <v>71.8</v>
      </c>
      <c r="V2826">
        <v>2</v>
      </c>
      <c r="W2826" cm="1">
        <f t="array" ref="W2826">_xlfn.IFS(OR(X2826="N/A",X2826="NA"),0,OR(X2826="R64",X2826="R68"),1,X2826="R32",2,X2826="S16",3,X2826="E8",4,X2826="F4",5,X2826="2ND",6,X2826="Champions",7)</f>
        <v>1</v>
      </c>
      <c r="X2826" t="s">
        <v>422</v>
      </c>
      <c r="Y2826">
        <v>6</v>
      </c>
      <c r="Z2826">
        <v>2022</v>
      </c>
    </row>
    <row r="2827" spans="1:26" x14ac:dyDescent="0.3">
      <c r="A2827" t="s">
        <v>284</v>
      </c>
      <c r="B2827" t="s">
        <v>55</v>
      </c>
      <c r="C2827">
        <v>30</v>
      </c>
      <c r="D2827">
        <v>25</v>
      </c>
      <c r="E2827" s="1">
        <f t="shared" si="44"/>
        <v>0.83333333333333337</v>
      </c>
      <c r="F2827">
        <v>111.9</v>
      </c>
      <c r="G2827">
        <v>98.1</v>
      </c>
      <c r="H2827">
        <v>0.81899999999999995</v>
      </c>
      <c r="I2827">
        <v>54.8</v>
      </c>
      <c r="J2827">
        <v>50.1</v>
      </c>
      <c r="K2827">
        <v>15.2</v>
      </c>
      <c r="L2827">
        <v>18.5</v>
      </c>
      <c r="M2827">
        <v>21.9</v>
      </c>
      <c r="N2827">
        <v>25</v>
      </c>
      <c r="O2827">
        <v>29.6</v>
      </c>
      <c r="P2827">
        <v>25.6</v>
      </c>
      <c r="Q2827">
        <v>55.7</v>
      </c>
      <c r="R2827">
        <v>51</v>
      </c>
      <c r="S2827">
        <v>35.6</v>
      </c>
      <c r="T2827">
        <v>32.700000000000003</v>
      </c>
      <c r="U2827">
        <v>65.599999999999994</v>
      </c>
      <c r="V2827">
        <v>4.3</v>
      </c>
      <c r="W2827" cm="1">
        <f t="array" ref="W2827">_xlfn.IFS(OR(X2827="N/A",X2827="NA"),0,OR(X2827="R64",X2827="R68"),1,X2827="R32",2,X2827="S16",3,X2827="E8",4,X2827="F4",5,X2827="2ND",6,X2827="Champions",7)</f>
        <v>1</v>
      </c>
      <c r="X2827" t="s">
        <v>422</v>
      </c>
      <c r="Y2827">
        <v>6</v>
      </c>
      <c r="Z2827">
        <v>2022</v>
      </c>
    </row>
    <row r="2828" spans="1:26" x14ac:dyDescent="0.3">
      <c r="A2828" t="s">
        <v>80</v>
      </c>
      <c r="B2828" t="s">
        <v>31</v>
      </c>
      <c r="C2828">
        <v>32</v>
      </c>
      <c r="D2828">
        <v>20</v>
      </c>
      <c r="E2828" s="1">
        <f t="shared" si="44"/>
        <v>0.625</v>
      </c>
      <c r="F2828">
        <v>115.5</v>
      </c>
      <c r="G2828">
        <v>98.5</v>
      </c>
      <c r="H2828">
        <v>0.86119999999999997</v>
      </c>
      <c r="I2828">
        <v>54.3</v>
      </c>
      <c r="J2828">
        <v>47.6</v>
      </c>
      <c r="K2828">
        <v>17.100000000000001</v>
      </c>
      <c r="L2828">
        <v>15.5</v>
      </c>
      <c r="M2828">
        <v>29.3</v>
      </c>
      <c r="N2828">
        <v>28.7</v>
      </c>
      <c r="O2828">
        <v>33.4</v>
      </c>
      <c r="P2828">
        <v>29.1</v>
      </c>
      <c r="Q2828">
        <v>54</v>
      </c>
      <c r="R2828">
        <v>45.8</v>
      </c>
      <c r="S2828">
        <v>36.5</v>
      </c>
      <c r="T2828">
        <v>33.799999999999997</v>
      </c>
      <c r="U2828">
        <v>65.099999999999994</v>
      </c>
      <c r="V2828">
        <v>1.3</v>
      </c>
      <c r="W2828" cm="1">
        <f t="array" ref="W2828">_xlfn.IFS(OR(X2828="N/A",X2828="NA"),0,OR(X2828="R64",X2828="R68"),1,X2828="R32",2,X2828="S16",3,X2828="E8",4,X2828="F4",5,X2828="2ND",6,X2828="Champions",7)</f>
        <v>2</v>
      </c>
      <c r="X2828" t="s">
        <v>420</v>
      </c>
      <c r="Y2828">
        <v>7</v>
      </c>
      <c r="Z2828">
        <v>2022</v>
      </c>
    </row>
    <row r="2829" spans="1:26" x14ac:dyDescent="0.3">
      <c r="A2829" t="s">
        <v>78</v>
      </c>
      <c r="B2829" t="s">
        <v>31</v>
      </c>
      <c r="C2829">
        <v>36</v>
      </c>
      <c r="D2829">
        <v>23</v>
      </c>
      <c r="E2829" s="1">
        <f t="shared" si="44"/>
        <v>0.63888888888888884</v>
      </c>
      <c r="F2829">
        <v>111.6</v>
      </c>
      <c r="G2829">
        <v>96.6</v>
      </c>
      <c r="H2829">
        <v>0.84050000000000002</v>
      </c>
      <c r="I2829">
        <v>52</v>
      </c>
      <c r="J2829">
        <v>48.1</v>
      </c>
      <c r="K2829">
        <v>18.8</v>
      </c>
      <c r="L2829">
        <v>15.3</v>
      </c>
      <c r="M2829">
        <v>30.7</v>
      </c>
      <c r="N2829">
        <v>27.1</v>
      </c>
      <c r="O2829">
        <v>29.9</v>
      </c>
      <c r="P2829">
        <v>28.3</v>
      </c>
      <c r="Q2829">
        <v>49.6</v>
      </c>
      <c r="R2829">
        <v>48.5</v>
      </c>
      <c r="S2829">
        <v>37.799999999999997</v>
      </c>
      <c r="T2829">
        <v>31.6</v>
      </c>
      <c r="U2829">
        <v>67.599999999999994</v>
      </c>
      <c r="V2829">
        <v>2.9</v>
      </c>
      <c r="W2829" cm="1">
        <f t="array" ref="W2829">_xlfn.IFS(OR(X2829="N/A",X2829="NA"),0,OR(X2829="R64",X2829="R68"),1,X2829="R32",2,X2829="S16",3,X2829="E8",4,X2829="F4",5,X2829="2ND",6,X2829="Champions",7)</f>
        <v>2</v>
      </c>
      <c r="X2829" t="s">
        <v>420</v>
      </c>
      <c r="Y2829">
        <v>7</v>
      </c>
      <c r="Z2829">
        <v>2022</v>
      </c>
    </row>
    <row r="2830" spans="1:26" x14ac:dyDescent="0.3">
      <c r="A2830" t="s">
        <v>309</v>
      </c>
      <c r="B2830" t="s">
        <v>64</v>
      </c>
      <c r="C2830">
        <v>31</v>
      </c>
      <c r="D2830">
        <v>31</v>
      </c>
      <c r="E2830" s="1">
        <f t="shared" si="44"/>
        <v>1</v>
      </c>
      <c r="F2830">
        <v>110</v>
      </c>
      <c r="G2830">
        <v>96.2</v>
      </c>
      <c r="H2830">
        <v>0.82410000000000005</v>
      </c>
      <c r="I2830">
        <v>52.6</v>
      </c>
      <c r="J2830">
        <v>48.1</v>
      </c>
      <c r="K2830">
        <v>17.100000000000001</v>
      </c>
      <c r="L2830">
        <v>20.399999999999999</v>
      </c>
      <c r="M2830">
        <v>35.299999999999997</v>
      </c>
      <c r="N2830">
        <v>25.7</v>
      </c>
      <c r="O2830">
        <v>32.4</v>
      </c>
      <c r="P2830">
        <v>26</v>
      </c>
      <c r="Q2830">
        <v>53.2</v>
      </c>
      <c r="R2830">
        <v>50.5</v>
      </c>
      <c r="S2830">
        <v>34.5</v>
      </c>
      <c r="T2830">
        <v>29.7</v>
      </c>
      <c r="U2830">
        <v>66</v>
      </c>
      <c r="V2830">
        <v>3.5</v>
      </c>
      <c r="W2830" cm="1">
        <f t="array" ref="W2830">_xlfn.IFS(OR(X2830="N/A",X2830="NA"),0,OR(X2830="R64",X2830="R68"),1,X2830="R32",2,X2830="S16",3,X2830="E8",4,X2830="F4",5,X2830="2ND",6,X2830="Champions",7)</f>
        <v>2</v>
      </c>
      <c r="X2830" t="s">
        <v>420</v>
      </c>
      <c r="Y2830">
        <v>7</v>
      </c>
      <c r="Z2830">
        <v>2022</v>
      </c>
    </row>
    <row r="2831" spans="1:26" x14ac:dyDescent="0.3">
      <c r="A2831" t="s">
        <v>321</v>
      </c>
      <c r="B2831" t="s">
        <v>38</v>
      </c>
      <c r="C2831">
        <v>34</v>
      </c>
      <c r="D2831">
        <v>26</v>
      </c>
      <c r="E2831" s="1">
        <f t="shared" si="44"/>
        <v>0.76470588235294112</v>
      </c>
      <c r="F2831">
        <v>108.6</v>
      </c>
      <c r="G2831">
        <v>96.2</v>
      </c>
      <c r="H2831">
        <v>0.80210000000000004</v>
      </c>
      <c r="I2831">
        <v>51.2</v>
      </c>
      <c r="J2831">
        <v>44.7</v>
      </c>
      <c r="K2831">
        <v>17.899999999999999</v>
      </c>
      <c r="L2831">
        <v>14.4</v>
      </c>
      <c r="M2831">
        <v>33.5</v>
      </c>
      <c r="N2831">
        <v>26.7</v>
      </c>
      <c r="O2831">
        <v>30.9</v>
      </c>
      <c r="P2831">
        <v>26.8</v>
      </c>
      <c r="Q2831">
        <v>50.1</v>
      </c>
      <c r="R2831">
        <v>42</v>
      </c>
      <c r="S2831">
        <v>35.700000000000003</v>
      </c>
      <c r="T2831">
        <v>33.200000000000003</v>
      </c>
      <c r="U2831">
        <v>66.2</v>
      </c>
      <c r="V2831">
        <v>4.0999999999999996</v>
      </c>
      <c r="W2831" cm="1">
        <f t="array" ref="W2831">_xlfn.IFS(OR(X2831="N/A",X2831="NA"),0,OR(X2831="R64",X2831="R68"),1,X2831="R32",2,X2831="S16",3,X2831="E8",4,X2831="F4",5,X2831="2ND",6,X2831="Champions",7)</f>
        <v>1</v>
      </c>
      <c r="X2831" t="s">
        <v>422</v>
      </c>
      <c r="Y2831">
        <v>7</v>
      </c>
      <c r="Z2831">
        <v>2022</v>
      </c>
    </row>
    <row r="2832" spans="1:26" x14ac:dyDescent="0.3">
      <c r="A2832" t="s">
        <v>27</v>
      </c>
      <c r="B2832" t="s">
        <v>26</v>
      </c>
      <c r="C2832">
        <v>39</v>
      </c>
      <c r="D2832">
        <v>29</v>
      </c>
      <c r="E2832" s="1">
        <f t="shared" si="44"/>
        <v>0.74358974358974361</v>
      </c>
      <c r="F2832">
        <v>114.4</v>
      </c>
      <c r="G2832">
        <v>93.5</v>
      </c>
      <c r="H2832">
        <v>0.9113</v>
      </c>
      <c r="I2832">
        <v>51.5</v>
      </c>
      <c r="J2832">
        <v>48.6</v>
      </c>
      <c r="K2832">
        <v>16.399999999999999</v>
      </c>
      <c r="L2832">
        <v>13.6</v>
      </c>
      <c r="M2832">
        <v>31.9</v>
      </c>
      <c r="N2832">
        <v>21.6</v>
      </c>
      <c r="O2832">
        <v>30.3</v>
      </c>
      <c r="P2832">
        <v>21.4</v>
      </c>
      <c r="Q2832">
        <v>50.1</v>
      </c>
      <c r="R2832">
        <v>47.5</v>
      </c>
      <c r="S2832">
        <v>35.799999999999997</v>
      </c>
      <c r="T2832">
        <v>33.700000000000003</v>
      </c>
      <c r="U2832">
        <v>70.099999999999994</v>
      </c>
      <c r="V2832">
        <v>4.3</v>
      </c>
      <c r="W2832" cm="1">
        <f t="array" ref="W2832">_xlfn.IFS(OR(X2832="N/A",X2832="NA"),0,OR(X2832="R64",X2832="R68"),1,X2832="R32",2,X2832="S16",3,X2832="E8",4,X2832="F4",5,X2832="2ND",6,X2832="Champions",7)</f>
        <v>6</v>
      </c>
      <c r="X2832" t="s">
        <v>28</v>
      </c>
      <c r="Y2832">
        <v>8</v>
      </c>
      <c r="Z2832">
        <v>2022</v>
      </c>
    </row>
    <row r="2833" spans="1:26" x14ac:dyDescent="0.3">
      <c r="A2833" t="s">
        <v>292</v>
      </c>
      <c r="B2833" t="s">
        <v>55</v>
      </c>
      <c r="C2833">
        <v>32</v>
      </c>
      <c r="D2833">
        <v>23</v>
      </c>
      <c r="E2833" s="1">
        <f t="shared" si="44"/>
        <v>0.71875</v>
      </c>
      <c r="F2833">
        <v>102.4</v>
      </c>
      <c r="G2833">
        <v>86.9</v>
      </c>
      <c r="H2833">
        <v>0.86750000000000005</v>
      </c>
      <c r="I2833">
        <v>48.7</v>
      </c>
      <c r="J2833">
        <v>44.1</v>
      </c>
      <c r="K2833">
        <v>19.3</v>
      </c>
      <c r="L2833">
        <v>21.9</v>
      </c>
      <c r="M2833">
        <v>29.5</v>
      </c>
      <c r="N2833">
        <v>27.3</v>
      </c>
      <c r="O2833">
        <v>31.1</v>
      </c>
      <c r="P2833">
        <v>31</v>
      </c>
      <c r="Q2833">
        <v>46.7</v>
      </c>
      <c r="R2833">
        <v>43.5</v>
      </c>
      <c r="S2833">
        <v>35.4</v>
      </c>
      <c r="T2833">
        <v>30</v>
      </c>
      <c r="U2833">
        <v>65.3</v>
      </c>
      <c r="V2833">
        <v>2.6</v>
      </c>
      <c r="W2833" cm="1">
        <f t="array" ref="W2833">_xlfn.IFS(OR(X2833="N/A",X2833="NA"),0,OR(X2833="R64",X2833="R68"),1,X2833="R32",2,X2833="S16",3,X2833="E8",4,X2833="F4",5,X2833="2ND",6,X2833="Champions",7)</f>
        <v>1</v>
      </c>
      <c r="X2833" t="s">
        <v>422</v>
      </c>
      <c r="Y2833">
        <v>8</v>
      </c>
      <c r="Z2833">
        <v>2022</v>
      </c>
    </row>
    <row r="2834" spans="1:26" x14ac:dyDescent="0.3">
      <c r="A2834" t="s">
        <v>291</v>
      </c>
      <c r="B2834" t="s">
        <v>55</v>
      </c>
      <c r="C2834">
        <v>34</v>
      </c>
      <c r="D2834">
        <v>27</v>
      </c>
      <c r="E2834" s="1">
        <f t="shared" si="44"/>
        <v>0.79411764705882348</v>
      </c>
      <c r="F2834">
        <v>107.6</v>
      </c>
      <c r="G2834">
        <v>92.9</v>
      </c>
      <c r="H2834">
        <v>0.84340000000000004</v>
      </c>
      <c r="I2834">
        <v>50.7</v>
      </c>
      <c r="J2834">
        <v>48.3</v>
      </c>
      <c r="K2834">
        <v>18.399999999999999</v>
      </c>
      <c r="L2834">
        <v>20.2</v>
      </c>
      <c r="M2834">
        <v>30.6</v>
      </c>
      <c r="N2834">
        <v>22.4</v>
      </c>
      <c r="O2834">
        <v>35.200000000000003</v>
      </c>
      <c r="P2834">
        <v>25.9</v>
      </c>
      <c r="Q2834">
        <v>50.6</v>
      </c>
      <c r="R2834">
        <v>48</v>
      </c>
      <c r="S2834">
        <v>34</v>
      </c>
      <c r="T2834">
        <v>32.6</v>
      </c>
      <c r="U2834">
        <v>64.5</v>
      </c>
      <c r="V2834">
        <v>3.5</v>
      </c>
      <c r="W2834" cm="1">
        <f t="array" ref="W2834">_xlfn.IFS(OR(X2834="N/A",X2834="NA"),0,OR(X2834="R64",X2834="R68"),1,X2834="R32",2,X2834="S16",3,X2834="E8",4,X2834="F4",5,X2834="2ND",6,X2834="Champions",7)</f>
        <v>1</v>
      </c>
      <c r="X2834" t="s">
        <v>422</v>
      </c>
      <c r="Y2834">
        <v>8</v>
      </c>
      <c r="Z2834">
        <v>2022</v>
      </c>
    </row>
    <row r="2835" spans="1:26" x14ac:dyDescent="0.3">
      <c r="A2835" t="s">
        <v>158</v>
      </c>
      <c r="B2835" t="s">
        <v>33</v>
      </c>
      <c r="C2835">
        <v>31</v>
      </c>
      <c r="D2835">
        <v>21</v>
      </c>
      <c r="E2835" s="1">
        <f t="shared" si="44"/>
        <v>0.67741935483870963</v>
      </c>
      <c r="F2835">
        <v>105.4</v>
      </c>
      <c r="G2835">
        <v>93.4</v>
      </c>
      <c r="H2835">
        <v>0.8</v>
      </c>
      <c r="I2835">
        <v>47.2</v>
      </c>
      <c r="J2835">
        <v>45.6</v>
      </c>
      <c r="K2835">
        <v>17.7</v>
      </c>
      <c r="L2835">
        <v>18.5</v>
      </c>
      <c r="M2835">
        <v>32.299999999999997</v>
      </c>
      <c r="N2835">
        <v>29.1</v>
      </c>
      <c r="O2835">
        <v>30.5</v>
      </c>
      <c r="P2835">
        <v>27.8</v>
      </c>
      <c r="Q2835">
        <v>45.8</v>
      </c>
      <c r="R2835">
        <v>45.1</v>
      </c>
      <c r="S2835">
        <v>33.200000000000003</v>
      </c>
      <c r="T2835">
        <v>31.1</v>
      </c>
      <c r="U2835">
        <v>67.599999999999994</v>
      </c>
      <c r="V2835">
        <v>1.9</v>
      </c>
      <c r="W2835" cm="1">
        <f t="array" ref="W2835">_xlfn.IFS(OR(X2835="N/A",X2835="NA"),0,OR(X2835="R64",X2835="R68"),1,X2835="R32",2,X2835="S16",3,X2835="E8",4,X2835="F4",5,X2835="2ND",6,X2835="Champions",7)</f>
        <v>1</v>
      </c>
      <c r="X2835" t="s">
        <v>422</v>
      </c>
      <c r="Y2835">
        <v>8</v>
      </c>
      <c r="Z2835">
        <v>2022</v>
      </c>
    </row>
    <row r="2836" spans="1:26" x14ac:dyDescent="0.3">
      <c r="A2836" t="s">
        <v>123</v>
      </c>
      <c r="B2836" t="s">
        <v>50</v>
      </c>
      <c r="C2836">
        <v>33</v>
      </c>
      <c r="D2836">
        <v>22</v>
      </c>
      <c r="E2836" s="1">
        <f t="shared" si="44"/>
        <v>0.66666666666666663</v>
      </c>
      <c r="F2836">
        <v>112.4</v>
      </c>
      <c r="G2836">
        <v>92.6</v>
      </c>
      <c r="H2836">
        <v>0.90280000000000005</v>
      </c>
      <c r="I2836">
        <v>52.3</v>
      </c>
      <c r="J2836">
        <v>46.6</v>
      </c>
      <c r="K2836">
        <v>22.5</v>
      </c>
      <c r="L2836">
        <v>20.399999999999999</v>
      </c>
      <c r="M2836">
        <v>37.4</v>
      </c>
      <c r="N2836">
        <v>30.9</v>
      </c>
      <c r="O2836">
        <v>37.799999999999997</v>
      </c>
      <c r="P2836">
        <v>33.200000000000003</v>
      </c>
      <c r="Q2836">
        <v>51.9</v>
      </c>
      <c r="R2836">
        <v>45.5</v>
      </c>
      <c r="S2836">
        <v>35.5</v>
      </c>
      <c r="T2836">
        <v>32</v>
      </c>
      <c r="U2836">
        <v>70</v>
      </c>
      <c r="V2836">
        <v>1.4</v>
      </c>
      <c r="W2836" cm="1">
        <f t="array" ref="W2836">_xlfn.IFS(OR(X2836="N/A",X2836="NA"),0,OR(X2836="R64",X2836="R68"),1,X2836="R32",2,X2836="S16",3,X2836="E8",4,X2836="F4",5,X2836="2ND",6,X2836="Champions",7)</f>
        <v>2</v>
      </c>
      <c r="X2836" t="s">
        <v>420</v>
      </c>
      <c r="Y2836">
        <v>9</v>
      </c>
      <c r="Z2836">
        <v>2022</v>
      </c>
    </row>
    <row r="2837" spans="1:26" x14ac:dyDescent="0.3">
      <c r="A2837" t="s">
        <v>150</v>
      </c>
      <c r="B2837" t="s">
        <v>35</v>
      </c>
      <c r="C2837">
        <v>34</v>
      </c>
      <c r="D2837">
        <v>21</v>
      </c>
      <c r="E2837" s="1">
        <f t="shared" si="44"/>
        <v>0.61764705882352944</v>
      </c>
      <c r="F2837">
        <v>108.6</v>
      </c>
      <c r="G2837">
        <v>92.1</v>
      </c>
      <c r="H2837">
        <v>0.86980000000000002</v>
      </c>
      <c r="I2837">
        <v>48.7</v>
      </c>
      <c r="J2837">
        <v>47.4</v>
      </c>
      <c r="K2837">
        <v>21.4</v>
      </c>
      <c r="L2837">
        <v>18.600000000000001</v>
      </c>
      <c r="M2837">
        <v>37.700000000000003</v>
      </c>
      <c r="N2837">
        <v>26.1</v>
      </c>
      <c r="O2837">
        <v>31.4</v>
      </c>
      <c r="P2837">
        <v>26.9</v>
      </c>
      <c r="Q2837">
        <v>50.3</v>
      </c>
      <c r="R2837">
        <v>48</v>
      </c>
      <c r="S2837">
        <v>30.2</v>
      </c>
      <c r="T2837">
        <v>30.9</v>
      </c>
      <c r="U2837">
        <v>65.900000000000006</v>
      </c>
      <c r="V2837">
        <v>2.9</v>
      </c>
      <c r="W2837" cm="1">
        <f t="array" ref="W2837">_xlfn.IFS(OR(X2837="N/A",X2837="NA"),0,OR(X2837="R64",X2837="R68"),1,X2837="R32",2,X2837="S16",3,X2837="E8",4,X2837="F4",5,X2837="2ND",6,X2837="Champions",7)</f>
        <v>2</v>
      </c>
      <c r="X2837" t="s">
        <v>420</v>
      </c>
      <c r="Y2837">
        <v>9</v>
      </c>
      <c r="Z2837">
        <v>2022</v>
      </c>
    </row>
    <row r="2838" spans="1:26" x14ac:dyDescent="0.3">
      <c r="A2838" t="s">
        <v>156</v>
      </c>
      <c r="B2838" t="s">
        <v>33</v>
      </c>
      <c r="C2838">
        <v>35</v>
      </c>
      <c r="D2838">
        <v>23</v>
      </c>
      <c r="E2838" s="1">
        <f t="shared" si="44"/>
        <v>0.65714285714285714</v>
      </c>
      <c r="F2838">
        <v>104.8</v>
      </c>
      <c r="G2838">
        <v>92.1</v>
      </c>
      <c r="H2838">
        <v>0.81510000000000005</v>
      </c>
      <c r="I2838">
        <v>50.6</v>
      </c>
      <c r="J2838">
        <v>44.9</v>
      </c>
      <c r="K2838">
        <v>20.399999999999999</v>
      </c>
      <c r="L2838">
        <v>15.5</v>
      </c>
      <c r="M2838">
        <v>28.4</v>
      </c>
      <c r="N2838">
        <v>28.5</v>
      </c>
      <c r="O2838">
        <v>26.7</v>
      </c>
      <c r="P2838">
        <v>20.8</v>
      </c>
      <c r="Q2838">
        <v>53.3</v>
      </c>
      <c r="R2838">
        <v>43.6</v>
      </c>
      <c r="S2838">
        <v>30.8</v>
      </c>
      <c r="T2838">
        <v>31.7</v>
      </c>
      <c r="U2838">
        <v>67</v>
      </c>
      <c r="V2838">
        <v>1.7</v>
      </c>
      <c r="W2838" cm="1">
        <f t="array" ref="W2838">_xlfn.IFS(OR(X2838="N/A",X2838="NA"),0,OR(X2838="R64",X2838="R68"),1,X2838="R32",2,X2838="S16",3,X2838="E8",4,X2838="F4",5,X2838="2ND",6,X2838="Champions",7)</f>
        <v>2</v>
      </c>
      <c r="X2838" t="s">
        <v>420</v>
      </c>
      <c r="Y2838">
        <v>9</v>
      </c>
      <c r="Z2838">
        <v>2022</v>
      </c>
    </row>
    <row r="2839" spans="1:26" x14ac:dyDescent="0.3">
      <c r="A2839" t="s">
        <v>81</v>
      </c>
      <c r="B2839" t="s">
        <v>33</v>
      </c>
      <c r="C2839">
        <v>32</v>
      </c>
      <c r="D2839">
        <v>19</v>
      </c>
      <c r="E2839" s="1">
        <f t="shared" si="44"/>
        <v>0.59375</v>
      </c>
      <c r="F2839">
        <v>107.7</v>
      </c>
      <c r="G2839">
        <v>96.5</v>
      </c>
      <c r="H2839">
        <v>0.77869999999999995</v>
      </c>
      <c r="I2839">
        <v>52.1</v>
      </c>
      <c r="J2839">
        <v>47</v>
      </c>
      <c r="K2839">
        <v>17.2</v>
      </c>
      <c r="L2839">
        <v>18.899999999999999</v>
      </c>
      <c r="M2839">
        <v>22.5</v>
      </c>
      <c r="N2839">
        <v>31.6</v>
      </c>
      <c r="O2839">
        <v>26.2</v>
      </c>
      <c r="P2839">
        <v>29.5</v>
      </c>
      <c r="Q2839">
        <v>52.6</v>
      </c>
      <c r="R2839">
        <v>46.4</v>
      </c>
      <c r="S2839">
        <v>34.4</v>
      </c>
      <c r="T2839">
        <v>32</v>
      </c>
      <c r="U2839">
        <v>71.2</v>
      </c>
      <c r="V2839">
        <v>0.6</v>
      </c>
      <c r="W2839" cm="1">
        <f t="array" ref="W2839">_xlfn.IFS(OR(X2839="N/A",X2839="NA"),0,OR(X2839="R64",X2839="R68"),1,X2839="R32",2,X2839="S16",3,X2839="E8",4,X2839="F4",5,X2839="2ND",6,X2839="Champions",7)</f>
        <v>1</v>
      </c>
      <c r="X2839" t="s">
        <v>422</v>
      </c>
      <c r="Y2839">
        <v>9</v>
      </c>
      <c r="Z2839">
        <v>2022</v>
      </c>
    </row>
    <row r="2840" spans="1:26" x14ac:dyDescent="0.3">
      <c r="A2840" t="s">
        <v>415</v>
      </c>
      <c r="B2840" t="s">
        <v>37</v>
      </c>
      <c r="C2840">
        <v>33</v>
      </c>
      <c r="D2840">
        <v>24</v>
      </c>
      <c r="E2840" s="1">
        <f t="shared" si="44"/>
        <v>0.72727272727272729</v>
      </c>
      <c r="F2840">
        <v>110.2</v>
      </c>
      <c r="G2840">
        <v>93</v>
      </c>
      <c r="H2840">
        <v>0.87480000000000002</v>
      </c>
      <c r="I2840">
        <v>53.1</v>
      </c>
      <c r="J2840">
        <v>47.1</v>
      </c>
      <c r="K2840">
        <v>17.899999999999999</v>
      </c>
      <c r="L2840">
        <v>18.399999999999999</v>
      </c>
      <c r="M2840">
        <v>30</v>
      </c>
      <c r="N2840">
        <v>24</v>
      </c>
      <c r="O2840">
        <v>28.5</v>
      </c>
      <c r="P2840">
        <v>33</v>
      </c>
      <c r="Q2840">
        <v>54.4</v>
      </c>
      <c r="R2840">
        <v>48.7</v>
      </c>
      <c r="S2840">
        <v>34.299999999999997</v>
      </c>
      <c r="T2840">
        <v>28.9</v>
      </c>
      <c r="U2840">
        <v>69</v>
      </c>
      <c r="V2840">
        <v>1.6</v>
      </c>
      <c r="W2840" cm="1">
        <f t="array" ref="W2840">_xlfn.IFS(OR(X2840="N/A",X2840="NA"),0,OR(X2840="R64",X2840="R68"),1,X2840="R32",2,X2840="S16",3,X2840="E8",4,X2840="F4",5,X2840="2ND",6,X2840="Champions",7)</f>
        <v>1</v>
      </c>
      <c r="X2840" t="s">
        <v>422</v>
      </c>
      <c r="Y2840">
        <v>10</v>
      </c>
      <c r="Z2840">
        <v>2022</v>
      </c>
    </row>
    <row r="2841" spans="1:26" x14ac:dyDescent="0.3">
      <c r="A2841" t="s">
        <v>106</v>
      </c>
      <c r="B2841" t="s">
        <v>26</v>
      </c>
      <c r="C2841">
        <v>37</v>
      </c>
      <c r="D2841">
        <v>26</v>
      </c>
      <c r="E2841" s="1">
        <f t="shared" si="44"/>
        <v>0.70270270270270274</v>
      </c>
      <c r="F2841">
        <v>113.6</v>
      </c>
      <c r="G2841">
        <v>97.9</v>
      </c>
      <c r="H2841">
        <v>0.84670000000000001</v>
      </c>
      <c r="I2841">
        <v>53.4</v>
      </c>
      <c r="J2841">
        <v>52.5</v>
      </c>
      <c r="K2841">
        <v>14</v>
      </c>
      <c r="L2841">
        <v>20.399999999999999</v>
      </c>
      <c r="M2841">
        <v>22.4</v>
      </c>
      <c r="N2841">
        <v>30.3</v>
      </c>
      <c r="O2841">
        <v>28.9</v>
      </c>
      <c r="P2841">
        <v>24.8</v>
      </c>
      <c r="Q2841">
        <v>54.8</v>
      </c>
      <c r="R2841">
        <v>53</v>
      </c>
      <c r="S2841">
        <v>33.9</v>
      </c>
      <c r="T2841">
        <v>34.5</v>
      </c>
      <c r="U2841">
        <v>67.7</v>
      </c>
      <c r="V2841">
        <v>2.6</v>
      </c>
      <c r="W2841" cm="1">
        <f t="array" ref="W2841">_xlfn.IFS(OR(X2841="N/A",X2841="NA"),0,OR(X2841="R64",X2841="R68"),1,X2841="R32",2,X2841="S16",3,X2841="E8",4,X2841="F4",5,X2841="2ND",6,X2841="Champions",7)</f>
        <v>4</v>
      </c>
      <c r="X2841" t="s">
        <v>54</v>
      </c>
      <c r="Y2841">
        <v>10</v>
      </c>
      <c r="Z2841">
        <v>2022</v>
      </c>
    </row>
    <row r="2842" spans="1:26" x14ac:dyDescent="0.3">
      <c r="A2842" t="s">
        <v>85</v>
      </c>
      <c r="B2842" t="s">
        <v>47</v>
      </c>
      <c r="C2842">
        <v>32</v>
      </c>
      <c r="D2842">
        <v>25</v>
      </c>
      <c r="E2842" s="1">
        <f t="shared" si="44"/>
        <v>0.78125</v>
      </c>
      <c r="F2842">
        <v>106.9</v>
      </c>
      <c r="G2842">
        <v>92.3</v>
      </c>
      <c r="H2842">
        <v>0.84389999999999998</v>
      </c>
      <c r="I2842">
        <v>55.6</v>
      </c>
      <c r="J2842">
        <v>46.9</v>
      </c>
      <c r="K2842">
        <v>18.5</v>
      </c>
      <c r="L2842">
        <v>20.100000000000001</v>
      </c>
      <c r="M2842">
        <v>25.1</v>
      </c>
      <c r="N2842">
        <v>24</v>
      </c>
      <c r="O2842">
        <v>31.5</v>
      </c>
      <c r="P2842">
        <v>28.9</v>
      </c>
      <c r="Q2842">
        <v>54.9</v>
      </c>
      <c r="R2842">
        <v>47.3</v>
      </c>
      <c r="S2842">
        <v>37.6</v>
      </c>
      <c r="T2842">
        <v>30.9</v>
      </c>
      <c r="U2842">
        <v>64.599999999999994</v>
      </c>
      <c r="V2842">
        <v>1.8</v>
      </c>
      <c r="W2842" cm="1">
        <f t="array" ref="W2842">_xlfn.IFS(OR(X2842="N/A",X2842="NA"),0,OR(X2842="R64",X2842="R68"),1,X2842="R32",2,X2842="S16",3,X2842="E8",4,X2842="F4",5,X2842="2ND",6,X2842="Champions",7)</f>
        <v>1</v>
      </c>
      <c r="X2842" t="s">
        <v>422</v>
      </c>
      <c r="Y2842">
        <v>10</v>
      </c>
      <c r="Z2842">
        <v>2022</v>
      </c>
    </row>
    <row r="2843" spans="1:26" x14ac:dyDescent="0.3">
      <c r="A2843" t="s">
        <v>101</v>
      </c>
      <c r="B2843" t="s">
        <v>45</v>
      </c>
      <c r="C2843">
        <v>33</v>
      </c>
      <c r="D2843">
        <v>27</v>
      </c>
      <c r="E2843" s="1">
        <f t="shared" si="44"/>
        <v>0.81818181818181823</v>
      </c>
      <c r="F2843">
        <v>115.8</v>
      </c>
      <c r="G2843">
        <v>101.1</v>
      </c>
      <c r="H2843">
        <v>0.82579999999999998</v>
      </c>
      <c r="I2843">
        <v>55.6</v>
      </c>
      <c r="J2843">
        <v>49.5</v>
      </c>
      <c r="K2843">
        <v>14.8</v>
      </c>
      <c r="L2843">
        <v>16.7</v>
      </c>
      <c r="M2843">
        <v>23.6</v>
      </c>
      <c r="N2843">
        <v>22.4</v>
      </c>
      <c r="O2843">
        <v>32.5</v>
      </c>
      <c r="P2843">
        <v>28</v>
      </c>
      <c r="Q2843">
        <v>54.2</v>
      </c>
      <c r="R2843">
        <v>48.9</v>
      </c>
      <c r="S2843">
        <v>38.5</v>
      </c>
      <c r="T2843">
        <v>33.6</v>
      </c>
      <c r="U2843">
        <v>64.599999999999994</v>
      </c>
      <c r="V2843">
        <v>2.1</v>
      </c>
      <c r="W2843" cm="1">
        <f t="array" ref="W2843">_xlfn.IFS(OR(X2843="N/A",X2843="NA"),0,OR(X2843="R64",X2843="R68"),1,X2843="R32",2,X2843="S16",3,X2843="E8",4,X2843="F4",5,X2843="2ND",6,X2843="Champions",7)</f>
        <v>1</v>
      </c>
      <c r="X2843" t="s">
        <v>422</v>
      </c>
      <c r="Y2843">
        <v>10</v>
      </c>
      <c r="Z2843">
        <v>2022</v>
      </c>
    </row>
    <row r="2844" spans="1:26" x14ac:dyDescent="0.3">
      <c r="A2844" t="s">
        <v>108</v>
      </c>
      <c r="B2844" t="s">
        <v>26</v>
      </c>
      <c r="C2844">
        <v>36</v>
      </c>
      <c r="D2844">
        <v>23</v>
      </c>
      <c r="E2844" s="1">
        <f t="shared" si="44"/>
        <v>0.63888888888888884</v>
      </c>
      <c r="F2844">
        <v>115.6</v>
      </c>
      <c r="G2844">
        <v>95.2</v>
      </c>
      <c r="H2844">
        <v>0.90280000000000005</v>
      </c>
      <c r="I2844">
        <v>55.1</v>
      </c>
      <c r="J2844">
        <v>49</v>
      </c>
      <c r="K2844">
        <v>17</v>
      </c>
      <c r="L2844">
        <v>18.7</v>
      </c>
      <c r="M2844">
        <v>27.8</v>
      </c>
      <c r="N2844">
        <v>26.2</v>
      </c>
      <c r="O2844">
        <v>24.5</v>
      </c>
      <c r="P2844">
        <v>25.6</v>
      </c>
      <c r="Q2844">
        <v>52.6</v>
      </c>
      <c r="R2844">
        <v>49.3</v>
      </c>
      <c r="S2844">
        <v>39.200000000000003</v>
      </c>
      <c r="T2844">
        <v>32.299999999999997</v>
      </c>
      <c r="U2844">
        <v>63.3</v>
      </c>
      <c r="V2844">
        <v>1.7</v>
      </c>
      <c r="W2844" cm="1">
        <f t="array" ref="W2844">_xlfn.IFS(OR(X2844="N/A",X2844="NA"),0,OR(X2844="R64",X2844="R68"),1,X2844="R32",2,X2844="S16",3,X2844="E8",4,X2844="F4",5,X2844="2ND",6,X2844="Champions",7)</f>
        <v>1</v>
      </c>
      <c r="X2844" t="s">
        <v>422</v>
      </c>
      <c r="Y2844">
        <v>11</v>
      </c>
      <c r="Z2844">
        <v>2022</v>
      </c>
    </row>
    <row r="2845" spans="1:26" x14ac:dyDescent="0.3">
      <c r="A2845" t="s">
        <v>32</v>
      </c>
      <c r="B2845" t="s">
        <v>31</v>
      </c>
      <c r="C2845">
        <v>34</v>
      </c>
      <c r="D2845">
        <v>19</v>
      </c>
      <c r="E2845" s="1">
        <f t="shared" si="44"/>
        <v>0.55882352941176472</v>
      </c>
      <c r="F2845">
        <v>113.9</v>
      </c>
      <c r="G2845">
        <v>96.2</v>
      </c>
      <c r="H2845">
        <v>0.87409999999999999</v>
      </c>
      <c r="I2845">
        <v>52.1</v>
      </c>
      <c r="J2845">
        <v>49.7</v>
      </c>
      <c r="K2845">
        <v>17.3</v>
      </c>
      <c r="L2845">
        <v>14.7</v>
      </c>
      <c r="M2845">
        <v>31</v>
      </c>
      <c r="N2845">
        <v>24</v>
      </c>
      <c r="O2845">
        <v>29.4</v>
      </c>
      <c r="P2845">
        <v>25.6</v>
      </c>
      <c r="Q2845">
        <v>52.7</v>
      </c>
      <c r="R2845">
        <v>50.4</v>
      </c>
      <c r="S2845">
        <v>33.9</v>
      </c>
      <c r="T2845">
        <v>32.4</v>
      </c>
      <c r="U2845">
        <v>66.400000000000006</v>
      </c>
      <c r="V2845">
        <v>0.2</v>
      </c>
      <c r="W2845" cm="1">
        <f t="array" ref="W2845">_xlfn.IFS(OR(X2845="N/A",X2845="NA"),0,OR(X2845="R64",X2845="R68"),1,X2845="R32",2,X2845="S16",3,X2845="E8",4,X2845="F4",5,X2845="2ND",6,X2845="Champions",7)</f>
        <v>3</v>
      </c>
      <c r="X2845" t="s">
        <v>424</v>
      </c>
      <c r="Y2845">
        <v>11</v>
      </c>
      <c r="Z2845">
        <v>2022</v>
      </c>
    </row>
    <row r="2846" spans="1:26" x14ac:dyDescent="0.3">
      <c r="A2846" t="s">
        <v>56</v>
      </c>
      <c r="B2846" t="s">
        <v>26</v>
      </c>
      <c r="C2846">
        <v>34</v>
      </c>
      <c r="D2846">
        <v>24</v>
      </c>
      <c r="E2846" s="1">
        <f t="shared" si="44"/>
        <v>0.70588235294117652</v>
      </c>
      <c r="F2846">
        <v>112.8</v>
      </c>
      <c r="G2846">
        <v>96.7</v>
      </c>
      <c r="H2846">
        <v>0.85419999999999996</v>
      </c>
      <c r="I2846">
        <v>54</v>
      </c>
      <c r="J2846">
        <v>49</v>
      </c>
      <c r="K2846">
        <v>15.6</v>
      </c>
      <c r="L2846">
        <v>15.1</v>
      </c>
      <c r="M2846">
        <v>22.1</v>
      </c>
      <c r="N2846">
        <v>24.7</v>
      </c>
      <c r="O2846">
        <v>27.3</v>
      </c>
      <c r="P2846">
        <v>22.2</v>
      </c>
      <c r="Q2846">
        <v>51.9</v>
      </c>
      <c r="R2846">
        <v>49.6</v>
      </c>
      <c r="S2846">
        <v>37.9</v>
      </c>
      <c r="T2846">
        <v>32</v>
      </c>
      <c r="U2846">
        <v>65.400000000000006</v>
      </c>
      <c r="V2846">
        <v>1.9</v>
      </c>
      <c r="W2846" cm="1">
        <f t="array" ref="W2846">_xlfn.IFS(OR(X2846="N/A",X2846="NA"),0,OR(X2846="R64",X2846="R68"),1,X2846="R32",2,X2846="S16",3,X2846="E8",4,X2846="F4",5,X2846="2ND",6,X2846="Champions",7)</f>
        <v>2</v>
      </c>
      <c r="X2846" t="s">
        <v>420</v>
      </c>
      <c r="Y2846">
        <v>11</v>
      </c>
      <c r="Z2846">
        <v>2022</v>
      </c>
    </row>
    <row r="2847" spans="1:26" x14ac:dyDescent="0.3">
      <c r="A2847" t="s">
        <v>154</v>
      </c>
      <c r="B2847" t="s">
        <v>35</v>
      </c>
      <c r="C2847">
        <v>35</v>
      </c>
      <c r="D2847">
        <v>22</v>
      </c>
      <c r="E2847" s="1">
        <f t="shared" si="44"/>
        <v>0.62857142857142856</v>
      </c>
      <c r="F2847">
        <v>101.7</v>
      </c>
      <c r="G2847">
        <v>88.4</v>
      </c>
      <c r="H2847">
        <v>0.83460000000000001</v>
      </c>
      <c r="I2847">
        <v>49.1</v>
      </c>
      <c r="J2847">
        <v>47.9</v>
      </c>
      <c r="K2847">
        <v>20.399999999999999</v>
      </c>
      <c r="L2847">
        <v>24.6</v>
      </c>
      <c r="M2847">
        <v>28.4</v>
      </c>
      <c r="N2847">
        <v>28.3</v>
      </c>
      <c r="O2847">
        <v>27.1</v>
      </c>
      <c r="P2847">
        <v>36.700000000000003</v>
      </c>
      <c r="Q2847">
        <v>50.1</v>
      </c>
      <c r="R2847">
        <v>50.8</v>
      </c>
      <c r="S2847">
        <v>31.5</v>
      </c>
      <c r="T2847">
        <v>28.9</v>
      </c>
      <c r="U2847">
        <v>66.3</v>
      </c>
      <c r="V2847">
        <v>2.8</v>
      </c>
      <c r="W2847" cm="1">
        <f t="array" ref="W2847">_xlfn.IFS(OR(X2847="N/A",X2847="NA"),0,OR(X2847="R64",X2847="R68"),1,X2847="R32",2,X2847="S16",3,X2847="E8",4,X2847="F4",5,X2847="2ND",6,X2847="Champions",7)</f>
        <v>3</v>
      </c>
      <c r="X2847" t="s">
        <v>424</v>
      </c>
      <c r="Y2847">
        <v>11</v>
      </c>
      <c r="Z2847">
        <v>2022</v>
      </c>
    </row>
    <row r="2848" spans="1:26" x14ac:dyDescent="0.3">
      <c r="A2848" t="s">
        <v>146</v>
      </c>
      <c r="B2848" t="s">
        <v>31</v>
      </c>
      <c r="C2848">
        <v>32</v>
      </c>
      <c r="D2848">
        <v>18</v>
      </c>
      <c r="E2848" s="1">
        <f t="shared" si="44"/>
        <v>0.5625</v>
      </c>
      <c r="F2848">
        <v>106.6</v>
      </c>
      <c r="G2848">
        <v>96.3</v>
      </c>
      <c r="H2848">
        <v>0.76290000000000002</v>
      </c>
      <c r="I2848">
        <v>49.9</v>
      </c>
      <c r="J2848">
        <v>48.6</v>
      </c>
      <c r="K2848">
        <v>17.3</v>
      </c>
      <c r="L2848">
        <v>17.8</v>
      </c>
      <c r="M2848">
        <v>29.6</v>
      </c>
      <c r="N2848">
        <v>27</v>
      </c>
      <c r="O2848">
        <v>26.2</v>
      </c>
      <c r="P2848">
        <v>28.6</v>
      </c>
      <c r="Q2848">
        <v>49.4</v>
      </c>
      <c r="R2848">
        <v>47.1</v>
      </c>
      <c r="S2848">
        <v>33.9</v>
      </c>
      <c r="T2848">
        <v>33.9</v>
      </c>
      <c r="U2848">
        <v>65</v>
      </c>
      <c r="V2848">
        <v>-0.7</v>
      </c>
      <c r="W2848" cm="1">
        <f t="array" ref="W2848">_xlfn.IFS(OR(X2848="N/A",X2848="NA"),0,OR(X2848="R64",X2848="R68"),1,X2848="R32",2,X2848="S16",3,X2848="E8",4,X2848="F4",5,X2848="2ND",6,X2848="Champions",7)</f>
        <v>1</v>
      </c>
      <c r="X2848" t="s">
        <v>423</v>
      </c>
      <c r="Y2848">
        <v>11</v>
      </c>
      <c r="Z2848">
        <v>2022</v>
      </c>
    </row>
    <row r="2849" spans="1:26" x14ac:dyDescent="0.3">
      <c r="A2849" t="s">
        <v>147</v>
      </c>
      <c r="B2849" t="s">
        <v>31</v>
      </c>
      <c r="C2849">
        <v>35</v>
      </c>
      <c r="D2849">
        <v>21</v>
      </c>
      <c r="E2849" s="1">
        <f t="shared" si="44"/>
        <v>0.6</v>
      </c>
      <c r="F2849">
        <v>107.7</v>
      </c>
      <c r="G2849">
        <v>91.6</v>
      </c>
      <c r="H2849">
        <v>0.86519999999999997</v>
      </c>
      <c r="I2849">
        <v>50.6</v>
      </c>
      <c r="J2849">
        <v>46.2</v>
      </c>
      <c r="K2849">
        <v>17.2</v>
      </c>
      <c r="L2849">
        <v>17.600000000000001</v>
      </c>
      <c r="M2849">
        <v>27</v>
      </c>
      <c r="N2849">
        <v>25.1</v>
      </c>
      <c r="O2849">
        <v>33.5</v>
      </c>
      <c r="P2849">
        <v>30.7</v>
      </c>
      <c r="Q2849">
        <v>50.9</v>
      </c>
      <c r="R2849">
        <v>43.9</v>
      </c>
      <c r="S2849">
        <v>33.299999999999997</v>
      </c>
      <c r="T2849">
        <v>33</v>
      </c>
      <c r="U2849">
        <v>67.2</v>
      </c>
      <c r="V2849">
        <v>0.2</v>
      </c>
      <c r="W2849" cm="1">
        <f t="array" ref="W2849">_xlfn.IFS(OR(X2849="N/A",X2849="NA"),0,OR(X2849="R64",X2849="R68"),1,X2849="R32",2,X2849="S16",3,X2849="E8",4,X2849="F4",5,X2849="2ND",6,X2849="Champions",7)</f>
        <v>1</v>
      </c>
      <c r="X2849" t="s">
        <v>422</v>
      </c>
      <c r="Y2849">
        <v>12</v>
      </c>
      <c r="Z2849">
        <v>2022</v>
      </c>
    </row>
    <row r="2850" spans="1:26" x14ac:dyDescent="0.3">
      <c r="A2850" t="s">
        <v>220</v>
      </c>
      <c r="B2850" t="s">
        <v>40</v>
      </c>
      <c r="C2850">
        <v>33</v>
      </c>
      <c r="D2850">
        <v>27</v>
      </c>
      <c r="E2850" s="1">
        <f t="shared" si="44"/>
        <v>0.81818181818181823</v>
      </c>
      <c r="F2850">
        <v>111.8</v>
      </c>
      <c r="G2850">
        <v>99.1</v>
      </c>
      <c r="H2850">
        <v>0.80010000000000003</v>
      </c>
      <c r="I2850">
        <v>52.8</v>
      </c>
      <c r="J2850">
        <v>48.4</v>
      </c>
      <c r="K2850">
        <v>16.399999999999999</v>
      </c>
      <c r="L2850">
        <v>21.1</v>
      </c>
      <c r="M2850">
        <v>33.299999999999997</v>
      </c>
      <c r="N2850">
        <v>27.5</v>
      </c>
      <c r="O2850">
        <v>29.3</v>
      </c>
      <c r="P2850">
        <v>31.3</v>
      </c>
      <c r="Q2850">
        <v>50.8</v>
      </c>
      <c r="R2850">
        <v>47.8</v>
      </c>
      <c r="S2850">
        <v>38</v>
      </c>
      <c r="T2850">
        <v>32.9</v>
      </c>
      <c r="U2850">
        <v>68.900000000000006</v>
      </c>
      <c r="V2850">
        <v>-0.1</v>
      </c>
      <c r="W2850" cm="1">
        <f t="array" ref="W2850">_xlfn.IFS(OR(X2850="N/A",X2850="NA"),0,OR(X2850="R64",X2850="R68"),1,X2850="R32",2,X2850="S16",3,X2850="E8",4,X2850="F4",5,X2850="2ND",6,X2850="Champions",7)</f>
        <v>1</v>
      </c>
      <c r="X2850" t="s">
        <v>422</v>
      </c>
      <c r="Y2850">
        <v>12</v>
      </c>
      <c r="Z2850">
        <v>2022</v>
      </c>
    </row>
    <row r="2851" spans="1:26" x14ac:dyDescent="0.3">
      <c r="A2851" t="s">
        <v>293</v>
      </c>
      <c r="B2851" t="s">
        <v>55</v>
      </c>
      <c r="C2851">
        <v>33</v>
      </c>
      <c r="D2851">
        <v>25</v>
      </c>
      <c r="E2851" s="1">
        <f t="shared" si="44"/>
        <v>0.75757575757575757</v>
      </c>
      <c r="F2851">
        <v>107.9</v>
      </c>
      <c r="G2851">
        <v>97.3</v>
      </c>
      <c r="H2851">
        <v>0.7661</v>
      </c>
      <c r="I2851">
        <v>52.3</v>
      </c>
      <c r="J2851">
        <v>47.1</v>
      </c>
      <c r="K2851">
        <v>17.100000000000001</v>
      </c>
      <c r="L2851">
        <v>15.7</v>
      </c>
      <c r="M2851">
        <v>25.5</v>
      </c>
      <c r="N2851">
        <v>24.6</v>
      </c>
      <c r="O2851">
        <v>37.1</v>
      </c>
      <c r="P2851">
        <v>24.8</v>
      </c>
      <c r="Q2851">
        <v>54.4</v>
      </c>
      <c r="R2851">
        <v>48.4</v>
      </c>
      <c r="S2851">
        <v>33</v>
      </c>
      <c r="T2851">
        <v>30.1</v>
      </c>
      <c r="U2851">
        <v>65.8</v>
      </c>
      <c r="V2851">
        <v>1.9</v>
      </c>
      <c r="W2851" cm="1">
        <f t="array" ref="W2851">_xlfn.IFS(OR(X2851="N/A",X2851="NA"),0,OR(X2851="R64",X2851="R68"),1,X2851="R32",2,X2851="S16",3,X2851="E8",4,X2851="F4",5,X2851="2ND",6,X2851="Champions",7)</f>
        <v>1</v>
      </c>
      <c r="X2851" t="s">
        <v>423</v>
      </c>
      <c r="Y2851">
        <v>12</v>
      </c>
      <c r="Z2851">
        <v>2022</v>
      </c>
    </row>
    <row r="2852" spans="1:26" x14ac:dyDescent="0.3">
      <c r="A2852" t="s">
        <v>407</v>
      </c>
      <c r="B2852" t="s">
        <v>51</v>
      </c>
      <c r="C2852">
        <v>31</v>
      </c>
      <c r="D2852">
        <v>27</v>
      </c>
      <c r="E2852" s="1">
        <f t="shared" si="44"/>
        <v>0.87096774193548387</v>
      </c>
      <c r="F2852">
        <v>106</v>
      </c>
      <c r="G2852">
        <v>96</v>
      </c>
      <c r="H2852">
        <v>0.75790000000000002</v>
      </c>
      <c r="I2852">
        <v>51.9</v>
      </c>
      <c r="J2852">
        <v>45.2</v>
      </c>
      <c r="K2852">
        <v>20.8</v>
      </c>
      <c r="L2852">
        <v>16.8</v>
      </c>
      <c r="M2852">
        <v>32.6</v>
      </c>
      <c r="N2852">
        <v>25.7</v>
      </c>
      <c r="O2852">
        <v>34.6</v>
      </c>
      <c r="P2852">
        <v>28.3</v>
      </c>
      <c r="Q2852">
        <v>53.2</v>
      </c>
      <c r="R2852">
        <v>45.6</v>
      </c>
      <c r="S2852">
        <v>33.4</v>
      </c>
      <c r="T2852">
        <v>29.8</v>
      </c>
      <c r="U2852">
        <v>66.099999999999994</v>
      </c>
      <c r="V2852">
        <v>0.7</v>
      </c>
      <c r="W2852" cm="1">
        <f t="array" ref="W2852">_xlfn.IFS(OR(X2852="N/A",X2852="NA"),0,OR(X2852="R64",X2852="R68"),1,X2852="R32",2,X2852="S16",3,X2852="E8",4,X2852="F4",5,X2852="2ND",6,X2852="Champions",7)</f>
        <v>2</v>
      </c>
      <c r="X2852" t="s">
        <v>420</v>
      </c>
      <c r="Y2852">
        <v>12</v>
      </c>
      <c r="Z2852">
        <v>2022</v>
      </c>
    </row>
    <row r="2853" spans="1:26" x14ac:dyDescent="0.3">
      <c r="A2853" t="s">
        <v>97</v>
      </c>
      <c r="B2853" t="s">
        <v>45</v>
      </c>
      <c r="C2853">
        <v>37</v>
      </c>
      <c r="D2853">
        <v>24</v>
      </c>
      <c r="E2853" s="1">
        <f t="shared" si="44"/>
        <v>0.64864864864864868</v>
      </c>
      <c r="F2853">
        <v>106.9</v>
      </c>
      <c r="G2853">
        <v>99.1</v>
      </c>
      <c r="H2853">
        <v>0.70709999999999995</v>
      </c>
      <c r="I2853">
        <v>51.1</v>
      </c>
      <c r="J2853">
        <v>50.5</v>
      </c>
      <c r="K2853">
        <v>14.3</v>
      </c>
      <c r="L2853">
        <v>18.8</v>
      </c>
      <c r="M2853">
        <v>22.4</v>
      </c>
      <c r="N2853">
        <v>27.5</v>
      </c>
      <c r="O2853">
        <v>31</v>
      </c>
      <c r="P2853">
        <v>23.4</v>
      </c>
      <c r="Q2853">
        <v>52.3</v>
      </c>
      <c r="R2853">
        <v>49.9</v>
      </c>
      <c r="S2853">
        <v>33</v>
      </c>
      <c r="T2853">
        <v>34.299999999999997</v>
      </c>
      <c r="U2853">
        <v>66.7</v>
      </c>
      <c r="V2853">
        <v>-1.6</v>
      </c>
      <c r="W2853" cm="1">
        <f t="array" ref="W2853">_xlfn.IFS(OR(X2853="N/A",X2853="NA"),0,OR(X2853="R64",X2853="R68"),1,X2853="R32",2,X2853="S16",3,X2853="E8",4,X2853="F4",5,X2853="2ND",6,X2853="Champions",7)</f>
        <v>2</v>
      </c>
      <c r="X2853" t="s">
        <v>420</v>
      </c>
      <c r="Y2853">
        <v>12</v>
      </c>
      <c r="Z2853">
        <v>2022</v>
      </c>
    </row>
    <row r="2854" spans="1:26" x14ac:dyDescent="0.3">
      <c r="A2854" t="s">
        <v>119</v>
      </c>
      <c r="B2854" t="s">
        <v>112</v>
      </c>
      <c r="C2854">
        <v>33</v>
      </c>
      <c r="D2854">
        <v>28</v>
      </c>
      <c r="E2854" s="1">
        <f t="shared" si="44"/>
        <v>0.84848484848484851</v>
      </c>
      <c r="F2854">
        <v>109.7</v>
      </c>
      <c r="G2854">
        <v>97.3</v>
      </c>
      <c r="H2854">
        <v>0.7984</v>
      </c>
      <c r="I2854">
        <v>57.1</v>
      </c>
      <c r="J2854">
        <v>47.7</v>
      </c>
      <c r="K2854">
        <v>14.7</v>
      </c>
      <c r="L2854">
        <v>16.8</v>
      </c>
      <c r="M2854">
        <v>23.7</v>
      </c>
      <c r="N2854">
        <v>18.7</v>
      </c>
      <c r="O2854">
        <v>26.7</v>
      </c>
      <c r="P2854">
        <v>23.3</v>
      </c>
      <c r="Q2854">
        <v>58.6</v>
      </c>
      <c r="R2854">
        <v>45.3</v>
      </c>
      <c r="S2854">
        <v>36.799999999999997</v>
      </c>
      <c r="T2854">
        <v>34.4</v>
      </c>
      <c r="U2854">
        <v>64.8</v>
      </c>
      <c r="V2854">
        <v>-0.8</v>
      </c>
      <c r="W2854" cm="1">
        <f t="array" ref="W2854">_xlfn.IFS(OR(X2854="N/A",X2854="NA"),0,OR(X2854="R64",X2854="R68"),1,X2854="R32",2,X2854="S16",3,X2854="E8",4,X2854="F4",5,X2854="2ND",6,X2854="Champions",7)</f>
        <v>1</v>
      </c>
      <c r="X2854" t="s">
        <v>422</v>
      </c>
      <c r="Y2854">
        <v>13</v>
      </c>
      <c r="Z2854">
        <v>2022</v>
      </c>
    </row>
    <row r="2855" spans="1:26" x14ac:dyDescent="0.3">
      <c r="A2855" t="s">
        <v>348</v>
      </c>
      <c r="B2855" t="s">
        <v>62</v>
      </c>
      <c r="C2855">
        <v>33</v>
      </c>
      <c r="D2855">
        <v>27</v>
      </c>
      <c r="E2855" s="1">
        <f t="shared" si="44"/>
        <v>0.81818181818181823</v>
      </c>
      <c r="F2855">
        <v>107.3</v>
      </c>
      <c r="G2855">
        <v>97.3</v>
      </c>
      <c r="H2855">
        <v>0.75570000000000004</v>
      </c>
      <c r="I2855">
        <v>52.2</v>
      </c>
      <c r="J2855">
        <v>49.4</v>
      </c>
      <c r="K2855">
        <v>17</v>
      </c>
      <c r="L2855">
        <v>18.100000000000001</v>
      </c>
      <c r="M2855">
        <v>32.700000000000003</v>
      </c>
      <c r="N2855">
        <v>26.2</v>
      </c>
      <c r="O2855">
        <v>26.8</v>
      </c>
      <c r="P2855">
        <v>27.8</v>
      </c>
      <c r="Q2855">
        <v>53</v>
      </c>
      <c r="R2855">
        <v>52.1</v>
      </c>
      <c r="S2855">
        <v>33.9</v>
      </c>
      <c r="T2855">
        <v>30.3</v>
      </c>
      <c r="U2855">
        <v>64.599999999999994</v>
      </c>
      <c r="V2855">
        <v>0.2</v>
      </c>
      <c r="W2855" cm="1">
        <f t="array" ref="W2855">_xlfn.IFS(OR(X2855="N/A",X2855="NA"),0,OR(X2855="R64",X2855="R68"),1,X2855="R32",2,X2855="S16",3,X2855="E8",4,X2855="F4",5,X2855="2ND",6,X2855="Champions",7)</f>
        <v>1</v>
      </c>
      <c r="X2855" t="s">
        <v>422</v>
      </c>
      <c r="Y2855">
        <v>13</v>
      </c>
      <c r="Z2855">
        <v>2022</v>
      </c>
    </row>
    <row r="2856" spans="1:26" x14ac:dyDescent="0.3">
      <c r="A2856" t="s">
        <v>386</v>
      </c>
      <c r="B2856" t="s">
        <v>72</v>
      </c>
      <c r="C2856">
        <v>33</v>
      </c>
      <c r="D2856">
        <v>30</v>
      </c>
      <c r="E2856" s="1">
        <f t="shared" si="44"/>
        <v>0.90909090909090906</v>
      </c>
      <c r="F2856">
        <v>114.1</v>
      </c>
      <c r="G2856">
        <v>103.5</v>
      </c>
      <c r="H2856">
        <v>0.75419999999999998</v>
      </c>
      <c r="I2856">
        <v>59.2</v>
      </c>
      <c r="J2856">
        <v>51.4</v>
      </c>
      <c r="K2856">
        <v>15.3</v>
      </c>
      <c r="L2856">
        <v>15.8</v>
      </c>
      <c r="M2856">
        <v>23.7</v>
      </c>
      <c r="N2856">
        <v>24.3</v>
      </c>
      <c r="O2856">
        <v>34.6</v>
      </c>
      <c r="P2856">
        <v>21.3</v>
      </c>
      <c r="Q2856">
        <v>55.9</v>
      </c>
      <c r="R2856">
        <v>50.3</v>
      </c>
      <c r="S2856">
        <v>43.7</v>
      </c>
      <c r="T2856">
        <v>35.200000000000003</v>
      </c>
      <c r="U2856">
        <v>69.599999999999994</v>
      </c>
      <c r="V2856">
        <v>1.5</v>
      </c>
      <c r="W2856" cm="1">
        <f t="array" ref="W2856">_xlfn.IFS(OR(X2856="N/A",X2856="NA"),0,OR(X2856="R64",X2856="R68"),1,X2856="R32",2,X2856="S16",3,X2856="E8",4,X2856="F4",5,X2856="2ND",6,X2856="Champions",7)</f>
        <v>1</v>
      </c>
      <c r="X2856" t="s">
        <v>422</v>
      </c>
      <c r="Y2856">
        <v>13</v>
      </c>
      <c r="Z2856">
        <v>2022</v>
      </c>
    </row>
    <row r="2857" spans="1:26" x14ac:dyDescent="0.3">
      <c r="A2857" t="s">
        <v>251</v>
      </c>
      <c r="B2857" t="s">
        <v>57</v>
      </c>
      <c r="C2857">
        <v>32</v>
      </c>
      <c r="D2857">
        <v>24</v>
      </c>
      <c r="E2857" s="1">
        <f t="shared" si="44"/>
        <v>0.75</v>
      </c>
      <c r="F2857">
        <v>105.5</v>
      </c>
      <c r="G2857">
        <v>101.7</v>
      </c>
      <c r="H2857">
        <v>0.60409999999999997</v>
      </c>
      <c r="I2857">
        <v>52.5</v>
      </c>
      <c r="J2857">
        <v>49.1</v>
      </c>
      <c r="K2857">
        <v>17.7</v>
      </c>
      <c r="L2857">
        <v>17.5</v>
      </c>
      <c r="M2857">
        <v>29</v>
      </c>
      <c r="N2857">
        <v>26.4</v>
      </c>
      <c r="O2857">
        <v>39.299999999999997</v>
      </c>
      <c r="P2857">
        <v>26.1</v>
      </c>
      <c r="Q2857">
        <v>52.2</v>
      </c>
      <c r="R2857">
        <v>47.4</v>
      </c>
      <c r="S2857">
        <v>35.299999999999997</v>
      </c>
      <c r="T2857">
        <v>34.799999999999997</v>
      </c>
      <c r="U2857">
        <v>61.9</v>
      </c>
      <c r="V2857">
        <v>-4.3</v>
      </c>
      <c r="W2857" cm="1">
        <f t="array" ref="W2857">_xlfn.IFS(OR(X2857="N/A",X2857="NA"),0,OR(X2857="R64",X2857="R68"),1,X2857="R32",2,X2857="S16",3,X2857="E8",4,X2857="F4",5,X2857="2ND",6,X2857="Champions",7)</f>
        <v>1</v>
      </c>
      <c r="X2857" t="s">
        <v>422</v>
      </c>
      <c r="Y2857">
        <v>13</v>
      </c>
      <c r="Z2857">
        <v>2022</v>
      </c>
    </row>
    <row r="2858" spans="1:26" x14ac:dyDescent="0.3">
      <c r="A2858" t="s">
        <v>330</v>
      </c>
      <c r="B2858" t="s">
        <v>67</v>
      </c>
      <c r="C2858">
        <v>34</v>
      </c>
      <c r="D2858">
        <v>23</v>
      </c>
      <c r="E2858" s="1">
        <f t="shared" si="44"/>
        <v>0.67647058823529416</v>
      </c>
      <c r="F2858">
        <v>107</v>
      </c>
      <c r="G2858">
        <v>103.2</v>
      </c>
      <c r="H2858">
        <v>0.60260000000000002</v>
      </c>
      <c r="I2858">
        <v>55.6</v>
      </c>
      <c r="J2858">
        <v>48.9</v>
      </c>
      <c r="K2858">
        <v>16.899999999999999</v>
      </c>
      <c r="L2858">
        <v>16</v>
      </c>
      <c r="M2858">
        <v>26.6</v>
      </c>
      <c r="N2858">
        <v>25.1</v>
      </c>
      <c r="O2858">
        <v>26.3</v>
      </c>
      <c r="P2858">
        <v>24.1</v>
      </c>
      <c r="Q2858">
        <v>52.1</v>
      </c>
      <c r="R2858">
        <v>48</v>
      </c>
      <c r="S2858">
        <v>40.4</v>
      </c>
      <c r="T2858">
        <v>33.700000000000003</v>
      </c>
      <c r="U2858">
        <v>67</v>
      </c>
      <c r="V2858">
        <v>-6.1</v>
      </c>
      <c r="W2858" cm="1">
        <f t="array" ref="W2858">_xlfn.IFS(OR(X2858="N/A",X2858="NA"),0,OR(X2858="R64",X2858="R68"),1,X2858="R32",2,X2858="S16",3,X2858="E8",4,X2858="F4",5,X2858="2ND",6,X2858="Champions",7)</f>
        <v>1</v>
      </c>
      <c r="X2858" t="s">
        <v>422</v>
      </c>
      <c r="Y2858">
        <v>14</v>
      </c>
      <c r="Z2858">
        <v>2022</v>
      </c>
    </row>
    <row r="2859" spans="1:26" x14ac:dyDescent="0.3">
      <c r="A2859" t="s">
        <v>181</v>
      </c>
      <c r="B2859" t="s">
        <v>74</v>
      </c>
      <c r="C2859">
        <v>29</v>
      </c>
      <c r="D2859">
        <v>26</v>
      </c>
      <c r="E2859" s="1">
        <f t="shared" si="44"/>
        <v>0.89655172413793105</v>
      </c>
      <c r="F2859">
        <v>105.7</v>
      </c>
      <c r="G2859">
        <v>103.7</v>
      </c>
      <c r="H2859">
        <v>0.55410000000000004</v>
      </c>
      <c r="I2859">
        <v>51.5</v>
      </c>
      <c r="J2859">
        <v>51.4</v>
      </c>
      <c r="K2859">
        <v>18.399999999999999</v>
      </c>
      <c r="L2859">
        <v>20</v>
      </c>
      <c r="M2859">
        <v>33.200000000000003</v>
      </c>
      <c r="N2859">
        <v>24.5</v>
      </c>
      <c r="O2859">
        <v>35.4</v>
      </c>
      <c r="P2859">
        <v>26.5</v>
      </c>
      <c r="Q2859">
        <v>47.9</v>
      </c>
      <c r="R2859">
        <v>53.9</v>
      </c>
      <c r="S2859">
        <v>38.4</v>
      </c>
      <c r="T2859">
        <v>32.1</v>
      </c>
      <c r="U2859">
        <v>65.8</v>
      </c>
      <c r="V2859">
        <v>-2.2999999999999998</v>
      </c>
      <c r="W2859" cm="1">
        <f t="array" ref="W2859">_xlfn.IFS(OR(X2859="N/A",X2859="NA"),0,OR(X2859="R64",X2859="R68"),1,X2859="R32",2,X2859="S16",3,X2859="E8",4,X2859="F4",5,X2859="2ND",6,X2859="Champions",7)</f>
        <v>1</v>
      </c>
      <c r="X2859" t="s">
        <v>422</v>
      </c>
      <c r="Y2859">
        <v>14</v>
      </c>
      <c r="Z2859">
        <v>2022</v>
      </c>
    </row>
    <row r="2860" spans="1:26" x14ac:dyDescent="0.3">
      <c r="A2860" t="s">
        <v>238</v>
      </c>
      <c r="B2860" t="s">
        <v>59</v>
      </c>
      <c r="C2860">
        <v>30</v>
      </c>
      <c r="D2860">
        <v>19</v>
      </c>
      <c r="E2860" s="1">
        <f t="shared" si="44"/>
        <v>0.6333333333333333</v>
      </c>
      <c r="F2860">
        <v>99.4</v>
      </c>
      <c r="G2860">
        <v>97.9</v>
      </c>
      <c r="H2860">
        <v>0.54490000000000005</v>
      </c>
      <c r="I2860">
        <v>49.7</v>
      </c>
      <c r="J2860">
        <v>48.9</v>
      </c>
      <c r="K2860">
        <v>18.3</v>
      </c>
      <c r="L2860">
        <v>18.2</v>
      </c>
      <c r="M2860">
        <v>25.6</v>
      </c>
      <c r="N2860">
        <v>26.7</v>
      </c>
      <c r="O2860">
        <v>32.200000000000003</v>
      </c>
      <c r="P2860">
        <v>32.1</v>
      </c>
      <c r="Q2860">
        <v>50.1</v>
      </c>
      <c r="R2860">
        <v>51.2</v>
      </c>
      <c r="S2860">
        <v>32.6</v>
      </c>
      <c r="T2860">
        <v>30.5</v>
      </c>
      <c r="U2860">
        <v>68.900000000000006</v>
      </c>
      <c r="V2860">
        <v>-4.9000000000000004</v>
      </c>
      <c r="W2860" cm="1">
        <f t="array" ref="W2860">_xlfn.IFS(OR(X2860="N/A",X2860="NA"),0,OR(X2860="R64",X2860="R68"),1,X2860="R32",2,X2860="S16",3,X2860="E8",4,X2860="F4",5,X2860="2ND",6,X2860="Champions",7)</f>
        <v>1</v>
      </c>
      <c r="X2860" t="s">
        <v>422</v>
      </c>
      <c r="Y2860">
        <v>14</v>
      </c>
      <c r="Z2860">
        <v>2022</v>
      </c>
    </row>
    <row r="2861" spans="1:26" x14ac:dyDescent="0.3">
      <c r="A2861" t="s">
        <v>167</v>
      </c>
      <c r="B2861" t="s">
        <v>164</v>
      </c>
      <c r="C2861">
        <v>33</v>
      </c>
      <c r="D2861">
        <v>27</v>
      </c>
      <c r="E2861" s="1">
        <f t="shared" si="44"/>
        <v>0.81818181818181823</v>
      </c>
      <c r="F2861">
        <v>103.6</v>
      </c>
      <c r="G2861">
        <v>102.5</v>
      </c>
      <c r="H2861">
        <v>0.53080000000000005</v>
      </c>
      <c r="I2861">
        <v>53.9</v>
      </c>
      <c r="J2861">
        <v>49.4</v>
      </c>
      <c r="K2861">
        <v>18.7</v>
      </c>
      <c r="L2861">
        <v>18.2</v>
      </c>
      <c r="M2861">
        <v>26.7</v>
      </c>
      <c r="N2861">
        <v>23.5</v>
      </c>
      <c r="O2861">
        <v>40.1</v>
      </c>
      <c r="P2861">
        <v>36.1</v>
      </c>
      <c r="Q2861">
        <v>52.9</v>
      </c>
      <c r="R2861">
        <v>48.9</v>
      </c>
      <c r="S2861">
        <v>37</v>
      </c>
      <c r="T2861">
        <v>33.6</v>
      </c>
      <c r="U2861">
        <v>67.099999999999994</v>
      </c>
      <c r="V2861">
        <v>-2.8</v>
      </c>
      <c r="W2861" cm="1">
        <f t="array" ref="W2861">_xlfn.IFS(OR(X2861="N/A",X2861="NA"),0,OR(X2861="R64",X2861="R68"),1,X2861="R32",2,X2861="S16",3,X2861="E8",4,X2861="F4",5,X2861="2ND",6,X2861="Champions",7)</f>
        <v>1</v>
      </c>
      <c r="X2861" t="s">
        <v>422</v>
      </c>
      <c r="Y2861">
        <v>14</v>
      </c>
      <c r="Z2861">
        <v>2022</v>
      </c>
    </row>
    <row r="2862" spans="1:26" x14ac:dyDescent="0.3">
      <c r="A2862" t="s">
        <v>248</v>
      </c>
      <c r="B2862" t="s">
        <v>69</v>
      </c>
      <c r="C2862">
        <v>33</v>
      </c>
      <c r="D2862">
        <v>22</v>
      </c>
      <c r="E2862" s="1">
        <f t="shared" si="44"/>
        <v>0.66666666666666663</v>
      </c>
      <c r="F2862">
        <v>99.4</v>
      </c>
      <c r="G2862">
        <v>93.1</v>
      </c>
      <c r="H2862">
        <v>0.67859999999999998</v>
      </c>
      <c r="I2862">
        <v>47.5</v>
      </c>
      <c r="J2862">
        <v>44.2</v>
      </c>
      <c r="K2862">
        <v>20.100000000000001</v>
      </c>
      <c r="L2862">
        <v>20.5</v>
      </c>
      <c r="M2862">
        <v>30.9</v>
      </c>
      <c r="N2862">
        <v>29</v>
      </c>
      <c r="O2862">
        <v>37.4</v>
      </c>
      <c r="P2862">
        <v>41.2</v>
      </c>
      <c r="Q2862">
        <v>45.6</v>
      </c>
      <c r="R2862">
        <v>44.5</v>
      </c>
      <c r="S2862">
        <v>34.6</v>
      </c>
      <c r="T2862">
        <v>29.2</v>
      </c>
      <c r="U2862">
        <v>65.599999999999994</v>
      </c>
      <c r="V2862">
        <v>-5.6</v>
      </c>
      <c r="W2862" cm="1">
        <f t="array" ref="W2862">_xlfn.IFS(OR(X2862="N/A",X2862="NA"),0,OR(X2862="R64",X2862="R68"),1,X2862="R32",2,X2862="S16",3,X2862="E8",4,X2862="F4",5,X2862="2ND",6,X2862="Champions",7)</f>
        <v>4</v>
      </c>
      <c r="X2862" t="s">
        <v>54</v>
      </c>
      <c r="Y2862">
        <v>15</v>
      </c>
      <c r="Z2862">
        <v>2022</v>
      </c>
    </row>
    <row r="2863" spans="1:26" x14ac:dyDescent="0.3">
      <c r="A2863" t="s">
        <v>198</v>
      </c>
      <c r="B2863" t="s">
        <v>53</v>
      </c>
      <c r="C2863">
        <v>34</v>
      </c>
      <c r="D2863">
        <v>22</v>
      </c>
      <c r="E2863" s="1">
        <f t="shared" si="44"/>
        <v>0.6470588235294118</v>
      </c>
      <c r="F2863">
        <v>106.5</v>
      </c>
      <c r="G2863">
        <v>103.2</v>
      </c>
      <c r="H2863">
        <v>0.59079999999999999</v>
      </c>
      <c r="I2863">
        <v>53.4</v>
      </c>
      <c r="J2863">
        <v>49.6</v>
      </c>
      <c r="K2863">
        <v>18.3</v>
      </c>
      <c r="L2863">
        <v>18.5</v>
      </c>
      <c r="M2863">
        <v>26.7</v>
      </c>
      <c r="N2863">
        <v>31.3</v>
      </c>
      <c r="O2863">
        <v>34.5</v>
      </c>
      <c r="P2863">
        <v>29.1</v>
      </c>
      <c r="Q2863">
        <v>54.4</v>
      </c>
      <c r="R2863">
        <v>47.7</v>
      </c>
      <c r="S2863">
        <v>34.5</v>
      </c>
      <c r="T2863">
        <v>35.4</v>
      </c>
      <c r="U2863">
        <v>66.599999999999994</v>
      </c>
      <c r="V2863">
        <v>-5.5</v>
      </c>
      <c r="W2863" cm="1">
        <f t="array" ref="W2863">_xlfn.IFS(OR(X2863="N/A",X2863="NA"),0,OR(X2863="R64",X2863="R68"),1,X2863="R32",2,X2863="S16",3,X2863="E8",4,X2863="F4",5,X2863="2ND",6,X2863="Champions",7)</f>
        <v>1</v>
      </c>
      <c r="X2863" t="s">
        <v>422</v>
      </c>
      <c r="Y2863">
        <v>15</v>
      </c>
      <c r="Z2863">
        <v>2022</v>
      </c>
    </row>
    <row r="2864" spans="1:26" x14ac:dyDescent="0.3">
      <c r="A2864" t="s">
        <v>307</v>
      </c>
      <c r="B2864" t="s">
        <v>131</v>
      </c>
      <c r="C2864">
        <v>30</v>
      </c>
      <c r="D2864">
        <v>21</v>
      </c>
      <c r="E2864" s="1">
        <f t="shared" si="44"/>
        <v>0.7</v>
      </c>
      <c r="F2864">
        <v>104.5</v>
      </c>
      <c r="G2864">
        <v>102.2</v>
      </c>
      <c r="H2864">
        <v>0.56379999999999997</v>
      </c>
      <c r="I2864">
        <v>53.6</v>
      </c>
      <c r="J2864">
        <v>48.1</v>
      </c>
      <c r="K2864">
        <v>19.7</v>
      </c>
      <c r="L2864">
        <v>17.100000000000001</v>
      </c>
      <c r="M2864">
        <v>28.2</v>
      </c>
      <c r="N2864">
        <v>27</v>
      </c>
      <c r="O2864">
        <v>32.1</v>
      </c>
      <c r="P2864">
        <v>21.6</v>
      </c>
      <c r="Q2864">
        <v>51</v>
      </c>
      <c r="R2864">
        <v>47.5</v>
      </c>
      <c r="S2864">
        <v>38</v>
      </c>
      <c r="T2864">
        <v>32.700000000000003</v>
      </c>
      <c r="U2864">
        <v>65.099999999999994</v>
      </c>
      <c r="V2864">
        <v>-5.2</v>
      </c>
      <c r="W2864" cm="1">
        <f t="array" ref="W2864">_xlfn.IFS(OR(X2864="N/A",X2864="NA"),0,OR(X2864="R64",X2864="R68"),1,X2864="R32",2,X2864="S16",3,X2864="E8",4,X2864="F4",5,X2864="2ND",6,X2864="Champions",7)</f>
        <v>1</v>
      </c>
      <c r="X2864" t="s">
        <v>422</v>
      </c>
      <c r="Y2864">
        <v>15</v>
      </c>
      <c r="Z2864">
        <v>2022</v>
      </c>
    </row>
    <row r="2865" spans="1:26" x14ac:dyDescent="0.3">
      <c r="A2865" t="s">
        <v>189</v>
      </c>
      <c r="B2865" t="s">
        <v>48</v>
      </c>
      <c r="C2865">
        <v>30</v>
      </c>
      <c r="D2865">
        <v>21</v>
      </c>
      <c r="E2865" s="1">
        <f t="shared" si="44"/>
        <v>0.7</v>
      </c>
      <c r="F2865">
        <v>102</v>
      </c>
      <c r="G2865">
        <v>103.1</v>
      </c>
      <c r="H2865">
        <v>0.46750000000000003</v>
      </c>
      <c r="I2865">
        <v>48.9</v>
      </c>
      <c r="J2865">
        <v>51.1</v>
      </c>
      <c r="K2865">
        <v>17.899999999999999</v>
      </c>
      <c r="L2865">
        <v>20.2</v>
      </c>
      <c r="M2865">
        <v>29.1</v>
      </c>
      <c r="N2865">
        <v>28.2</v>
      </c>
      <c r="O2865">
        <v>34.799999999999997</v>
      </c>
      <c r="P2865">
        <v>25.7</v>
      </c>
      <c r="Q2865">
        <v>48.4</v>
      </c>
      <c r="R2865">
        <v>48.4</v>
      </c>
      <c r="S2865">
        <v>33.4</v>
      </c>
      <c r="T2865">
        <v>37.299999999999997</v>
      </c>
      <c r="U2865">
        <v>66</v>
      </c>
      <c r="V2865">
        <v>-5</v>
      </c>
      <c r="W2865" cm="1">
        <f t="array" ref="W2865">_xlfn.IFS(OR(X2865="N/A",X2865="NA"),0,OR(X2865="R64",X2865="R68"),1,X2865="R32",2,X2865="S16",3,X2865="E8",4,X2865="F4",5,X2865="2ND",6,X2865="Champions",7)</f>
        <v>1</v>
      </c>
      <c r="X2865" t="s">
        <v>422</v>
      </c>
      <c r="Y2865">
        <v>15</v>
      </c>
      <c r="Z2865">
        <v>2022</v>
      </c>
    </row>
    <row r="2866" spans="1:26" x14ac:dyDescent="0.3">
      <c r="A2866" t="s">
        <v>346</v>
      </c>
      <c r="B2866" t="s">
        <v>58</v>
      </c>
      <c r="C2866">
        <v>26</v>
      </c>
      <c r="D2866">
        <v>18</v>
      </c>
      <c r="E2866" s="1">
        <f t="shared" si="44"/>
        <v>0.69230769230769229</v>
      </c>
      <c r="F2866">
        <v>101.9</v>
      </c>
      <c r="G2866">
        <v>98.4</v>
      </c>
      <c r="H2866">
        <v>0.59830000000000005</v>
      </c>
      <c r="I2866">
        <v>44.7</v>
      </c>
      <c r="J2866">
        <v>50</v>
      </c>
      <c r="K2866">
        <v>16.600000000000001</v>
      </c>
      <c r="L2866">
        <v>22.1</v>
      </c>
      <c r="M2866">
        <v>32.5</v>
      </c>
      <c r="N2866">
        <v>31</v>
      </c>
      <c r="O2866">
        <v>30.4</v>
      </c>
      <c r="P2866">
        <v>33.200000000000003</v>
      </c>
      <c r="Q2866">
        <v>42.5</v>
      </c>
      <c r="R2866">
        <v>46.2</v>
      </c>
      <c r="S2866">
        <v>32.4</v>
      </c>
      <c r="T2866">
        <v>37.5</v>
      </c>
      <c r="U2866">
        <v>67.3</v>
      </c>
      <c r="V2866">
        <v>-5.0999999999999996</v>
      </c>
      <c r="W2866" cm="1">
        <f t="array" ref="W2866">_xlfn.IFS(OR(X2866="N/A",X2866="NA"),0,OR(X2866="R64",X2866="R68"),1,X2866="R32",2,X2866="S16",3,X2866="E8",4,X2866="F4",5,X2866="2ND",6,X2866="Champions",7)</f>
        <v>1</v>
      </c>
      <c r="X2866" t="s">
        <v>422</v>
      </c>
      <c r="Y2866">
        <v>16</v>
      </c>
      <c r="Z2866">
        <v>2022</v>
      </c>
    </row>
    <row r="2867" spans="1:26" x14ac:dyDescent="0.3">
      <c r="A2867" t="s">
        <v>294</v>
      </c>
      <c r="B2867" t="s">
        <v>77</v>
      </c>
      <c r="C2867">
        <v>31</v>
      </c>
      <c r="D2867">
        <v>22</v>
      </c>
      <c r="E2867" s="1">
        <f t="shared" si="44"/>
        <v>0.70967741935483875</v>
      </c>
      <c r="F2867">
        <v>102.9</v>
      </c>
      <c r="G2867">
        <v>104.1</v>
      </c>
      <c r="H2867">
        <v>0.46510000000000001</v>
      </c>
      <c r="I2867">
        <v>49.6</v>
      </c>
      <c r="J2867">
        <v>47.6</v>
      </c>
      <c r="K2867">
        <v>19</v>
      </c>
      <c r="L2867">
        <v>16.600000000000001</v>
      </c>
      <c r="M2867">
        <v>32.799999999999997</v>
      </c>
      <c r="N2867">
        <v>31.7</v>
      </c>
      <c r="O2867">
        <v>32.700000000000003</v>
      </c>
      <c r="P2867">
        <v>25.2</v>
      </c>
      <c r="Q2867">
        <v>52.8</v>
      </c>
      <c r="R2867">
        <v>47</v>
      </c>
      <c r="S2867">
        <v>30.3</v>
      </c>
      <c r="T2867">
        <v>32.5</v>
      </c>
      <c r="U2867">
        <v>72.3</v>
      </c>
      <c r="V2867">
        <v>-4.8</v>
      </c>
      <c r="W2867" cm="1">
        <f t="array" ref="W2867">_xlfn.IFS(OR(X2867="N/A",X2867="NA"),0,OR(X2867="R64",X2867="R68"),1,X2867="R32",2,X2867="S16",3,X2867="E8",4,X2867="F4",5,X2867="2ND",6,X2867="Champions",7)</f>
        <v>1</v>
      </c>
      <c r="X2867" t="s">
        <v>423</v>
      </c>
      <c r="Y2867">
        <v>16</v>
      </c>
      <c r="Z2867">
        <v>2022</v>
      </c>
    </row>
    <row r="2868" spans="1:26" x14ac:dyDescent="0.3">
      <c r="A2868" t="s">
        <v>227</v>
      </c>
      <c r="B2868" t="s">
        <v>43</v>
      </c>
      <c r="C2868">
        <v>35</v>
      </c>
      <c r="D2868">
        <v>22</v>
      </c>
      <c r="E2868" s="1">
        <f t="shared" si="44"/>
        <v>0.62857142857142856</v>
      </c>
      <c r="F2868">
        <v>104.8</v>
      </c>
      <c r="G2868">
        <v>106.2</v>
      </c>
      <c r="H2868">
        <v>0.46129999999999999</v>
      </c>
      <c r="I2868">
        <v>51.7</v>
      </c>
      <c r="J2868">
        <v>51.4</v>
      </c>
      <c r="K2868">
        <v>17.7</v>
      </c>
      <c r="L2868">
        <v>18.5</v>
      </c>
      <c r="M2868">
        <v>31</v>
      </c>
      <c r="N2868">
        <v>30.1</v>
      </c>
      <c r="O2868">
        <v>31.6</v>
      </c>
      <c r="P2868">
        <v>26.1</v>
      </c>
      <c r="Q2868">
        <v>52.5</v>
      </c>
      <c r="R2868">
        <v>51.9</v>
      </c>
      <c r="S2868">
        <v>33.4</v>
      </c>
      <c r="T2868">
        <v>33.799999999999997</v>
      </c>
      <c r="U2868">
        <v>68.8</v>
      </c>
      <c r="V2868">
        <v>-8.4</v>
      </c>
      <c r="W2868" cm="1">
        <f t="array" ref="W2868">_xlfn.IFS(OR(X2868="N/A",X2868="NA"),0,OR(X2868="R64",X2868="R68"),1,X2868="R32",2,X2868="S16",3,X2868="E8",4,X2868="F4",5,X2868="2ND",6,X2868="Champions",7)</f>
        <v>1</v>
      </c>
      <c r="X2868" t="s">
        <v>422</v>
      </c>
      <c r="Y2868">
        <v>16</v>
      </c>
      <c r="Z2868">
        <v>2022</v>
      </c>
    </row>
    <row r="2869" spans="1:26" x14ac:dyDescent="0.3">
      <c r="A2869" t="s">
        <v>399</v>
      </c>
      <c r="B2869" t="s">
        <v>76</v>
      </c>
      <c r="C2869">
        <v>32</v>
      </c>
      <c r="D2869">
        <v>19</v>
      </c>
      <c r="E2869" s="1">
        <f t="shared" si="44"/>
        <v>0.59375</v>
      </c>
      <c r="F2869">
        <v>96.3</v>
      </c>
      <c r="G2869">
        <v>98.5</v>
      </c>
      <c r="H2869">
        <v>0.43559999999999999</v>
      </c>
      <c r="I2869">
        <v>48.2</v>
      </c>
      <c r="J2869">
        <v>45.3</v>
      </c>
      <c r="K2869">
        <v>21.4</v>
      </c>
      <c r="L2869">
        <v>17.3</v>
      </c>
      <c r="M2869">
        <v>33</v>
      </c>
      <c r="N2869">
        <v>28</v>
      </c>
      <c r="O2869">
        <v>33.6</v>
      </c>
      <c r="P2869">
        <v>33.4</v>
      </c>
      <c r="Q2869">
        <v>48.6</v>
      </c>
      <c r="R2869">
        <v>45.1</v>
      </c>
      <c r="S2869">
        <v>31.4</v>
      </c>
      <c r="T2869">
        <v>30.4</v>
      </c>
      <c r="U2869">
        <v>68.099999999999994</v>
      </c>
      <c r="V2869">
        <v>-6.8</v>
      </c>
      <c r="W2869" cm="1">
        <f t="array" ref="W2869">_xlfn.IFS(OR(X2869="N/A",X2869="NA"),0,OR(X2869="R64",X2869="R68"),1,X2869="R32",2,X2869="S16",3,X2869="E8",4,X2869="F4",5,X2869="2ND",6,X2869="Champions",7)</f>
        <v>1</v>
      </c>
      <c r="X2869" t="s">
        <v>422</v>
      </c>
      <c r="Y2869">
        <v>16</v>
      </c>
      <c r="Z2869">
        <v>2022</v>
      </c>
    </row>
    <row r="2870" spans="1:26" x14ac:dyDescent="0.3">
      <c r="A2870" t="s">
        <v>270</v>
      </c>
      <c r="B2870" t="s">
        <v>66</v>
      </c>
      <c r="C2870">
        <v>28</v>
      </c>
      <c r="D2870">
        <v>24</v>
      </c>
      <c r="E2870" s="1">
        <f t="shared" si="44"/>
        <v>0.8571428571428571</v>
      </c>
      <c r="F2870">
        <v>100.7</v>
      </c>
      <c r="G2870">
        <v>103</v>
      </c>
      <c r="H2870">
        <v>0.43419999999999997</v>
      </c>
      <c r="I2870">
        <v>50.9</v>
      </c>
      <c r="J2870">
        <v>45.8</v>
      </c>
      <c r="K2870">
        <v>20.100000000000001</v>
      </c>
      <c r="L2870">
        <v>18.399999999999999</v>
      </c>
      <c r="M2870">
        <v>30.1</v>
      </c>
      <c r="N2870">
        <v>27.8</v>
      </c>
      <c r="O2870">
        <v>38.299999999999997</v>
      </c>
      <c r="P2870">
        <v>33.5</v>
      </c>
      <c r="Q2870">
        <v>50.8</v>
      </c>
      <c r="R2870">
        <v>47.1</v>
      </c>
      <c r="S2870">
        <v>34</v>
      </c>
      <c r="T2870">
        <v>29.5</v>
      </c>
      <c r="U2870">
        <v>67</v>
      </c>
      <c r="V2870">
        <v>-3.1</v>
      </c>
      <c r="W2870" cm="1">
        <f t="array" ref="W2870">_xlfn.IFS(OR(X2870="N/A",X2870="NA"),0,OR(X2870="R64",X2870="R68"),1,X2870="R32",2,X2870="S16",3,X2870="E8",4,X2870="F4",5,X2870="2ND",6,X2870="Champions",7)</f>
        <v>1</v>
      </c>
      <c r="X2870" t="s">
        <v>422</v>
      </c>
      <c r="Y2870">
        <v>16</v>
      </c>
      <c r="Z2870">
        <v>2022</v>
      </c>
    </row>
    <row r="2871" spans="1:26" x14ac:dyDescent="0.3">
      <c r="A2871" t="s">
        <v>379</v>
      </c>
      <c r="B2871" t="s">
        <v>61</v>
      </c>
      <c r="C2871">
        <v>31</v>
      </c>
      <c r="D2871">
        <v>23</v>
      </c>
      <c r="E2871" s="1">
        <f t="shared" si="44"/>
        <v>0.74193548387096775</v>
      </c>
      <c r="F2871">
        <v>96.4</v>
      </c>
      <c r="G2871">
        <v>102.8</v>
      </c>
      <c r="H2871">
        <v>0.32229999999999998</v>
      </c>
      <c r="I2871">
        <v>47.2</v>
      </c>
      <c r="J2871">
        <v>49</v>
      </c>
      <c r="K2871">
        <v>19.7</v>
      </c>
      <c r="L2871">
        <v>22.6</v>
      </c>
      <c r="M2871">
        <v>34</v>
      </c>
      <c r="N2871">
        <v>28.8</v>
      </c>
      <c r="O2871">
        <v>38</v>
      </c>
      <c r="P2871">
        <v>42.3</v>
      </c>
      <c r="Q2871">
        <v>46.9</v>
      </c>
      <c r="R2871">
        <v>50.3</v>
      </c>
      <c r="S2871">
        <v>31.8</v>
      </c>
      <c r="T2871">
        <v>31.5</v>
      </c>
      <c r="U2871">
        <v>69.2</v>
      </c>
      <c r="V2871">
        <v>-7.6</v>
      </c>
      <c r="W2871" cm="1">
        <f t="array" ref="W2871">_xlfn.IFS(OR(X2871="N/A",X2871="NA"),0,OR(X2871="R64",X2871="R68"),1,X2871="R32",2,X2871="S16",3,X2871="E8",4,X2871="F4",5,X2871="2ND",6,X2871="Champions",7)</f>
        <v>1</v>
      </c>
      <c r="X2871" t="s">
        <v>423</v>
      </c>
      <c r="Y2871">
        <v>16</v>
      </c>
      <c r="Z2871">
        <v>2022</v>
      </c>
    </row>
    <row r="2872" spans="1:26" x14ac:dyDescent="0.3">
      <c r="A2872" t="s">
        <v>84</v>
      </c>
      <c r="B2872" t="s">
        <v>35</v>
      </c>
      <c r="C2872">
        <v>35</v>
      </c>
      <c r="D2872">
        <v>19</v>
      </c>
      <c r="E2872" s="1">
        <f t="shared" si="44"/>
        <v>0.54285714285714282</v>
      </c>
      <c r="F2872">
        <v>110.6</v>
      </c>
      <c r="G2872">
        <v>94.1</v>
      </c>
      <c r="H2872">
        <v>0.86499999999999999</v>
      </c>
      <c r="I2872">
        <v>54.8</v>
      </c>
      <c r="J2872">
        <v>49.4</v>
      </c>
      <c r="K2872">
        <v>22</v>
      </c>
      <c r="L2872">
        <v>20.3</v>
      </c>
      <c r="M2872">
        <v>25.7</v>
      </c>
      <c r="N2872">
        <v>26.2</v>
      </c>
      <c r="O2872">
        <v>27.4</v>
      </c>
      <c r="P2872">
        <v>26.4</v>
      </c>
      <c r="Q2872">
        <v>56.7</v>
      </c>
      <c r="R2872">
        <v>50.3</v>
      </c>
      <c r="S2872">
        <v>34.700000000000003</v>
      </c>
      <c r="T2872">
        <v>31.8</v>
      </c>
      <c r="U2872">
        <v>65.2</v>
      </c>
      <c r="V2872">
        <v>1.1000000000000001</v>
      </c>
      <c r="W2872" cm="1">
        <f t="array" ref="W2872">_xlfn.IFS(OR(X2872="N/A",X2872="NA"),0,OR(X2872="R64",X2872="R68"),1,X2872="R32",2,X2872="S16",3,X2872="E8",4,X2872="F4",5,X2872="2ND",6,X2872="Champions",7)</f>
        <v>0</v>
      </c>
      <c r="X2872" t="s">
        <v>425</v>
      </c>
      <c r="Y2872" t="s">
        <v>425</v>
      </c>
      <c r="Z2872">
        <v>2022</v>
      </c>
    </row>
    <row r="2873" spans="1:26" x14ac:dyDescent="0.3">
      <c r="A2873" t="s">
        <v>362</v>
      </c>
      <c r="B2873" t="s">
        <v>29</v>
      </c>
      <c r="C2873">
        <v>39</v>
      </c>
      <c r="D2873">
        <v>27</v>
      </c>
      <c r="E2873" s="1">
        <f t="shared" si="44"/>
        <v>0.69230769230769229</v>
      </c>
      <c r="F2873">
        <v>109.2</v>
      </c>
      <c r="G2873">
        <v>93.3</v>
      </c>
      <c r="H2873">
        <v>0.85970000000000002</v>
      </c>
      <c r="I2873">
        <v>49.6</v>
      </c>
      <c r="J2873">
        <v>47.4</v>
      </c>
      <c r="K2873">
        <v>18.899999999999999</v>
      </c>
      <c r="L2873">
        <v>23.7</v>
      </c>
      <c r="M2873">
        <v>33.5</v>
      </c>
      <c r="N2873">
        <v>33.200000000000003</v>
      </c>
      <c r="O2873">
        <v>35.700000000000003</v>
      </c>
      <c r="P2873">
        <v>33.299999999999997</v>
      </c>
      <c r="Q2873">
        <v>50.1</v>
      </c>
      <c r="R2873">
        <v>47.9</v>
      </c>
      <c r="S2873">
        <v>32.4</v>
      </c>
      <c r="T2873">
        <v>31.1</v>
      </c>
      <c r="U2873">
        <v>66.5</v>
      </c>
      <c r="V2873">
        <v>1.2</v>
      </c>
      <c r="W2873" cm="1">
        <f t="array" ref="W2873">_xlfn.IFS(OR(X2873="N/A",X2873="NA"),0,OR(X2873="R64",X2873="R68"),1,X2873="R32",2,X2873="S16",3,X2873="E8",4,X2873="F4",5,X2873="2ND",6,X2873="Champions",7)</f>
        <v>0</v>
      </c>
      <c r="X2873" t="s">
        <v>425</v>
      </c>
      <c r="Y2873" t="s">
        <v>425</v>
      </c>
      <c r="Z2873">
        <v>2022</v>
      </c>
    </row>
    <row r="2874" spans="1:26" x14ac:dyDescent="0.3">
      <c r="A2874" t="s">
        <v>151</v>
      </c>
      <c r="B2874" t="s">
        <v>35</v>
      </c>
      <c r="C2874">
        <v>30</v>
      </c>
      <c r="D2874">
        <v>15</v>
      </c>
      <c r="E2874" s="1">
        <f t="shared" si="44"/>
        <v>0.5</v>
      </c>
      <c r="F2874">
        <v>102.9</v>
      </c>
      <c r="G2874">
        <v>88</v>
      </c>
      <c r="H2874">
        <v>0.85750000000000004</v>
      </c>
      <c r="I2874">
        <v>48</v>
      </c>
      <c r="J2874">
        <v>45.7</v>
      </c>
      <c r="K2874">
        <v>21.4</v>
      </c>
      <c r="L2874">
        <v>22.8</v>
      </c>
      <c r="M2874">
        <v>32.299999999999997</v>
      </c>
      <c r="N2874">
        <v>31.4</v>
      </c>
      <c r="O2874">
        <v>33</v>
      </c>
      <c r="P2874">
        <v>31.2</v>
      </c>
      <c r="Q2874">
        <v>49.8</v>
      </c>
      <c r="R2874">
        <v>43.7</v>
      </c>
      <c r="S2874">
        <v>29.5</v>
      </c>
      <c r="T2874">
        <v>32.4</v>
      </c>
      <c r="U2874">
        <v>68</v>
      </c>
      <c r="V2874">
        <v>-0.8</v>
      </c>
      <c r="W2874" cm="1">
        <f t="array" ref="W2874">_xlfn.IFS(OR(X2874="N/A",X2874="NA"),0,OR(X2874="R64",X2874="R68"),1,X2874="R32",2,X2874="S16",3,X2874="E8",4,X2874="F4",5,X2874="2ND",6,X2874="Champions",7)</f>
        <v>0</v>
      </c>
      <c r="X2874" t="s">
        <v>425</v>
      </c>
      <c r="Y2874" t="s">
        <v>425</v>
      </c>
      <c r="Z2874">
        <v>2022</v>
      </c>
    </row>
    <row r="2875" spans="1:26" x14ac:dyDescent="0.3">
      <c r="A2875" t="s">
        <v>109</v>
      </c>
      <c r="B2875" t="s">
        <v>26</v>
      </c>
      <c r="C2875">
        <v>35</v>
      </c>
      <c r="D2875">
        <v>25</v>
      </c>
      <c r="E2875" s="1">
        <f t="shared" si="44"/>
        <v>0.7142857142857143</v>
      </c>
      <c r="F2875">
        <v>110.7</v>
      </c>
      <c r="G2875">
        <v>95</v>
      </c>
      <c r="H2875">
        <v>0.85429999999999995</v>
      </c>
      <c r="I2875">
        <v>55.6</v>
      </c>
      <c r="J2875">
        <v>47.3</v>
      </c>
      <c r="K2875">
        <v>19.2</v>
      </c>
      <c r="L2875">
        <v>17.600000000000001</v>
      </c>
      <c r="M2875">
        <v>26.7</v>
      </c>
      <c r="N2875">
        <v>26.2</v>
      </c>
      <c r="O2875">
        <v>33.6</v>
      </c>
      <c r="P2875">
        <v>29.4</v>
      </c>
      <c r="Q2875">
        <v>58.5</v>
      </c>
      <c r="R2875">
        <v>46.6</v>
      </c>
      <c r="S2875">
        <v>34.5</v>
      </c>
      <c r="T2875">
        <v>32.299999999999997</v>
      </c>
      <c r="U2875">
        <v>70.400000000000006</v>
      </c>
      <c r="V2875">
        <v>1.5</v>
      </c>
      <c r="W2875" cm="1">
        <f t="array" ref="W2875">_xlfn.IFS(OR(X2875="N/A",X2875="NA"),0,OR(X2875="R64",X2875="R68"),1,X2875="R32",2,X2875="S16",3,X2875="E8",4,X2875="F4",5,X2875="2ND",6,X2875="Champions",7)</f>
        <v>0</v>
      </c>
      <c r="X2875" t="s">
        <v>425</v>
      </c>
      <c r="Y2875" t="s">
        <v>425</v>
      </c>
      <c r="Z2875">
        <v>2022</v>
      </c>
    </row>
    <row r="2876" spans="1:26" x14ac:dyDescent="0.3">
      <c r="A2876" t="s">
        <v>323</v>
      </c>
      <c r="B2876" t="s">
        <v>38</v>
      </c>
      <c r="C2876">
        <v>37</v>
      </c>
      <c r="D2876">
        <v>22</v>
      </c>
      <c r="E2876" s="1">
        <f t="shared" si="44"/>
        <v>0.59459459459459463</v>
      </c>
      <c r="F2876">
        <v>107.6</v>
      </c>
      <c r="G2876">
        <v>93.1</v>
      </c>
      <c r="H2876">
        <v>0.84050000000000002</v>
      </c>
      <c r="I2876">
        <v>47.9</v>
      </c>
      <c r="J2876">
        <v>46.9</v>
      </c>
      <c r="K2876">
        <v>16.600000000000001</v>
      </c>
      <c r="L2876">
        <v>20.399999999999999</v>
      </c>
      <c r="M2876">
        <v>33.4</v>
      </c>
      <c r="N2876">
        <v>29.5</v>
      </c>
      <c r="O2876">
        <v>29.8</v>
      </c>
      <c r="P2876">
        <v>30.3</v>
      </c>
      <c r="Q2876">
        <v>46.2</v>
      </c>
      <c r="R2876">
        <v>47.4</v>
      </c>
      <c r="S2876">
        <v>33.5</v>
      </c>
      <c r="T2876">
        <v>30.6</v>
      </c>
      <c r="U2876">
        <v>66.2</v>
      </c>
      <c r="V2876">
        <v>-4</v>
      </c>
      <c r="W2876" cm="1">
        <f t="array" ref="W2876">_xlfn.IFS(OR(X2876="N/A",X2876="NA"),0,OR(X2876="R64",X2876="R68"),1,X2876="R32",2,X2876="S16",3,X2876="E8",4,X2876="F4",5,X2876="2ND",6,X2876="Champions",7)</f>
        <v>0</v>
      </c>
      <c r="X2876" t="s">
        <v>425</v>
      </c>
      <c r="Y2876" t="s">
        <v>425</v>
      </c>
      <c r="Z2876">
        <v>2022</v>
      </c>
    </row>
    <row r="2877" spans="1:26" x14ac:dyDescent="0.3">
      <c r="A2877" t="s">
        <v>79</v>
      </c>
      <c r="B2877" t="s">
        <v>45</v>
      </c>
      <c r="C2877">
        <v>35</v>
      </c>
      <c r="D2877">
        <v>24</v>
      </c>
      <c r="E2877" s="1">
        <f t="shared" si="44"/>
        <v>0.68571428571428572</v>
      </c>
      <c r="F2877">
        <v>108.8</v>
      </c>
      <c r="G2877">
        <v>94.5</v>
      </c>
      <c r="H2877">
        <v>0.83409999999999995</v>
      </c>
      <c r="I2877">
        <v>53.9</v>
      </c>
      <c r="J2877">
        <v>46.9</v>
      </c>
      <c r="K2877">
        <v>19.100000000000001</v>
      </c>
      <c r="L2877">
        <v>17.100000000000001</v>
      </c>
      <c r="M2877">
        <v>30.3</v>
      </c>
      <c r="N2877">
        <v>23.6</v>
      </c>
      <c r="O2877">
        <v>30.5</v>
      </c>
      <c r="P2877">
        <v>23.7</v>
      </c>
      <c r="Q2877">
        <v>53.8</v>
      </c>
      <c r="R2877">
        <v>45.8</v>
      </c>
      <c r="S2877">
        <v>36.1</v>
      </c>
      <c r="T2877">
        <v>32.4</v>
      </c>
      <c r="U2877">
        <v>63.1</v>
      </c>
      <c r="V2877">
        <v>-1.2</v>
      </c>
      <c r="W2877" cm="1">
        <f t="array" ref="W2877">_xlfn.IFS(OR(X2877="N/A",X2877="NA"),0,OR(X2877="R64",X2877="R68"),1,X2877="R32",2,X2877="S16",3,X2877="E8",4,X2877="F4",5,X2877="2ND",6,X2877="Champions",7)</f>
        <v>0</v>
      </c>
      <c r="X2877" t="s">
        <v>425</v>
      </c>
      <c r="Y2877" t="s">
        <v>425</v>
      </c>
      <c r="Z2877">
        <v>2022</v>
      </c>
    </row>
    <row r="2878" spans="1:26" x14ac:dyDescent="0.3">
      <c r="A2878" t="s">
        <v>82</v>
      </c>
      <c r="B2878" t="s">
        <v>26</v>
      </c>
      <c r="C2878">
        <v>33</v>
      </c>
      <c r="D2878">
        <v>16</v>
      </c>
      <c r="E2878" s="1">
        <f t="shared" si="44"/>
        <v>0.48484848484848486</v>
      </c>
      <c r="F2878">
        <v>116.1</v>
      </c>
      <c r="G2878">
        <v>101.4</v>
      </c>
      <c r="H2878">
        <v>0.82709999999999995</v>
      </c>
      <c r="I2878">
        <v>52.5</v>
      </c>
      <c r="J2878">
        <v>50.6</v>
      </c>
      <c r="K2878">
        <v>15.4</v>
      </c>
      <c r="L2878">
        <v>16.7</v>
      </c>
      <c r="M2878">
        <v>29.2</v>
      </c>
      <c r="N2878">
        <v>32.1</v>
      </c>
      <c r="O2878">
        <v>28.3</v>
      </c>
      <c r="P2878">
        <v>23.5</v>
      </c>
      <c r="Q2878">
        <v>49.9</v>
      </c>
      <c r="R2878">
        <v>51.6</v>
      </c>
      <c r="S2878">
        <v>37.6</v>
      </c>
      <c r="T2878">
        <v>33</v>
      </c>
      <c r="U2878">
        <v>67.7</v>
      </c>
      <c r="V2878">
        <v>-3.8</v>
      </c>
      <c r="W2878" cm="1">
        <f t="array" ref="W2878">_xlfn.IFS(OR(X2878="N/A",X2878="NA"),0,OR(X2878="R64",X2878="R68"),1,X2878="R32",2,X2878="S16",3,X2878="E8",4,X2878="F4",5,X2878="2ND",6,X2878="Champions",7)</f>
        <v>0</v>
      </c>
      <c r="X2878" t="s">
        <v>425</v>
      </c>
      <c r="Y2878" t="s">
        <v>425</v>
      </c>
      <c r="Z2878">
        <v>2022</v>
      </c>
    </row>
    <row r="2879" spans="1:26" x14ac:dyDescent="0.3">
      <c r="A2879" t="s">
        <v>70</v>
      </c>
      <c r="B2879" t="s">
        <v>33</v>
      </c>
      <c r="C2879">
        <v>36</v>
      </c>
      <c r="D2879">
        <v>23</v>
      </c>
      <c r="E2879" s="1">
        <f t="shared" si="44"/>
        <v>0.63888888888888884</v>
      </c>
      <c r="F2879">
        <v>110.9</v>
      </c>
      <c r="G2879">
        <v>97.2</v>
      </c>
      <c r="H2879">
        <v>0.82050000000000001</v>
      </c>
      <c r="I2879">
        <v>50.9</v>
      </c>
      <c r="J2879">
        <v>48.3</v>
      </c>
      <c r="K2879">
        <v>16.7</v>
      </c>
      <c r="L2879">
        <v>18.100000000000001</v>
      </c>
      <c r="M2879">
        <v>29.3</v>
      </c>
      <c r="N2879">
        <v>26.1</v>
      </c>
      <c r="O2879">
        <v>35.299999999999997</v>
      </c>
      <c r="P2879">
        <v>25.9</v>
      </c>
      <c r="Q2879">
        <v>52.2</v>
      </c>
      <c r="R2879">
        <v>48.3</v>
      </c>
      <c r="S2879">
        <v>32.200000000000003</v>
      </c>
      <c r="T2879">
        <v>32.200000000000003</v>
      </c>
      <c r="U2879">
        <v>68.599999999999994</v>
      </c>
      <c r="V2879">
        <v>-1.1000000000000001</v>
      </c>
      <c r="W2879" cm="1">
        <f t="array" ref="W2879">_xlfn.IFS(OR(X2879="N/A",X2879="NA"),0,OR(X2879="R64",X2879="R68"),1,X2879="R32",2,X2879="S16",3,X2879="E8",4,X2879="F4",5,X2879="2ND",6,X2879="Champions",7)</f>
        <v>0</v>
      </c>
      <c r="X2879" t="s">
        <v>425</v>
      </c>
      <c r="Y2879" t="s">
        <v>425</v>
      </c>
      <c r="Z2879">
        <v>2022</v>
      </c>
    </row>
    <row r="2880" spans="1:26" x14ac:dyDescent="0.3">
      <c r="A2880" t="s">
        <v>160</v>
      </c>
      <c r="B2880" t="s">
        <v>33</v>
      </c>
      <c r="C2880">
        <v>32</v>
      </c>
      <c r="D2880">
        <v>17</v>
      </c>
      <c r="E2880" s="1">
        <f t="shared" si="44"/>
        <v>0.53125</v>
      </c>
      <c r="F2880">
        <v>110.2</v>
      </c>
      <c r="G2880">
        <v>96.7</v>
      </c>
      <c r="H2880">
        <v>0.81779999999999997</v>
      </c>
      <c r="I2880">
        <v>50.8</v>
      </c>
      <c r="J2880">
        <v>48.9</v>
      </c>
      <c r="K2880">
        <v>15.9</v>
      </c>
      <c r="L2880">
        <v>21.3</v>
      </c>
      <c r="M2880">
        <v>30.7</v>
      </c>
      <c r="N2880">
        <v>31.5</v>
      </c>
      <c r="O2880">
        <v>26.1</v>
      </c>
      <c r="P2880">
        <v>33.200000000000003</v>
      </c>
      <c r="Q2880">
        <v>51</v>
      </c>
      <c r="R2880">
        <v>47.5</v>
      </c>
      <c r="S2880">
        <v>33.5</v>
      </c>
      <c r="T2880">
        <v>34.1</v>
      </c>
      <c r="U2880">
        <v>73.599999999999994</v>
      </c>
      <c r="V2880">
        <v>-3.3</v>
      </c>
      <c r="W2880" cm="1">
        <f t="array" ref="W2880">_xlfn.IFS(OR(X2880="N/A",X2880="NA"),0,OR(X2880="R64",X2880="R68"),1,X2880="R32",2,X2880="S16",3,X2880="E8",4,X2880="F4",5,X2880="2ND",6,X2880="Champions",7)</f>
        <v>0</v>
      </c>
      <c r="X2880" t="s">
        <v>425</v>
      </c>
      <c r="Y2880" t="s">
        <v>425</v>
      </c>
      <c r="Z2880">
        <v>2022</v>
      </c>
    </row>
    <row r="2881" spans="1:26" x14ac:dyDescent="0.3">
      <c r="A2881" t="s">
        <v>102</v>
      </c>
      <c r="B2881" t="s">
        <v>45</v>
      </c>
      <c r="C2881">
        <v>32</v>
      </c>
      <c r="D2881">
        <v>22</v>
      </c>
      <c r="E2881" s="1">
        <f t="shared" si="44"/>
        <v>0.6875</v>
      </c>
      <c r="F2881">
        <v>100.9</v>
      </c>
      <c r="G2881">
        <v>88.9</v>
      </c>
      <c r="H2881">
        <v>0.80969999999999998</v>
      </c>
      <c r="I2881">
        <v>51.4</v>
      </c>
      <c r="J2881">
        <v>44.4</v>
      </c>
      <c r="K2881">
        <v>21.9</v>
      </c>
      <c r="L2881">
        <v>24.7</v>
      </c>
      <c r="M2881">
        <v>26.6</v>
      </c>
      <c r="N2881">
        <v>32</v>
      </c>
      <c r="O2881">
        <v>30.9</v>
      </c>
      <c r="P2881">
        <v>38.299999999999997</v>
      </c>
      <c r="Q2881">
        <v>51.1</v>
      </c>
      <c r="R2881">
        <v>45.9</v>
      </c>
      <c r="S2881">
        <v>34.700000000000003</v>
      </c>
      <c r="T2881">
        <v>27.8</v>
      </c>
      <c r="U2881">
        <v>68.5</v>
      </c>
      <c r="V2881">
        <v>0.5</v>
      </c>
      <c r="W2881" cm="1">
        <f t="array" ref="W2881">_xlfn.IFS(OR(X2881="N/A",X2881="NA"),0,OR(X2881="R64",X2881="R68"),1,X2881="R32",2,X2881="S16",3,X2881="E8",4,X2881="F4",5,X2881="2ND",6,X2881="Champions",7)</f>
        <v>0</v>
      </c>
      <c r="X2881" t="s">
        <v>425</v>
      </c>
      <c r="Y2881" t="s">
        <v>425</v>
      </c>
      <c r="Z2881">
        <v>2022</v>
      </c>
    </row>
    <row r="2882" spans="1:26" x14ac:dyDescent="0.3">
      <c r="A2882" t="s">
        <v>213</v>
      </c>
      <c r="B2882" t="s">
        <v>40</v>
      </c>
      <c r="C2882">
        <v>30</v>
      </c>
      <c r="D2882">
        <v>25</v>
      </c>
      <c r="E2882" s="1">
        <f t="shared" si="44"/>
        <v>0.83333333333333337</v>
      </c>
      <c r="F2882">
        <v>104.6</v>
      </c>
      <c r="G2882">
        <v>92.3</v>
      </c>
      <c r="H2882">
        <v>0.80820000000000003</v>
      </c>
      <c r="I2882">
        <v>51.4</v>
      </c>
      <c r="J2882">
        <v>46.3</v>
      </c>
      <c r="K2882">
        <v>18.7</v>
      </c>
      <c r="L2882">
        <v>19.5</v>
      </c>
      <c r="M2882">
        <v>31.7</v>
      </c>
      <c r="N2882">
        <v>25.1</v>
      </c>
      <c r="O2882">
        <v>37.700000000000003</v>
      </c>
      <c r="P2882">
        <v>32.799999999999997</v>
      </c>
      <c r="Q2882">
        <v>49.7</v>
      </c>
      <c r="R2882">
        <v>47.6</v>
      </c>
      <c r="S2882">
        <v>35.799999999999997</v>
      </c>
      <c r="T2882">
        <v>28.8</v>
      </c>
      <c r="U2882">
        <v>59.2</v>
      </c>
      <c r="V2882">
        <v>0.7</v>
      </c>
      <c r="W2882" cm="1">
        <f t="array" ref="W2882">_xlfn.IFS(OR(X2882="N/A",X2882="NA"),0,OR(X2882="R64",X2882="R68"),1,X2882="R32",2,X2882="S16",3,X2882="E8",4,X2882="F4",5,X2882="2ND",6,X2882="Champions",7)</f>
        <v>0</v>
      </c>
      <c r="X2882" t="s">
        <v>425</v>
      </c>
      <c r="Y2882" t="s">
        <v>425</v>
      </c>
      <c r="Z2882">
        <v>2022</v>
      </c>
    </row>
    <row r="2883" spans="1:26" x14ac:dyDescent="0.3">
      <c r="A2883" t="s">
        <v>290</v>
      </c>
      <c r="B2883" t="s">
        <v>55</v>
      </c>
      <c r="C2883">
        <v>33</v>
      </c>
      <c r="D2883">
        <v>18</v>
      </c>
      <c r="E2883" s="1">
        <f t="shared" ref="E2883:E2946" si="45">D2883/C2883</f>
        <v>0.54545454545454541</v>
      </c>
      <c r="F2883">
        <v>109.2</v>
      </c>
      <c r="G2883">
        <v>96.4</v>
      </c>
      <c r="H2883">
        <v>0.80610000000000004</v>
      </c>
      <c r="I2883">
        <v>54.2</v>
      </c>
      <c r="J2883">
        <v>49.7</v>
      </c>
      <c r="K2883">
        <v>18.3</v>
      </c>
      <c r="L2883">
        <v>18.3</v>
      </c>
      <c r="M2883">
        <v>26</v>
      </c>
      <c r="N2883">
        <v>22.9</v>
      </c>
      <c r="O2883">
        <v>28.9</v>
      </c>
      <c r="P2883">
        <v>29</v>
      </c>
      <c r="Q2883">
        <v>56.2</v>
      </c>
      <c r="R2883">
        <v>48.8</v>
      </c>
      <c r="S2883">
        <v>34.1</v>
      </c>
      <c r="T2883">
        <v>34</v>
      </c>
      <c r="U2883">
        <v>66.7</v>
      </c>
      <c r="V2883">
        <v>-4.7</v>
      </c>
      <c r="W2883" cm="1">
        <f t="array" ref="W2883">_xlfn.IFS(OR(X2883="N/A",X2883="NA"),0,OR(X2883="R64",X2883="R68"),1,X2883="R32",2,X2883="S16",3,X2883="E8",4,X2883="F4",5,X2883="2ND",6,X2883="Champions",7)</f>
        <v>0</v>
      </c>
      <c r="X2883" t="s">
        <v>425</v>
      </c>
      <c r="Y2883" t="s">
        <v>425</v>
      </c>
      <c r="Z2883">
        <v>2022</v>
      </c>
    </row>
    <row r="2884" spans="1:26" x14ac:dyDescent="0.3">
      <c r="A2884" t="s">
        <v>75</v>
      </c>
      <c r="B2884" t="s">
        <v>29</v>
      </c>
      <c r="C2884">
        <v>34</v>
      </c>
      <c r="D2884">
        <v>20</v>
      </c>
      <c r="E2884" s="1">
        <f t="shared" si="45"/>
        <v>0.58823529411764708</v>
      </c>
      <c r="F2884">
        <v>109.8</v>
      </c>
      <c r="G2884">
        <v>97</v>
      </c>
      <c r="H2884">
        <v>0.80559999999999998</v>
      </c>
      <c r="I2884">
        <v>49.6</v>
      </c>
      <c r="J2884">
        <v>49.4</v>
      </c>
      <c r="K2884">
        <v>18.5</v>
      </c>
      <c r="L2884">
        <v>21.8</v>
      </c>
      <c r="M2884">
        <v>31.5</v>
      </c>
      <c r="N2884">
        <v>32.5</v>
      </c>
      <c r="O2884">
        <v>33.799999999999997</v>
      </c>
      <c r="P2884">
        <v>30.3</v>
      </c>
      <c r="Q2884">
        <v>53.1</v>
      </c>
      <c r="R2884">
        <v>49.9</v>
      </c>
      <c r="S2884">
        <v>30.3</v>
      </c>
      <c r="T2884">
        <v>32.200000000000003</v>
      </c>
      <c r="U2884">
        <v>65.5</v>
      </c>
      <c r="V2884">
        <v>-0.9</v>
      </c>
      <c r="W2884" cm="1">
        <f t="array" ref="W2884">_xlfn.IFS(OR(X2884="N/A",X2884="NA"),0,OR(X2884="R64",X2884="R68"),1,X2884="R32",2,X2884="S16",3,X2884="E8",4,X2884="F4",5,X2884="2ND",6,X2884="Champions",7)</f>
        <v>0</v>
      </c>
      <c r="X2884" t="s">
        <v>425</v>
      </c>
      <c r="Y2884" t="s">
        <v>425</v>
      </c>
      <c r="Z2884">
        <v>2022</v>
      </c>
    </row>
    <row r="2885" spans="1:26" x14ac:dyDescent="0.3">
      <c r="A2885" t="s">
        <v>129</v>
      </c>
      <c r="B2885" t="s">
        <v>50</v>
      </c>
      <c r="C2885">
        <v>33</v>
      </c>
      <c r="D2885">
        <v>24</v>
      </c>
      <c r="E2885" s="1">
        <f t="shared" si="45"/>
        <v>0.72727272727272729</v>
      </c>
      <c r="F2885">
        <v>107.9</v>
      </c>
      <c r="G2885">
        <v>95.4</v>
      </c>
      <c r="H2885">
        <v>0.80389999999999995</v>
      </c>
      <c r="I2885">
        <v>51.5</v>
      </c>
      <c r="J2885">
        <v>44.5</v>
      </c>
      <c r="K2885">
        <v>17.7</v>
      </c>
      <c r="L2885">
        <v>17</v>
      </c>
      <c r="M2885">
        <v>27.7</v>
      </c>
      <c r="N2885">
        <v>30.3</v>
      </c>
      <c r="O2885">
        <v>35.6</v>
      </c>
      <c r="P2885">
        <v>25.4</v>
      </c>
      <c r="Q2885">
        <v>50.4</v>
      </c>
      <c r="R2885">
        <v>44.5</v>
      </c>
      <c r="S2885">
        <v>35.299999999999997</v>
      </c>
      <c r="T2885">
        <v>29.8</v>
      </c>
      <c r="U2885">
        <v>68.3</v>
      </c>
      <c r="V2885">
        <v>1.8</v>
      </c>
      <c r="W2885" cm="1">
        <f t="array" ref="W2885">_xlfn.IFS(OR(X2885="N/A",X2885="NA"),0,OR(X2885="R64",X2885="R68"),1,X2885="R32",2,X2885="S16",3,X2885="E8",4,X2885="F4",5,X2885="2ND",6,X2885="Champions",7)</f>
        <v>0</v>
      </c>
      <c r="X2885" t="s">
        <v>425</v>
      </c>
      <c r="Y2885" t="s">
        <v>425</v>
      </c>
      <c r="Z2885">
        <v>2022</v>
      </c>
    </row>
    <row r="2886" spans="1:26" x14ac:dyDescent="0.3">
      <c r="A2886" t="s">
        <v>155</v>
      </c>
      <c r="B2886" t="s">
        <v>35</v>
      </c>
      <c r="C2886">
        <v>33</v>
      </c>
      <c r="D2886">
        <v>16</v>
      </c>
      <c r="E2886" s="1">
        <f t="shared" si="45"/>
        <v>0.48484848484848486</v>
      </c>
      <c r="F2886">
        <v>108.6</v>
      </c>
      <c r="G2886">
        <v>96.1</v>
      </c>
      <c r="H2886">
        <v>0.80249999999999999</v>
      </c>
      <c r="I2886">
        <v>46.8</v>
      </c>
      <c r="J2886">
        <v>50.6</v>
      </c>
      <c r="K2886">
        <v>18.2</v>
      </c>
      <c r="L2886">
        <v>22.5</v>
      </c>
      <c r="M2886">
        <v>30</v>
      </c>
      <c r="N2886">
        <v>33.6</v>
      </c>
      <c r="O2886">
        <v>36.1</v>
      </c>
      <c r="P2886">
        <v>34.1</v>
      </c>
      <c r="Q2886">
        <v>45.7</v>
      </c>
      <c r="R2886">
        <v>51.7</v>
      </c>
      <c r="S2886">
        <v>32.799999999999997</v>
      </c>
      <c r="T2886">
        <v>32.4</v>
      </c>
      <c r="U2886">
        <v>67.900000000000006</v>
      </c>
      <c r="V2886">
        <v>-1.1000000000000001</v>
      </c>
      <c r="W2886" cm="1">
        <f t="array" ref="W2886">_xlfn.IFS(OR(X2886="N/A",X2886="NA"),0,OR(X2886="R64",X2886="R68"),1,X2886="R32",2,X2886="S16",3,X2886="E8",4,X2886="F4",5,X2886="2ND",6,X2886="Champions",7)</f>
        <v>0</v>
      </c>
      <c r="X2886" t="s">
        <v>425</v>
      </c>
      <c r="Y2886" t="s">
        <v>425</v>
      </c>
      <c r="Z2886">
        <v>2022</v>
      </c>
    </row>
    <row r="2887" spans="1:26" x14ac:dyDescent="0.3">
      <c r="A2887" t="s">
        <v>44</v>
      </c>
      <c r="B2887" t="s">
        <v>26</v>
      </c>
      <c r="C2887">
        <v>35</v>
      </c>
      <c r="D2887">
        <v>21</v>
      </c>
      <c r="E2887" s="1">
        <f t="shared" si="45"/>
        <v>0.6</v>
      </c>
      <c r="F2887">
        <v>107.4</v>
      </c>
      <c r="G2887">
        <v>95.1</v>
      </c>
      <c r="H2887">
        <v>0.80120000000000002</v>
      </c>
      <c r="I2887">
        <v>49.7</v>
      </c>
      <c r="J2887">
        <v>48.8</v>
      </c>
      <c r="K2887">
        <v>16.100000000000001</v>
      </c>
      <c r="L2887">
        <v>18.3</v>
      </c>
      <c r="M2887">
        <v>27.8</v>
      </c>
      <c r="N2887">
        <v>28.8</v>
      </c>
      <c r="O2887">
        <v>28.1</v>
      </c>
      <c r="P2887">
        <v>23.3</v>
      </c>
      <c r="Q2887">
        <v>50.3</v>
      </c>
      <c r="R2887">
        <v>47.9</v>
      </c>
      <c r="S2887">
        <v>32.299999999999997</v>
      </c>
      <c r="T2887">
        <v>33.6</v>
      </c>
      <c r="U2887">
        <v>59.3</v>
      </c>
      <c r="V2887">
        <v>-0.5</v>
      </c>
      <c r="W2887" cm="1">
        <f t="array" ref="W2887">_xlfn.IFS(OR(X2887="N/A",X2887="NA"),0,OR(X2887="R64",X2887="R68"),1,X2887="R32",2,X2887="S16",3,X2887="E8",4,X2887="F4",5,X2887="2ND",6,X2887="Champions",7)</f>
        <v>0</v>
      </c>
      <c r="X2887" t="s">
        <v>425</v>
      </c>
      <c r="Y2887" t="s">
        <v>425</v>
      </c>
      <c r="Z2887">
        <v>2022</v>
      </c>
    </row>
    <row r="2888" spans="1:26" x14ac:dyDescent="0.3">
      <c r="A2888" t="s">
        <v>363</v>
      </c>
      <c r="B2888" t="s">
        <v>29</v>
      </c>
      <c r="C2888">
        <v>36</v>
      </c>
      <c r="D2888">
        <v>19</v>
      </c>
      <c r="E2888" s="1">
        <f t="shared" si="45"/>
        <v>0.52777777777777779</v>
      </c>
      <c r="F2888">
        <v>106.7</v>
      </c>
      <c r="G2888">
        <v>94.7</v>
      </c>
      <c r="H2888">
        <v>0.79849999999999999</v>
      </c>
      <c r="I2888">
        <v>50.2</v>
      </c>
      <c r="J2888">
        <v>48.5</v>
      </c>
      <c r="K2888">
        <v>18.899999999999999</v>
      </c>
      <c r="L2888">
        <v>20.7</v>
      </c>
      <c r="M2888">
        <v>27.5</v>
      </c>
      <c r="N2888">
        <v>27.7</v>
      </c>
      <c r="O2888">
        <v>38.700000000000003</v>
      </c>
      <c r="P2888">
        <v>34.9</v>
      </c>
      <c r="Q2888">
        <v>49.5</v>
      </c>
      <c r="R2888">
        <v>50.7</v>
      </c>
      <c r="S2888">
        <v>34</v>
      </c>
      <c r="T2888">
        <v>30.1</v>
      </c>
      <c r="U2888">
        <v>67.400000000000006</v>
      </c>
      <c r="V2888">
        <v>-3.1</v>
      </c>
      <c r="W2888" cm="1">
        <f t="array" ref="W2888">_xlfn.IFS(OR(X2888="N/A",X2888="NA"),0,OR(X2888="R64",X2888="R68"),1,X2888="R32",2,X2888="S16",3,X2888="E8",4,X2888="F4",5,X2888="2ND",6,X2888="Champions",7)</f>
        <v>0</v>
      </c>
      <c r="X2888" t="s">
        <v>425</v>
      </c>
      <c r="Y2888" t="s">
        <v>425</v>
      </c>
      <c r="Z2888">
        <v>2022</v>
      </c>
    </row>
    <row r="2889" spans="1:26" x14ac:dyDescent="0.3">
      <c r="A2889" t="s">
        <v>417</v>
      </c>
      <c r="B2889" t="s">
        <v>37</v>
      </c>
      <c r="C2889">
        <v>33</v>
      </c>
      <c r="D2889">
        <v>24</v>
      </c>
      <c r="E2889" s="1">
        <f t="shared" si="45"/>
        <v>0.72727272727272729</v>
      </c>
      <c r="F2889">
        <v>108.4</v>
      </c>
      <c r="G2889">
        <v>97.8</v>
      </c>
      <c r="H2889">
        <v>0.76470000000000005</v>
      </c>
      <c r="I2889">
        <v>51.8</v>
      </c>
      <c r="J2889">
        <v>47.7</v>
      </c>
      <c r="K2889">
        <v>18.399999999999999</v>
      </c>
      <c r="L2889">
        <v>15</v>
      </c>
      <c r="M2889">
        <v>30.6</v>
      </c>
      <c r="N2889">
        <v>22.5</v>
      </c>
      <c r="O2889">
        <v>27.2</v>
      </c>
      <c r="P2889">
        <v>31.1</v>
      </c>
      <c r="Q2889">
        <v>51.9</v>
      </c>
      <c r="R2889">
        <v>48.9</v>
      </c>
      <c r="S2889">
        <v>34.6</v>
      </c>
      <c r="T2889">
        <v>30.5</v>
      </c>
      <c r="U2889">
        <v>67.8</v>
      </c>
      <c r="V2889">
        <v>0.3</v>
      </c>
      <c r="W2889" cm="1">
        <f t="array" ref="W2889">_xlfn.IFS(OR(X2889="N/A",X2889="NA"),0,OR(X2889="R64",X2889="R68"),1,X2889="R32",2,X2889="S16",3,X2889="E8",4,X2889="F4",5,X2889="2ND",6,X2889="Champions",7)</f>
        <v>0</v>
      </c>
      <c r="X2889" t="s">
        <v>425</v>
      </c>
      <c r="Y2889" t="s">
        <v>425</v>
      </c>
      <c r="Z2889">
        <v>2022</v>
      </c>
    </row>
    <row r="2890" spans="1:26" x14ac:dyDescent="0.3">
      <c r="A2890" t="s">
        <v>416</v>
      </c>
      <c r="B2890" t="s">
        <v>37</v>
      </c>
      <c r="C2890">
        <v>33</v>
      </c>
      <c r="D2890">
        <v>21</v>
      </c>
      <c r="E2890" s="1">
        <f t="shared" si="45"/>
        <v>0.63636363636363635</v>
      </c>
      <c r="F2890">
        <v>110.6</v>
      </c>
      <c r="G2890">
        <v>100.4</v>
      </c>
      <c r="H2890">
        <v>0.75380000000000003</v>
      </c>
      <c r="I2890">
        <v>54.5</v>
      </c>
      <c r="J2890">
        <v>48.5</v>
      </c>
      <c r="K2890">
        <v>16.2</v>
      </c>
      <c r="L2890">
        <v>16.5</v>
      </c>
      <c r="M2890">
        <v>23.4</v>
      </c>
      <c r="N2890">
        <v>26.2</v>
      </c>
      <c r="O2890">
        <v>27.6</v>
      </c>
      <c r="P2890">
        <v>21.2</v>
      </c>
      <c r="Q2890">
        <v>53.5</v>
      </c>
      <c r="R2890">
        <v>46.7</v>
      </c>
      <c r="S2890">
        <v>37.799999999999997</v>
      </c>
      <c r="T2890">
        <v>34.799999999999997</v>
      </c>
      <c r="U2890">
        <v>70.900000000000006</v>
      </c>
      <c r="V2890">
        <v>-1.7</v>
      </c>
      <c r="W2890" cm="1">
        <f t="array" ref="W2890">_xlfn.IFS(OR(X2890="N/A",X2890="NA"),0,OR(X2890="R64",X2890="R68"),1,X2890="R32",2,X2890="S16",3,X2890="E8",4,X2890="F4",5,X2890="2ND",6,X2890="Champions",7)</f>
        <v>0</v>
      </c>
      <c r="X2890" t="s">
        <v>425</v>
      </c>
      <c r="Y2890" t="s">
        <v>425</v>
      </c>
      <c r="Z2890">
        <v>2022</v>
      </c>
    </row>
    <row r="2891" spans="1:26" x14ac:dyDescent="0.3">
      <c r="A2891" t="s">
        <v>282</v>
      </c>
      <c r="B2891" t="s">
        <v>47</v>
      </c>
      <c r="C2891">
        <v>31</v>
      </c>
      <c r="D2891">
        <v>20</v>
      </c>
      <c r="E2891" s="1">
        <f t="shared" si="45"/>
        <v>0.64516129032258063</v>
      </c>
      <c r="F2891">
        <v>110.2</v>
      </c>
      <c r="G2891">
        <v>102.1</v>
      </c>
      <c r="H2891">
        <v>0.70569999999999999</v>
      </c>
      <c r="I2891">
        <v>53</v>
      </c>
      <c r="J2891">
        <v>53.9</v>
      </c>
      <c r="K2891">
        <v>16.2</v>
      </c>
      <c r="L2891">
        <v>18</v>
      </c>
      <c r="M2891">
        <v>20.8</v>
      </c>
      <c r="N2891">
        <v>21.8</v>
      </c>
      <c r="O2891">
        <v>33.200000000000003</v>
      </c>
      <c r="P2891">
        <v>22.7</v>
      </c>
      <c r="Q2891">
        <v>53.3</v>
      </c>
      <c r="R2891">
        <v>54.4</v>
      </c>
      <c r="S2891">
        <v>35.1</v>
      </c>
      <c r="T2891">
        <v>35.6</v>
      </c>
      <c r="U2891">
        <v>67.3</v>
      </c>
      <c r="V2891">
        <v>-2.9</v>
      </c>
      <c r="W2891" cm="1">
        <f t="array" ref="W2891">_xlfn.IFS(OR(X2891="N/A",X2891="NA"),0,OR(X2891="R64",X2891="R68"),1,X2891="R32",2,X2891="S16",3,X2891="E8",4,X2891="F4",5,X2891="2ND",6,X2891="Champions",7)</f>
        <v>0</v>
      </c>
      <c r="X2891" t="s">
        <v>425</v>
      </c>
      <c r="Y2891" t="s">
        <v>425</v>
      </c>
      <c r="Z2891">
        <v>2022</v>
      </c>
    </row>
    <row r="2892" spans="1:26" x14ac:dyDescent="0.3">
      <c r="A2892" t="s">
        <v>157</v>
      </c>
      <c r="B2892" t="s">
        <v>33</v>
      </c>
      <c r="C2892">
        <v>31</v>
      </c>
      <c r="D2892">
        <v>15</v>
      </c>
      <c r="E2892" s="1">
        <f t="shared" si="45"/>
        <v>0.4838709677419355</v>
      </c>
      <c r="F2892">
        <v>106.4</v>
      </c>
      <c r="G2892">
        <v>99.8</v>
      </c>
      <c r="H2892">
        <v>0.67589999999999995</v>
      </c>
      <c r="I2892">
        <v>48.8</v>
      </c>
      <c r="J2892">
        <v>48.8</v>
      </c>
      <c r="K2892">
        <v>17.399999999999999</v>
      </c>
      <c r="L2892">
        <v>16.8</v>
      </c>
      <c r="M2892">
        <v>31.7</v>
      </c>
      <c r="N2892">
        <v>28.5</v>
      </c>
      <c r="O2892">
        <v>33.4</v>
      </c>
      <c r="P2892">
        <v>26</v>
      </c>
      <c r="Q2892">
        <v>49.4</v>
      </c>
      <c r="R2892">
        <v>47.8</v>
      </c>
      <c r="S2892">
        <v>31.7</v>
      </c>
      <c r="T2892">
        <v>33.700000000000003</v>
      </c>
      <c r="U2892">
        <v>68.8</v>
      </c>
      <c r="V2892">
        <v>-4.7</v>
      </c>
      <c r="W2892" cm="1">
        <f t="array" ref="W2892">_xlfn.IFS(OR(X2892="N/A",X2892="NA"),0,OR(X2892="R64",X2892="R68"),1,X2892="R32",2,X2892="S16",3,X2892="E8",4,X2892="F4",5,X2892="2ND",6,X2892="Champions",7)</f>
        <v>0</v>
      </c>
      <c r="X2892" t="s">
        <v>425</v>
      </c>
      <c r="Y2892" t="s">
        <v>425</v>
      </c>
      <c r="Z2892">
        <v>2022</v>
      </c>
    </row>
    <row r="2893" spans="1:26" x14ac:dyDescent="0.3">
      <c r="A2893" t="s">
        <v>380</v>
      </c>
      <c r="B2893" t="s">
        <v>51</v>
      </c>
      <c r="C2893">
        <v>28</v>
      </c>
      <c r="D2893">
        <v>22</v>
      </c>
      <c r="E2893" s="1">
        <f t="shared" si="45"/>
        <v>0.7857142857142857</v>
      </c>
      <c r="F2893">
        <v>101.9</v>
      </c>
      <c r="G2893">
        <v>98.3</v>
      </c>
      <c r="H2893">
        <v>0.60209999999999997</v>
      </c>
      <c r="I2893">
        <v>51.3</v>
      </c>
      <c r="J2893">
        <v>49.2</v>
      </c>
      <c r="K2893">
        <v>22.3</v>
      </c>
      <c r="L2893">
        <v>24.4</v>
      </c>
      <c r="M2893">
        <v>34.5</v>
      </c>
      <c r="N2893">
        <v>32.200000000000003</v>
      </c>
      <c r="O2893">
        <v>36.5</v>
      </c>
      <c r="P2893">
        <v>37.4</v>
      </c>
      <c r="Q2893">
        <v>52.8</v>
      </c>
      <c r="R2893">
        <v>50.1</v>
      </c>
      <c r="S2893">
        <v>31.9</v>
      </c>
      <c r="T2893">
        <v>31.9</v>
      </c>
      <c r="U2893">
        <v>69</v>
      </c>
      <c r="V2893">
        <v>-3.1</v>
      </c>
      <c r="W2893" cm="1">
        <f t="array" ref="W2893">_xlfn.IFS(OR(X2893="N/A",X2893="NA"),0,OR(X2893="R64",X2893="R68"),1,X2893="R32",2,X2893="S16",3,X2893="E8",4,X2893="F4",5,X2893="2ND",6,X2893="Champions",7)</f>
        <v>0</v>
      </c>
      <c r="X2893" t="s">
        <v>425</v>
      </c>
      <c r="Y2893" t="s">
        <v>425</v>
      </c>
      <c r="Z2893">
        <v>2022</v>
      </c>
    </row>
    <row r="2894" spans="1:26" x14ac:dyDescent="0.3">
      <c r="A2894" t="s">
        <v>377</v>
      </c>
      <c r="B2894" t="s">
        <v>51</v>
      </c>
      <c r="C2894">
        <v>30</v>
      </c>
      <c r="D2894">
        <v>19</v>
      </c>
      <c r="E2894" s="1">
        <f t="shared" si="45"/>
        <v>0.6333333333333333</v>
      </c>
      <c r="F2894">
        <v>100</v>
      </c>
      <c r="G2894">
        <v>96.9</v>
      </c>
      <c r="H2894">
        <v>0.58960000000000001</v>
      </c>
      <c r="I2894">
        <v>48.3</v>
      </c>
      <c r="J2894">
        <v>48.6</v>
      </c>
      <c r="K2894">
        <v>18.5</v>
      </c>
      <c r="L2894">
        <v>20.8</v>
      </c>
      <c r="M2894">
        <v>30.6</v>
      </c>
      <c r="N2894">
        <v>26.3</v>
      </c>
      <c r="O2894">
        <v>25</v>
      </c>
      <c r="P2894">
        <v>34.700000000000003</v>
      </c>
      <c r="Q2894">
        <v>46.8</v>
      </c>
      <c r="R2894">
        <v>49.1</v>
      </c>
      <c r="S2894">
        <v>33.6</v>
      </c>
      <c r="T2894">
        <v>31.9</v>
      </c>
      <c r="U2894">
        <v>64.900000000000006</v>
      </c>
      <c r="V2894">
        <v>-7.1</v>
      </c>
      <c r="W2894" cm="1">
        <f t="array" ref="W2894">_xlfn.IFS(OR(X2894="N/A",X2894="NA"),0,OR(X2894="R64",X2894="R68"),1,X2894="R32",2,X2894="S16",3,X2894="E8",4,X2894="F4",5,X2894="2ND",6,X2894="Champions",7)</f>
        <v>0</v>
      </c>
      <c r="X2894" t="s">
        <v>425</v>
      </c>
      <c r="Y2894" t="s">
        <v>425</v>
      </c>
      <c r="Z2894">
        <v>2022</v>
      </c>
    </row>
    <row r="2895" spans="1:26" x14ac:dyDescent="0.3">
      <c r="A2895" t="s">
        <v>194</v>
      </c>
      <c r="B2895" t="s">
        <v>48</v>
      </c>
      <c r="C2895">
        <v>26</v>
      </c>
      <c r="D2895">
        <v>16</v>
      </c>
      <c r="E2895" s="1">
        <f t="shared" si="45"/>
        <v>0.61538461538461542</v>
      </c>
      <c r="F2895">
        <v>101.2</v>
      </c>
      <c r="G2895">
        <v>100.1</v>
      </c>
      <c r="H2895">
        <v>0.53010000000000002</v>
      </c>
      <c r="I2895">
        <v>50.7</v>
      </c>
      <c r="J2895">
        <v>47.1</v>
      </c>
      <c r="K2895">
        <v>18.399999999999999</v>
      </c>
      <c r="L2895">
        <v>16.100000000000001</v>
      </c>
      <c r="M2895">
        <v>22.4</v>
      </c>
      <c r="N2895">
        <v>22.4</v>
      </c>
      <c r="O2895">
        <v>26.9</v>
      </c>
      <c r="P2895">
        <v>28.2</v>
      </c>
      <c r="Q2895">
        <v>52.2</v>
      </c>
      <c r="R2895">
        <v>47.8</v>
      </c>
      <c r="S2895">
        <v>32.299999999999997</v>
      </c>
      <c r="T2895">
        <v>30.2</v>
      </c>
      <c r="U2895">
        <v>65.400000000000006</v>
      </c>
      <c r="V2895">
        <v>-6.8</v>
      </c>
      <c r="W2895" cm="1">
        <f t="array" ref="W2895">_xlfn.IFS(OR(X2895="N/A",X2895="NA"),0,OR(X2895="R64",X2895="R68"),1,X2895="R32",2,X2895="S16",3,X2895="E8",4,X2895="F4",5,X2895="2ND",6,X2895="Champions",7)</f>
        <v>0</v>
      </c>
      <c r="X2895" t="s">
        <v>425</v>
      </c>
      <c r="Y2895" t="s">
        <v>425</v>
      </c>
      <c r="Z2895">
        <v>2022</v>
      </c>
    </row>
    <row r="2896" spans="1:26" x14ac:dyDescent="0.3">
      <c r="A2896" t="s">
        <v>354</v>
      </c>
      <c r="B2896" t="s">
        <v>62</v>
      </c>
      <c r="C2896">
        <v>31</v>
      </c>
      <c r="D2896">
        <v>17</v>
      </c>
      <c r="E2896" s="1">
        <f t="shared" si="45"/>
        <v>0.54838709677419351</v>
      </c>
      <c r="F2896">
        <v>100</v>
      </c>
      <c r="G2896">
        <v>101.2</v>
      </c>
      <c r="H2896">
        <v>0.4672</v>
      </c>
      <c r="I2896">
        <v>49.8</v>
      </c>
      <c r="J2896">
        <v>50.4</v>
      </c>
      <c r="K2896">
        <v>20.100000000000001</v>
      </c>
      <c r="L2896">
        <v>18.600000000000001</v>
      </c>
      <c r="M2896">
        <v>32.4</v>
      </c>
      <c r="N2896">
        <v>25.2</v>
      </c>
      <c r="O2896">
        <v>27.5</v>
      </c>
      <c r="P2896">
        <v>28.6</v>
      </c>
      <c r="Q2896">
        <v>48.6</v>
      </c>
      <c r="R2896">
        <v>48.6</v>
      </c>
      <c r="S2896">
        <v>34.4</v>
      </c>
      <c r="T2896">
        <v>34.9</v>
      </c>
      <c r="U2896">
        <v>62.3</v>
      </c>
      <c r="V2896">
        <v>-7.4</v>
      </c>
      <c r="W2896" cm="1">
        <f t="array" ref="W2896">_xlfn.IFS(OR(X2896="N/A",X2896="NA"),0,OR(X2896="R64",X2896="R68"),1,X2896="R32",2,X2896="S16",3,X2896="E8",4,X2896="F4",5,X2896="2ND",6,X2896="Champions",7)</f>
        <v>0</v>
      </c>
      <c r="X2896" t="s">
        <v>425</v>
      </c>
      <c r="Y2896" t="s">
        <v>425</v>
      </c>
      <c r="Z2896">
        <v>2022</v>
      </c>
    </row>
    <row r="2897" spans="1:26" x14ac:dyDescent="0.3">
      <c r="A2897" t="s">
        <v>430</v>
      </c>
      <c r="B2897" t="s">
        <v>131</v>
      </c>
      <c r="C2897">
        <v>29</v>
      </c>
      <c r="D2897">
        <v>20</v>
      </c>
      <c r="E2897" s="1">
        <f t="shared" si="45"/>
        <v>0.68965517241379315</v>
      </c>
      <c r="F2897">
        <v>108</v>
      </c>
      <c r="G2897">
        <v>109.3</v>
      </c>
      <c r="H2897">
        <v>0.46450000000000002</v>
      </c>
      <c r="I2897">
        <v>53.3</v>
      </c>
      <c r="J2897">
        <v>54.4</v>
      </c>
      <c r="K2897">
        <v>15</v>
      </c>
      <c r="L2897">
        <v>17.7</v>
      </c>
      <c r="M2897">
        <v>22.4</v>
      </c>
      <c r="N2897">
        <v>30.5</v>
      </c>
      <c r="O2897">
        <v>22.1</v>
      </c>
      <c r="P2897">
        <v>30.2</v>
      </c>
      <c r="Q2897">
        <v>54.8</v>
      </c>
      <c r="R2897">
        <v>56.1</v>
      </c>
      <c r="S2897">
        <v>34.200000000000003</v>
      </c>
      <c r="T2897">
        <v>35</v>
      </c>
      <c r="U2897">
        <v>62.3</v>
      </c>
      <c r="V2897">
        <v>-5.6</v>
      </c>
      <c r="W2897" cm="1">
        <f t="array" ref="W2897">_xlfn.IFS(OR(X2897="N/A",X2897="NA"),0,OR(X2897="R64",X2897="R68"),1,X2897="R32",2,X2897="S16",3,X2897="E8",4,X2897="F4",5,X2897="2ND",6,X2897="Champions",7)</f>
        <v>0</v>
      </c>
      <c r="X2897" t="s">
        <v>425</v>
      </c>
      <c r="Y2897" t="s">
        <v>425</v>
      </c>
      <c r="Z2897">
        <v>2022</v>
      </c>
    </row>
    <row r="2898" spans="1:26" x14ac:dyDescent="0.3">
      <c r="A2898" t="s">
        <v>192</v>
      </c>
      <c r="B2898" t="s">
        <v>48</v>
      </c>
      <c r="C2898">
        <v>31</v>
      </c>
      <c r="D2898">
        <v>20</v>
      </c>
      <c r="E2898" s="1">
        <f t="shared" si="45"/>
        <v>0.64516129032258063</v>
      </c>
      <c r="F2898">
        <v>101.5</v>
      </c>
      <c r="G2898">
        <v>103</v>
      </c>
      <c r="H2898">
        <v>0.45829999999999999</v>
      </c>
      <c r="I2898">
        <v>48.8</v>
      </c>
      <c r="J2898">
        <v>52.1</v>
      </c>
      <c r="K2898">
        <v>17.899999999999999</v>
      </c>
      <c r="L2898">
        <v>19.899999999999999</v>
      </c>
      <c r="M2898">
        <v>27.1</v>
      </c>
      <c r="N2898">
        <v>27.2</v>
      </c>
      <c r="O2898">
        <v>38.1</v>
      </c>
      <c r="P2898">
        <v>27.7</v>
      </c>
      <c r="Q2898">
        <v>47.1</v>
      </c>
      <c r="R2898">
        <v>51.3</v>
      </c>
      <c r="S2898">
        <v>34.9</v>
      </c>
      <c r="T2898">
        <v>35.5</v>
      </c>
      <c r="U2898">
        <v>71.099999999999994</v>
      </c>
      <c r="V2898">
        <v>-4.9000000000000004</v>
      </c>
      <c r="W2898" cm="1">
        <f t="array" ref="W2898">_xlfn.IFS(OR(X2898="N/A",X2898="NA"),0,OR(X2898="R64",X2898="R68"),1,X2898="R32",2,X2898="S16",3,X2898="E8",4,X2898="F4",5,X2898="2ND",6,X2898="Champions",7)</f>
        <v>0</v>
      </c>
      <c r="X2898" t="s">
        <v>425</v>
      </c>
      <c r="Y2898" t="s">
        <v>425</v>
      </c>
      <c r="Z2898">
        <v>2022</v>
      </c>
    </row>
    <row r="2899" spans="1:26" x14ac:dyDescent="0.3">
      <c r="A2899" t="s">
        <v>214</v>
      </c>
      <c r="B2899" t="s">
        <v>40</v>
      </c>
      <c r="C2899">
        <v>31</v>
      </c>
      <c r="D2899">
        <v>13</v>
      </c>
      <c r="E2899" s="1">
        <f t="shared" si="45"/>
        <v>0.41935483870967744</v>
      </c>
      <c r="F2899">
        <v>99.6</v>
      </c>
      <c r="G2899">
        <v>101.9</v>
      </c>
      <c r="H2899">
        <v>0.4355</v>
      </c>
      <c r="I2899">
        <v>46.9</v>
      </c>
      <c r="J2899">
        <v>49.7</v>
      </c>
      <c r="K2899">
        <v>18.399999999999999</v>
      </c>
      <c r="L2899">
        <v>17.100000000000001</v>
      </c>
      <c r="M2899">
        <v>32.299999999999997</v>
      </c>
      <c r="N2899">
        <v>27.3</v>
      </c>
      <c r="O2899">
        <v>34.299999999999997</v>
      </c>
      <c r="P2899">
        <v>29.4</v>
      </c>
      <c r="Q2899">
        <v>48.1</v>
      </c>
      <c r="R2899">
        <v>48.4</v>
      </c>
      <c r="S2899">
        <v>29</v>
      </c>
      <c r="T2899">
        <v>34.200000000000003</v>
      </c>
      <c r="U2899">
        <v>64.3</v>
      </c>
      <c r="V2899">
        <v>-12.3</v>
      </c>
      <c r="W2899" cm="1">
        <f t="array" ref="W2899">_xlfn.IFS(OR(X2899="N/A",X2899="NA"),0,OR(X2899="R64",X2899="R68"),1,X2899="R32",2,X2899="S16",3,X2899="E8",4,X2899="F4",5,X2899="2ND",6,X2899="Champions",7)</f>
        <v>0</v>
      </c>
      <c r="X2899" t="s">
        <v>425</v>
      </c>
      <c r="Y2899" t="s">
        <v>425</v>
      </c>
      <c r="Z2899">
        <v>2022</v>
      </c>
    </row>
    <row r="2900" spans="1:26" x14ac:dyDescent="0.3">
      <c r="A2900" t="s">
        <v>176</v>
      </c>
      <c r="B2900" t="s">
        <v>74</v>
      </c>
      <c r="C2900">
        <v>26</v>
      </c>
      <c r="D2900">
        <v>16</v>
      </c>
      <c r="E2900" s="1">
        <f t="shared" si="45"/>
        <v>0.61538461538461542</v>
      </c>
      <c r="F2900">
        <v>100.1</v>
      </c>
      <c r="G2900">
        <v>102.5</v>
      </c>
      <c r="H2900">
        <v>0.4335</v>
      </c>
      <c r="I2900">
        <v>51.3</v>
      </c>
      <c r="J2900">
        <v>50.6</v>
      </c>
      <c r="K2900">
        <v>16.399999999999999</v>
      </c>
      <c r="L2900">
        <v>18.3</v>
      </c>
      <c r="M2900">
        <v>22.2</v>
      </c>
      <c r="N2900">
        <v>26.1</v>
      </c>
      <c r="O2900">
        <v>26.3</v>
      </c>
      <c r="P2900">
        <v>27.6</v>
      </c>
      <c r="Q2900">
        <v>52.4</v>
      </c>
      <c r="R2900">
        <v>49.1</v>
      </c>
      <c r="S2900">
        <v>33</v>
      </c>
      <c r="T2900">
        <v>35.299999999999997</v>
      </c>
      <c r="U2900">
        <v>62.3</v>
      </c>
      <c r="V2900">
        <v>-8.8000000000000007</v>
      </c>
      <c r="W2900" cm="1">
        <f t="array" ref="W2900">_xlfn.IFS(OR(X2900="N/A",X2900="NA"),0,OR(X2900="R64",X2900="R68"),1,X2900="R32",2,X2900="S16",3,X2900="E8",4,X2900="F4",5,X2900="2ND",6,X2900="Champions",7)</f>
        <v>0</v>
      </c>
      <c r="X2900" t="s">
        <v>425</v>
      </c>
      <c r="Y2900" t="s">
        <v>425</v>
      </c>
      <c r="Z2900">
        <v>2022</v>
      </c>
    </row>
    <row r="2901" spans="1:26" x14ac:dyDescent="0.3">
      <c r="A2901" t="s">
        <v>392</v>
      </c>
      <c r="B2901" t="s">
        <v>76</v>
      </c>
      <c r="C2901">
        <v>34</v>
      </c>
      <c r="D2901">
        <v>17</v>
      </c>
      <c r="E2901" s="1">
        <f t="shared" si="45"/>
        <v>0.5</v>
      </c>
      <c r="F2901">
        <v>97.5</v>
      </c>
      <c r="G2901">
        <v>104</v>
      </c>
      <c r="H2901">
        <v>0.32219999999999999</v>
      </c>
      <c r="I2901">
        <v>45.9</v>
      </c>
      <c r="J2901">
        <v>50.9</v>
      </c>
      <c r="K2901">
        <v>20.3</v>
      </c>
      <c r="L2901">
        <v>19.100000000000001</v>
      </c>
      <c r="M2901">
        <v>31.9</v>
      </c>
      <c r="N2901">
        <v>27.9</v>
      </c>
      <c r="O2901">
        <v>32.5</v>
      </c>
      <c r="P2901">
        <v>36.799999999999997</v>
      </c>
      <c r="Q2901">
        <v>45.1</v>
      </c>
      <c r="R2901">
        <v>50.6</v>
      </c>
      <c r="S2901">
        <v>31.8</v>
      </c>
      <c r="T2901">
        <v>34.299999999999997</v>
      </c>
      <c r="U2901">
        <v>67.400000000000006</v>
      </c>
      <c r="V2901">
        <v>-8.1999999999999993</v>
      </c>
      <c r="W2901" cm="1">
        <f t="array" ref="W2901">_xlfn.IFS(OR(X2901="N/A",X2901="NA"),0,OR(X2901="R64",X2901="R68"),1,X2901="R32",2,X2901="S16",3,X2901="E8",4,X2901="F4",5,X2901="2ND",6,X2901="Champions",7)</f>
        <v>0</v>
      </c>
      <c r="X2901" t="s">
        <v>425</v>
      </c>
      <c r="Y2901" t="s">
        <v>425</v>
      </c>
      <c r="Z2901">
        <v>2022</v>
      </c>
    </row>
    <row r="2902" spans="1:26" x14ac:dyDescent="0.3">
      <c r="A2902" t="s">
        <v>359</v>
      </c>
      <c r="B2902" t="s">
        <v>29</v>
      </c>
      <c r="C2902">
        <v>34</v>
      </c>
      <c r="D2902">
        <v>18</v>
      </c>
      <c r="E2902" s="1">
        <f t="shared" si="45"/>
        <v>0.52941176470588236</v>
      </c>
      <c r="F2902">
        <v>107.6</v>
      </c>
      <c r="G2902">
        <v>95.6</v>
      </c>
      <c r="H2902">
        <v>0.79730000000000001</v>
      </c>
      <c r="I2902">
        <v>49.6</v>
      </c>
      <c r="J2902">
        <v>49.6</v>
      </c>
      <c r="K2902">
        <v>19.5</v>
      </c>
      <c r="L2902">
        <v>19.399999999999999</v>
      </c>
      <c r="M2902">
        <v>34.1</v>
      </c>
      <c r="N2902">
        <v>25.7</v>
      </c>
      <c r="O2902">
        <v>38.1</v>
      </c>
      <c r="P2902">
        <v>28.3</v>
      </c>
      <c r="Q2902">
        <v>51.7</v>
      </c>
      <c r="R2902">
        <v>50.9</v>
      </c>
      <c r="S2902">
        <v>29.5</v>
      </c>
      <c r="T2902">
        <v>31.9</v>
      </c>
      <c r="U2902">
        <v>65.5</v>
      </c>
      <c r="V2902">
        <v>-2.4</v>
      </c>
      <c r="W2902" cm="1">
        <f t="array" ref="W2902">_xlfn.IFS(OR(X2902="N/A",X2902="NA"),0,OR(X2902="R64",X2902="R68"),1,X2902="R32",2,X2902="S16",3,X2902="E8",4,X2902="F4",5,X2902="2ND",6,X2902="Champions",7)</f>
        <v>0</v>
      </c>
      <c r="X2902" t="s">
        <v>425</v>
      </c>
      <c r="Y2902" t="s">
        <v>425</v>
      </c>
      <c r="Z2902">
        <v>2022</v>
      </c>
    </row>
    <row r="2903" spans="1:26" x14ac:dyDescent="0.3">
      <c r="A2903" t="s">
        <v>68</v>
      </c>
      <c r="B2903" t="s">
        <v>35</v>
      </c>
      <c r="C2903">
        <v>31</v>
      </c>
      <c r="D2903">
        <v>14</v>
      </c>
      <c r="E2903" s="1">
        <f t="shared" si="45"/>
        <v>0.45161290322580644</v>
      </c>
      <c r="F2903">
        <v>109.6</v>
      </c>
      <c r="G2903">
        <v>97.3</v>
      </c>
      <c r="H2903">
        <v>0.79690000000000005</v>
      </c>
      <c r="I2903">
        <v>49.4</v>
      </c>
      <c r="J2903">
        <v>49.5</v>
      </c>
      <c r="K2903">
        <v>16.899999999999999</v>
      </c>
      <c r="L2903">
        <v>19.8</v>
      </c>
      <c r="M2903">
        <v>25.2</v>
      </c>
      <c r="N2903">
        <v>28.3</v>
      </c>
      <c r="O2903">
        <v>29.6</v>
      </c>
      <c r="P2903">
        <v>32</v>
      </c>
      <c r="Q2903">
        <v>47.5</v>
      </c>
      <c r="R2903">
        <v>52.4</v>
      </c>
      <c r="S2903">
        <v>34.6</v>
      </c>
      <c r="T2903">
        <v>30.2</v>
      </c>
      <c r="U2903">
        <v>66.400000000000006</v>
      </c>
      <c r="V2903">
        <v>-2.1</v>
      </c>
      <c r="W2903" cm="1">
        <f t="array" ref="W2903">_xlfn.IFS(OR(X2903="N/A",X2903="NA"),0,OR(X2903="R64",X2903="R68"),1,X2903="R32",2,X2903="S16",3,X2903="E8",4,X2903="F4",5,X2903="2ND",6,X2903="Champions",7)</f>
        <v>0</v>
      </c>
      <c r="X2903" t="s">
        <v>425</v>
      </c>
      <c r="Y2903" t="s">
        <v>425</v>
      </c>
      <c r="Z2903">
        <v>2022</v>
      </c>
    </row>
    <row r="2904" spans="1:26" x14ac:dyDescent="0.3">
      <c r="A2904" t="s">
        <v>285</v>
      </c>
      <c r="B2904" t="s">
        <v>55</v>
      </c>
      <c r="C2904">
        <v>35</v>
      </c>
      <c r="D2904">
        <v>23</v>
      </c>
      <c r="E2904" s="1">
        <f t="shared" si="45"/>
        <v>0.65714285714285714</v>
      </c>
      <c r="F2904">
        <v>105.1</v>
      </c>
      <c r="G2904">
        <v>93.5</v>
      </c>
      <c r="H2904">
        <v>0.79279999999999995</v>
      </c>
      <c r="I2904">
        <v>51.1</v>
      </c>
      <c r="J2904">
        <v>47.7</v>
      </c>
      <c r="K2904">
        <v>17.7</v>
      </c>
      <c r="L2904">
        <v>19.399999999999999</v>
      </c>
      <c r="M2904">
        <v>27.3</v>
      </c>
      <c r="N2904">
        <v>22.9</v>
      </c>
      <c r="O2904">
        <v>31.2</v>
      </c>
      <c r="P2904">
        <v>27.2</v>
      </c>
      <c r="Q2904">
        <v>51.3</v>
      </c>
      <c r="R2904">
        <v>47.2</v>
      </c>
      <c r="S2904">
        <v>33.700000000000003</v>
      </c>
      <c r="T2904">
        <v>32.299999999999997</v>
      </c>
      <c r="U2904">
        <v>61.5</v>
      </c>
      <c r="V2904">
        <v>-4</v>
      </c>
      <c r="W2904" cm="1">
        <f t="array" ref="W2904">_xlfn.IFS(OR(X2904="N/A",X2904="NA"),0,OR(X2904="R64",X2904="R68"),1,X2904="R32",2,X2904="S16",3,X2904="E8",4,X2904="F4",5,X2904="2ND",6,X2904="Champions",7)</f>
        <v>0</v>
      </c>
      <c r="X2904" t="s">
        <v>425</v>
      </c>
      <c r="Y2904" t="s">
        <v>425</v>
      </c>
      <c r="Z2904">
        <v>2022</v>
      </c>
    </row>
    <row r="2905" spans="1:26" x14ac:dyDescent="0.3">
      <c r="A2905" t="s">
        <v>99</v>
      </c>
      <c r="B2905" t="s">
        <v>45</v>
      </c>
      <c r="C2905">
        <v>34</v>
      </c>
      <c r="D2905">
        <v>23</v>
      </c>
      <c r="E2905" s="1">
        <f t="shared" si="45"/>
        <v>0.67647058823529416</v>
      </c>
      <c r="F2905">
        <v>108.5</v>
      </c>
      <c r="G2905">
        <v>96.7</v>
      </c>
      <c r="H2905">
        <v>0.78890000000000005</v>
      </c>
      <c r="I2905">
        <v>50.6</v>
      </c>
      <c r="J2905">
        <v>48.2</v>
      </c>
      <c r="K2905">
        <v>18.7</v>
      </c>
      <c r="L2905">
        <v>18</v>
      </c>
      <c r="M2905">
        <v>33.799999999999997</v>
      </c>
      <c r="N2905">
        <v>26.5</v>
      </c>
      <c r="O2905">
        <v>32.700000000000003</v>
      </c>
      <c r="P2905">
        <v>32.4</v>
      </c>
      <c r="Q2905">
        <v>49.1</v>
      </c>
      <c r="R2905">
        <v>48</v>
      </c>
      <c r="S2905">
        <v>36.200000000000003</v>
      </c>
      <c r="T2905">
        <v>32.299999999999997</v>
      </c>
      <c r="U2905">
        <v>68</v>
      </c>
      <c r="V2905">
        <v>-1.5</v>
      </c>
      <c r="W2905" cm="1">
        <f t="array" ref="W2905">_xlfn.IFS(OR(X2905="N/A",X2905="NA"),0,OR(X2905="R64",X2905="R68"),1,X2905="R32",2,X2905="S16",3,X2905="E8",4,X2905="F4",5,X2905="2ND",6,X2905="Champions",7)</f>
        <v>0</v>
      </c>
      <c r="X2905" t="s">
        <v>425</v>
      </c>
      <c r="Y2905" t="s">
        <v>425</v>
      </c>
      <c r="Z2905">
        <v>2022</v>
      </c>
    </row>
    <row r="2906" spans="1:26" x14ac:dyDescent="0.3">
      <c r="A2906" t="s">
        <v>126</v>
      </c>
      <c r="B2906" t="s">
        <v>50</v>
      </c>
      <c r="C2906">
        <v>29</v>
      </c>
      <c r="D2906">
        <v>14</v>
      </c>
      <c r="E2906" s="1">
        <f t="shared" si="45"/>
        <v>0.48275862068965519</v>
      </c>
      <c r="F2906">
        <v>110.8</v>
      </c>
      <c r="G2906">
        <v>99.4</v>
      </c>
      <c r="H2906">
        <v>0.77690000000000003</v>
      </c>
      <c r="I2906">
        <v>51.2</v>
      </c>
      <c r="J2906">
        <v>49.6</v>
      </c>
      <c r="K2906">
        <v>15</v>
      </c>
      <c r="L2906">
        <v>20.3</v>
      </c>
      <c r="M2906">
        <v>20.100000000000001</v>
      </c>
      <c r="N2906">
        <v>32.799999999999997</v>
      </c>
      <c r="O2906">
        <v>33.4</v>
      </c>
      <c r="P2906">
        <v>28.5</v>
      </c>
      <c r="Q2906">
        <v>49</v>
      </c>
      <c r="R2906">
        <v>48.3</v>
      </c>
      <c r="S2906">
        <v>36.5</v>
      </c>
      <c r="T2906">
        <v>34.1</v>
      </c>
      <c r="U2906">
        <v>67.900000000000006</v>
      </c>
      <c r="V2906">
        <v>-5.0999999999999996</v>
      </c>
      <c r="W2906" cm="1">
        <f t="array" ref="W2906">_xlfn.IFS(OR(X2906="N/A",X2906="NA"),0,OR(X2906="R64",X2906="R68"),1,X2906="R32",2,X2906="S16",3,X2906="E8",4,X2906="F4",5,X2906="2ND",6,X2906="Champions",7)</f>
        <v>0</v>
      </c>
      <c r="X2906" t="s">
        <v>425</v>
      </c>
      <c r="Y2906" t="s">
        <v>425</v>
      </c>
      <c r="Z2906">
        <v>2022</v>
      </c>
    </row>
    <row r="2907" spans="1:26" x14ac:dyDescent="0.3">
      <c r="A2907" t="s">
        <v>104</v>
      </c>
      <c r="B2907" t="s">
        <v>26</v>
      </c>
      <c r="C2907">
        <v>33</v>
      </c>
      <c r="D2907">
        <v>17</v>
      </c>
      <c r="E2907" s="1">
        <f t="shared" si="45"/>
        <v>0.51515151515151514</v>
      </c>
      <c r="F2907">
        <v>109.4</v>
      </c>
      <c r="G2907">
        <v>98.3</v>
      </c>
      <c r="H2907">
        <v>0.77529999999999999</v>
      </c>
      <c r="I2907">
        <v>52.4</v>
      </c>
      <c r="J2907">
        <v>49.7</v>
      </c>
      <c r="K2907">
        <v>16.399999999999999</v>
      </c>
      <c r="L2907">
        <v>16.899999999999999</v>
      </c>
      <c r="M2907">
        <v>25.8</v>
      </c>
      <c r="N2907">
        <v>24.1</v>
      </c>
      <c r="O2907">
        <v>29.8</v>
      </c>
      <c r="P2907">
        <v>29.1</v>
      </c>
      <c r="Q2907">
        <v>51.2</v>
      </c>
      <c r="R2907">
        <v>49.4</v>
      </c>
      <c r="S2907">
        <v>36.299999999999997</v>
      </c>
      <c r="T2907">
        <v>33.4</v>
      </c>
      <c r="U2907">
        <v>66.400000000000006</v>
      </c>
      <c r="V2907">
        <v>-3.7</v>
      </c>
      <c r="W2907" cm="1">
        <f t="array" ref="W2907">_xlfn.IFS(OR(X2907="N/A",X2907="NA"),0,OR(X2907="R64",X2907="R68"),1,X2907="R32",2,X2907="S16",3,X2907="E8",4,X2907="F4",5,X2907="2ND",6,X2907="Champions",7)</f>
        <v>0</v>
      </c>
      <c r="X2907" t="s">
        <v>425</v>
      </c>
      <c r="Y2907" t="s">
        <v>425</v>
      </c>
      <c r="Z2907">
        <v>2022</v>
      </c>
    </row>
    <row r="2908" spans="1:26" x14ac:dyDescent="0.3">
      <c r="A2908" t="s">
        <v>73</v>
      </c>
      <c r="B2908" t="s">
        <v>38</v>
      </c>
      <c r="C2908">
        <v>34</v>
      </c>
      <c r="D2908">
        <v>20</v>
      </c>
      <c r="E2908" s="1">
        <f t="shared" si="45"/>
        <v>0.58823529411764708</v>
      </c>
      <c r="F2908">
        <v>109.6</v>
      </c>
      <c r="G2908">
        <v>98.7</v>
      </c>
      <c r="H2908">
        <v>0.77049999999999996</v>
      </c>
      <c r="I2908">
        <v>51.1</v>
      </c>
      <c r="J2908">
        <v>49.6</v>
      </c>
      <c r="K2908">
        <v>17.100000000000001</v>
      </c>
      <c r="L2908">
        <v>19.2</v>
      </c>
      <c r="M2908">
        <v>29.9</v>
      </c>
      <c r="N2908">
        <v>31.1</v>
      </c>
      <c r="O2908">
        <v>29.7</v>
      </c>
      <c r="P2908">
        <v>29.1</v>
      </c>
      <c r="Q2908">
        <v>51.6</v>
      </c>
      <c r="R2908">
        <v>50.2</v>
      </c>
      <c r="S2908">
        <v>33.5</v>
      </c>
      <c r="T2908">
        <v>32.4</v>
      </c>
      <c r="U2908">
        <v>67.7</v>
      </c>
      <c r="V2908">
        <v>-2.4</v>
      </c>
      <c r="W2908" cm="1">
        <f t="array" ref="W2908">_xlfn.IFS(OR(X2908="N/A",X2908="NA"),0,OR(X2908="R64",X2908="R68"),1,X2908="R32",2,X2908="S16",3,X2908="E8",4,X2908="F4",5,X2908="2ND",6,X2908="Champions",7)</f>
        <v>0</v>
      </c>
      <c r="X2908" t="s">
        <v>425</v>
      </c>
      <c r="Y2908" t="s">
        <v>425</v>
      </c>
      <c r="Z2908">
        <v>2022</v>
      </c>
    </row>
    <row r="2909" spans="1:26" x14ac:dyDescent="0.3">
      <c r="A2909" t="s">
        <v>350</v>
      </c>
      <c r="B2909" t="s">
        <v>62</v>
      </c>
      <c r="C2909">
        <v>33</v>
      </c>
      <c r="D2909">
        <v>22</v>
      </c>
      <c r="E2909" s="1">
        <f t="shared" si="45"/>
        <v>0.66666666666666663</v>
      </c>
      <c r="F2909">
        <v>113.6</v>
      </c>
      <c r="G2909">
        <v>102.4</v>
      </c>
      <c r="H2909">
        <v>0.76859999999999995</v>
      </c>
      <c r="I2909">
        <v>55.6</v>
      </c>
      <c r="J2909">
        <v>51.5</v>
      </c>
      <c r="K2909">
        <v>15.7</v>
      </c>
      <c r="L2909">
        <v>19.100000000000001</v>
      </c>
      <c r="M2909">
        <v>27.4</v>
      </c>
      <c r="N2909">
        <v>28.1</v>
      </c>
      <c r="O2909">
        <v>23.3</v>
      </c>
      <c r="P2909">
        <v>24.6</v>
      </c>
      <c r="Q2909">
        <v>55</v>
      </c>
      <c r="R2909">
        <v>52.5</v>
      </c>
      <c r="S2909">
        <v>37.5</v>
      </c>
      <c r="T2909">
        <v>33.299999999999997</v>
      </c>
      <c r="U2909">
        <v>65</v>
      </c>
      <c r="V2909">
        <v>-4.5</v>
      </c>
      <c r="W2909" cm="1">
        <f t="array" ref="W2909">_xlfn.IFS(OR(X2909="N/A",X2909="NA"),0,OR(X2909="R64",X2909="R68"),1,X2909="R32",2,X2909="S16",3,X2909="E8",4,X2909="F4",5,X2909="2ND",6,X2909="Champions",7)</f>
        <v>0</v>
      </c>
      <c r="X2909" t="s">
        <v>425</v>
      </c>
      <c r="Y2909" t="s">
        <v>425</v>
      </c>
      <c r="Z2909">
        <v>2022</v>
      </c>
    </row>
    <row r="2910" spans="1:26" x14ac:dyDescent="0.3">
      <c r="A2910" t="s">
        <v>280</v>
      </c>
      <c r="B2910" t="s">
        <v>47</v>
      </c>
      <c r="C2910">
        <v>33</v>
      </c>
      <c r="D2910">
        <v>23</v>
      </c>
      <c r="E2910" s="1">
        <f t="shared" si="45"/>
        <v>0.69696969696969702</v>
      </c>
      <c r="F2910">
        <v>112.1</v>
      </c>
      <c r="G2910">
        <v>101.8</v>
      </c>
      <c r="H2910">
        <v>0.75219999999999998</v>
      </c>
      <c r="I2910">
        <v>54.6</v>
      </c>
      <c r="J2910">
        <v>48.8</v>
      </c>
      <c r="K2910">
        <v>15.5</v>
      </c>
      <c r="L2910">
        <v>15.7</v>
      </c>
      <c r="M2910">
        <v>25.8</v>
      </c>
      <c r="N2910">
        <v>24</v>
      </c>
      <c r="O2910">
        <v>27.7</v>
      </c>
      <c r="P2910">
        <v>28</v>
      </c>
      <c r="Q2910">
        <v>54.6</v>
      </c>
      <c r="R2910">
        <v>47.8</v>
      </c>
      <c r="S2910">
        <v>36.4</v>
      </c>
      <c r="T2910">
        <v>33.6</v>
      </c>
      <c r="U2910">
        <v>67.099999999999994</v>
      </c>
      <c r="V2910">
        <v>-2.5</v>
      </c>
      <c r="W2910" cm="1">
        <f t="array" ref="W2910">_xlfn.IFS(OR(X2910="N/A",X2910="NA"),0,OR(X2910="R64",X2910="R68"),1,X2910="R32",2,X2910="S16",3,X2910="E8",4,X2910="F4",5,X2910="2ND",6,X2910="Champions",7)</f>
        <v>0</v>
      </c>
      <c r="X2910" t="s">
        <v>425</v>
      </c>
      <c r="Y2910" t="s">
        <v>425</v>
      </c>
      <c r="Z2910">
        <v>2022</v>
      </c>
    </row>
    <row r="2911" spans="1:26" x14ac:dyDescent="0.3">
      <c r="A2911" t="s">
        <v>203</v>
      </c>
      <c r="B2911" t="s">
        <v>53</v>
      </c>
      <c r="C2911">
        <v>34</v>
      </c>
      <c r="D2911">
        <v>25</v>
      </c>
      <c r="E2911" s="1">
        <f t="shared" si="45"/>
        <v>0.73529411764705888</v>
      </c>
      <c r="F2911">
        <v>108.3</v>
      </c>
      <c r="G2911">
        <v>98.5</v>
      </c>
      <c r="H2911">
        <v>0.74880000000000002</v>
      </c>
      <c r="I2911">
        <v>51.6</v>
      </c>
      <c r="J2911">
        <v>47.9</v>
      </c>
      <c r="K2911">
        <v>17.899999999999999</v>
      </c>
      <c r="L2911">
        <v>19.5</v>
      </c>
      <c r="M2911">
        <v>35.700000000000003</v>
      </c>
      <c r="N2911">
        <v>26.5</v>
      </c>
      <c r="O2911">
        <v>33.9</v>
      </c>
      <c r="P2911">
        <v>31.9</v>
      </c>
      <c r="Q2911">
        <v>50.4</v>
      </c>
      <c r="R2911">
        <v>48.4</v>
      </c>
      <c r="S2911">
        <v>35.700000000000003</v>
      </c>
      <c r="T2911">
        <v>31.5</v>
      </c>
      <c r="U2911">
        <v>64.7</v>
      </c>
      <c r="V2911">
        <v>-1.7</v>
      </c>
      <c r="W2911" cm="1">
        <f t="array" ref="W2911">_xlfn.IFS(OR(X2911="N/A",X2911="NA"),0,OR(X2911="R64",X2911="R68"),1,X2911="R32",2,X2911="S16",3,X2911="E8",4,X2911="F4",5,X2911="2ND",6,X2911="Champions",7)</f>
        <v>0</v>
      </c>
      <c r="X2911" t="s">
        <v>425</v>
      </c>
      <c r="Y2911" t="s">
        <v>425</v>
      </c>
      <c r="Z2911">
        <v>2022</v>
      </c>
    </row>
    <row r="2912" spans="1:26" x14ac:dyDescent="0.3">
      <c r="A2912" t="s">
        <v>276</v>
      </c>
      <c r="B2912" t="s">
        <v>47</v>
      </c>
      <c r="C2912">
        <v>34</v>
      </c>
      <c r="D2912">
        <v>25</v>
      </c>
      <c r="E2912" s="1">
        <f t="shared" si="45"/>
        <v>0.73529411764705888</v>
      </c>
      <c r="F2912">
        <v>108.4</v>
      </c>
      <c r="G2912">
        <v>98.9</v>
      </c>
      <c r="H2912">
        <v>0.74239999999999995</v>
      </c>
      <c r="I2912">
        <v>51.4</v>
      </c>
      <c r="J2912">
        <v>49.3</v>
      </c>
      <c r="K2912">
        <v>15.9</v>
      </c>
      <c r="L2912">
        <v>19.399999999999999</v>
      </c>
      <c r="M2912">
        <v>30.2</v>
      </c>
      <c r="N2912">
        <v>25.9</v>
      </c>
      <c r="O2912">
        <v>27.3</v>
      </c>
      <c r="P2912">
        <v>33.5</v>
      </c>
      <c r="Q2912">
        <v>52.3</v>
      </c>
      <c r="R2912">
        <v>49.1</v>
      </c>
      <c r="S2912">
        <v>33.1</v>
      </c>
      <c r="T2912">
        <v>33.1</v>
      </c>
      <c r="U2912">
        <v>66</v>
      </c>
      <c r="V2912">
        <v>-2</v>
      </c>
      <c r="W2912" cm="1">
        <f t="array" ref="W2912">_xlfn.IFS(OR(X2912="N/A",X2912="NA"),0,OR(X2912="R64",X2912="R68"),1,X2912="R32",2,X2912="S16",3,X2912="E8",4,X2912="F4",5,X2912="2ND",6,X2912="Champions",7)</f>
        <v>0</v>
      </c>
      <c r="X2912" t="s">
        <v>425</v>
      </c>
      <c r="Y2912" t="s">
        <v>425</v>
      </c>
      <c r="Z2912">
        <v>2022</v>
      </c>
    </row>
    <row r="2913" spans="1:26" x14ac:dyDescent="0.3">
      <c r="A2913" t="s">
        <v>316</v>
      </c>
      <c r="B2913" t="s">
        <v>38</v>
      </c>
      <c r="C2913">
        <v>31</v>
      </c>
      <c r="D2913">
        <v>14</v>
      </c>
      <c r="E2913" s="1">
        <f t="shared" si="45"/>
        <v>0.45161290322580644</v>
      </c>
      <c r="F2913">
        <v>100.6</v>
      </c>
      <c r="G2913">
        <v>92</v>
      </c>
      <c r="H2913">
        <v>0.73780000000000001</v>
      </c>
      <c r="I2913">
        <v>47.1</v>
      </c>
      <c r="J2913">
        <v>46.3</v>
      </c>
      <c r="K2913">
        <v>17.3</v>
      </c>
      <c r="L2913">
        <v>19.600000000000001</v>
      </c>
      <c r="M2913">
        <v>24.9</v>
      </c>
      <c r="N2913">
        <v>30.3</v>
      </c>
      <c r="O2913">
        <v>21.2</v>
      </c>
      <c r="P2913">
        <v>32.299999999999997</v>
      </c>
      <c r="Q2913">
        <v>47.7</v>
      </c>
      <c r="R2913">
        <v>46.1</v>
      </c>
      <c r="S2913">
        <v>30.7</v>
      </c>
      <c r="T2913">
        <v>31.1</v>
      </c>
      <c r="U2913">
        <v>67.3</v>
      </c>
      <c r="V2913">
        <v>-4.0999999999999996</v>
      </c>
      <c r="W2913" cm="1">
        <f t="array" ref="W2913">_xlfn.IFS(OR(X2913="N/A",X2913="NA"),0,OR(X2913="R64",X2913="R68"),1,X2913="R32",2,X2913="S16",3,X2913="E8",4,X2913="F4",5,X2913="2ND",6,X2913="Champions",7)</f>
        <v>0</v>
      </c>
      <c r="X2913" t="s">
        <v>425</v>
      </c>
      <c r="Y2913" t="s">
        <v>425</v>
      </c>
      <c r="Z2913">
        <v>2022</v>
      </c>
    </row>
    <row r="2914" spans="1:26" x14ac:dyDescent="0.3">
      <c r="A2914" t="s">
        <v>149</v>
      </c>
      <c r="B2914" t="s">
        <v>31</v>
      </c>
      <c r="C2914">
        <v>32</v>
      </c>
      <c r="D2914">
        <v>15</v>
      </c>
      <c r="E2914" s="1">
        <f t="shared" si="45"/>
        <v>0.46875</v>
      </c>
      <c r="F2914">
        <v>108.7</v>
      </c>
      <c r="G2914">
        <v>99.4</v>
      </c>
      <c r="H2914">
        <v>0.73780000000000001</v>
      </c>
      <c r="I2914">
        <v>49.4</v>
      </c>
      <c r="J2914">
        <v>50.2</v>
      </c>
      <c r="K2914">
        <v>16.8</v>
      </c>
      <c r="L2914">
        <v>16.100000000000001</v>
      </c>
      <c r="M2914">
        <v>27.2</v>
      </c>
      <c r="N2914">
        <v>27.6</v>
      </c>
      <c r="O2914">
        <v>33.9</v>
      </c>
      <c r="P2914">
        <v>24.6</v>
      </c>
      <c r="Q2914">
        <v>49.7</v>
      </c>
      <c r="R2914">
        <v>48.2</v>
      </c>
      <c r="S2914">
        <v>32.6</v>
      </c>
      <c r="T2914">
        <v>35.5</v>
      </c>
      <c r="U2914">
        <v>66.7</v>
      </c>
      <c r="V2914">
        <v>-3.8</v>
      </c>
      <c r="W2914" cm="1">
        <f t="array" ref="W2914">_xlfn.IFS(OR(X2914="N/A",X2914="NA"),0,OR(X2914="R64",X2914="R68"),1,X2914="R32",2,X2914="S16",3,X2914="E8",4,X2914="F4",5,X2914="2ND",6,X2914="Champions",7)</f>
        <v>0</v>
      </c>
      <c r="X2914" t="s">
        <v>425</v>
      </c>
      <c r="Y2914" t="s">
        <v>425</v>
      </c>
      <c r="Z2914">
        <v>2022</v>
      </c>
    </row>
    <row r="2915" spans="1:26" x14ac:dyDescent="0.3">
      <c r="A2915" t="s">
        <v>318</v>
      </c>
      <c r="B2915" t="s">
        <v>38</v>
      </c>
      <c r="C2915">
        <v>33</v>
      </c>
      <c r="D2915">
        <v>21</v>
      </c>
      <c r="E2915" s="1">
        <f t="shared" si="45"/>
        <v>0.63636363636363635</v>
      </c>
      <c r="F2915">
        <v>105.4</v>
      </c>
      <c r="G2915">
        <v>96.4</v>
      </c>
      <c r="H2915">
        <v>0.73580000000000001</v>
      </c>
      <c r="I2915">
        <v>50.4</v>
      </c>
      <c r="J2915">
        <v>48.1</v>
      </c>
      <c r="K2915">
        <v>19.7</v>
      </c>
      <c r="L2915">
        <v>17.5</v>
      </c>
      <c r="M2915">
        <v>29.9</v>
      </c>
      <c r="N2915">
        <v>24.4</v>
      </c>
      <c r="O2915">
        <v>34.700000000000003</v>
      </c>
      <c r="P2915">
        <v>27</v>
      </c>
      <c r="Q2915">
        <v>48.1</v>
      </c>
      <c r="R2915">
        <v>47.2</v>
      </c>
      <c r="S2915">
        <v>36.6</v>
      </c>
      <c r="T2915">
        <v>33.1</v>
      </c>
      <c r="U2915">
        <v>67.3</v>
      </c>
      <c r="V2915">
        <v>-0.3</v>
      </c>
      <c r="W2915" cm="1">
        <f t="array" ref="W2915">_xlfn.IFS(OR(X2915="N/A",X2915="NA"),0,OR(X2915="R64",X2915="R68"),1,X2915="R32",2,X2915="S16",3,X2915="E8",4,X2915="F4",5,X2915="2ND",6,X2915="Champions",7)</f>
        <v>0</v>
      </c>
      <c r="X2915" t="s">
        <v>425</v>
      </c>
      <c r="Y2915" t="s">
        <v>425</v>
      </c>
      <c r="Z2915">
        <v>2022</v>
      </c>
    </row>
    <row r="2916" spans="1:26" x14ac:dyDescent="0.3">
      <c r="A2916" t="s">
        <v>289</v>
      </c>
      <c r="B2916" t="s">
        <v>55</v>
      </c>
      <c r="C2916">
        <v>31</v>
      </c>
      <c r="D2916">
        <v>18</v>
      </c>
      <c r="E2916" s="1">
        <f t="shared" si="45"/>
        <v>0.58064516129032262</v>
      </c>
      <c r="F2916">
        <v>107</v>
      </c>
      <c r="G2916">
        <v>97.9</v>
      </c>
      <c r="H2916">
        <v>0.73570000000000002</v>
      </c>
      <c r="I2916">
        <v>49.1</v>
      </c>
      <c r="J2916">
        <v>48.4</v>
      </c>
      <c r="K2916">
        <v>17</v>
      </c>
      <c r="L2916">
        <v>17.2</v>
      </c>
      <c r="M2916">
        <v>27.1</v>
      </c>
      <c r="N2916">
        <v>25.9</v>
      </c>
      <c r="O2916">
        <v>30.7</v>
      </c>
      <c r="P2916">
        <v>30.8</v>
      </c>
      <c r="Q2916">
        <v>48.6</v>
      </c>
      <c r="R2916">
        <v>48.8</v>
      </c>
      <c r="S2916">
        <v>33.200000000000003</v>
      </c>
      <c r="T2916">
        <v>31.9</v>
      </c>
      <c r="U2916">
        <v>66.400000000000006</v>
      </c>
      <c r="V2916">
        <v>-3.8</v>
      </c>
      <c r="W2916" cm="1">
        <f t="array" ref="W2916">_xlfn.IFS(OR(X2916="N/A",X2916="NA"),0,OR(X2916="R64",X2916="R68"),1,X2916="R32",2,X2916="S16",3,X2916="E8",4,X2916="F4",5,X2916="2ND",6,X2916="Champions",7)</f>
        <v>0</v>
      </c>
      <c r="X2916" t="s">
        <v>425</v>
      </c>
      <c r="Y2916" t="s">
        <v>425</v>
      </c>
      <c r="Z2916">
        <v>2022</v>
      </c>
    </row>
    <row r="2917" spans="1:26" x14ac:dyDescent="0.3">
      <c r="A2917" t="s">
        <v>144</v>
      </c>
      <c r="B2917" t="s">
        <v>31</v>
      </c>
      <c r="C2917">
        <v>30</v>
      </c>
      <c r="D2917">
        <v>15</v>
      </c>
      <c r="E2917" s="1">
        <f t="shared" si="45"/>
        <v>0.5</v>
      </c>
      <c r="F2917">
        <v>105.5</v>
      </c>
      <c r="G2917">
        <v>96.7</v>
      </c>
      <c r="H2917">
        <v>0.73219999999999996</v>
      </c>
      <c r="I2917">
        <v>49</v>
      </c>
      <c r="J2917">
        <v>50.8</v>
      </c>
      <c r="K2917">
        <v>14.1</v>
      </c>
      <c r="L2917">
        <v>19.3</v>
      </c>
      <c r="M2917">
        <v>25.6</v>
      </c>
      <c r="N2917">
        <v>25.1</v>
      </c>
      <c r="O2917">
        <v>25.1</v>
      </c>
      <c r="P2917">
        <v>34.799999999999997</v>
      </c>
      <c r="Q2917">
        <v>47.2</v>
      </c>
      <c r="R2917">
        <v>47.7</v>
      </c>
      <c r="S2917">
        <v>34.6</v>
      </c>
      <c r="T2917">
        <v>36.799999999999997</v>
      </c>
      <c r="U2917">
        <v>67.8</v>
      </c>
      <c r="V2917">
        <v>-3.9</v>
      </c>
      <c r="W2917" cm="1">
        <f t="array" ref="W2917">_xlfn.IFS(OR(X2917="N/A",X2917="NA"),0,OR(X2917="R64",X2917="R68"),1,X2917="R32",2,X2917="S16",3,X2917="E8",4,X2917="F4",5,X2917="2ND",6,X2917="Champions",7)</f>
        <v>0</v>
      </c>
      <c r="X2917" t="s">
        <v>425</v>
      </c>
      <c r="Y2917" t="s">
        <v>425</v>
      </c>
      <c r="Z2917">
        <v>2022</v>
      </c>
    </row>
    <row r="2918" spans="1:26" x14ac:dyDescent="0.3">
      <c r="A2918" t="s">
        <v>100</v>
      </c>
      <c r="B2918" t="s">
        <v>45</v>
      </c>
      <c r="C2918">
        <v>33</v>
      </c>
      <c r="D2918">
        <v>23</v>
      </c>
      <c r="E2918" s="1">
        <f t="shared" si="45"/>
        <v>0.69696969696969702</v>
      </c>
      <c r="F2918">
        <v>107.3</v>
      </c>
      <c r="G2918">
        <v>98.7</v>
      </c>
      <c r="H2918">
        <v>0.72330000000000005</v>
      </c>
      <c r="I2918">
        <v>50.5</v>
      </c>
      <c r="J2918">
        <v>50.3</v>
      </c>
      <c r="K2918">
        <v>15.5</v>
      </c>
      <c r="L2918">
        <v>19.100000000000001</v>
      </c>
      <c r="M2918">
        <v>26.9</v>
      </c>
      <c r="N2918">
        <v>27.5</v>
      </c>
      <c r="O2918">
        <v>25.9</v>
      </c>
      <c r="P2918">
        <v>22.2</v>
      </c>
      <c r="Q2918">
        <v>50.9</v>
      </c>
      <c r="R2918">
        <v>49.6</v>
      </c>
      <c r="S2918">
        <v>33.1</v>
      </c>
      <c r="T2918">
        <v>34.200000000000003</v>
      </c>
      <c r="U2918">
        <v>65.5</v>
      </c>
      <c r="V2918">
        <v>-0.5</v>
      </c>
      <c r="W2918" cm="1">
        <f t="array" ref="W2918">_xlfn.IFS(OR(X2918="N/A",X2918="NA"),0,OR(X2918="R64",X2918="R68"),1,X2918="R32",2,X2918="S16",3,X2918="E8",4,X2918="F4",5,X2918="2ND",6,X2918="Champions",7)</f>
        <v>0</v>
      </c>
      <c r="X2918" t="s">
        <v>425</v>
      </c>
      <c r="Y2918" t="s">
        <v>425</v>
      </c>
      <c r="Z2918">
        <v>2022</v>
      </c>
    </row>
    <row r="2919" spans="1:26" x14ac:dyDescent="0.3">
      <c r="A2919" t="s">
        <v>88</v>
      </c>
      <c r="B2919" t="s">
        <v>50</v>
      </c>
      <c r="C2919">
        <v>28</v>
      </c>
      <c r="D2919">
        <v>15</v>
      </c>
      <c r="E2919" s="1">
        <f t="shared" si="45"/>
        <v>0.5357142857142857</v>
      </c>
      <c r="F2919">
        <v>103.9</v>
      </c>
      <c r="G2919">
        <v>95.5</v>
      </c>
      <c r="H2919">
        <v>0.72319999999999995</v>
      </c>
      <c r="I2919">
        <v>46.7</v>
      </c>
      <c r="J2919">
        <v>47.3</v>
      </c>
      <c r="K2919">
        <v>18.7</v>
      </c>
      <c r="L2919">
        <v>20.100000000000001</v>
      </c>
      <c r="M2919">
        <v>32.299999999999997</v>
      </c>
      <c r="N2919">
        <v>28.3</v>
      </c>
      <c r="O2919">
        <v>31.7</v>
      </c>
      <c r="P2919">
        <v>30.4</v>
      </c>
      <c r="Q2919">
        <v>46.7</v>
      </c>
      <c r="R2919">
        <v>47.2</v>
      </c>
      <c r="S2919">
        <v>31.2</v>
      </c>
      <c r="T2919">
        <v>31.6</v>
      </c>
      <c r="U2919">
        <v>67.099999999999994</v>
      </c>
      <c r="V2919">
        <v>-3.6</v>
      </c>
      <c r="W2919" cm="1">
        <f t="array" ref="W2919">_xlfn.IFS(OR(X2919="N/A",X2919="NA"),0,OR(X2919="R64",X2919="R68"),1,X2919="R32",2,X2919="S16",3,X2919="E8",4,X2919="F4",5,X2919="2ND",6,X2919="Champions",7)</f>
        <v>0</v>
      </c>
      <c r="X2919" t="s">
        <v>425</v>
      </c>
      <c r="Y2919" t="s">
        <v>425</v>
      </c>
      <c r="Z2919">
        <v>2022</v>
      </c>
    </row>
    <row r="2920" spans="1:26" x14ac:dyDescent="0.3">
      <c r="A2920" t="s">
        <v>242</v>
      </c>
      <c r="B2920" t="s">
        <v>69</v>
      </c>
      <c r="C2920">
        <v>33</v>
      </c>
      <c r="D2920">
        <v>25</v>
      </c>
      <c r="E2920" s="1">
        <f t="shared" si="45"/>
        <v>0.75757575757575757</v>
      </c>
      <c r="F2920">
        <v>106.9</v>
      </c>
      <c r="G2920">
        <v>98.6</v>
      </c>
      <c r="H2920">
        <v>0.71789999999999998</v>
      </c>
      <c r="I2920">
        <v>50.7</v>
      </c>
      <c r="J2920">
        <v>46.6</v>
      </c>
      <c r="K2920">
        <v>17.899999999999999</v>
      </c>
      <c r="L2920">
        <v>19</v>
      </c>
      <c r="M2920">
        <v>31.8</v>
      </c>
      <c r="N2920">
        <v>29.8</v>
      </c>
      <c r="O2920">
        <v>37.299999999999997</v>
      </c>
      <c r="P2920">
        <v>33.799999999999997</v>
      </c>
      <c r="Q2920">
        <v>51.2</v>
      </c>
      <c r="R2920">
        <v>47.2</v>
      </c>
      <c r="S2920">
        <v>33.200000000000003</v>
      </c>
      <c r="T2920">
        <v>30.2</v>
      </c>
      <c r="U2920">
        <v>69.400000000000006</v>
      </c>
      <c r="V2920">
        <v>-0.7</v>
      </c>
      <c r="W2920" cm="1">
        <f t="array" ref="W2920">_xlfn.IFS(OR(X2920="N/A",X2920="NA"),0,OR(X2920="R64",X2920="R68"),1,X2920="R32",2,X2920="S16",3,X2920="E8",4,X2920="F4",5,X2920="2ND",6,X2920="Champions",7)</f>
        <v>0</v>
      </c>
      <c r="X2920" t="s">
        <v>425</v>
      </c>
      <c r="Y2920" t="s">
        <v>425</v>
      </c>
      <c r="Z2920">
        <v>2022</v>
      </c>
    </row>
    <row r="2921" spans="1:26" x14ac:dyDescent="0.3">
      <c r="A2921" t="s">
        <v>315</v>
      </c>
      <c r="B2921" t="s">
        <v>64</v>
      </c>
      <c r="C2921">
        <v>32</v>
      </c>
      <c r="D2921">
        <v>25</v>
      </c>
      <c r="E2921" s="1">
        <f t="shared" si="45"/>
        <v>0.78125</v>
      </c>
      <c r="F2921">
        <v>106.6</v>
      </c>
      <c r="G2921">
        <v>98.4</v>
      </c>
      <c r="H2921">
        <v>0.71630000000000005</v>
      </c>
      <c r="I2921">
        <v>55.7</v>
      </c>
      <c r="J2921">
        <v>49.4</v>
      </c>
      <c r="K2921">
        <v>16.8</v>
      </c>
      <c r="L2921">
        <v>20.9</v>
      </c>
      <c r="M2921">
        <v>24.4</v>
      </c>
      <c r="N2921">
        <v>27.8</v>
      </c>
      <c r="O2921">
        <v>25.9</v>
      </c>
      <c r="P2921">
        <v>23.5</v>
      </c>
      <c r="Q2921">
        <v>60.7</v>
      </c>
      <c r="R2921">
        <v>48.7</v>
      </c>
      <c r="S2921">
        <v>32.799999999999997</v>
      </c>
      <c r="T2921">
        <v>33.700000000000003</v>
      </c>
      <c r="U2921">
        <v>69</v>
      </c>
      <c r="V2921">
        <v>-0.2</v>
      </c>
      <c r="W2921" cm="1">
        <f t="array" ref="W2921">_xlfn.IFS(OR(X2921="N/A",X2921="NA"),0,OR(X2921="R64",X2921="R68"),1,X2921="R32",2,X2921="S16",3,X2921="E8",4,X2921="F4",5,X2921="2ND",6,X2921="Champions",7)</f>
        <v>0</v>
      </c>
      <c r="X2921" t="s">
        <v>425</v>
      </c>
      <c r="Y2921" t="s">
        <v>425</v>
      </c>
      <c r="Z2921">
        <v>2022</v>
      </c>
    </row>
    <row r="2922" spans="1:26" x14ac:dyDescent="0.3">
      <c r="A2922" t="s">
        <v>402</v>
      </c>
      <c r="B2922" t="s">
        <v>51</v>
      </c>
      <c r="C2922">
        <v>29</v>
      </c>
      <c r="D2922">
        <v>23</v>
      </c>
      <c r="E2922" s="1">
        <f t="shared" si="45"/>
        <v>0.7931034482758621</v>
      </c>
      <c r="F2922">
        <v>104.1</v>
      </c>
      <c r="G2922">
        <v>96.1</v>
      </c>
      <c r="H2922">
        <v>0.71440000000000003</v>
      </c>
      <c r="I2922">
        <v>49.9</v>
      </c>
      <c r="J2922">
        <v>43.5</v>
      </c>
      <c r="K2922">
        <v>19.2</v>
      </c>
      <c r="L2922">
        <v>18.600000000000001</v>
      </c>
      <c r="M2922">
        <v>34.799999999999997</v>
      </c>
      <c r="N2922">
        <v>28.4</v>
      </c>
      <c r="O2922">
        <v>31</v>
      </c>
      <c r="P2922">
        <v>33</v>
      </c>
      <c r="Q2922">
        <v>48.3</v>
      </c>
      <c r="R2922">
        <v>45.1</v>
      </c>
      <c r="S2922">
        <v>34.799999999999997</v>
      </c>
      <c r="T2922">
        <v>26.9</v>
      </c>
      <c r="U2922">
        <v>65.599999999999994</v>
      </c>
      <c r="V2922">
        <v>-2.4</v>
      </c>
      <c r="W2922" cm="1">
        <f t="array" ref="W2922">_xlfn.IFS(OR(X2922="N/A",X2922="NA"),0,OR(X2922="R64",X2922="R68"),1,X2922="R32",2,X2922="S16",3,X2922="E8",4,X2922="F4",5,X2922="2ND",6,X2922="Champions",7)</f>
        <v>0</v>
      </c>
      <c r="X2922" t="s">
        <v>425</v>
      </c>
      <c r="Y2922" t="s">
        <v>425</v>
      </c>
      <c r="Z2922">
        <v>2022</v>
      </c>
    </row>
    <row r="2923" spans="1:26" x14ac:dyDescent="0.3">
      <c r="A2923" t="s">
        <v>145</v>
      </c>
      <c r="B2923" t="s">
        <v>31</v>
      </c>
      <c r="C2923">
        <v>31</v>
      </c>
      <c r="D2923">
        <v>14</v>
      </c>
      <c r="E2923" s="1">
        <f t="shared" si="45"/>
        <v>0.45161290322580644</v>
      </c>
      <c r="F2923">
        <v>104</v>
      </c>
      <c r="G2923">
        <v>96.4</v>
      </c>
      <c r="H2923">
        <v>0.7046</v>
      </c>
      <c r="I2923">
        <v>50.5</v>
      </c>
      <c r="J2923">
        <v>48.3</v>
      </c>
      <c r="K2923">
        <v>18.600000000000001</v>
      </c>
      <c r="L2923">
        <v>13.8</v>
      </c>
      <c r="M2923">
        <v>28.6</v>
      </c>
      <c r="N2923">
        <v>24.1</v>
      </c>
      <c r="O2923">
        <v>21.8</v>
      </c>
      <c r="P2923">
        <v>26.2</v>
      </c>
      <c r="Q2923">
        <v>49.9</v>
      </c>
      <c r="R2923">
        <v>45.6</v>
      </c>
      <c r="S2923">
        <v>34.200000000000003</v>
      </c>
      <c r="T2923">
        <v>35.200000000000003</v>
      </c>
      <c r="U2923">
        <v>61.9</v>
      </c>
      <c r="V2923">
        <v>-3.9</v>
      </c>
      <c r="W2923" cm="1">
        <f t="array" ref="W2923">_xlfn.IFS(OR(X2923="N/A",X2923="NA"),0,OR(X2923="R64",X2923="R68"),1,X2923="R32",2,X2923="S16",3,X2923="E8",4,X2923="F4",5,X2923="2ND",6,X2923="Champions",7)</f>
        <v>0</v>
      </c>
      <c r="X2923" t="s">
        <v>425</v>
      </c>
      <c r="Y2923" t="s">
        <v>425</v>
      </c>
      <c r="Z2923">
        <v>2022</v>
      </c>
    </row>
    <row r="2924" spans="1:26" x14ac:dyDescent="0.3">
      <c r="A2924" t="s">
        <v>421</v>
      </c>
      <c r="B2924" t="s">
        <v>50</v>
      </c>
      <c r="C2924">
        <v>32</v>
      </c>
      <c r="D2924">
        <v>18</v>
      </c>
      <c r="E2924" s="1">
        <f t="shared" si="45"/>
        <v>0.5625</v>
      </c>
      <c r="F2924">
        <v>104.4</v>
      </c>
      <c r="G2924">
        <v>96.9</v>
      </c>
      <c r="H2924">
        <v>0.70350000000000001</v>
      </c>
      <c r="I2924">
        <v>46.9</v>
      </c>
      <c r="J2924">
        <v>45</v>
      </c>
      <c r="K2924">
        <v>15.2</v>
      </c>
      <c r="L2924">
        <v>17.899999999999999</v>
      </c>
      <c r="M2924">
        <v>30.1</v>
      </c>
      <c r="N2924">
        <v>29.6</v>
      </c>
      <c r="O2924">
        <v>29.6</v>
      </c>
      <c r="P2924">
        <v>34.5</v>
      </c>
      <c r="Q2924">
        <v>46.7</v>
      </c>
      <c r="R2924">
        <v>44.2</v>
      </c>
      <c r="S2924">
        <v>31.4</v>
      </c>
      <c r="T2924">
        <v>31.2</v>
      </c>
      <c r="U2924">
        <v>67.7</v>
      </c>
      <c r="V2924">
        <v>-4.5999999999999996</v>
      </c>
      <c r="W2924" cm="1">
        <f t="array" ref="W2924">_xlfn.IFS(OR(X2924="N/A",X2924="NA"),0,OR(X2924="R64",X2924="R68"),1,X2924="R32",2,X2924="S16",3,X2924="E8",4,X2924="F4",5,X2924="2ND",6,X2924="Champions",7)</f>
        <v>0</v>
      </c>
      <c r="X2924" t="s">
        <v>425</v>
      </c>
      <c r="Y2924" t="s">
        <v>425</v>
      </c>
      <c r="Z2924">
        <v>2022</v>
      </c>
    </row>
    <row r="2925" spans="1:26" x14ac:dyDescent="0.3">
      <c r="A2925" t="s">
        <v>212</v>
      </c>
      <c r="B2925" t="s">
        <v>40</v>
      </c>
      <c r="C2925">
        <v>35</v>
      </c>
      <c r="D2925">
        <v>26</v>
      </c>
      <c r="E2925" s="1">
        <f t="shared" si="45"/>
        <v>0.74285714285714288</v>
      </c>
      <c r="F2925">
        <v>105.8</v>
      </c>
      <c r="G2925">
        <v>98.2</v>
      </c>
      <c r="H2925">
        <v>0.70040000000000002</v>
      </c>
      <c r="I2925">
        <v>51.4</v>
      </c>
      <c r="J2925">
        <v>47.2</v>
      </c>
      <c r="K2925">
        <v>18.899999999999999</v>
      </c>
      <c r="L2925">
        <v>20.3</v>
      </c>
      <c r="M2925">
        <v>30</v>
      </c>
      <c r="N2925">
        <v>29.2</v>
      </c>
      <c r="O2925">
        <v>34.200000000000003</v>
      </c>
      <c r="P2925">
        <v>36.5</v>
      </c>
      <c r="Q2925">
        <v>52.7</v>
      </c>
      <c r="R2925">
        <v>47.6</v>
      </c>
      <c r="S2925">
        <v>33.1</v>
      </c>
      <c r="T2925">
        <v>31</v>
      </c>
      <c r="U2925">
        <v>67.099999999999994</v>
      </c>
      <c r="V2925">
        <v>-3.2</v>
      </c>
      <c r="W2925" cm="1">
        <f t="array" ref="W2925">_xlfn.IFS(OR(X2925="N/A",X2925="NA"),0,OR(X2925="R64",X2925="R68"),1,X2925="R32",2,X2925="S16",3,X2925="E8",4,X2925="F4",5,X2925="2ND",6,X2925="Champions",7)</f>
        <v>0</v>
      </c>
      <c r="X2925" t="s">
        <v>425</v>
      </c>
      <c r="Y2925" t="s">
        <v>425</v>
      </c>
      <c r="Z2925">
        <v>2022</v>
      </c>
    </row>
    <row r="2926" spans="1:26" x14ac:dyDescent="0.3">
      <c r="A2926" t="s">
        <v>128</v>
      </c>
      <c r="B2926" t="s">
        <v>50</v>
      </c>
      <c r="C2926">
        <v>30</v>
      </c>
      <c r="D2926">
        <v>18</v>
      </c>
      <c r="E2926" s="1">
        <f t="shared" si="45"/>
        <v>0.6</v>
      </c>
      <c r="F2926">
        <v>106.3</v>
      </c>
      <c r="G2926">
        <v>98.7</v>
      </c>
      <c r="H2926">
        <v>0.70020000000000004</v>
      </c>
      <c r="I2926">
        <v>49.9</v>
      </c>
      <c r="J2926">
        <v>48.7</v>
      </c>
      <c r="K2926">
        <v>19.100000000000001</v>
      </c>
      <c r="L2926">
        <v>20.7</v>
      </c>
      <c r="M2926">
        <v>30.8</v>
      </c>
      <c r="N2926">
        <v>30.8</v>
      </c>
      <c r="O2926">
        <v>28.5</v>
      </c>
      <c r="P2926">
        <v>29.8</v>
      </c>
      <c r="Q2926">
        <v>47.9</v>
      </c>
      <c r="R2926">
        <v>50</v>
      </c>
      <c r="S2926">
        <v>35</v>
      </c>
      <c r="T2926">
        <v>31.2</v>
      </c>
      <c r="U2926">
        <v>67.5</v>
      </c>
      <c r="V2926">
        <v>-1.7</v>
      </c>
      <c r="W2926" cm="1">
        <f t="array" ref="W2926">_xlfn.IFS(OR(X2926="N/A",X2926="NA"),0,OR(X2926="R64",X2926="R68"),1,X2926="R32",2,X2926="S16",3,X2926="E8",4,X2926="F4",5,X2926="2ND",6,X2926="Champions",7)</f>
        <v>0</v>
      </c>
      <c r="X2926" t="s">
        <v>425</v>
      </c>
      <c r="Y2926" t="s">
        <v>425</v>
      </c>
      <c r="Z2926">
        <v>2022</v>
      </c>
    </row>
    <row r="2927" spans="1:26" x14ac:dyDescent="0.3">
      <c r="A2927" t="s">
        <v>260</v>
      </c>
      <c r="B2927" t="s">
        <v>57</v>
      </c>
      <c r="C2927">
        <v>33</v>
      </c>
      <c r="D2927">
        <v>26</v>
      </c>
      <c r="E2927" s="1">
        <f t="shared" si="45"/>
        <v>0.78787878787878785</v>
      </c>
      <c r="F2927">
        <v>109.2</v>
      </c>
      <c r="G2927">
        <v>101.8</v>
      </c>
      <c r="H2927">
        <v>0.69299999999999995</v>
      </c>
      <c r="I2927">
        <v>53</v>
      </c>
      <c r="J2927">
        <v>47.2</v>
      </c>
      <c r="K2927">
        <v>14.7</v>
      </c>
      <c r="L2927">
        <v>15.3</v>
      </c>
      <c r="M2927">
        <v>30.4</v>
      </c>
      <c r="N2927">
        <v>27.4</v>
      </c>
      <c r="O2927">
        <v>28</v>
      </c>
      <c r="P2927">
        <v>22.9</v>
      </c>
      <c r="Q2927">
        <v>53.1</v>
      </c>
      <c r="R2927">
        <v>47.6</v>
      </c>
      <c r="S2927">
        <v>35.200000000000003</v>
      </c>
      <c r="T2927">
        <v>31.2</v>
      </c>
      <c r="U2927">
        <v>68.900000000000006</v>
      </c>
      <c r="V2927">
        <v>-1.6</v>
      </c>
      <c r="W2927" cm="1">
        <f t="array" ref="W2927">_xlfn.IFS(OR(X2927="N/A",X2927="NA"),0,OR(X2927="R64",X2927="R68"),1,X2927="R32",2,X2927="S16",3,X2927="E8",4,X2927="F4",5,X2927="2ND",6,X2927="Champions",7)</f>
        <v>0</v>
      </c>
      <c r="X2927" t="s">
        <v>425</v>
      </c>
      <c r="Y2927" t="s">
        <v>425</v>
      </c>
      <c r="Z2927">
        <v>2022</v>
      </c>
    </row>
    <row r="2928" spans="1:26" x14ac:dyDescent="0.3">
      <c r="A2928" t="s">
        <v>367</v>
      </c>
      <c r="B2928" t="s">
        <v>29</v>
      </c>
      <c r="C2928">
        <v>32</v>
      </c>
      <c r="D2928">
        <v>13</v>
      </c>
      <c r="E2928" s="1">
        <f t="shared" si="45"/>
        <v>0.40625</v>
      </c>
      <c r="F2928">
        <v>106</v>
      </c>
      <c r="G2928">
        <v>99.1</v>
      </c>
      <c r="H2928">
        <v>0.68569999999999998</v>
      </c>
      <c r="I2928">
        <v>49.6</v>
      </c>
      <c r="J2928">
        <v>51.4</v>
      </c>
      <c r="K2928">
        <v>18</v>
      </c>
      <c r="L2928">
        <v>19.399999999999999</v>
      </c>
      <c r="M2928">
        <v>26.7</v>
      </c>
      <c r="N2928">
        <v>26.6</v>
      </c>
      <c r="O2928">
        <v>28.7</v>
      </c>
      <c r="P2928">
        <v>28</v>
      </c>
      <c r="Q2928">
        <v>50</v>
      </c>
      <c r="R2928">
        <v>53.1</v>
      </c>
      <c r="S2928">
        <v>32.6</v>
      </c>
      <c r="T2928">
        <v>32.299999999999997</v>
      </c>
      <c r="U2928">
        <v>65.400000000000006</v>
      </c>
      <c r="V2928">
        <v>-7.1</v>
      </c>
      <c r="W2928" cm="1">
        <f t="array" ref="W2928">_xlfn.IFS(OR(X2928="N/A",X2928="NA"),0,OR(X2928="R64",X2928="R68"),1,X2928="R32",2,X2928="S16",3,X2928="E8",4,X2928="F4",5,X2928="2ND",6,X2928="Champions",7)</f>
        <v>0</v>
      </c>
      <c r="X2928" t="s">
        <v>425</v>
      </c>
      <c r="Y2928" t="s">
        <v>425</v>
      </c>
      <c r="Z2928">
        <v>2022</v>
      </c>
    </row>
    <row r="2929" spans="1:26" x14ac:dyDescent="0.3">
      <c r="A2929" t="s">
        <v>210</v>
      </c>
      <c r="B2929" t="s">
        <v>40</v>
      </c>
      <c r="C2929">
        <v>31</v>
      </c>
      <c r="D2929">
        <v>24</v>
      </c>
      <c r="E2929" s="1">
        <f t="shared" si="45"/>
        <v>0.77419354838709675</v>
      </c>
      <c r="F2929">
        <v>104.4</v>
      </c>
      <c r="G2929">
        <v>97.7</v>
      </c>
      <c r="H2929">
        <v>0.68420000000000003</v>
      </c>
      <c r="I2929">
        <v>51.9</v>
      </c>
      <c r="J2929">
        <v>48.2</v>
      </c>
      <c r="K2929">
        <v>16.899999999999999</v>
      </c>
      <c r="L2929">
        <v>19.3</v>
      </c>
      <c r="M2929">
        <v>26.1</v>
      </c>
      <c r="N2929">
        <v>28.1</v>
      </c>
      <c r="O2929">
        <v>31.1</v>
      </c>
      <c r="P2929">
        <v>28.1</v>
      </c>
      <c r="Q2929">
        <v>52.5</v>
      </c>
      <c r="R2929">
        <v>47.4</v>
      </c>
      <c r="S2929">
        <v>34</v>
      </c>
      <c r="T2929">
        <v>33</v>
      </c>
      <c r="U2929">
        <v>68.400000000000006</v>
      </c>
      <c r="V2929">
        <v>-2.6</v>
      </c>
      <c r="W2929" cm="1">
        <f t="array" ref="W2929">_xlfn.IFS(OR(X2929="N/A",X2929="NA"),0,OR(X2929="R64",X2929="R68"),1,X2929="R32",2,X2929="S16",3,X2929="E8",4,X2929="F4",5,X2929="2ND",6,X2929="Champions",7)</f>
        <v>0</v>
      </c>
      <c r="X2929" t="s">
        <v>425</v>
      </c>
      <c r="Y2929" t="s">
        <v>425</v>
      </c>
      <c r="Z2929">
        <v>2022</v>
      </c>
    </row>
    <row r="2930" spans="1:26" x14ac:dyDescent="0.3">
      <c r="A2930" t="s">
        <v>275</v>
      </c>
      <c r="B2930" t="s">
        <v>47</v>
      </c>
      <c r="C2930">
        <v>30</v>
      </c>
      <c r="D2930">
        <v>17</v>
      </c>
      <c r="E2930" s="1">
        <f t="shared" si="45"/>
        <v>0.56666666666666665</v>
      </c>
      <c r="F2930">
        <v>102.8</v>
      </c>
      <c r="G2930">
        <v>96.1</v>
      </c>
      <c r="H2930">
        <v>0.68369999999999997</v>
      </c>
      <c r="I2930">
        <v>51.1</v>
      </c>
      <c r="J2930">
        <v>46.9</v>
      </c>
      <c r="K2930">
        <v>19.899999999999999</v>
      </c>
      <c r="L2930">
        <v>18.2</v>
      </c>
      <c r="M2930">
        <v>31.9</v>
      </c>
      <c r="N2930">
        <v>23.5</v>
      </c>
      <c r="O2930">
        <v>27.3</v>
      </c>
      <c r="P2930">
        <v>30.2</v>
      </c>
      <c r="Q2930">
        <v>51.1</v>
      </c>
      <c r="R2930">
        <v>46.1</v>
      </c>
      <c r="S2930">
        <v>34.1</v>
      </c>
      <c r="T2930">
        <v>32.200000000000003</v>
      </c>
      <c r="U2930">
        <v>67.3</v>
      </c>
      <c r="V2930">
        <v>-6.4</v>
      </c>
      <c r="W2930" cm="1">
        <f t="array" ref="W2930">_xlfn.IFS(OR(X2930="N/A",X2930="NA"),0,OR(X2930="R64",X2930="R68"),1,X2930="R32",2,X2930="S16",3,X2930="E8",4,X2930="F4",5,X2930="2ND",6,X2930="Champions",7)</f>
        <v>0</v>
      </c>
      <c r="X2930" t="s">
        <v>425</v>
      </c>
      <c r="Y2930" t="s">
        <v>425</v>
      </c>
      <c r="Z2930">
        <v>2022</v>
      </c>
    </row>
    <row r="2931" spans="1:26" x14ac:dyDescent="0.3">
      <c r="A2931" t="s">
        <v>60</v>
      </c>
      <c r="B2931" t="s">
        <v>26</v>
      </c>
      <c r="C2931">
        <v>31</v>
      </c>
      <c r="D2931">
        <v>17</v>
      </c>
      <c r="E2931" s="1">
        <f t="shared" si="45"/>
        <v>0.54838709677419351</v>
      </c>
      <c r="F2931">
        <v>105.2</v>
      </c>
      <c r="G2931">
        <v>98.4</v>
      </c>
      <c r="H2931">
        <v>0.68330000000000002</v>
      </c>
      <c r="I2931">
        <v>49</v>
      </c>
      <c r="J2931">
        <v>52.2</v>
      </c>
      <c r="K2931">
        <v>18.100000000000001</v>
      </c>
      <c r="L2931">
        <v>21</v>
      </c>
      <c r="M2931">
        <v>31.7</v>
      </c>
      <c r="N2931">
        <v>31.1</v>
      </c>
      <c r="O2931">
        <v>30.3</v>
      </c>
      <c r="P2931">
        <v>30.4</v>
      </c>
      <c r="Q2931">
        <v>48.7</v>
      </c>
      <c r="R2931">
        <v>50</v>
      </c>
      <c r="S2931">
        <v>33.1</v>
      </c>
      <c r="T2931">
        <v>36.9</v>
      </c>
      <c r="U2931">
        <v>67.8</v>
      </c>
      <c r="V2931">
        <v>-1.6</v>
      </c>
      <c r="W2931" cm="1">
        <f t="array" ref="W2931">_xlfn.IFS(OR(X2931="N/A",X2931="NA"),0,OR(X2931="R64",X2931="R68"),1,X2931="R32",2,X2931="S16",3,X2931="E8",4,X2931="F4",5,X2931="2ND",6,X2931="Champions",7)</f>
        <v>0</v>
      </c>
      <c r="X2931" t="s">
        <v>425</v>
      </c>
      <c r="Y2931" t="s">
        <v>425</v>
      </c>
      <c r="Z2931">
        <v>2022</v>
      </c>
    </row>
    <row r="2932" spans="1:26" x14ac:dyDescent="0.3">
      <c r="A2932" t="s">
        <v>86</v>
      </c>
      <c r="B2932" t="s">
        <v>29</v>
      </c>
      <c r="C2932">
        <v>30</v>
      </c>
      <c r="D2932">
        <v>18</v>
      </c>
      <c r="E2932" s="1">
        <f t="shared" si="45"/>
        <v>0.6</v>
      </c>
      <c r="F2932">
        <v>100.1</v>
      </c>
      <c r="G2932">
        <v>94.2</v>
      </c>
      <c r="H2932">
        <v>0.66790000000000005</v>
      </c>
      <c r="I2932">
        <v>47.3</v>
      </c>
      <c r="J2932">
        <v>47.3</v>
      </c>
      <c r="K2932">
        <v>21.4</v>
      </c>
      <c r="L2932">
        <v>21.5</v>
      </c>
      <c r="M2932">
        <v>33.6</v>
      </c>
      <c r="N2932">
        <v>32.1</v>
      </c>
      <c r="O2932">
        <v>29.2</v>
      </c>
      <c r="P2932">
        <v>41.6</v>
      </c>
      <c r="Q2932">
        <v>47.4</v>
      </c>
      <c r="R2932">
        <v>46.9</v>
      </c>
      <c r="S2932">
        <v>31.3</v>
      </c>
      <c r="T2932">
        <v>32</v>
      </c>
      <c r="U2932">
        <v>70.599999999999994</v>
      </c>
      <c r="V2932">
        <v>-1.1000000000000001</v>
      </c>
      <c r="W2932" cm="1">
        <f t="array" ref="W2932">_xlfn.IFS(OR(X2932="N/A",X2932="NA"),0,OR(X2932="R64",X2932="R68"),1,X2932="R32",2,X2932="S16",3,X2932="E8",4,X2932="F4",5,X2932="2ND",6,X2932="Champions",7)</f>
        <v>0</v>
      </c>
      <c r="X2932" t="s">
        <v>425</v>
      </c>
      <c r="Y2932" t="s">
        <v>425</v>
      </c>
      <c r="Z2932">
        <v>2022</v>
      </c>
    </row>
    <row r="2933" spans="1:26" x14ac:dyDescent="0.3">
      <c r="A2933" t="s">
        <v>322</v>
      </c>
      <c r="B2933" t="s">
        <v>38</v>
      </c>
      <c r="C2933">
        <v>32</v>
      </c>
      <c r="D2933">
        <v>17</v>
      </c>
      <c r="E2933" s="1">
        <f t="shared" si="45"/>
        <v>0.53125</v>
      </c>
      <c r="F2933">
        <v>104.4</v>
      </c>
      <c r="G2933">
        <v>98.4</v>
      </c>
      <c r="H2933">
        <v>0.66290000000000004</v>
      </c>
      <c r="I2933">
        <v>46.4</v>
      </c>
      <c r="J2933">
        <v>49.9</v>
      </c>
      <c r="K2933">
        <v>16.7</v>
      </c>
      <c r="L2933">
        <v>22.1</v>
      </c>
      <c r="M2933">
        <v>29.3</v>
      </c>
      <c r="N2933">
        <v>35.6</v>
      </c>
      <c r="O2933">
        <v>34.700000000000003</v>
      </c>
      <c r="P2933">
        <v>30.1</v>
      </c>
      <c r="Q2933">
        <v>46.2</v>
      </c>
      <c r="R2933">
        <v>49.8</v>
      </c>
      <c r="S2933">
        <v>31.2</v>
      </c>
      <c r="T2933">
        <v>33.5</v>
      </c>
      <c r="U2933">
        <v>69.599999999999994</v>
      </c>
      <c r="V2933">
        <v>-4.4000000000000004</v>
      </c>
      <c r="W2933" cm="1">
        <f t="array" ref="W2933">_xlfn.IFS(OR(X2933="N/A",X2933="NA"),0,OR(X2933="R64",X2933="R68"),1,X2933="R32",2,X2933="S16",3,X2933="E8",4,X2933="F4",5,X2933="2ND",6,X2933="Champions",7)</f>
        <v>0</v>
      </c>
      <c r="X2933" t="s">
        <v>425</v>
      </c>
      <c r="Y2933" t="s">
        <v>425</v>
      </c>
      <c r="Z2933">
        <v>2022</v>
      </c>
    </row>
    <row r="2934" spans="1:26" x14ac:dyDescent="0.3">
      <c r="A2934" t="s">
        <v>125</v>
      </c>
      <c r="B2934" t="s">
        <v>50</v>
      </c>
      <c r="C2934">
        <v>29</v>
      </c>
      <c r="D2934">
        <v>17</v>
      </c>
      <c r="E2934" s="1">
        <f t="shared" si="45"/>
        <v>0.58620689655172409</v>
      </c>
      <c r="F2934">
        <v>101.6</v>
      </c>
      <c r="G2934">
        <v>96.2</v>
      </c>
      <c r="H2934">
        <v>0.65200000000000002</v>
      </c>
      <c r="I2934">
        <v>45.4</v>
      </c>
      <c r="J2934">
        <v>45.5</v>
      </c>
      <c r="K2934">
        <v>18.5</v>
      </c>
      <c r="L2934">
        <v>17.2</v>
      </c>
      <c r="M2934">
        <v>32.700000000000003</v>
      </c>
      <c r="N2934">
        <v>29.3</v>
      </c>
      <c r="O2934">
        <v>39.700000000000003</v>
      </c>
      <c r="P2934">
        <v>31.7</v>
      </c>
      <c r="Q2934">
        <v>44.7</v>
      </c>
      <c r="R2934">
        <v>46.3</v>
      </c>
      <c r="S2934">
        <v>31.1</v>
      </c>
      <c r="T2934">
        <v>29.4</v>
      </c>
      <c r="U2934">
        <v>66.3</v>
      </c>
      <c r="V2934">
        <v>-2.5</v>
      </c>
      <c r="W2934" cm="1">
        <f t="array" ref="W2934">_xlfn.IFS(OR(X2934="N/A",X2934="NA"),0,OR(X2934="R64",X2934="R68"),1,X2934="R32",2,X2934="S16",3,X2934="E8",4,X2934="F4",5,X2934="2ND",6,X2934="Champions",7)</f>
        <v>0</v>
      </c>
      <c r="X2934" t="s">
        <v>425</v>
      </c>
      <c r="Y2934" t="s">
        <v>425</v>
      </c>
      <c r="Z2934">
        <v>2022</v>
      </c>
    </row>
    <row r="2935" spans="1:26" x14ac:dyDescent="0.3">
      <c r="A2935" t="s">
        <v>237</v>
      </c>
      <c r="B2935" t="s">
        <v>59</v>
      </c>
      <c r="C2935">
        <v>28</v>
      </c>
      <c r="D2935">
        <v>23</v>
      </c>
      <c r="E2935" s="1">
        <f t="shared" si="45"/>
        <v>0.8214285714285714</v>
      </c>
      <c r="F2935">
        <v>111.5</v>
      </c>
      <c r="G2935">
        <v>105.9</v>
      </c>
      <c r="H2935">
        <v>0.6452</v>
      </c>
      <c r="I2935">
        <v>56.7</v>
      </c>
      <c r="J2935">
        <v>51.3</v>
      </c>
      <c r="K2935">
        <v>14.5</v>
      </c>
      <c r="L2935">
        <v>15.5</v>
      </c>
      <c r="M2935">
        <v>24.8</v>
      </c>
      <c r="N2935">
        <v>23.5</v>
      </c>
      <c r="O2935">
        <v>21.3</v>
      </c>
      <c r="P2935">
        <v>21.7</v>
      </c>
      <c r="Q2935">
        <v>55.9</v>
      </c>
      <c r="R2935">
        <v>51.6</v>
      </c>
      <c r="S2935">
        <v>38.4</v>
      </c>
      <c r="T2935">
        <v>33.6</v>
      </c>
      <c r="U2935">
        <v>66.900000000000006</v>
      </c>
      <c r="V2935">
        <v>-2.1</v>
      </c>
      <c r="W2935" cm="1">
        <f t="array" ref="W2935">_xlfn.IFS(OR(X2935="N/A",X2935="NA"),0,OR(X2935="R64",X2935="R68"),1,X2935="R32",2,X2935="S16",3,X2935="E8",4,X2935="F4",5,X2935="2ND",6,X2935="Champions",7)</f>
        <v>0</v>
      </c>
      <c r="X2935" t="s">
        <v>425</v>
      </c>
      <c r="Y2935" t="s">
        <v>425</v>
      </c>
      <c r="Z2935">
        <v>2022</v>
      </c>
    </row>
    <row r="2936" spans="1:26" x14ac:dyDescent="0.3">
      <c r="A2936" t="s">
        <v>142</v>
      </c>
      <c r="B2936" t="s">
        <v>31</v>
      </c>
      <c r="C2936">
        <v>30</v>
      </c>
      <c r="D2936">
        <v>13</v>
      </c>
      <c r="E2936" s="1">
        <f t="shared" si="45"/>
        <v>0.43333333333333335</v>
      </c>
      <c r="F2936">
        <v>106.1</v>
      </c>
      <c r="G2936">
        <v>100.8</v>
      </c>
      <c r="H2936">
        <v>0.64349999999999996</v>
      </c>
      <c r="I2936">
        <v>50.7</v>
      </c>
      <c r="J2936">
        <v>51.2</v>
      </c>
      <c r="K2936">
        <v>14</v>
      </c>
      <c r="L2936">
        <v>15.8</v>
      </c>
      <c r="M2936">
        <v>17.7</v>
      </c>
      <c r="N2936">
        <v>27.5</v>
      </c>
      <c r="O2936">
        <v>23.6</v>
      </c>
      <c r="P2936">
        <v>23.3</v>
      </c>
      <c r="Q2936">
        <v>48</v>
      </c>
      <c r="R2936">
        <v>51.6</v>
      </c>
      <c r="S2936">
        <v>36.799999999999997</v>
      </c>
      <c r="T2936">
        <v>33.700000000000003</v>
      </c>
      <c r="U2936">
        <v>65.099999999999994</v>
      </c>
      <c r="V2936">
        <v>-4.8</v>
      </c>
      <c r="W2936" cm="1">
        <f t="array" ref="W2936">_xlfn.IFS(OR(X2936="N/A",X2936="NA"),0,OR(X2936="R64",X2936="R68"),1,X2936="R32",2,X2936="S16",3,X2936="E8",4,X2936="F4",5,X2936="2ND",6,X2936="Champions",7)</f>
        <v>0</v>
      </c>
      <c r="X2936" t="s">
        <v>425</v>
      </c>
      <c r="Y2936" t="s">
        <v>425</v>
      </c>
      <c r="Z2936">
        <v>2022</v>
      </c>
    </row>
    <row r="2937" spans="1:26" x14ac:dyDescent="0.3">
      <c r="A2937" t="s">
        <v>103</v>
      </c>
      <c r="B2937" t="s">
        <v>26</v>
      </c>
      <c r="C2937">
        <v>33</v>
      </c>
      <c r="D2937">
        <v>13</v>
      </c>
      <c r="E2937" s="1">
        <f t="shared" si="45"/>
        <v>0.39393939393939392</v>
      </c>
      <c r="F2937">
        <v>103.9</v>
      </c>
      <c r="G2937">
        <v>98.8</v>
      </c>
      <c r="H2937">
        <v>0.64219999999999999</v>
      </c>
      <c r="I2937">
        <v>47.8</v>
      </c>
      <c r="J2937">
        <v>51.5</v>
      </c>
      <c r="K2937">
        <v>17.899999999999999</v>
      </c>
      <c r="L2937">
        <v>18.7</v>
      </c>
      <c r="M2937">
        <v>29.9</v>
      </c>
      <c r="N2937">
        <v>25.7</v>
      </c>
      <c r="O2937">
        <v>29.6</v>
      </c>
      <c r="P2937">
        <v>31.5</v>
      </c>
      <c r="Q2937">
        <v>48.5</v>
      </c>
      <c r="R2937">
        <v>49.8</v>
      </c>
      <c r="S2937">
        <v>30.9</v>
      </c>
      <c r="T2937">
        <v>36.4</v>
      </c>
      <c r="U2937">
        <v>65</v>
      </c>
      <c r="V2937">
        <v>-8.3000000000000007</v>
      </c>
      <c r="W2937" cm="1">
        <f t="array" ref="W2937">_xlfn.IFS(OR(X2937="N/A",X2937="NA"),0,OR(X2937="R64",X2937="R68"),1,X2937="R32",2,X2937="S16",3,X2937="E8",4,X2937="F4",5,X2937="2ND",6,X2937="Champions",7)</f>
        <v>0</v>
      </c>
      <c r="X2937" t="s">
        <v>425</v>
      </c>
      <c r="Y2937" t="s">
        <v>425</v>
      </c>
      <c r="Z2937">
        <v>2022</v>
      </c>
    </row>
    <row r="2938" spans="1:26" x14ac:dyDescent="0.3">
      <c r="A2938" t="s">
        <v>201</v>
      </c>
      <c r="B2938" t="s">
        <v>53</v>
      </c>
      <c r="C2938">
        <v>30</v>
      </c>
      <c r="D2938">
        <v>21</v>
      </c>
      <c r="E2938" s="1">
        <f t="shared" si="45"/>
        <v>0.7</v>
      </c>
      <c r="F2938">
        <v>109.1</v>
      </c>
      <c r="G2938">
        <v>103.8</v>
      </c>
      <c r="H2938">
        <v>0.63919999999999999</v>
      </c>
      <c r="I2938">
        <v>53.4</v>
      </c>
      <c r="J2938">
        <v>54.4</v>
      </c>
      <c r="K2938">
        <v>14.7</v>
      </c>
      <c r="L2938">
        <v>20.399999999999999</v>
      </c>
      <c r="M2938">
        <v>23.3</v>
      </c>
      <c r="N2938">
        <v>26.9</v>
      </c>
      <c r="O2938">
        <v>21.7</v>
      </c>
      <c r="P2938">
        <v>26.3</v>
      </c>
      <c r="Q2938">
        <v>55.6</v>
      </c>
      <c r="R2938">
        <v>52.1</v>
      </c>
      <c r="S2938">
        <v>33.799999999999997</v>
      </c>
      <c r="T2938">
        <v>38.299999999999997</v>
      </c>
      <c r="U2938">
        <v>68.900000000000006</v>
      </c>
      <c r="V2938">
        <v>-3.4</v>
      </c>
      <c r="W2938" cm="1">
        <f t="array" ref="W2938">_xlfn.IFS(OR(X2938="N/A",X2938="NA"),0,OR(X2938="R64",X2938="R68"),1,X2938="R32",2,X2938="S16",3,X2938="E8",4,X2938="F4",5,X2938="2ND",6,X2938="Champions",7)</f>
        <v>0</v>
      </c>
      <c r="X2938" t="s">
        <v>425</v>
      </c>
      <c r="Y2938" t="s">
        <v>425</v>
      </c>
      <c r="Z2938">
        <v>2022</v>
      </c>
    </row>
    <row r="2939" spans="1:26" x14ac:dyDescent="0.3">
      <c r="A2939" t="s">
        <v>143</v>
      </c>
      <c r="B2939" t="s">
        <v>31</v>
      </c>
      <c r="C2939">
        <v>32</v>
      </c>
      <c r="D2939">
        <v>10</v>
      </c>
      <c r="E2939" s="1">
        <f t="shared" si="45"/>
        <v>0.3125</v>
      </c>
      <c r="F2939">
        <v>106.5</v>
      </c>
      <c r="G2939">
        <v>101.4</v>
      </c>
      <c r="H2939">
        <v>0.63880000000000003</v>
      </c>
      <c r="I2939">
        <v>50.3</v>
      </c>
      <c r="J2939">
        <v>51.5</v>
      </c>
      <c r="K2939">
        <v>17.100000000000001</v>
      </c>
      <c r="L2939">
        <v>18.3</v>
      </c>
      <c r="M2939">
        <v>20.6</v>
      </c>
      <c r="N2939">
        <v>31.4</v>
      </c>
      <c r="O2939">
        <v>33.299999999999997</v>
      </c>
      <c r="P2939">
        <v>29.4</v>
      </c>
      <c r="Q2939">
        <v>51.8</v>
      </c>
      <c r="R2939">
        <v>51.2</v>
      </c>
      <c r="S2939">
        <v>32</v>
      </c>
      <c r="T2939">
        <v>34.700000000000003</v>
      </c>
      <c r="U2939">
        <v>71.400000000000006</v>
      </c>
      <c r="V2939">
        <v>-9.1</v>
      </c>
      <c r="W2939" cm="1">
        <f t="array" ref="W2939">_xlfn.IFS(OR(X2939="N/A",X2939="NA"),0,OR(X2939="R64",X2939="R68"),1,X2939="R32",2,X2939="S16",3,X2939="E8",4,X2939="F4",5,X2939="2ND",6,X2939="Champions",7)</f>
        <v>0</v>
      </c>
      <c r="X2939" t="s">
        <v>425</v>
      </c>
      <c r="Y2939" t="s">
        <v>425</v>
      </c>
      <c r="Z2939">
        <v>2022</v>
      </c>
    </row>
    <row r="2940" spans="1:26" x14ac:dyDescent="0.3">
      <c r="A2940" t="s">
        <v>368</v>
      </c>
      <c r="B2940" t="s">
        <v>51</v>
      </c>
      <c r="C2940">
        <v>32</v>
      </c>
      <c r="D2940">
        <v>25</v>
      </c>
      <c r="E2940" s="1">
        <f t="shared" si="45"/>
        <v>0.78125</v>
      </c>
      <c r="F2940">
        <v>104.5</v>
      </c>
      <c r="G2940">
        <v>99.5</v>
      </c>
      <c r="H2940">
        <v>0.63790000000000002</v>
      </c>
      <c r="I2940">
        <v>48.4</v>
      </c>
      <c r="J2940">
        <v>52</v>
      </c>
      <c r="K2940">
        <v>17.600000000000001</v>
      </c>
      <c r="L2940">
        <v>27.9</v>
      </c>
      <c r="M2940">
        <v>27.8</v>
      </c>
      <c r="N2940">
        <v>30.9</v>
      </c>
      <c r="O2940">
        <v>39.299999999999997</v>
      </c>
      <c r="P2940">
        <v>49.1</v>
      </c>
      <c r="Q2940">
        <v>48.4</v>
      </c>
      <c r="R2940">
        <v>52</v>
      </c>
      <c r="S2940">
        <v>32.200000000000003</v>
      </c>
      <c r="T2940">
        <v>34.6</v>
      </c>
      <c r="U2940">
        <v>70.2</v>
      </c>
      <c r="V2940">
        <v>-4.0999999999999996</v>
      </c>
      <c r="W2940" cm="1">
        <f t="array" ref="W2940">_xlfn.IFS(OR(X2940="N/A",X2940="NA"),0,OR(X2940="R64",X2940="R68"),1,X2940="R32",2,X2940="S16",3,X2940="E8",4,X2940="F4",5,X2940="2ND",6,X2940="Champions",7)</f>
        <v>0</v>
      </c>
      <c r="X2940" t="s">
        <v>425</v>
      </c>
      <c r="Y2940" t="s">
        <v>425</v>
      </c>
      <c r="Z2940">
        <v>2022</v>
      </c>
    </row>
    <row r="2941" spans="1:26" x14ac:dyDescent="0.3">
      <c r="A2941" t="s">
        <v>320</v>
      </c>
      <c r="B2941" t="s">
        <v>38</v>
      </c>
      <c r="C2941">
        <v>32</v>
      </c>
      <c r="D2941">
        <v>16</v>
      </c>
      <c r="E2941" s="1">
        <f t="shared" si="45"/>
        <v>0.5</v>
      </c>
      <c r="F2941">
        <v>103.5</v>
      </c>
      <c r="G2941">
        <v>98.7</v>
      </c>
      <c r="H2941">
        <v>0.63370000000000004</v>
      </c>
      <c r="I2941">
        <v>49.8</v>
      </c>
      <c r="J2941">
        <v>51.4</v>
      </c>
      <c r="K2941">
        <v>22.3</v>
      </c>
      <c r="L2941">
        <v>16.399999999999999</v>
      </c>
      <c r="M2941">
        <v>33.799999999999997</v>
      </c>
      <c r="N2941">
        <v>22.9</v>
      </c>
      <c r="O2941">
        <v>29.9</v>
      </c>
      <c r="P2941">
        <v>29</v>
      </c>
      <c r="Q2941">
        <v>49.2</v>
      </c>
      <c r="R2941">
        <v>52.9</v>
      </c>
      <c r="S2941">
        <v>33.9</v>
      </c>
      <c r="T2941">
        <v>32.700000000000003</v>
      </c>
      <c r="U2941">
        <v>66</v>
      </c>
      <c r="V2941">
        <v>-3.2</v>
      </c>
      <c r="W2941" cm="1">
        <f t="array" ref="W2941">_xlfn.IFS(OR(X2941="N/A",X2941="NA"),0,OR(X2941="R64",X2941="R68"),1,X2941="R32",2,X2941="S16",3,X2941="E8",4,X2941="F4",5,X2941="2ND",6,X2941="Champions",7)</f>
        <v>0</v>
      </c>
      <c r="X2941" t="s">
        <v>425</v>
      </c>
      <c r="Y2941" t="s">
        <v>425</v>
      </c>
      <c r="Z2941">
        <v>2022</v>
      </c>
    </row>
    <row r="2942" spans="1:26" x14ac:dyDescent="0.3">
      <c r="A2942" t="s">
        <v>406</v>
      </c>
      <c r="B2942" t="s">
        <v>51</v>
      </c>
      <c r="C2942">
        <v>30</v>
      </c>
      <c r="D2942">
        <v>20</v>
      </c>
      <c r="E2942" s="1">
        <f t="shared" si="45"/>
        <v>0.66666666666666663</v>
      </c>
      <c r="F2942">
        <v>101.5</v>
      </c>
      <c r="G2942">
        <v>96.8</v>
      </c>
      <c r="H2942">
        <v>0.63370000000000004</v>
      </c>
      <c r="I2942">
        <v>50.6</v>
      </c>
      <c r="J2942">
        <v>45.4</v>
      </c>
      <c r="K2942">
        <v>22.1</v>
      </c>
      <c r="L2942">
        <v>15.6</v>
      </c>
      <c r="M2942">
        <v>32</v>
      </c>
      <c r="N2942">
        <v>24.5</v>
      </c>
      <c r="O2942">
        <v>38.1</v>
      </c>
      <c r="P2942">
        <v>28.3</v>
      </c>
      <c r="Q2942">
        <v>48.7</v>
      </c>
      <c r="R2942">
        <v>46.6</v>
      </c>
      <c r="S2942">
        <v>36.799999999999997</v>
      </c>
      <c r="T2942">
        <v>29</v>
      </c>
      <c r="U2942">
        <v>65.8</v>
      </c>
      <c r="V2942">
        <v>-5.3</v>
      </c>
      <c r="W2942" cm="1">
        <f t="array" ref="W2942">_xlfn.IFS(OR(X2942="N/A",X2942="NA"),0,OR(X2942="R64",X2942="R68"),1,X2942="R32",2,X2942="S16",3,X2942="E8",4,X2942="F4",5,X2942="2ND",6,X2942="Champions",7)</f>
        <v>0</v>
      </c>
      <c r="X2942" t="s">
        <v>425</v>
      </c>
      <c r="Y2942" t="s">
        <v>425</v>
      </c>
      <c r="Z2942">
        <v>2022</v>
      </c>
    </row>
    <row r="2943" spans="1:26" x14ac:dyDescent="0.3">
      <c r="A2943" t="s">
        <v>161</v>
      </c>
      <c r="B2943" t="s">
        <v>33</v>
      </c>
      <c r="C2943">
        <v>31</v>
      </c>
      <c r="D2943">
        <v>14</v>
      </c>
      <c r="E2943" s="1">
        <f t="shared" si="45"/>
        <v>0.45161290322580644</v>
      </c>
      <c r="F2943">
        <v>102.3</v>
      </c>
      <c r="G2943">
        <v>97.6</v>
      </c>
      <c r="H2943">
        <v>0.63180000000000003</v>
      </c>
      <c r="I2943">
        <v>47.1</v>
      </c>
      <c r="J2943">
        <v>49.9</v>
      </c>
      <c r="K2943">
        <v>18.2</v>
      </c>
      <c r="L2943">
        <v>17.100000000000001</v>
      </c>
      <c r="M2943">
        <v>27.1</v>
      </c>
      <c r="N2943">
        <v>27.4</v>
      </c>
      <c r="O2943">
        <v>30.2</v>
      </c>
      <c r="P2943">
        <v>30.2</v>
      </c>
      <c r="Q2943">
        <v>48.9</v>
      </c>
      <c r="R2943">
        <v>51.9</v>
      </c>
      <c r="S2943">
        <v>29.7</v>
      </c>
      <c r="T2943">
        <v>31.1</v>
      </c>
      <c r="U2943">
        <v>63.8</v>
      </c>
      <c r="V2943">
        <v>-5.3</v>
      </c>
      <c r="W2943" cm="1">
        <f t="array" ref="W2943">_xlfn.IFS(OR(X2943="N/A",X2943="NA"),0,OR(X2943="R64",X2943="R68"),1,X2943="R32",2,X2943="S16",3,X2943="E8",4,X2943="F4",5,X2943="2ND",6,X2943="Champions",7)</f>
        <v>0</v>
      </c>
      <c r="X2943" t="s">
        <v>425</v>
      </c>
      <c r="Y2943" t="s">
        <v>425</v>
      </c>
      <c r="Z2943">
        <v>2022</v>
      </c>
    </row>
    <row r="2944" spans="1:26" x14ac:dyDescent="0.3">
      <c r="A2944" t="s">
        <v>52</v>
      </c>
      <c r="B2944" t="s">
        <v>26</v>
      </c>
      <c r="C2944">
        <v>32</v>
      </c>
      <c r="D2944">
        <v>13</v>
      </c>
      <c r="E2944" s="1">
        <f t="shared" si="45"/>
        <v>0.40625</v>
      </c>
      <c r="F2944">
        <v>103</v>
      </c>
      <c r="G2944">
        <v>98.3</v>
      </c>
      <c r="H2944">
        <v>0.63100000000000001</v>
      </c>
      <c r="I2944">
        <v>48.8</v>
      </c>
      <c r="J2944">
        <v>50.3</v>
      </c>
      <c r="K2944">
        <v>18</v>
      </c>
      <c r="L2944">
        <v>16.3</v>
      </c>
      <c r="M2944">
        <v>27.3</v>
      </c>
      <c r="N2944">
        <v>24.9</v>
      </c>
      <c r="O2944">
        <v>25.1</v>
      </c>
      <c r="P2944">
        <v>30</v>
      </c>
      <c r="Q2944">
        <v>50.5</v>
      </c>
      <c r="R2944">
        <v>49.1</v>
      </c>
      <c r="S2944">
        <v>30.9</v>
      </c>
      <c r="T2944">
        <v>34.9</v>
      </c>
      <c r="U2944">
        <v>67.3</v>
      </c>
      <c r="V2944">
        <v>-6.8</v>
      </c>
      <c r="W2944" cm="1">
        <f t="array" ref="W2944">_xlfn.IFS(OR(X2944="N/A",X2944="NA"),0,OR(X2944="R64",X2944="R68"),1,X2944="R32",2,X2944="S16",3,X2944="E8",4,X2944="F4",5,X2944="2ND",6,X2944="Champions",7)</f>
        <v>0</v>
      </c>
      <c r="X2944" t="s">
        <v>425</v>
      </c>
      <c r="Y2944" t="s">
        <v>425</v>
      </c>
      <c r="Z2944">
        <v>2022</v>
      </c>
    </row>
    <row r="2945" spans="1:26" x14ac:dyDescent="0.3">
      <c r="A2945" t="s">
        <v>308</v>
      </c>
      <c r="B2945" t="s">
        <v>64</v>
      </c>
      <c r="C2945">
        <v>31</v>
      </c>
      <c r="D2945">
        <v>23</v>
      </c>
      <c r="E2945" s="1">
        <f t="shared" si="45"/>
        <v>0.74193548387096775</v>
      </c>
      <c r="F2945">
        <v>102.8</v>
      </c>
      <c r="G2945">
        <v>98.2</v>
      </c>
      <c r="H2945">
        <v>0.62770000000000004</v>
      </c>
      <c r="I2945">
        <v>52.4</v>
      </c>
      <c r="J2945">
        <v>46.5</v>
      </c>
      <c r="K2945">
        <v>20.399999999999999</v>
      </c>
      <c r="L2945">
        <v>17.3</v>
      </c>
      <c r="M2945">
        <v>30.7</v>
      </c>
      <c r="N2945">
        <v>29.5</v>
      </c>
      <c r="O2945">
        <v>29</v>
      </c>
      <c r="P2945">
        <v>23.7</v>
      </c>
      <c r="Q2945">
        <v>51.6</v>
      </c>
      <c r="R2945">
        <v>45.3</v>
      </c>
      <c r="S2945">
        <v>35.799999999999997</v>
      </c>
      <c r="T2945">
        <v>32.6</v>
      </c>
      <c r="U2945">
        <v>64.7</v>
      </c>
      <c r="V2945">
        <v>-3.9</v>
      </c>
      <c r="W2945" cm="1">
        <f t="array" ref="W2945">_xlfn.IFS(OR(X2945="N/A",X2945="NA"),0,OR(X2945="R64",X2945="R68"),1,X2945="R32",2,X2945="S16",3,X2945="E8",4,X2945="F4",5,X2945="2ND",6,X2945="Champions",7)</f>
        <v>0</v>
      </c>
      <c r="X2945" t="s">
        <v>425</v>
      </c>
      <c r="Y2945" t="s">
        <v>425</v>
      </c>
      <c r="Z2945">
        <v>2022</v>
      </c>
    </row>
    <row r="2946" spans="1:26" x14ac:dyDescent="0.3">
      <c r="A2946" t="s">
        <v>110</v>
      </c>
      <c r="B2946" t="s">
        <v>26</v>
      </c>
      <c r="C2946">
        <v>32</v>
      </c>
      <c r="D2946">
        <v>11</v>
      </c>
      <c r="E2946" s="1">
        <f t="shared" si="45"/>
        <v>0.34375</v>
      </c>
      <c r="F2946">
        <v>109.2</v>
      </c>
      <c r="G2946">
        <v>104.5</v>
      </c>
      <c r="H2946">
        <v>0.625</v>
      </c>
      <c r="I2946">
        <v>47.9</v>
      </c>
      <c r="J2946">
        <v>53.4</v>
      </c>
      <c r="K2946">
        <v>14.5</v>
      </c>
      <c r="L2946">
        <v>18.3</v>
      </c>
      <c r="M2946">
        <v>30.3</v>
      </c>
      <c r="N2946">
        <v>31</v>
      </c>
      <c r="O2946">
        <v>29.1</v>
      </c>
      <c r="P2946">
        <v>29.4</v>
      </c>
      <c r="Q2946">
        <v>45.9</v>
      </c>
      <c r="R2946">
        <v>53</v>
      </c>
      <c r="S2946">
        <v>34</v>
      </c>
      <c r="T2946">
        <v>36.1</v>
      </c>
      <c r="U2946">
        <v>67.099999999999994</v>
      </c>
      <c r="V2946">
        <v>-9</v>
      </c>
      <c r="W2946" cm="1">
        <f t="array" ref="W2946">_xlfn.IFS(OR(X2946="N/A",X2946="NA"),0,OR(X2946="R64",X2946="R68"),1,X2946="R32",2,X2946="S16",3,X2946="E8",4,X2946="F4",5,X2946="2ND",6,X2946="Champions",7)</f>
        <v>0</v>
      </c>
      <c r="X2946" t="s">
        <v>425</v>
      </c>
      <c r="Y2946" t="s">
        <v>425</v>
      </c>
      <c r="Z2946">
        <v>2022</v>
      </c>
    </row>
    <row r="2947" spans="1:26" x14ac:dyDescent="0.3">
      <c r="A2947" t="s">
        <v>92</v>
      </c>
      <c r="B2947" t="s">
        <v>45</v>
      </c>
      <c r="C2947">
        <v>30</v>
      </c>
      <c r="D2947">
        <v>14</v>
      </c>
      <c r="E2947" s="1">
        <f t="shared" ref="E2947:E3010" si="46">D2947/C2947</f>
        <v>0.46666666666666667</v>
      </c>
      <c r="F2947">
        <v>104.7</v>
      </c>
      <c r="G2947">
        <v>100.2</v>
      </c>
      <c r="H2947">
        <v>0.62439999999999996</v>
      </c>
      <c r="I2947">
        <v>53</v>
      </c>
      <c r="J2947">
        <v>49.6</v>
      </c>
      <c r="K2947">
        <v>18</v>
      </c>
      <c r="L2947">
        <v>17.2</v>
      </c>
      <c r="M2947">
        <v>24.9</v>
      </c>
      <c r="N2947">
        <v>23.8</v>
      </c>
      <c r="O2947">
        <v>29</v>
      </c>
      <c r="P2947">
        <v>29.6</v>
      </c>
      <c r="Q2947">
        <v>52.4</v>
      </c>
      <c r="R2947">
        <v>48.1</v>
      </c>
      <c r="S2947">
        <v>35.700000000000003</v>
      </c>
      <c r="T2947">
        <v>34.4</v>
      </c>
      <c r="U2947">
        <v>65</v>
      </c>
      <c r="V2947">
        <v>-8.1</v>
      </c>
      <c r="W2947" cm="1">
        <f t="array" ref="W2947">_xlfn.IFS(OR(X2947="N/A",X2947="NA"),0,OR(X2947="R64",X2947="R68"),1,X2947="R32",2,X2947="S16",3,X2947="E8",4,X2947="F4",5,X2947="2ND",6,X2947="Champions",7)</f>
        <v>0</v>
      </c>
      <c r="X2947" t="s">
        <v>425</v>
      </c>
      <c r="Y2947" t="s">
        <v>425</v>
      </c>
      <c r="Z2947">
        <v>2022</v>
      </c>
    </row>
    <row r="2948" spans="1:26" x14ac:dyDescent="0.3">
      <c r="A2948" t="s">
        <v>180</v>
      </c>
      <c r="B2948" t="s">
        <v>131</v>
      </c>
      <c r="C2948">
        <v>30</v>
      </c>
      <c r="D2948">
        <v>22</v>
      </c>
      <c r="E2948" s="1">
        <f t="shared" si="46"/>
        <v>0.73333333333333328</v>
      </c>
      <c r="F2948">
        <v>104.6</v>
      </c>
      <c r="G2948">
        <v>100.2</v>
      </c>
      <c r="H2948">
        <v>0.62029999999999996</v>
      </c>
      <c r="I2948">
        <v>55.5</v>
      </c>
      <c r="J2948">
        <v>48.3</v>
      </c>
      <c r="K2948">
        <v>18</v>
      </c>
      <c r="L2948">
        <v>17.100000000000001</v>
      </c>
      <c r="M2948">
        <v>22.2</v>
      </c>
      <c r="N2948">
        <v>22.8</v>
      </c>
      <c r="O2948">
        <v>28.4</v>
      </c>
      <c r="P2948">
        <v>31.4</v>
      </c>
      <c r="Q2948">
        <v>54</v>
      </c>
      <c r="R2948">
        <v>46.3</v>
      </c>
      <c r="S2948">
        <v>38.1</v>
      </c>
      <c r="T2948">
        <v>34.200000000000003</v>
      </c>
      <c r="U2948">
        <v>65</v>
      </c>
      <c r="V2948">
        <v>-6.1</v>
      </c>
      <c r="W2948" cm="1">
        <f t="array" ref="W2948">_xlfn.IFS(OR(X2948="N/A",X2948="NA"),0,OR(X2948="R64",X2948="R68"),1,X2948="R32",2,X2948="S16",3,X2948="E8",4,X2948="F4",5,X2948="2ND",6,X2948="Champions",7)</f>
        <v>0</v>
      </c>
      <c r="X2948" t="s">
        <v>425</v>
      </c>
      <c r="Y2948" t="s">
        <v>425</v>
      </c>
      <c r="Z2948">
        <v>2022</v>
      </c>
    </row>
    <row r="2949" spans="1:26" x14ac:dyDescent="0.3">
      <c r="A2949" t="s">
        <v>325</v>
      </c>
      <c r="B2949" t="s">
        <v>38</v>
      </c>
      <c r="C2949">
        <v>31</v>
      </c>
      <c r="D2949">
        <v>11</v>
      </c>
      <c r="E2949" s="1">
        <f t="shared" si="46"/>
        <v>0.35483870967741937</v>
      </c>
      <c r="F2949">
        <v>106.6</v>
      </c>
      <c r="G2949">
        <v>102.2</v>
      </c>
      <c r="H2949">
        <v>0.61890000000000001</v>
      </c>
      <c r="I2949">
        <v>48.4</v>
      </c>
      <c r="J2949">
        <v>49.4</v>
      </c>
      <c r="K2949">
        <v>18.100000000000001</v>
      </c>
      <c r="L2949">
        <v>15.2</v>
      </c>
      <c r="M2949">
        <v>29.3</v>
      </c>
      <c r="N2949">
        <v>29.2</v>
      </c>
      <c r="O2949">
        <v>30</v>
      </c>
      <c r="P2949">
        <v>28.6</v>
      </c>
      <c r="Q2949">
        <v>47.3</v>
      </c>
      <c r="R2949">
        <v>49.4</v>
      </c>
      <c r="S2949">
        <v>33.5</v>
      </c>
      <c r="T2949">
        <v>32.9</v>
      </c>
      <c r="U2949">
        <v>66.400000000000006</v>
      </c>
      <c r="V2949">
        <v>-9.4</v>
      </c>
      <c r="W2949" cm="1">
        <f t="array" ref="W2949">_xlfn.IFS(OR(X2949="N/A",X2949="NA"),0,OR(X2949="R64",X2949="R68"),1,X2949="R32",2,X2949="S16",3,X2949="E8",4,X2949="F4",5,X2949="2ND",6,X2949="Champions",7)</f>
        <v>0</v>
      </c>
      <c r="X2949" t="s">
        <v>425</v>
      </c>
      <c r="Y2949" t="s">
        <v>425</v>
      </c>
      <c r="Z2949">
        <v>2022</v>
      </c>
    </row>
    <row r="2950" spans="1:26" x14ac:dyDescent="0.3">
      <c r="A2950" t="s">
        <v>286</v>
      </c>
      <c r="B2950" t="s">
        <v>55</v>
      </c>
      <c r="C2950">
        <v>30</v>
      </c>
      <c r="D2950">
        <v>13</v>
      </c>
      <c r="E2950" s="1">
        <f t="shared" si="46"/>
        <v>0.43333333333333335</v>
      </c>
      <c r="F2950">
        <v>105.8</v>
      </c>
      <c r="G2950">
        <v>101.7</v>
      </c>
      <c r="H2950">
        <v>0.61180000000000001</v>
      </c>
      <c r="I2950">
        <v>50.6</v>
      </c>
      <c r="J2950">
        <v>52.4</v>
      </c>
      <c r="K2950">
        <v>18.399999999999999</v>
      </c>
      <c r="L2950">
        <v>18.3</v>
      </c>
      <c r="M2950">
        <v>24.5</v>
      </c>
      <c r="N2950">
        <v>26.1</v>
      </c>
      <c r="O2950">
        <v>32</v>
      </c>
      <c r="P2950">
        <v>29.7</v>
      </c>
      <c r="Q2950">
        <v>51.3</v>
      </c>
      <c r="R2950">
        <v>51.2</v>
      </c>
      <c r="S2950">
        <v>33</v>
      </c>
      <c r="T2950">
        <v>35.9</v>
      </c>
      <c r="U2950">
        <v>70.3</v>
      </c>
      <c r="V2950">
        <v>-7</v>
      </c>
      <c r="W2950" cm="1">
        <f t="array" ref="W2950">_xlfn.IFS(OR(X2950="N/A",X2950="NA"),0,OR(X2950="R64",X2950="R68"),1,X2950="R32",2,X2950="S16",3,X2950="E8",4,X2950="F4",5,X2950="2ND",6,X2950="Champions",7)</f>
        <v>0</v>
      </c>
      <c r="X2950" t="s">
        <v>425</v>
      </c>
      <c r="Y2950" t="s">
        <v>425</v>
      </c>
      <c r="Z2950">
        <v>2022</v>
      </c>
    </row>
    <row r="2951" spans="1:26" x14ac:dyDescent="0.3">
      <c r="A2951" t="s">
        <v>219</v>
      </c>
      <c r="B2951" t="s">
        <v>40</v>
      </c>
      <c r="C2951">
        <v>30</v>
      </c>
      <c r="D2951">
        <v>19</v>
      </c>
      <c r="E2951" s="1">
        <f t="shared" si="46"/>
        <v>0.6333333333333333</v>
      </c>
      <c r="F2951">
        <v>105.5</v>
      </c>
      <c r="G2951">
        <v>101.5</v>
      </c>
      <c r="H2951">
        <v>0.60799999999999998</v>
      </c>
      <c r="I2951">
        <v>52.8</v>
      </c>
      <c r="J2951">
        <v>50.7</v>
      </c>
      <c r="K2951">
        <v>17.600000000000001</v>
      </c>
      <c r="L2951">
        <v>19.899999999999999</v>
      </c>
      <c r="M2951">
        <v>25.1</v>
      </c>
      <c r="N2951">
        <v>30.4</v>
      </c>
      <c r="O2951">
        <v>31.3</v>
      </c>
      <c r="P2951">
        <v>16.5</v>
      </c>
      <c r="Q2951">
        <v>52.1</v>
      </c>
      <c r="R2951">
        <v>48.6</v>
      </c>
      <c r="S2951">
        <v>35.9</v>
      </c>
      <c r="T2951">
        <v>35.6</v>
      </c>
      <c r="U2951">
        <v>68.7</v>
      </c>
      <c r="V2951">
        <v>-6.3</v>
      </c>
      <c r="W2951" cm="1">
        <f t="array" ref="W2951">_xlfn.IFS(OR(X2951="N/A",X2951="NA"),0,OR(X2951="R64",X2951="R68"),1,X2951="R32",2,X2951="S16",3,X2951="E8",4,X2951="F4",5,X2951="2ND",6,X2951="Champions",7)</f>
        <v>0</v>
      </c>
      <c r="X2951" t="s">
        <v>425</v>
      </c>
      <c r="Y2951" t="s">
        <v>425</v>
      </c>
      <c r="Z2951">
        <v>2022</v>
      </c>
    </row>
    <row r="2952" spans="1:26" x14ac:dyDescent="0.3">
      <c r="A2952" t="s">
        <v>281</v>
      </c>
      <c r="B2952" t="s">
        <v>47</v>
      </c>
      <c r="C2952">
        <v>30</v>
      </c>
      <c r="D2952">
        <v>16</v>
      </c>
      <c r="E2952" s="1">
        <f t="shared" si="46"/>
        <v>0.53333333333333333</v>
      </c>
      <c r="F2952">
        <v>101.7</v>
      </c>
      <c r="G2952">
        <v>97.9</v>
      </c>
      <c r="H2952">
        <v>0.60599999999999998</v>
      </c>
      <c r="I2952">
        <v>51.5</v>
      </c>
      <c r="J2952">
        <v>49.7</v>
      </c>
      <c r="K2952">
        <v>18.100000000000001</v>
      </c>
      <c r="L2952">
        <v>18.7</v>
      </c>
      <c r="M2952">
        <v>23.2</v>
      </c>
      <c r="N2952">
        <v>23.3</v>
      </c>
      <c r="O2952">
        <v>29.1</v>
      </c>
      <c r="P2952">
        <v>27.6</v>
      </c>
      <c r="Q2952">
        <v>50.6</v>
      </c>
      <c r="R2952">
        <v>50.2</v>
      </c>
      <c r="S2952">
        <v>35.1</v>
      </c>
      <c r="T2952">
        <v>32.4</v>
      </c>
      <c r="U2952">
        <v>62.1</v>
      </c>
      <c r="V2952">
        <v>-7.5</v>
      </c>
      <c r="W2952" cm="1">
        <f t="array" ref="W2952">_xlfn.IFS(OR(X2952="N/A",X2952="NA"),0,OR(X2952="R64",X2952="R68"),1,X2952="R32",2,X2952="S16",3,X2952="E8",4,X2952="F4",5,X2952="2ND",6,X2952="Champions",7)</f>
        <v>0</v>
      </c>
      <c r="X2952" t="s">
        <v>425</v>
      </c>
      <c r="Y2952" t="s">
        <v>425</v>
      </c>
      <c r="Z2952">
        <v>2022</v>
      </c>
    </row>
    <row r="2953" spans="1:26" x14ac:dyDescent="0.3">
      <c r="A2953" t="s">
        <v>357</v>
      </c>
      <c r="B2953" t="s">
        <v>62</v>
      </c>
      <c r="C2953">
        <v>30</v>
      </c>
      <c r="D2953">
        <v>19</v>
      </c>
      <c r="E2953" s="1">
        <f t="shared" si="46"/>
        <v>0.6333333333333333</v>
      </c>
      <c r="F2953">
        <v>105.3</v>
      </c>
      <c r="G2953">
        <v>101.4</v>
      </c>
      <c r="H2953">
        <v>0.60589999999999999</v>
      </c>
      <c r="I2953">
        <v>53.9</v>
      </c>
      <c r="J2953">
        <v>53.8</v>
      </c>
      <c r="K2953">
        <v>17.7</v>
      </c>
      <c r="L2953">
        <v>19.7</v>
      </c>
      <c r="M2953">
        <v>26.9</v>
      </c>
      <c r="N2953">
        <v>22.2</v>
      </c>
      <c r="O2953">
        <v>28.2</v>
      </c>
      <c r="P2953">
        <v>28.6</v>
      </c>
      <c r="Q2953">
        <v>55.5</v>
      </c>
      <c r="R2953">
        <v>53.3</v>
      </c>
      <c r="S2953">
        <v>34.799999999999997</v>
      </c>
      <c r="T2953">
        <v>36.200000000000003</v>
      </c>
      <c r="U2953">
        <v>64.2</v>
      </c>
      <c r="V2953">
        <v>-6.3</v>
      </c>
      <c r="W2953" cm="1">
        <f t="array" ref="W2953">_xlfn.IFS(OR(X2953="N/A",X2953="NA"),0,OR(X2953="R64",X2953="R68"),1,X2953="R32",2,X2953="S16",3,X2953="E8",4,X2953="F4",5,X2953="2ND",6,X2953="Champions",7)</f>
        <v>0</v>
      </c>
      <c r="X2953" t="s">
        <v>425</v>
      </c>
      <c r="Y2953" t="s">
        <v>425</v>
      </c>
      <c r="Z2953">
        <v>2022</v>
      </c>
    </row>
    <row r="2954" spans="1:26" x14ac:dyDescent="0.3">
      <c r="A2954" t="s">
        <v>197</v>
      </c>
      <c r="B2954" t="s">
        <v>53</v>
      </c>
      <c r="C2954">
        <v>32</v>
      </c>
      <c r="D2954">
        <v>17</v>
      </c>
      <c r="E2954" s="1">
        <f t="shared" si="46"/>
        <v>0.53125</v>
      </c>
      <c r="F2954">
        <v>105.3</v>
      </c>
      <c r="G2954">
        <v>101.6</v>
      </c>
      <c r="H2954">
        <v>0.60150000000000003</v>
      </c>
      <c r="I2954">
        <v>50.3</v>
      </c>
      <c r="J2954">
        <v>51.2</v>
      </c>
      <c r="K2954">
        <v>20.9</v>
      </c>
      <c r="L2954">
        <v>19.100000000000001</v>
      </c>
      <c r="M2954">
        <v>35.700000000000003</v>
      </c>
      <c r="N2954">
        <v>25</v>
      </c>
      <c r="O2954">
        <v>30.4</v>
      </c>
      <c r="P2954">
        <v>37.6</v>
      </c>
      <c r="Q2954">
        <v>50</v>
      </c>
      <c r="R2954">
        <v>51.3</v>
      </c>
      <c r="S2954">
        <v>33.9</v>
      </c>
      <c r="T2954">
        <v>34.1</v>
      </c>
      <c r="U2954">
        <v>73.7</v>
      </c>
      <c r="V2954">
        <v>-7.5</v>
      </c>
      <c r="W2954" cm="1">
        <f t="array" ref="W2954">_xlfn.IFS(OR(X2954="N/A",X2954="NA"),0,OR(X2954="R64",X2954="R68"),1,X2954="R32",2,X2954="S16",3,X2954="E8",4,X2954="F4",5,X2954="2ND",6,X2954="Champions",7)</f>
        <v>0</v>
      </c>
      <c r="X2954" t="s">
        <v>425</v>
      </c>
      <c r="Y2954" t="s">
        <v>425</v>
      </c>
      <c r="Z2954">
        <v>2022</v>
      </c>
    </row>
    <row r="2955" spans="1:26" x14ac:dyDescent="0.3">
      <c r="A2955" t="s">
        <v>343</v>
      </c>
      <c r="B2955" t="s">
        <v>58</v>
      </c>
      <c r="C2955">
        <v>26</v>
      </c>
      <c r="D2955">
        <v>21</v>
      </c>
      <c r="E2955" s="1">
        <f t="shared" si="46"/>
        <v>0.80769230769230771</v>
      </c>
      <c r="F2955">
        <v>105.3</v>
      </c>
      <c r="G2955">
        <v>101.7</v>
      </c>
      <c r="H2955">
        <v>0.59870000000000001</v>
      </c>
      <c r="I2955">
        <v>51</v>
      </c>
      <c r="J2955">
        <v>50.7</v>
      </c>
      <c r="K2955">
        <v>18.8</v>
      </c>
      <c r="L2955">
        <v>21.8</v>
      </c>
      <c r="M2955">
        <v>30.8</v>
      </c>
      <c r="N2955">
        <v>29.3</v>
      </c>
      <c r="O2955">
        <v>32.9</v>
      </c>
      <c r="P2955">
        <v>34.4</v>
      </c>
      <c r="Q2955">
        <v>48.9</v>
      </c>
      <c r="R2955">
        <v>49.5</v>
      </c>
      <c r="S2955">
        <v>37.200000000000003</v>
      </c>
      <c r="T2955">
        <v>35.1</v>
      </c>
      <c r="U2955">
        <v>63.7</v>
      </c>
      <c r="V2955">
        <v>-2.2999999999999998</v>
      </c>
      <c r="W2955" cm="1">
        <f t="array" ref="W2955">_xlfn.IFS(OR(X2955="N/A",X2955="NA"),0,OR(X2955="R64",X2955="R68"),1,X2955="R32",2,X2955="S16",3,X2955="E8",4,X2955="F4",5,X2955="2ND",6,X2955="Champions",7)</f>
        <v>0</v>
      </c>
      <c r="X2955" t="s">
        <v>425</v>
      </c>
      <c r="Y2955" t="s">
        <v>425</v>
      </c>
      <c r="Z2955">
        <v>2022</v>
      </c>
    </row>
    <row r="2956" spans="1:26" x14ac:dyDescent="0.3">
      <c r="A2956" t="s">
        <v>256</v>
      </c>
      <c r="B2956" t="s">
        <v>57</v>
      </c>
      <c r="C2956">
        <v>32</v>
      </c>
      <c r="D2956">
        <v>23</v>
      </c>
      <c r="E2956" s="1">
        <f t="shared" si="46"/>
        <v>0.71875</v>
      </c>
      <c r="F2956">
        <v>102.4</v>
      </c>
      <c r="G2956">
        <v>99.1</v>
      </c>
      <c r="H2956">
        <v>0.59350000000000003</v>
      </c>
      <c r="I2956">
        <v>49.8</v>
      </c>
      <c r="J2956">
        <v>49</v>
      </c>
      <c r="K2956">
        <v>18.5</v>
      </c>
      <c r="L2956">
        <v>19.5</v>
      </c>
      <c r="M2956">
        <v>30.8</v>
      </c>
      <c r="N2956">
        <v>26.4</v>
      </c>
      <c r="O2956">
        <v>32.6</v>
      </c>
      <c r="P2956">
        <v>36.4</v>
      </c>
      <c r="Q2956">
        <v>50.5</v>
      </c>
      <c r="R2956">
        <v>50.1</v>
      </c>
      <c r="S2956">
        <v>32.5</v>
      </c>
      <c r="T2956">
        <v>31.7</v>
      </c>
      <c r="U2956">
        <v>65.7</v>
      </c>
      <c r="V2956">
        <v>-4.5</v>
      </c>
      <c r="W2956" cm="1">
        <f t="array" ref="W2956">_xlfn.IFS(OR(X2956="N/A",X2956="NA"),0,OR(X2956="R64",X2956="R68"),1,X2956="R32",2,X2956="S16",3,X2956="E8",4,X2956="F4",5,X2956="2ND",6,X2956="Champions",7)</f>
        <v>0</v>
      </c>
      <c r="X2956" t="s">
        <v>425</v>
      </c>
      <c r="Y2956" t="s">
        <v>425</v>
      </c>
      <c r="Z2956">
        <v>2022</v>
      </c>
    </row>
    <row r="2957" spans="1:26" x14ac:dyDescent="0.3">
      <c r="A2957" t="s">
        <v>209</v>
      </c>
      <c r="B2957" t="s">
        <v>40</v>
      </c>
      <c r="C2957">
        <v>31</v>
      </c>
      <c r="D2957">
        <v>19</v>
      </c>
      <c r="E2957" s="1">
        <f t="shared" si="46"/>
        <v>0.61290322580645162</v>
      </c>
      <c r="F2957">
        <v>104.5</v>
      </c>
      <c r="G2957">
        <v>101.2</v>
      </c>
      <c r="H2957">
        <v>0.59089999999999998</v>
      </c>
      <c r="I2957">
        <v>53.3</v>
      </c>
      <c r="J2957">
        <v>50.8</v>
      </c>
      <c r="K2957">
        <v>19.600000000000001</v>
      </c>
      <c r="L2957">
        <v>19.5</v>
      </c>
      <c r="M2957">
        <v>31.1</v>
      </c>
      <c r="N2957">
        <v>26</v>
      </c>
      <c r="O2957">
        <v>28.8</v>
      </c>
      <c r="P2957">
        <v>32.1</v>
      </c>
      <c r="Q2957">
        <v>53.6</v>
      </c>
      <c r="R2957">
        <v>48.4</v>
      </c>
      <c r="S2957">
        <v>35.299999999999997</v>
      </c>
      <c r="T2957">
        <v>36.9</v>
      </c>
      <c r="U2957">
        <v>67.099999999999994</v>
      </c>
      <c r="V2957">
        <v>-8.1</v>
      </c>
      <c r="W2957" cm="1">
        <f t="array" ref="W2957">_xlfn.IFS(OR(X2957="N/A",X2957="NA"),0,OR(X2957="R64",X2957="R68"),1,X2957="R32",2,X2957="S16",3,X2957="E8",4,X2957="F4",5,X2957="2ND",6,X2957="Champions",7)</f>
        <v>0</v>
      </c>
      <c r="X2957" t="s">
        <v>425</v>
      </c>
      <c r="Y2957" t="s">
        <v>425</v>
      </c>
      <c r="Z2957">
        <v>2022</v>
      </c>
    </row>
    <row r="2958" spans="1:26" x14ac:dyDescent="0.3">
      <c r="A2958" t="s">
        <v>317</v>
      </c>
      <c r="B2958" t="s">
        <v>38</v>
      </c>
      <c r="C2958">
        <v>32</v>
      </c>
      <c r="D2958">
        <v>12</v>
      </c>
      <c r="E2958" s="1">
        <f t="shared" si="46"/>
        <v>0.375</v>
      </c>
      <c r="F2958">
        <v>100</v>
      </c>
      <c r="G2958">
        <v>97.2</v>
      </c>
      <c r="H2958">
        <v>0.58209999999999995</v>
      </c>
      <c r="I2958">
        <v>46.9</v>
      </c>
      <c r="J2958">
        <v>47.5</v>
      </c>
      <c r="K2958">
        <v>17.100000000000001</v>
      </c>
      <c r="L2958">
        <v>14.7</v>
      </c>
      <c r="M2958">
        <v>25.5</v>
      </c>
      <c r="N2958">
        <v>23.4</v>
      </c>
      <c r="O2958">
        <v>25.3</v>
      </c>
      <c r="P2958">
        <v>31.5</v>
      </c>
      <c r="Q2958">
        <v>47.2</v>
      </c>
      <c r="R2958">
        <v>48.1</v>
      </c>
      <c r="S2958">
        <v>30.8</v>
      </c>
      <c r="T2958">
        <v>30.9</v>
      </c>
      <c r="U2958">
        <v>64.099999999999994</v>
      </c>
      <c r="V2958">
        <v>-8.8000000000000007</v>
      </c>
      <c r="W2958" cm="1">
        <f t="array" ref="W2958">_xlfn.IFS(OR(X2958="N/A",X2958="NA"),0,OR(X2958="R64",X2958="R68"),1,X2958="R32",2,X2958="S16",3,X2958="E8",4,X2958="F4",5,X2958="2ND",6,X2958="Champions",7)</f>
        <v>0</v>
      </c>
      <c r="X2958" t="s">
        <v>425</v>
      </c>
      <c r="Y2958" t="s">
        <v>425</v>
      </c>
      <c r="Z2958">
        <v>2022</v>
      </c>
    </row>
    <row r="2959" spans="1:26" x14ac:dyDescent="0.3">
      <c r="A2959" t="s">
        <v>105</v>
      </c>
      <c r="B2959" t="s">
        <v>26</v>
      </c>
      <c r="C2959">
        <v>31</v>
      </c>
      <c r="D2959">
        <v>12</v>
      </c>
      <c r="E2959" s="1">
        <f t="shared" si="46"/>
        <v>0.38709677419354838</v>
      </c>
      <c r="F2959">
        <v>100.5</v>
      </c>
      <c r="G2959">
        <v>97.8</v>
      </c>
      <c r="H2959">
        <v>0.57920000000000005</v>
      </c>
      <c r="I2959">
        <v>49.6</v>
      </c>
      <c r="J2959">
        <v>50.1</v>
      </c>
      <c r="K2959">
        <v>18.899999999999999</v>
      </c>
      <c r="L2959">
        <v>18.8</v>
      </c>
      <c r="M2959">
        <v>25</v>
      </c>
      <c r="N2959">
        <v>28.1</v>
      </c>
      <c r="O2959">
        <v>25</v>
      </c>
      <c r="P2959">
        <v>31.5</v>
      </c>
      <c r="Q2959">
        <v>48.6</v>
      </c>
      <c r="R2959">
        <v>51.4</v>
      </c>
      <c r="S2959">
        <v>34.4</v>
      </c>
      <c r="T2959">
        <v>32.1</v>
      </c>
      <c r="U2959">
        <v>68.099999999999994</v>
      </c>
      <c r="V2959">
        <v>-8.3000000000000007</v>
      </c>
      <c r="W2959" cm="1">
        <f t="array" ref="W2959">_xlfn.IFS(OR(X2959="N/A",X2959="NA"),0,OR(X2959="R64",X2959="R68"),1,X2959="R32",2,X2959="S16",3,X2959="E8",4,X2959="F4",5,X2959="2ND",6,X2959="Champions",7)</f>
        <v>0</v>
      </c>
      <c r="X2959" t="s">
        <v>425</v>
      </c>
      <c r="Y2959" t="s">
        <v>425</v>
      </c>
      <c r="Z2959">
        <v>2022</v>
      </c>
    </row>
    <row r="2960" spans="1:26" x14ac:dyDescent="0.3">
      <c r="A2960" t="s">
        <v>96</v>
      </c>
      <c r="B2960" t="s">
        <v>45</v>
      </c>
      <c r="C2960">
        <v>30</v>
      </c>
      <c r="D2960">
        <v>15</v>
      </c>
      <c r="E2960" s="1">
        <f t="shared" si="46"/>
        <v>0.5</v>
      </c>
      <c r="F2960">
        <v>98.2</v>
      </c>
      <c r="G2960">
        <v>95.6</v>
      </c>
      <c r="H2960">
        <v>0.57599999999999996</v>
      </c>
      <c r="I2960">
        <v>50.6</v>
      </c>
      <c r="J2960">
        <v>46.3</v>
      </c>
      <c r="K2960">
        <v>20.8</v>
      </c>
      <c r="L2960">
        <v>19.3</v>
      </c>
      <c r="M2960">
        <v>28.6</v>
      </c>
      <c r="N2960">
        <v>27.6</v>
      </c>
      <c r="O2960">
        <v>36.1</v>
      </c>
      <c r="P2960">
        <v>32.700000000000003</v>
      </c>
      <c r="Q2960">
        <v>50.5</v>
      </c>
      <c r="R2960">
        <v>44.5</v>
      </c>
      <c r="S2960">
        <v>33.799999999999997</v>
      </c>
      <c r="T2960">
        <v>32.6</v>
      </c>
      <c r="U2960">
        <v>67.2</v>
      </c>
      <c r="V2960">
        <v>-8.5</v>
      </c>
      <c r="W2960" cm="1">
        <f t="array" ref="W2960">_xlfn.IFS(OR(X2960="N/A",X2960="NA"),0,OR(X2960="R64",X2960="R68"),1,X2960="R32",2,X2960="S16",3,X2960="E8",4,X2960="F4",5,X2960="2ND",6,X2960="Champions",7)</f>
        <v>0</v>
      </c>
      <c r="X2960" t="s">
        <v>425</v>
      </c>
      <c r="Y2960" t="s">
        <v>425</v>
      </c>
      <c r="Z2960">
        <v>2022</v>
      </c>
    </row>
    <row r="2961" spans="1:26" x14ac:dyDescent="0.3">
      <c r="A2961" t="s">
        <v>195</v>
      </c>
      <c r="B2961" t="s">
        <v>48</v>
      </c>
      <c r="C2961">
        <v>26</v>
      </c>
      <c r="D2961">
        <v>17</v>
      </c>
      <c r="E2961" s="1">
        <f t="shared" si="46"/>
        <v>0.65384615384615385</v>
      </c>
      <c r="F2961">
        <v>104.3</v>
      </c>
      <c r="G2961">
        <v>101.7</v>
      </c>
      <c r="H2961">
        <v>0.57169999999999999</v>
      </c>
      <c r="I2961">
        <v>53.5</v>
      </c>
      <c r="J2961">
        <v>48.1</v>
      </c>
      <c r="K2961">
        <v>19.3</v>
      </c>
      <c r="L2961">
        <v>19.5</v>
      </c>
      <c r="M2961">
        <v>28.4</v>
      </c>
      <c r="N2961">
        <v>27.2</v>
      </c>
      <c r="O2961">
        <v>37.200000000000003</v>
      </c>
      <c r="P2961">
        <v>30.4</v>
      </c>
      <c r="Q2961">
        <v>55</v>
      </c>
      <c r="R2961">
        <v>48.2</v>
      </c>
      <c r="S2961">
        <v>33.4</v>
      </c>
      <c r="T2961">
        <v>32</v>
      </c>
      <c r="U2961">
        <v>65.5</v>
      </c>
      <c r="V2961">
        <v>-6.8</v>
      </c>
      <c r="W2961" cm="1">
        <f t="array" ref="W2961">_xlfn.IFS(OR(X2961="N/A",X2961="NA"),0,OR(X2961="R64",X2961="R68"),1,X2961="R32",2,X2961="S16",3,X2961="E8",4,X2961="F4",5,X2961="2ND",6,X2961="Champions",7)</f>
        <v>0</v>
      </c>
      <c r="X2961" t="s">
        <v>425</v>
      </c>
      <c r="Y2961" t="s">
        <v>425</v>
      </c>
      <c r="Z2961">
        <v>2022</v>
      </c>
    </row>
    <row r="2962" spans="1:26" x14ac:dyDescent="0.3">
      <c r="A2962" t="s">
        <v>403</v>
      </c>
      <c r="B2962" t="s">
        <v>51</v>
      </c>
      <c r="C2962">
        <v>30</v>
      </c>
      <c r="D2962">
        <v>23</v>
      </c>
      <c r="E2962" s="1">
        <f t="shared" si="46"/>
        <v>0.76666666666666672</v>
      </c>
      <c r="F2962">
        <v>98.7</v>
      </c>
      <c r="G2962">
        <v>96.3</v>
      </c>
      <c r="H2962">
        <v>0.57110000000000005</v>
      </c>
      <c r="I2962">
        <v>48.3</v>
      </c>
      <c r="J2962">
        <v>46.4</v>
      </c>
      <c r="K2962">
        <v>16.3</v>
      </c>
      <c r="L2962">
        <v>20.5</v>
      </c>
      <c r="M2962">
        <v>26</v>
      </c>
      <c r="N2962">
        <v>25.6</v>
      </c>
      <c r="O2962">
        <v>28.8</v>
      </c>
      <c r="P2962">
        <v>40.5</v>
      </c>
      <c r="Q2962">
        <v>47.1</v>
      </c>
      <c r="R2962">
        <v>46</v>
      </c>
      <c r="S2962">
        <v>33.1</v>
      </c>
      <c r="T2962">
        <v>31.4</v>
      </c>
      <c r="U2962">
        <v>70.400000000000006</v>
      </c>
      <c r="V2962">
        <v>-3.6</v>
      </c>
      <c r="W2962" cm="1">
        <f t="array" ref="W2962">_xlfn.IFS(OR(X2962="N/A",X2962="NA"),0,OR(X2962="R64",X2962="R68"),1,X2962="R32",2,X2962="S16",3,X2962="E8",4,X2962="F4",5,X2962="2ND",6,X2962="Champions",7)</f>
        <v>0</v>
      </c>
      <c r="X2962" t="s">
        <v>425</v>
      </c>
      <c r="Y2962" t="s">
        <v>425</v>
      </c>
      <c r="Z2962">
        <v>2022</v>
      </c>
    </row>
    <row r="2963" spans="1:26" x14ac:dyDescent="0.3">
      <c r="A2963" t="s">
        <v>199</v>
      </c>
      <c r="B2963" t="s">
        <v>53</v>
      </c>
      <c r="C2963">
        <v>28</v>
      </c>
      <c r="D2963">
        <v>15</v>
      </c>
      <c r="E2963" s="1">
        <f t="shared" si="46"/>
        <v>0.5357142857142857</v>
      </c>
      <c r="F2963">
        <v>103.9</v>
      </c>
      <c r="G2963">
        <v>101.5</v>
      </c>
      <c r="H2963">
        <v>0.56679999999999997</v>
      </c>
      <c r="I2963">
        <v>52</v>
      </c>
      <c r="J2963">
        <v>50.4</v>
      </c>
      <c r="K2963">
        <v>16.399999999999999</v>
      </c>
      <c r="L2963">
        <v>16.2</v>
      </c>
      <c r="M2963">
        <v>25.6</v>
      </c>
      <c r="N2963">
        <v>26.1</v>
      </c>
      <c r="O2963">
        <v>25.4</v>
      </c>
      <c r="P2963">
        <v>26.1</v>
      </c>
      <c r="Q2963">
        <v>52</v>
      </c>
      <c r="R2963">
        <v>50.6</v>
      </c>
      <c r="S2963">
        <v>34.700000000000003</v>
      </c>
      <c r="T2963">
        <v>33.4</v>
      </c>
      <c r="U2963">
        <v>66.2</v>
      </c>
      <c r="V2963">
        <v>-7.7</v>
      </c>
      <c r="W2963" cm="1">
        <f t="array" ref="W2963">_xlfn.IFS(OR(X2963="N/A",X2963="NA"),0,OR(X2963="R64",X2963="R68"),1,X2963="R32",2,X2963="S16",3,X2963="E8",4,X2963="F4",5,X2963="2ND",6,X2963="Champions",7)</f>
        <v>0</v>
      </c>
      <c r="X2963" t="s">
        <v>425</v>
      </c>
      <c r="Y2963" t="s">
        <v>425</v>
      </c>
      <c r="Z2963">
        <v>2022</v>
      </c>
    </row>
    <row r="2964" spans="1:26" x14ac:dyDescent="0.3">
      <c r="A2964" t="s">
        <v>262</v>
      </c>
      <c r="B2964" t="s">
        <v>57</v>
      </c>
      <c r="C2964">
        <v>28</v>
      </c>
      <c r="D2964">
        <v>19</v>
      </c>
      <c r="E2964" s="1">
        <f t="shared" si="46"/>
        <v>0.6785714285714286</v>
      </c>
      <c r="F2964">
        <v>105.7</v>
      </c>
      <c r="G2964">
        <v>103.7</v>
      </c>
      <c r="H2964">
        <v>0.55289999999999995</v>
      </c>
      <c r="I2964">
        <v>51.6</v>
      </c>
      <c r="J2964">
        <v>48.2</v>
      </c>
      <c r="K2964">
        <v>18.600000000000001</v>
      </c>
      <c r="L2964">
        <v>15.8</v>
      </c>
      <c r="M2964">
        <v>37</v>
      </c>
      <c r="N2964">
        <v>27.9</v>
      </c>
      <c r="O2964">
        <v>25.6</v>
      </c>
      <c r="P2964">
        <v>29.4</v>
      </c>
      <c r="Q2964">
        <v>51.6</v>
      </c>
      <c r="R2964">
        <v>48.3</v>
      </c>
      <c r="S2964">
        <v>34.4</v>
      </c>
      <c r="T2964">
        <v>31.9</v>
      </c>
      <c r="U2964">
        <v>71.099999999999994</v>
      </c>
      <c r="V2964">
        <v>-5.4</v>
      </c>
      <c r="W2964" cm="1">
        <f t="array" ref="W2964">_xlfn.IFS(OR(X2964="N/A",X2964="NA"),0,OR(X2964="R64",X2964="R68"),1,X2964="R32",2,X2964="S16",3,X2964="E8",4,X2964="F4",5,X2964="2ND",6,X2964="Champions",7)</f>
        <v>0</v>
      </c>
      <c r="X2964" t="s">
        <v>425</v>
      </c>
      <c r="Y2964" t="s">
        <v>425</v>
      </c>
      <c r="Z2964">
        <v>2022</v>
      </c>
    </row>
    <row r="2965" spans="1:26" x14ac:dyDescent="0.3">
      <c r="A2965" t="s">
        <v>196</v>
      </c>
      <c r="B2965" t="s">
        <v>48</v>
      </c>
      <c r="C2965">
        <v>23</v>
      </c>
      <c r="D2965">
        <v>15</v>
      </c>
      <c r="E2965" s="1">
        <f t="shared" si="46"/>
        <v>0.65217391304347827</v>
      </c>
      <c r="F2965">
        <v>98.2</v>
      </c>
      <c r="G2965">
        <v>96.4</v>
      </c>
      <c r="H2965">
        <v>0.55149999999999999</v>
      </c>
      <c r="I2965">
        <v>47.6</v>
      </c>
      <c r="J2965">
        <v>44.1</v>
      </c>
      <c r="K2965">
        <v>20.6</v>
      </c>
      <c r="L2965">
        <v>17.2</v>
      </c>
      <c r="M2965">
        <v>29.9</v>
      </c>
      <c r="N2965">
        <v>27.6</v>
      </c>
      <c r="O2965">
        <v>29.7</v>
      </c>
      <c r="P2965">
        <v>31.2</v>
      </c>
      <c r="Q2965">
        <v>47.4</v>
      </c>
      <c r="R2965">
        <v>46</v>
      </c>
      <c r="S2965">
        <v>32.1</v>
      </c>
      <c r="T2965">
        <v>26.6</v>
      </c>
      <c r="U2965">
        <v>65.099999999999994</v>
      </c>
      <c r="V2965">
        <v>-4.8</v>
      </c>
      <c r="W2965" cm="1">
        <f t="array" ref="W2965">_xlfn.IFS(OR(X2965="N/A",X2965="NA"),0,OR(X2965="R64",X2965="R68"),1,X2965="R32",2,X2965="S16",3,X2965="E8",4,X2965="F4",5,X2965="2ND",6,X2965="Champions",7)</f>
        <v>0</v>
      </c>
      <c r="X2965" t="s">
        <v>425</v>
      </c>
      <c r="Y2965" t="s">
        <v>425</v>
      </c>
      <c r="Z2965">
        <v>2022</v>
      </c>
    </row>
    <row r="2966" spans="1:26" x14ac:dyDescent="0.3">
      <c r="A2966" t="s">
        <v>98</v>
      </c>
      <c r="B2966" t="s">
        <v>45</v>
      </c>
      <c r="C2966">
        <v>30</v>
      </c>
      <c r="D2966">
        <v>11</v>
      </c>
      <c r="E2966" s="1">
        <f t="shared" si="46"/>
        <v>0.36666666666666664</v>
      </c>
      <c r="F2966">
        <v>99.9</v>
      </c>
      <c r="G2966">
        <v>98.2</v>
      </c>
      <c r="H2966">
        <v>0.5504</v>
      </c>
      <c r="I2966">
        <v>49.7</v>
      </c>
      <c r="J2966">
        <v>47.7</v>
      </c>
      <c r="K2966">
        <v>19.600000000000001</v>
      </c>
      <c r="L2966">
        <v>13.7</v>
      </c>
      <c r="M2966">
        <v>27</v>
      </c>
      <c r="N2966">
        <v>24.1</v>
      </c>
      <c r="O2966">
        <v>22.9</v>
      </c>
      <c r="P2966">
        <v>26.9</v>
      </c>
      <c r="Q2966">
        <v>49</v>
      </c>
      <c r="R2966">
        <v>47.6</v>
      </c>
      <c r="S2966">
        <v>33.6</v>
      </c>
      <c r="T2966">
        <v>31.8</v>
      </c>
      <c r="U2966">
        <v>68.2</v>
      </c>
      <c r="V2966">
        <v>-11</v>
      </c>
      <c r="W2966" cm="1">
        <f t="array" ref="W2966">_xlfn.IFS(OR(X2966="N/A",X2966="NA"),0,OR(X2966="R64",X2966="R68"),1,X2966="R32",2,X2966="S16",3,X2966="E8",4,X2966="F4",5,X2966="2ND",6,X2966="Champions",7)</f>
        <v>0</v>
      </c>
      <c r="X2966" t="s">
        <v>425</v>
      </c>
      <c r="Y2966" t="s">
        <v>425</v>
      </c>
      <c r="Z2966">
        <v>2022</v>
      </c>
    </row>
    <row r="2967" spans="1:26" x14ac:dyDescent="0.3">
      <c r="A2967" t="s">
        <v>259</v>
      </c>
      <c r="B2967" t="s">
        <v>57</v>
      </c>
      <c r="C2967">
        <v>34</v>
      </c>
      <c r="D2967">
        <v>25</v>
      </c>
      <c r="E2967" s="1">
        <f t="shared" si="46"/>
        <v>0.73529411764705888</v>
      </c>
      <c r="F2967">
        <v>102.6</v>
      </c>
      <c r="G2967">
        <v>100.8</v>
      </c>
      <c r="H2967">
        <v>0.5504</v>
      </c>
      <c r="I2967">
        <v>50.6</v>
      </c>
      <c r="J2967">
        <v>50</v>
      </c>
      <c r="K2967">
        <v>15.4</v>
      </c>
      <c r="L2967">
        <v>20.399999999999999</v>
      </c>
      <c r="M2967">
        <v>27.1</v>
      </c>
      <c r="N2967">
        <v>26</v>
      </c>
      <c r="O2967">
        <v>31.5</v>
      </c>
      <c r="P2967">
        <v>28</v>
      </c>
      <c r="Q2967">
        <v>50.8</v>
      </c>
      <c r="R2967">
        <v>51.9</v>
      </c>
      <c r="S2967">
        <v>33.700000000000003</v>
      </c>
      <c r="T2967">
        <v>31.2</v>
      </c>
      <c r="U2967">
        <v>67.400000000000006</v>
      </c>
      <c r="V2967">
        <v>-3.5</v>
      </c>
      <c r="W2967" cm="1">
        <f t="array" ref="W2967">_xlfn.IFS(OR(X2967="N/A",X2967="NA"),0,OR(X2967="R64",X2967="R68"),1,X2967="R32",2,X2967="S16",3,X2967="E8",4,X2967="F4",5,X2967="2ND",6,X2967="Champions",7)</f>
        <v>0</v>
      </c>
      <c r="X2967" t="s">
        <v>425</v>
      </c>
      <c r="Y2967" t="s">
        <v>425</v>
      </c>
      <c r="Z2967">
        <v>2022</v>
      </c>
    </row>
    <row r="2968" spans="1:26" x14ac:dyDescent="0.3">
      <c r="A2968" t="s">
        <v>178</v>
      </c>
      <c r="B2968" t="s">
        <v>74</v>
      </c>
      <c r="C2968">
        <v>28</v>
      </c>
      <c r="D2968">
        <v>18</v>
      </c>
      <c r="E2968" s="1">
        <f t="shared" si="46"/>
        <v>0.6428571428571429</v>
      </c>
      <c r="F2968">
        <v>97.1</v>
      </c>
      <c r="G2968">
        <v>95.7</v>
      </c>
      <c r="H2968">
        <v>0.54079999999999995</v>
      </c>
      <c r="I2968">
        <v>49.9</v>
      </c>
      <c r="J2968">
        <v>45.5</v>
      </c>
      <c r="K2968">
        <v>20</v>
      </c>
      <c r="L2968">
        <v>19</v>
      </c>
      <c r="M2968">
        <v>26.9</v>
      </c>
      <c r="N2968">
        <v>26.3</v>
      </c>
      <c r="O2968">
        <v>28.5</v>
      </c>
      <c r="P2968">
        <v>36.299999999999997</v>
      </c>
      <c r="Q2968">
        <v>50.2</v>
      </c>
      <c r="R2968">
        <v>47.4</v>
      </c>
      <c r="S2968">
        <v>33</v>
      </c>
      <c r="T2968">
        <v>28.5</v>
      </c>
      <c r="U2968">
        <v>67.5</v>
      </c>
      <c r="V2968">
        <v>-7.7</v>
      </c>
      <c r="W2968" cm="1">
        <f t="array" ref="W2968">_xlfn.IFS(OR(X2968="N/A",X2968="NA"),0,OR(X2968="R64",X2968="R68"),1,X2968="R32",2,X2968="S16",3,X2968="E8",4,X2968="F4",5,X2968="2ND",6,X2968="Champions",7)</f>
        <v>0</v>
      </c>
      <c r="X2968" t="s">
        <v>425</v>
      </c>
      <c r="Y2968" t="s">
        <v>425</v>
      </c>
      <c r="Z2968">
        <v>2022</v>
      </c>
    </row>
    <row r="2969" spans="1:26" x14ac:dyDescent="0.3">
      <c r="A2969" t="s">
        <v>132</v>
      </c>
      <c r="B2969" t="s">
        <v>131</v>
      </c>
      <c r="C2969">
        <v>27</v>
      </c>
      <c r="D2969">
        <v>21</v>
      </c>
      <c r="E2969" s="1">
        <f t="shared" si="46"/>
        <v>0.77777777777777779</v>
      </c>
      <c r="F2969">
        <v>100.5</v>
      </c>
      <c r="G2969">
        <v>99.1</v>
      </c>
      <c r="H2969">
        <v>0.53939999999999999</v>
      </c>
      <c r="I2969">
        <v>48.6</v>
      </c>
      <c r="J2969">
        <v>47.2</v>
      </c>
      <c r="K2969">
        <v>18.600000000000001</v>
      </c>
      <c r="L2969">
        <v>16.399999999999999</v>
      </c>
      <c r="M2969">
        <v>33.6</v>
      </c>
      <c r="N2969">
        <v>23.4</v>
      </c>
      <c r="O2969">
        <v>30.5</v>
      </c>
      <c r="P2969">
        <v>30.8</v>
      </c>
      <c r="Q2969">
        <v>47.2</v>
      </c>
      <c r="R2969">
        <v>49.9</v>
      </c>
      <c r="S2969">
        <v>34.5</v>
      </c>
      <c r="T2969">
        <v>29.3</v>
      </c>
      <c r="U2969">
        <v>61.4</v>
      </c>
      <c r="V2969">
        <v>-5.6</v>
      </c>
      <c r="W2969" cm="1">
        <f t="array" ref="W2969">_xlfn.IFS(OR(X2969="N/A",X2969="NA"),0,OR(X2969="R64",X2969="R68"),1,X2969="R32",2,X2969="S16",3,X2969="E8",4,X2969="F4",5,X2969="2ND",6,X2969="Champions",7)</f>
        <v>0</v>
      </c>
      <c r="X2969" t="s">
        <v>425</v>
      </c>
      <c r="Y2969" t="s">
        <v>425</v>
      </c>
      <c r="Z2969">
        <v>2022</v>
      </c>
    </row>
    <row r="2970" spans="1:26" x14ac:dyDescent="0.3">
      <c r="A2970" t="s">
        <v>360</v>
      </c>
      <c r="B2970" t="s">
        <v>29</v>
      </c>
      <c r="C2970">
        <v>32</v>
      </c>
      <c r="D2970">
        <v>12</v>
      </c>
      <c r="E2970" s="1">
        <f t="shared" si="46"/>
        <v>0.375</v>
      </c>
      <c r="F2970">
        <v>102.1</v>
      </c>
      <c r="G2970">
        <v>100.8</v>
      </c>
      <c r="H2970">
        <v>0.53690000000000004</v>
      </c>
      <c r="I2970">
        <v>47.1</v>
      </c>
      <c r="J2970">
        <v>50.8</v>
      </c>
      <c r="K2970">
        <v>21.6</v>
      </c>
      <c r="L2970">
        <v>17.899999999999999</v>
      </c>
      <c r="M2970">
        <v>31.4</v>
      </c>
      <c r="N2970">
        <v>29.7</v>
      </c>
      <c r="O2970">
        <v>29.9</v>
      </c>
      <c r="P2970">
        <v>35.6</v>
      </c>
      <c r="Q2970">
        <v>49.4</v>
      </c>
      <c r="R2970">
        <v>49.7</v>
      </c>
      <c r="S2970">
        <v>28.1</v>
      </c>
      <c r="T2970">
        <v>35.1</v>
      </c>
      <c r="U2970">
        <v>65.7</v>
      </c>
      <c r="V2970">
        <v>-7</v>
      </c>
      <c r="W2970" cm="1">
        <f t="array" ref="W2970">_xlfn.IFS(OR(X2970="N/A",X2970="NA"),0,OR(X2970="R64",X2970="R68"),1,X2970="R32",2,X2970="S16",3,X2970="E8",4,X2970="F4",5,X2970="2ND",6,X2970="Champions",7)</f>
        <v>0</v>
      </c>
      <c r="X2970" t="s">
        <v>425</v>
      </c>
      <c r="Y2970" t="s">
        <v>425</v>
      </c>
      <c r="Z2970">
        <v>2022</v>
      </c>
    </row>
    <row r="2971" spans="1:26" x14ac:dyDescent="0.3">
      <c r="A2971" t="s">
        <v>336</v>
      </c>
      <c r="B2971" t="s">
        <v>58</v>
      </c>
      <c r="C2971">
        <v>31</v>
      </c>
      <c r="D2971">
        <v>19</v>
      </c>
      <c r="E2971" s="1">
        <f t="shared" si="46"/>
        <v>0.61290322580645162</v>
      </c>
      <c r="F2971">
        <v>100.7</v>
      </c>
      <c r="G2971">
        <v>99.6</v>
      </c>
      <c r="H2971">
        <v>0.53139999999999998</v>
      </c>
      <c r="I2971">
        <v>48.4</v>
      </c>
      <c r="J2971">
        <v>49.8</v>
      </c>
      <c r="K2971">
        <v>16</v>
      </c>
      <c r="L2971">
        <v>17.899999999999999</v>
      </c>
      <c r="M2971">
        <v>26.3</v>
      </c>
      <c r="N2971">
        <v>26</v>
      </c>
      <c r="O2971">
        <v>27.6</v>
      </c>
      <c r="P2971">
        <v>21.7</v>
      </c>
      <c r="Q2971">
        <v>46.9</v>
      </c>
      <c r="R2971">
        <v>50</v>
      </c>
      <c r="S2971">
        <v>33.5</v>
      </c>
      <c r="T2971">
        <v>33</v>
      </c>
      <c r="U2971">
        <v>64.400000000000006</v>
      </c>
      <c r="V2971">
        <v>-7</v>
      </c>
      <c r="W2971" cm="1">
        <f t="array" ref="W2971">_xlfn.IFS(OR(X2971="N/A",X2971="NA"),0,OR(X2971="R64",X2971="R68"),1,X2971="R32",2,X2971="S16",3,X2971="E8",4,X2971="F4",5,X2971="2ND",6,X2971="Champions",7)</f>
        <v>0</v>
      </c>
      <c r="X2971" t="s">
        <v>425</v>
      </c>
      <c r="Y2971" t="s">
        <v>425</v>
      </c>
      <c r="Z2971">
        <v>2022</v>
      </c>
    </row>
    <row r="2972" spans="1:26" x14ac:dyDescent="0.3">
      <c r="A2972" t="s">
        <v>287</v>
      </c>
      <c r="B2972" t="s">
        <v>55</v>
      </c>
      <c r="C2972">
        <v>30</v>
      </c>
      <c r="D2972">
        <v>13</v>
      </c>
      <c r="E2972" s="1">
        <f t="shared" si="46"/>
        <v>0.43333333333333335</v>
      </c>
      <c r="F2972">
        <v>105.4</v>
      </c>
      <c r="G2972">
        <v>104.3</v>
      </c>
      <c r="H2972">
        <v>0.52959999999999996</v>
      </c>
      <c r="I2972">
        <v>49.4</v>
      </c>
      <c r="J2972">
        <v>52</v>
      </c>
      <c r="K2972">
        <v>16.100000000000001</v>
      </c>
      <c r="L2972">
        <v>18</v>
      </c>
      <c r="M2972">
        <v>24</v>
      </c>
      <c r="N2972">
        <v>29.1</v>
      </c>
      <c r="O2972">
        <v>32.799999999999997</v>
      </c>
      <c r="P2972">
        <v>35.6</v>
      </c>
      <c r="Q2972">
        <v>48.1</v>
      </c>
      <c r="R2972">
        <v>53.5</v>
      </c>
      <c r="S2972">
        <v>34.4</v>
      </c>
      <c r="T2972">
        <v>32.9</v>
      </c>
      <c r="U2972">
        <v>71.2</v>
      </c>
      <c r="V2972">
        <v>-9.6</v>
      </c>
      <c r="W2972" cm="1">
        <f t="array" ref="W2972">_xlfn.IFS(OR(X2972="N/A",X2972="NA"),0,OR(X2972="R64",X2972="R68"),1,X2972="R32",2,X2972="S16",3,X2972="E8",4,X2972="F4",5,X2972="2ND",6,X2972="Champions",7)</f>
        <v>0</v>
      </c>
      <c r="X2972" t="s">
        <v>425</v>
      </c>
      <c r="Y2972" t="s">
        <v>425</v>
      </c>
      <c r="Z2972">
        <v>2022</v>
      </c>
    </row>
    <row r="2973" spans="1:26" x14ac:dyDescent="0.3">
      <c r="A2973" t="s">
        <v>217</v>
      </c>
      <c r="B2973" t="s">
        <v>40</v>
      </c>
      <c r="C2973">
        <v>32</v>
      </c>
      <c r="D2973">
        <v>20</v>
      </c>
      <c r="E2973" s="1">
        <f t="shared" si="46"/>
        <v>0.625</v>
      </c>
      <c r="F2973">
        <v>100.8</v>
      </c>
      <c r="G2973">
        <v>99.8</v>
      </c>
      <c r="H2973">
        <v>0.52869999999999995</v>
      </c>
      <c r="I2973">
        <v>49.2</v>
      </c>
      <c r="J2973">
        <v>49.9</v>
      </c>
      <c r="K2973">
        <v>16.7</v>
      </c>
      <c r="L2973">
        <v>20.5</v>
      </c>
      <c r="M2973">
        <v>22.6</v>
      </c>
      <c r="N2973">
        <v>29.5</v>
      </c>
      <c r="O2973">
        <v>27.8</v>
      </c>
      <c r="P2973">
        <v>37.200000000000003</v>
      </c>
      <c r="Q2973">
        <v>47.4</v>
      </c>
      <c r="R2973">
        <v>50</v>
      </c>
      <c r="S2973">
        <v>34.700000000000003</v>
      </c>
      <c r="T2973">
        <v>33.200000000000003</v>
      </c>
      <c r="U2973">
        <v>66.5</v>
      </c>
      <c r="V2973">
        <v>-5.9</v>
      </c>
      <c r="W2973" cm="1">
        <f t="array" ref="W2973">_xlfn.IFS(OR(X2973="N/A",X2973="NA"),0,OR(X2973="R64",X2973="R68"),1,X2973="R32",2,X2973="S16",3,X2973="E8",4,X2973="F4",5,X2973="2ND",6,X2973="Champions",7)</f>
        <v>0</v>
      </c>
      <c r="X2973" t="s">
        <v>425</v>
      </c>
      <c r="Y2973" t="s">
        <v>425</v>
      </c>
      <c r="Z2973">
        <v>2022</v>
      </c>
    </row>
    <row r="2974" spans="1:26" x14ac:dyDescent="0.3">
      <c r="A2974" t="s">
        <v>204</v>
      </c>
      <c r="B2974" t="s">
        <v>53</v>
      </c>
      <c r="C2974">
        <v>34</v>
      </c>
      <c r="D2974">
        <v>27</v>
      </c>
      <c r="E2974" s="1">
        <f t="shared" si="46"/>
        <v>0.79411764705882348</v>
      </c>
      <c r="F2974">
        <v>104.4</v>
      </c>
      <c r="G2974">
        <v>103.5</v>
      </c>
      <c r="H2974">
        <v>0.52459999999999996</v>
      </c>
      <c r="I2974">
        <v>48.1</v>
      </c>
      <c r="J2974">
        <v>50.5</v>
      </c>
      <c r="K2974">
        <v>14.6</v>
      </c>
      <c r="L2974">
        <v>19.899999999999999</v>
      </c>
      <c r="M2974">
        <v>28</v>
      </c>
      <c r="N2974">
        <v>31.8</v>
      </c>
      <c r="O2974">
        <v>34.4</v>
      </c>
      <c r="P2974">
        <v>34.799999999999997</v>
      </c>
      <c r="Q2974">
        <v>47.4</v>
      </c>
      <c r="R2974">
        <v>49.1</v>
      </c>
      <c r="S2974">
        <v>32.9</v>
      </c>
      <c r="T2974">
        <v>35.5</v>
      </c>
      <c r="U2974">
        <v>65.400000000000006</v>
      </c>
      <c r="V2974">
        <v>-3.6</v>
      </c>
      <c r="W2974" cm="1">
        <f t="array" ref="W2974">_xlfn.IFS(OR(X2974="N/A",X2974="NA"),0,OR(X2974="R64",X2974="R68"),1,X2974="R32",2,X2974="S16",3,X2974="E8",4,X2974="F4",5,X2974="2ND",6,X2974="Champions",7)</f>
        <v>0</v>
      </c>
      <c r="X2974" t="s">
        <v>425</v>
      </c>
      <c r="Y2974" t="s">
        <v>425</v>
      </c>
      <c r="Z2974">
        <v>2022</v>
      </c>
    </row>
    <row r="2975" spans="1:26" x14ac:dyDescent="0.3">
      <c r="A2975" t="s">
        <v>302</v>
      </c>
      <c r="B2975" t="s">
        <v>77</v>
      </c>
      <c r="C2975">
        <v>26</v>
      </c>
      <c r="D2975">
        <v>21</v>
      </c>
      <c r="E2975" s="1">
        <f t="shared" si="46"/>
        <v>0.80769230769230771</v>
      </c>
      <c r="F2975">
        <v>101.2</v>
      </c>
      <c r="G2975">
        <v>100.4</v>
      </c>
      <c r="H2975">
        <v>0.52390000000000003</v>
      </c>
      <c r="I2975">
        <v>49.9</v>
      </c>
      <c r="J2975">
        <v>48.1</v>
      </c>
      <c r="K2975">
        <v>18</v>
      </c>
      <c r="L2975">
        <v>22.3</v>
      </c>
      <c r="M2975">
        <v>33.5</v>
      </c>
      <c r="N2975">
        <v>27.5</v>
      </c>
      <c r="O2975">
        <v>32.1</v>
      </c>
      <c r="P2975">
        <v>39.299999999999997</v>
      </c>
      <c r="Q2975">
        <v>53</v>
      </c>
      <c r="R2975">
        <v>50.4</v>
      </c>
      <c r="S2975">
        <v>28.5</v>
      </c>
      <c r="T2975">
        <v>29.7</v>
      </c>
      <c r="U2975">
        <v>66.5</v>
      </c>
      <c r="V2975">
        <v>-2.5</v>
      </c>
      <c r="W2975" cm="1">
        <f t="array" ref="W2975">_xlfn.IFS(OR(X2975="N/A",X2975="NA"),0,OR(X2975="R64",X2975="R68"),1,X2975="R32",2,X2975="S16",3,X2975="E8",4,X2975="F4",5,X2975="2ND",6,X2975="Champions",7)</f>
        <v>0</v>
      </c>
      <c r="X2975" t="s">
        <v>425</v>
      </c>
      <c r="Y2975" t="s">
        <v>425</v>
      </c>
      <c r="Z2975">
        <v>2022</v>
      </c>
    </row>
    <row r="2976" spans="1:26" x14ac:dyDescent="0.3">
      <c r="A2976" t="s">
        <v>127</v>
      </c>
      <c r="B2976" t="s">
        <v>50</v>
      </c>
      <c r="C2976">
        <v>31</v>
      </c>
      <c r="D2976">
        <v>11</v>
      </c>
      <c r="E2976" s="1">
        <f t="shared" si="46"/>
        <v>0.35483870967741937</v>
      </c>
      <c r="F2976">
        <v>103.5</v>
      </c>
      <c r="G2976">
        <v>102.6</v>
      </c>
      <c r="H2976">
        <v>0.52310000000000001</v>
      </c>
      <c r="I2976">
        <v>49.6</v>
      </c>
      <c r="J2976">
        <v>52.2</v>
      </c>
      <c r="K2976">
        <v>19</v>
      </c>
      <c r="L2976">
        <v>20.100000000000001</v>
      </c>
      <c r="M2976">
        <v>26.7</v>
      </c>
      <c r="N2976">
        <v>30.1</v>
      </c>
      <c r="O2976">
        <v>31</v>
      </c>
      <c r="P2976">
        <v>29</v>
      </c>
      <c r="Q2976">
        <v>48.5</v>
      </c>
      <c r="R2976">
        <v>50.5</v>
      </c>
      <c r="S2976">
        <v>34.200000000000003</v>
      </c>
      <c r="T2976">
        <v>36.200000000000003</v>
      </c>
      <c r="U2976">
        <v>66.400000000000006</v>
      </c>
      <c r="V2976">
        <v>-10.6</v>
      </c>
      <c r="W2976" cm="1">
        <f t="array" ref="W2976">_xlfn.IFS(OR(X2976="N/A",X2976="NA"),0,OR(X2976="R64",X2976="R68"),1,X2976="R32",2,X2976="S16",3,X2976="E8",4,X2976="F4",5,X2976="2ND",6,X2976="Champions",7)</f>
        <v>0</v>
      </c>
      <c r="X2976" t="s">
        <v>425</v>
      </c>
      <c r="Y2976" t="s">
        <v>425</v>
      </c>
      <c r="Z2976">
        <v>2022</v>
      </c>
    </row>
    <row r="2977" spans="1:26" x14ac:dyDescent="0.3">
      <c r="A2977" t="s">
        <v>351</v>
      </c>
      <c r="B2977" t="s">
        <v>62</v>
      </c>
      <c r="C2977">
        <v>31</v>
      </c>
      <c r="D2977">
        <v>16</v>
      </c>
      <c r="E2977" s="1">
        <f t="shared" si="46"/>
        <v>0.5161290322580645</v>
      </c>
      <c r="F2977">
        <v>105.8</v>
      </c>
      <c r="G2977">
        <v>105.2</v>
      </c>
      <c r="H2977">
        <v>0.51700000000000002</v>
      </c>
      <c r="I2977">
        <v>52.9</v>
      </c>
      <c r="J2977">
        <v>52.8</v>
      </c>
      <c r="K2977">
        <v>18.3</v>
      </c>
      <c r="L2977">
        <v>15.8</v>
      </c>
      <c r="M2977">
        <v>24.5</v>
      </c>
      <c r="N2977">
        <v>26.5</v>
      </c>
      <c r="O2977">
        <v>29.3</v>
      </c>
      <c r="P2977">
        <v>28.5</v>
      </c>
      <c r="Q2977">
        <v>52.9</v>
      </c>
      <c r="R2977">
        <v>53.2</v>
      </c>
      <c r="S2977">
        <v>35.299999999999997</v>
      </c>
      <c r="T2977">
        <v>34.9</v>
      </c>
      <c r="U2977">
        <v>64.900000000000006</v>
      </c>
      <c r="V2977">
        <v>-9.6999999999999993</v>
      </c>
      <c r="W2977" cm="1">
        <f t="array" ref="W2977">_xlfn.IFS(OR(X2977="N/A",X2977="NA"),0,OR(X2977="R64",X2977="R68"),1,X2977="R32",2,X2977="S16",3,X2977="E8",4,X2977="F4",5,X2977="2ND",6,X2977="Champions",7)</f>
        <v>0</v>
      </c>
      <c r="X2977" t="s">
        <v>425</v>
      </c>
      <c r="Y2977" t="s">
        <v>425</v>
      </c>
      <c r="Z2977">
        <v>2022</v>
      </c>
    </row>
    <row r="2978" spans="1:26" x14ac:dyDescent="0.3">
      <c r="A2978" t="s">
        <v>186</v>
      </c>
      <c r="B2978" t="s">
        <v>58</v>
      </c>
      <c r="C2978">
        <v>29</v>
      </c>
      <c r="D2978">
        <v>19</v>
      </c>
      <c r="E2978" s="1">
        <f t="shared" si="46"/>
        <v>0.65517241379310343</v>
      </c>
      <c r="F2978">
        <v>101.1</v>
      </c>
      <c r="G2978">
        <v>100.6</v>
      </c>
      <c r="H2978">
        <v>0.5151</v>
      </c>
      <c r="I2978">
        <v>49.9</v>
      </c>
      <c r="J2978">
        <v>46.5</v>
      </c>
      <c r="K2978">
        <v>20.3</v>
      </c>
      <c r="L2978">
        <v>17.3</v>
      </c>
      <c r="M2978">
        <v>32.700000000000003</v>
      </c>
      <c r="N2978">
        <v>28.7</v>
      </c>
      <c r="O2978">
        <v>31.1</v>
      </c>
      <c r="P2978">
        <v>25.5</v>
      </c>
      <c r="Q2978">
        <v>48.3</v>
      </c>
      <c r="R2978">
        <v>47.8</v>
      </c>
      <c r="S2978">
        <v>35.1</v>
      </c>
      <c r="T2978">
        <v>30</v>
      </c>
      <c r="U2978">
        <v>66.599999999999994</v>
      </c>
      <c r="V2978">
        <v>-8.8000000000000007</v>
      </c>
      <c r="W2978" cm="1">
        <f t="array" ref="W2978">_xlfn.IFS(OR(X2978="N/A",X2978="NA"),0,OR(X2978="R64",X2978="R68"),1,X2978="R32",2,X2978="S16",3,X2978="E8",4,X2978="F4",5,X2978="2ND",6,X2978="Champions",7)</f>
        <v>0</v>
      </c>
      <c r="X2978" t="s">
        <v>425</v>
      </c>
      <c r="Y2978" t="s">
        <v>425</v>
      </c>
      <c r="Z2978">
        <v>2022</v>
      </c>
    </row>
    <row r="2979" spans="1:26" x14ac:dyDescent="0.3">
      <c r="A2979" t="s">
        <v>412</v>
      </c>
      <c r="B2979" t="s">
        <v>37</v>
      </c>
      <c r="C2979">
        <v>32</v>
      </c>
      <c r="D2979">
        <v>19</v>
      </c>
      <c r="E2979" s="1">
        <f t="shared" si="46"/>
        <v>0.59375</v>
      </c>
      <c r="F2979">
        <v>103.3</v>
      </c>
      <c r="G2979">
        <v>102.8</v>
      </c>
      <c r="H2979">
        <v>0.51419999999999999</v>
      </c>
      <c r="I2979">
        <v>50.2</v>
      </c>
      <c r="J2979">
        <v>50.1</v>
      </c>
      <c r="K2979">
        <v>18.3</v>
      </c>
      <c r="L2979">
        <v>17.399999999999999</v>
      </c>
      <c r="M2979">
        <v>23.9</v>
      </c>
      <c r="N2979">
        <v>27.7</v>
      </c>
      <c r="O2979">
        <v>33.5</v>
      </c>
      <c r="P2979">
        <v>26.2</v>
      </c>
      <c r="Q2979">
        <v>48.4</v>
      </c>
      <c r="R2979">
        <v>48.5</v>
      </c>
      <c r="S2979">
        <v>35.4</v>
      </c>
      <c r="T2979">
        <v>35</v>
      </c>
      <c r="U2979">
        <v>68.7</v>
      </c>
      <c r="V2979">
        <v>-6.6</v>
      </c>
      <c r="W2979" cm="1">
        <f t="array" ref="W2979">_xlfn.IFS(OR(X2979="N/A",X2979="NA"),0,OR(X2979="R64",X2979="R68"),1,X2979="R32",2,X2979="S16",3,X2979="E8",4,X2979="F4",5,X2979="2ND",6,X2979="Champions",7)</f>
        <v>0</v>
      </c>
      <c r="X2979" t="s">
        <v>425</v>
      </c>
      <c r="Y2979" t="s">
        <v>425</v>
      </c>
      <c r="Z2979">
        <v>2022</v>
      </c>
    </row>
    <row r="2980" spans="1:26" x14ac:dyDescent="0.3">
      <c r="A2980" t="s">
        <v>342</v>
      </c>
      <c r="B2980" t="s">
        <v>58</v>
      </c>
      <c r="C2980">
        <v>29</v>
      </c>
      <c r="D2980">
        <v>21</v>
      </c>
      <c r="E2980" s="1">
        <f t="shared" si="46"/>
        <v>0.72413793103448276</v>
      </c>
      <c r="F2980">
        <v>101.7</v>
      </c>
      <c r="G2980">
        <v>101.2</v>
      </c>
      <c r="H2980">
        <v>0.51419999999999999</v>
      </c>
      <c r="I2980">
        <v>52</v>
      </c>
      <c r="J2980">
        <v>47.6</v>
      </c>
      <c r="K2980">
        <v>19.3</v>
      </c>
      <c r="L2980">
        <v>20.8</v>
      </c>
      <c r="M2980">
        <v>26.9</v>
      </c>
      <c r="N2980">
        <v>31.3</v>
      </c>
      <c r="O2980">
        <v>30.6</v>
      </c>
      <c r="P2980">
        <v>30.7</v>
      </c>
      <c r="Q2980">
        <v>52.3</v>
      </c>
      <c r="R2980">
        <v>46.8</v>
      </c>
      <c r="S2980">
        <v>34.200000000000003</v>
      </c>
      <c r="T2980">
        <v>32.5</v>
      </c>
      <c r="U2980">
        <v>66.5</v>
      </c>
      <c r="V2980">
        <v>-6.3</v>
      </c>
      <c r="W2980" cm="1">
        <f t="array" ref="W2980">_xlfn.IFS(OR(X2980="N/A",X2980="NA"),0,OR(X2980="R64",X2980="R68"),1,X2980="R32",2,X2980="S16",3,X2980="E8",4,X2980="F4",5,X2980="2ND",6,X2980="Champions",7)</f>
        <v>0</v>
      </c>
      <c r="X2980" t="s">
        <v>425</v>
      </c>
      <c r="Y2980" t="s">
        <v>425</v>
      </c>
      <c r="Z2980">
        <v>2022</v>
      </c>
    </row>
    <row r="2981" spans="1:26" x14ac:dyDescent="0.3">
      <c r="A2981" t="s">
        <v>388</v>
      </c>
      <c r="B2981" t="s">
        <v>72</v>
      </c>
      <c r="C2981">
        <v>31</v>
      </c>
      <c r="D2981">
        <v>23</v>
      </c>
      <c r="E2981" s="1">
        <f t="shared" si="46"/>
        <v>0.74193548387096775</v>
      </c>
      <c r="F2981">
        <v>101.6</v>
      </c>
      <c r="G2981">
        <v>101.1</v>
      </c>
      <c r="H2981">
        <v>0.51380000000000003</v>
      </c>
      <c r="I2981">
        <v>51.8</v>
      </c>
      <c r="J2981">
        <v>47.6</v>
      </c>
      <c r="K2981">
        <v>17</v>
      </c>
      <c r="L2981">
        <v>12.7</v>
      </c>
      <c r="M2981">
        <v>24.8</v>
      </c>
      <c r="N2981">
        <v>23.1</v>
      </c>
      <c r="O2981">
        <v>33.4</v>
      </c>
      <c r="P2981">
        <v>25.5</v>
      </c>
      <c r="Q2981">
        <v>51.1</v>
      </c>
      <c r="R2981">
        <v>47</v>
      </c>
      <c r="S2981">
        <v>35.299999999999997</v>
      </c>
      <c r="T2981">
        <v>32.5</v>
      </c>
      <c r="U2981">
        <v>66.2</v>
      </c>
      <c r="V2981">
        <v>-4.5</v>
      </c>
      <c r="W2981" cm="1">
        <f t="array" ref="W2981">_xlfn.IFS(OR(X2981="N/A",X2981="NA"),0,OR(X2981="R64",X2981="R68"),1,X2981="R32",2,X2981="S16",3,X2981="E8",4,X2981="F4",5,X2981="2ND",6,X2981="Champions",7)</f>
        <v>0</v>
      </c>
      <c r="X2981" t="s">
        <v>425</v>
      </c>
      <c r="Y2981" t="s">
        <v>425</v>
      </c>
      <c r="Z2981">
        <v>2022</v>
      </c>
    </row>
    <row r="2982" spans="1:26" x14ac:dyDescent="0.3">
      <c r="A2982" t="s">
        <v>349</v>
      </c>
      <c r="B2982" t="s">
        <v>62</v>
      </c>
      <c r="C2982">
        <v>30</v>
      </c>
      <c r="D2982">
        <v>15</v>
      </c>
      <c r="E2982" s="1">
        <f t="shared" si="46"/>
        <v>0.5</v>
      </c>
      <c r="F2982">
        <v>107.6</v>
      </c>
      <c r="G2982">
        <v>107.1</v>
      </c>
      <c r="H2982">
        <v>0.51349999999999996</v>
      </c>
      <c r="I2982">
        <v>51.8</v>
      </c>
      <c r="J2982">
        <v>53.1</v>
      </c>
      <c r="K2982">
        <v>17</v>
      </c>
      <c r="L2982">
        <v>16.600000000000001</v>
      </c>
      <c r="M2982">
        <v>30.6</v>
      </c>
      <c r="N2982">
        <v>31.1</v>
      </c>
      <c r="O2982">
        <v>21.7</v>
      </c>
      <c r="P2982">
        <v>26.1</v>
      </c>
      <c r="Q2982">
        <v>51.1</v>
      </c>
      <c r="R2982">
        <v>54.7</v>
      </c>
      <c r="S2982">
        <v>35.1</v>
      </c>
      <c r="T2982">
        <v>34.200000000000003</v>
      </c>
      <c r="U2982">
        <v>65.5</v>
      </c>
      <c r="V2982">
        <v>-9.4</v>
      </c>
      <c r="W2982" cm="1">
        <f t="array" ref="W2982">_xlfn.IFS(OR(X2982="N/A",X2982="NA"),0,OR(X2982="R64",X2982="R68"),1,X2982="R32",2,X2982="S16",3,X2982="E8",4,X2982="F4",5,X2982="2ND",6,X2982="Champions",7)</f>
        <v>0</v>
      </c>
      <c r="X2982" t="s">
        <v>425</v>
      </c>
      <c r="Y2982" t="s">
        <v>425</v>
      </c>
      <c r="Z2982">
        <v>2022</v>
      </c>
    </row>
    <row r="2983" spans="1:26" x14ac:dyDescent="0.3">
      <c r="A2983" t="s">
        <v>352</v>
      </c>
      <c r="B2983" t="s">
        <v>62</v>
      </c>
      <c r="C2983">
        <v>29</v>
      </c>
      <c r="D2983">
        <v>21</v>
      </c>
      <c r="E2983" s="1">
        <f t="shared" si="46"/>
        <v>0.72413793103448276</v>
      </c>
      <c r="F2983">
        <v>104.1</v>
      </c>
      <c r="G2983">
        <v>103.9</v>
      </c>
      <c r="H2983">
        <v>0.50390000000000001</v>
      </c>
      <c r="I2983">
        <v>51.8</v>
      </c>
      <c r="J2983">
        <v>52.1</v>
      </c>
      <c r="K2983">
        <v>19.3</v>
      </c>
      <c r="L2983">
        <v>17.8</v>
      </c>
      <c r="M2983">
        <v>30.1</v>
      </c>
      <c r="N2983">
        <v>29</v>
      </c>
      <c r="O2983">
        <v>28.9</v>
      </c>
      <c r="P2983">
        <v>32</v>
      </c>
      <c r="Q2983">
        <v>53.4</v>
      </c>
      <c r="R2983">
        <v>52.6</v>
      </c>
      <c r="S2983">
        <v>33.1</v>
      </c>
      <c r="T2983">
        <v>34.4</v>
      </c>
      <c r="U2983">
        <v>69.2</v>
      </c>
      <c r="V2983">
        <v>-4.5999999999999996</v>
      </c>
      <c r="W2983" cm="1">
        <f t="array" ref="W2983">_xlfn.IFS(OR(X2983="N/A",X2983="NA"),0,OR(X2983="R64",X2983="R68"),1,X2983="R32",2,X2983="S16",3,X2983="E8",4,X2983="F4",5,X2983="2ND",6,X2983="Champions",7)</f>
        <v>0</v>
      </c>
      <c r="X2983" t="s">
        <v>425</v>
      </c>
      <c r="Y2983" t="s">
        <v>425</v>
      </c>
      <c r="Z2983">
        <v>2022</v>
      </c>
    </row>
    <row r="2984" spans="1:26" x14ac:dyDescent="0.3">
      <c r="A2984" t="s">
        <v>121</v>
      </c>
      <c r="B2984" t="s">
        <v>50</v>
      </c>
      <c r="C2984">
        <v>30</v>
      </c>
      <c r="D2984">
        <v>15</v>
      </c>
      <c r="E2984" s="1">
        <f t="shared" si="46"/>
        <v>0.5</v>
      </c>
      <c r="F2984">
        <v>101.8</v>
      </c>
      <c r="G2984">
        <v>101.7</v>
      </c>
      <c r="H2984">
        <v>0.50270000000000004</v>
      </c>
      <c r="I2984">
        <v>47.1</v>
      </c>
      <c r="J2984">
        <v>50.5</v>
      </c>
      <c r="K2984">
        <v>18.7</v>
      </c>
      <c r="L2984">
        <v>18.5</v>
      </c>
      <c r="M2984">
        <v>27.6</v>
      </c>
      <c r="N2984">
        <v>28.5</v>
      </c>
      <c r="O2984">
        <v>33.5</v>
      </c>
      <c r="P2984">
        <v>31</v>
      </c>
      <c r="Q2984">
        <v>45.3</v>
      </c>
      <c r="R2984">
        <v>48.8</v>
      </c>
      <c r="S2984">
        <v>33.299999999999997</v>
      </c>
      <c r="T2984">
        <v>35.299999999999997</v>
      </c>
      <c r="U2984">
        <v>67.8</v>
      </c>
      <c r="V2984">
        <v>-6.4</v>
      </c>
      <c r="W2984" cm="1">
        <f t="array" ref="W2984">_xlfn.IFS(OR(X2984="N/A",X2984="NA"),0,OR(X2984="R64",X2984="R68"),1,X2984="R32",2,X2984="S16",3,X2984="E8",4,X2984="F4",5,X2984="2ND",6,X2984="Champions",7)</f>
        <v>0</v>
      </c>
      <c r="X2984" t="s">
        <v>425</v>
      </c>
      <c r="Y2984" t="s">
        <v>425</v>
      </c>
      <c r="Z2984">
        <v>2022</v>
      </c>
    </row>
    <row r="2985" spans="1:26" x14ac:dyDescent="0.3">
      <c r="A2985" t="s">
        <v>221</v>
      </c>
      <c r="B2985" t="s">
        <v>43</v>
      </c>
      <c r="C2985">
        <v>29</v>
      </c>
      <c r="D2985">
        <v>20</v>
      </c>
      <c r="E2985" s="1">
        <f t="shared" si="46"/>
        <v>0.68965517241379315</v>
      </c>
      <c r="F2985">
        <v>104</v>
      </c>
      <c r="G2985">
        <v>104.2</v>
      </c>
      <c r="H2985">
        <v>0.49619999999999997</v>
      </c>
      <c r="I2985">
        <v>53.2</v>
      </c>
      <c r="J2985">
        <v>49.4</v>
      </c>
      <c r="K2985">
        <v>19.600000000000001</v>
      </c>
      <c r="L2985">
        <v>21.8</v>
      </c>
      <c r="M2985">
        <v>33.9</v>
      </c>
      <c r="N2985">
        <v>31.9</v>
      </c>
      <c r="O2985">
        <v>36.1</v>
      </c>
      <c r="P2985">
        <v>34.200000000000003</v>
      </c>
      <c r="Q2985">
        <v>55.3</v>
      </c>
      <c r="R2985">
        <v>50</v>
      </c>
      <c r="S2985">
        <v>32.6</v>
      </c>
      <c r="T2985">
        <v>32.299999999999997</v>
      </c>
      <c r="U2985">
        <v>67.599999999999994</v>
      </c>
      <c r="V2985">
        <v>-6.3</v>
      </c>
      <c r="W2985" cm="1">
        <f t="array" ref="W2985">_xlfn.IFS(OR(X2985="N/A",X2985="NA"),0,OR(X2985="R64",X2985="R68"),1,X2985="R32",2,X2985="S16",3,X2985="E8",4,X2985="F4",5,X2985="2ND",6,X2985="Champions",7)</f>
        <v>0</v>
      </c>
      <c r="X2985" t="s">
        <v>425</v>
      </c>
      <c r="Y2985" t="s">
        <v>425</v>
      </c>
      <c r="Z2985">
        <v>2022</v>
      </c>
    </row>
    <row r="2986" spans="1:26" x14ac:dyDescent="0.3">
      <c r="A2986" t="s">
        <v>244</v>
      </c>
      <c r="B2986" t="s">
        <v>69</v>
      </c>
      <c r="C2986">
        <v>34</v>
      </c>
      <c r="D2986">
        <v>21</v>
      </c>
      <c r="E2986" s="1">
        <f t="shared" si="46"/>
        <v>0.61764705882352944</v>
      </c>
      <c r="F2986">
        <v>101.3</v>
      </c>
      <c r="G2986">
        <v>101.7</v>
      </c>
      <c r="H2986">
        <v>0.48970000000000002</v>
      </c>
      <c r="I2986">
        <v>47.5</v>
      </c>
      <c r="J2986">
        <v>47.3</v>
      </c>
      <c r="K2986">
        <v>17.3</v>
      </c>
      <c r="L2986">
        <v>17.8</v>
      </c>
      <c r="M2986">
        <v>29.4</v>
      </c>
      <c r="N2986">
        <v>27.9</v>
      </c>
      <c r="O2986">
        <v>36.9</v>
      </c>
      <c r="P2986">
        <v>33.6</v>
      </c>
      <c r="Q2986">
        <v>46.3</v>
      </c>
      <c r="R2986">
        <v>46.6</v>
      </c>
      <c r="S2986">
        <v>33.1</v>
      </c>
      <c r="T2986">
        <v>32.299999999999997</v>
      </c>
      <c r="U2986">
        <v>66.3</v>
      </c>
      <c r="V2986">
        <v>-6.1</v>
      </c>
      <c r="W2986" cm="1">
        <f t="array" ref="W2986">_xlfn.IFS(OR(X2986="N/A",X2986="NA"),0,OR(X2986="R64",X2986="R68"),1,X2986="R32",2,X2986="S16",3,X2986="E8",4,X2986="F4",5,X2986="2ND",6,X2986="Champions",7)</f>
        <v>0</v>
      </c>
      <c r="X2986" t="s">
        <v>425</v>
      </c>
      <c r="Y2986" t="s">
        <v>425</v>
      </c>
      <c r="Z2986">
        <v>2022</v>
      </c>
    </row>
    <row r="2987" spans="1:26" x14ac:dyDescent="0.3">
      <c r="A2987" t="s">
        <v>159</v>
      </c>
      <c r="B2987" t="s">
        <v>33</v>
      </c>
      <c r="C2987">
        <v>31</v>
      </c>
      <c r="D2987">
        <v>6</v>
      </c>
      <c r="E2987" s="1">
        <f t="shared" si="46"/>
        <v>0.19354838709677419</v>
      </c>
      <c r="F2987">
        <v>104.2</v>
      </c>
      <c r="G2987">
        <v>104.6</v>
      </c>
      <c r="H2987">
        <v>0.48949999999999999</v>
      </c>
      <c r="I2987">
        <v>46.2</v>
      </c>
      <c r="J2987">
        <v>53.6</v>
      </c>
      <c r="K2987">
        <v>18.8</v>
      </c>
      <c r="L2987">
        <v>18</v>
      </c>
      <c r="M2987">
        <v>32.299999999999997</v>
      </c>
      <c r="N2987">
        <v>29.9</v>
      </c>
      <c r="O2987">
        <v>29</v>
      </c>
      <c r="P2987">
        <v>27.6</v>
      </c>
      <c r="Q2987">
        <v>43.3</v>
      </c>
      <c r="R2987">
        <v>52.4</v>
      </c>
      <c r="S2987">
        <v>34.200000000000003</v>
      </c>
      <c r="T2987">
        <v>36.9</v>
      </c>
      <c r="U2987">
        <v>70.099999999999994</v>
      </c>
      <c r="V2987">
        <v>-13</v>
      </c>
      <c r="W2987" cm="1">
        <f t="array" ref="W2987">_xlfn.IFS(OR(X2987="N/A",X2987="NA"),0,OR(X2987="R64",X2987="R68"),1,X2987="R32",2,X2987="S16",3,X2987="E8",4,X2987="F4",5,X2987="2ND",6,X2987="Champions",7)</f>
        <v>0</v>
      </c>
      <c r="X2987" t="s">
        <v>425</v>
      </c>
      <c r="Y2987" t="s">
        <v>425</v>
      </c>
      <c r="Z2987">
        <v>2022</v>
      </c>
    </row>
    <row r="2988" spans="1:26" x14ac:dyDescent="0.3">
      <c r="A2988" t="s">
        <v>355</v>
      </c>
      <c r="B2988" t="s">
        <v>62</v>
      </c>
      <c r="C2988">
        <v>29</v>
      </c>
      <c r="D2988">
        <v>16</v>
      </c>
      <c r="E2988" s="1">
        <f t="shared" si="46"/>
        <v>0.55172413793103448</v>
      </c>
      <c r="F2988">
        <v>109.5</v>
      </c>
      <c r="G2988">
        <v>110</v>
      </c>
      <c r="H2988">
        <v>0.4854</v>
      </c>
      <c r="I2988">
        <v>55.3</v>
      </c>
      <c r="J2988">
        <v>51.1</v>
      </c>
      <c r="K2988">
        <v>16.899999999999999</v>
      </c>
      <c r="L2988">
        <v>14</v>
      </c>
      <c r="M2988">
        <v>22.7</v>
      </c>
      <c r="N2988">
        <v>29.6</v>
      </c>
      <c r="O2988">
        <v>26.3</v>
      </c>
      <c r="P2988">
        <v>25.3</v>
      </c>
      <c r="Q2988">
        <v>54.4</v>
      </c>
      <c r="R2988">
        <v>50.2</v>
      </c>
      <c r="S2988">
        <v>37.4</v>
      </c>
      <c r="T2988">
        <v>34.700000000000003</v>
      </c>
      <c r="U2988">
        <v>68.7</v>
      </c>
      <c r="V2988">
        <v>-8.8000000000000007</v>
      </c>
      <c r="W2988" cm="1">
        <f t="array" ref="W2988">_xlfn.IFS(OR(X2988="N/A",X2988="NA"),0,OR(X2988="R64",X2988="R68"),1,X2988="R32",2,X2988="S16",3,X2988="E8",4,X2988="F4",5,X2988="2ND",6,X2988="Champions",7)</f>
        <v>0</v>
      </c>
      <c r="X2988" t="s">
        <v>425</v>
      </c>
      <c r="Y2988" t="s">
        <v>425</v>
      </c>
      <c r="Z2988">
        <v>2022</v>
      </c>
    </row>
    <row r="2989" spans="1:26" x14ac:dyDescent="0.3">
      <c r="A2989" t="s">
        <v>340</v>
      </c>
      <c r="B2989" t="s">
        <v>58</v>
      </c>
      <c r="C2989">
        <v>29</v>
      </c>
      <c r="D2989">
        <v>16</v>
      </c>
      <c r="E2989" s="1">
        <f t="shared" si="46"/>
        <v>0.55172413793103448</v>
      </c>
      <c r="F2989">
        <v>101.1</v>
      </c>
      <c r="G2989">
        <v>101.7</v>
      </c>
      <c r="H2989">
        <v>0.48359999999999997</v>
      </c>
      <c r="I2989">
        <v>48.6</v>
      </c>
      <c r="J2989">
        <v>46.9</v>
      </c>
      <c r="K2989">
        <v>22</v>
      </c>
      <c r="L2989">
        <v>18.399999999999999</v>
      </c>
      <c r="M2989">
        <v>33.6</v>
      </c>
      <c r="N2989">
        <v>27.6</v>
      </c>
      <c r="O2989">
        <v>35.5</v>
      </c>
      <c r="P2989">
        <v>35.5</v>
      </c>
      <c r="Q2989">
        <v>47</v>
      </c>
      <c r="R2989">
        <v>46.2</v>
      </c>
      <c r="S2989">
        <v>34.299999999999997</v>
      </c>
      <c r="T2989">
        <v>32.200000000000003</v>
      </c>
      <c r="U2989">
        <v>69.599999999999994</v>
      </c>
      <c r="V2989">
        <v>-9.1999999999999993</v>
      </c>
      <c r="W2989" cm="1">
        <f t="array" ref="W2989">_xlfn.IFS(OR(X2989="N/A",X2989="NA"),0,OR(X2989="R64",X2989="R68"),1,X2989="R32",2,X2989="S16",3,X2989="E8",4,X2989="F4",5,X2989="2ND",6,X2989="Champions",7)</f>
        <v>0</v>
      </c>
      <c r="X2989" t="s">
        <v>425</v>
      </c>
      <c r="Y2989" t="s">
        <v>425</v>
      </c>
      <c r="Z2989">
        <v>2022</v>
      </c>
    </row>
    <row r="2990" spans="1:26" x14ac:dyDescent="0.3">
      <c r="A2990" t="s">
        <v>191</v>
      </c>
      <c r="B2990" t="s">
        <v>48</v>
      </c>
      <c r="C2990">
        <v>26</v>
      </c>
      <c r="D2990">
        <v>17</v>
      </c>
      <c r="E2990" s="1">
        <f t="shared" si="46"/>
        <v>0.65384615384615385</v>
      </c>
      <c r="F2990">
        <v>100.3</v>
      </c>
      <c r="G2990">
        <v>101</v>
      </c>
      <c r="H2990">
        <v>0.47870000000000001</v>
      </c>
      <c r="I2990">
        <v>50.4</v>
      </c>
      <c r="J2990">
        <v>46.9</v>
      </c>
      <c r="K2990">
        <v>19.7</v>
      </c>
      <c r="L2990">
        <v>15.9</v>
      </c>
      <c r="M2990">
        <v>29</v>
      </c>
      <c r="N2990">
        <v>25.1</v>
      </c>
      <c r="O2990">
        <v>32.5</v>
      </c>
      <c r="P2990">
        <v>31.7</v>
      </c>
      <c r="Q2990">
        <v>49.5</v>
      </c>
      <c r="R2990">
        <v>47.2</v>
      </c>
      <c r="S2990">
        <v>34.6</v>
      </c>
      <c r="T2990">
        <v>30.9</v>
      </c>
      <c r="U2990">
        <v>65.099999999999994</v>
      </c>
      <c r="V2990">
        <v>-7.1</v>
      </c>
      <c r="W2990" cm="1">
        <f t="array" ref="W2990">_xlfn.IFS(OR(X2990="N/A",X2990="NA"),0,OR(X2990="R64",X2990="R68"),1,X2990="R32",2,X2990="S16",3,X2990="E8",4,X2990="F4",5,X2990="2ND",6,X2990="Champions",7)</f>
        <v>0</v>
      </c>
      <c r="X2990" t="s">
        <v>425</v>
      </c>
      <c r="Y2990" t="s">
        <v>425</v>
      </c>
      <c r="Z2990">
        <v>2022</v>
      </c>
    </row>
    <row r="2991" spans="1:26" x14ac:dyDescent="0.3">
      <c r="A2991" t="s">
        <v>135</v>
      </c>
      <c r="B2991" t="s">
        <v>43</v>
      </c>
      <c r="C2991">
        <v>30</v>
      </c>
      <c r="D2991">
        <v>20</v>
      </c>
      <c r="E2991" s="1">
        <f t="shared" si="46"/>
        <v>0.66666666666666663</v>
      </c>
      <c r="F2991">
        <v>100.8</v>
      </c>
      <c r="G2991">
        <v>101.5</v>
      </c>
      <c r="H2991">
        <v>0.47799999999999998</v>
      </c>
      <c r="I2991">
        <v>49.5</v>
      </c>
      <c r="J2991">
        <v>49.5</v>
      </c>
      <c r="K2991">
        <v>19.899999999999999</v>
      </c>
      <c r="L2991">
        <v>21.1</v>
      </c>
      <c r="M2991">
        <v>36</v>
      </c>
      <c r="N2991">
        <v>31</v>
      </c>
      <c r="O2991">
        <v>26.6</v>
      </c>
      <c r="P2991">
        <v>25</v>
      </c>
      <c r="Q2991">
        <v>48.3</v>
      </c>
      <c r="R2991">
        <v>50</v>
      </c>
      <c r="S2991">
        <v>34.1</v>
      </c>
      <c r="T2991">
        <v>32.4</v>
      </c>
      <c r="U2991">
        <v>64</v>
      </c>
      <c r="V2991">
        <v>-8</v>
      </c>
      <c r="W2991" cm="1">
        <f t="array" ref="W2991">_xlfn.IFS(OR(X2991="N/A",X2991="NA"),0,OR(X2991="R64",X2991="R68"),1,X2991="R32",2,X2991="S16",3,X2991="E8",4,X2991="F4",5,X2991="2ND",6,X2991="Champions",7)</f>
        <v>0</v>
      </c>
      <c r="X2991" t="s">
        <v>425</v>
      </c>
      <c r="Y2991" t="s">
        <v>425</v>
      </c>
      <c r="Z2991">
        <v>2022</v>
      </c>
    </row>
    <row r="2992" spans="1:26" x14ac:dyDescent="0.3">
      <c r="A2992" t="s">
        <v>185</v>
      </c>
      <c r="B2992" t="s">
        <v>74</v>
      </c>
      <c r="C2992">
        <v>29</v>
      </c>
      <c r="D2992">
        <v>23</v>
      </c>
      <c r="E2992" s="1">
        <f t="shared" si="46"/>
        <v>0.7931034482758621</v>
      </c>
      <c r="F2992">
        <v>104.3</v>
      </c>
      <c r="G2992">
        <v>105.1</v>
      </c>
      <c r="H2992">
        <v>0.47789999999999999</v>
      </c>
      <c r="I2992">
        <v>56.4</v>
      </c>
      <c r="J2992">
        <v>51</v>
      </c>
      <c r="K2992">
        <v>21.2</v>
      </c>
      <c r="L2992">
        <v>19.3</v>
      </c>
      <c r="M2992">
        <v>25.3</v>
      </c>
      <c r="N2992">
        <v>27.5</v>
      </c>
      <c r="O2992">
        <v>37.5</v>
      </c>
      <c r="P2992">
        <v>33.5</v>
      </c>
      <c r="Q2992">
        <v>57</v>
      </c>
      <c r="R2992">
        <v>49.1</v>
      </c>
      <c r="S2992">
        <v>37</v>
      </c>
      <c r="T2992">
        <v>35.9</v>
      </c>
      <c r="U2992">
        <v>68.400000000000006</v>
      </c>
      <c r="V2992">
        <v>-3.2</v>
      </c>
      <c r="W2992" cm="1">
        <f t="array" ref="W2992">_xlfn.IFS(OR(X2992="N/A",X2992="NA"),0,OR(X2992="R64",X2992="R68"),1,X2992="R32",2,X2992="S16",3,X2992="E8",4,X2992="F4",5,X2992="2ND",6,X2992="Champions",7)</f>
        <v>0</v>
      </c>
      <c r="X2992" t="s">
        <v>425</v>
      </c>
      <c r="Y2992" t="s">
        <v>425</v>
      </c>
      <c r="Z2992">
        <v>2022</v>
      </c>
    </row>
    <row r="2993" spans="1:26" x14ac:dyDescent="0.3">
      <c r="A2993" t="s">
        <v>226</v>
      </c>
      <c r="B2993" t="s">
        <v>43</v>
      </c>
      <c r="C2993">
        <v>30</v>
      </c>
      <c r="D2993">
        <v>20</v>
      </c>
      <c r="E2993" s="1">
        <f t="shared" si="46"/>
        <v>0.66666666666666663</v>
      </c>
      <c r="F2993">
        <v>102.5</v>
      </c>
      <c r="G2993">
        <v>103.3</v>
      </c>
      <c r="H2993">
        <v>0.47560000000000002</v>
      </c>
      <c r="I2993">
        <v>49.1</v>
      </c>
      <c r="J2993">
        <v>50.2</v>
      </c>
      <c r="K2993">
        <v>18</v>
      </c>
      <c r="L2993">
        <v>20.5</v>
      </c>
      <c r="M2993">
        <v>30.7</v>
      </c>
      <c r="N2993">
        <v>33.4</v>
      </c>
      <c r="O2993">
        <v>34</v>
      </c>
      <c r="P2993">
        <v>21.5</v>
      </c>
      <c r="Q2993">
        <v>52.5</v>
      </c>
      <c r="R2993">
        <v>52.9</v>
      </c>
      <c r="S2993">
        <v>29.7</v>
      </c>
      <c r="T2993">
        <v>31</v>
      </c>
      <c r="U2993">
        <v>67.7</v>
      </c>
      <c r="V2993">
        <v>-6.1</v>
      </c>
      <c r="W2993" cm="1">
        <f t="array" ref="W2993">_xlfn.IFS(OR(X2993="N/A",X2993="NA"),0,OR(X2993="R64",X2993="R68"),1,X2993="R32",2,X2993="S16",3,X2993="E8",4,X2993="F4",5,X2993="2ND",6,X2993="Champions",7)</f>
        <v>0</v>
      </c>
      <c r="X2993" t="s">
        <v>425</v>
      </c>
      <c r="Y2993" t="s">
        <v>425</v>
      </c>
      <c r="Z2993">
        <v>2022</v>
      </c>
    </row>
    <row r="2994" spans="1:26" x14ac:dyDescent="0.3">
      <c r="A2994" t="s">
        <v>173</v>
      </c>
      <c r="B2994" t="s">
        <v>164</v>
      </c>
      <c r="C2994">
        <v>33</v>
      </c>
      <c r="D2994">
        <v>23</v>
      </c>
      <c r="E2994" s="1">
        <f t="shared" si="46"/>
        <v>0.69696969696969702</v>
      </c>
      <c r="F2994">
        <v>105</v>
      </c>
      <c r="G2994">
        <v>105.9</v>
      </c>
      <c r="H2994">
        <v>0.47360000000000002</v>
      </c>
      <c r="I2994">
        <v>52.6</v>
      </c>
      <c r="J2994">
        <v>51.7</v>
      </c>
      <c r="K2994">
        <v>17.399999999999999</v>
      </c>
      <c r="L2994">
        <v>17.2</v>
      </c>
      <c r="M2994">
        <v>27.8</v>
      </c>
      <c r="N2994">
        <v>22.5</v>
      </c>
      <c r="O2994">
        <v>33.4</v>
      </c>
      <c r="P2994">
        <v>27.6</v>
      </c>
      <c r="Q2994">
        <v>53.6</v>
      </c>
      <c r="R2994">
        <v>51.6</v>
      </c>
      <c r="S2994">
        <v>34.1</v>
      </c>
      <c r="T2994">
        <v>34.6</v>
      </c>
      <c r="U2994">
        <v>68.3</v>
      </c>
      <c r="V2994">
        <v>-6.5</v>
      </c>
      <c r="W2994" cm="1">
        <f t="array" ref="W2994">_xlfn.IFS(OR(X2994="N/A",X2994="NA"),0,OR(X2994="R64",X2994="R68"),1,X2994="R32",2,X2994="S16",3,X2994="E8",4,X2994="F4",5,X2994="2ND",6,X2994="Champions",7)</f>
        <v>0</v>
      </c>
      <c r="X2994" t="s">
        <v>425</v>
      </c>
      <c r="Y2994" t="s">
        <v>425</v>
      </c>
      <c r="Z2994">
        <v>2022</v>
      </c>
    </row>
    <row r="2995" spans="1:26" x14ac:dyDescent="0.3">
      <c r="A2995" t="s">
        <v>91</v>
      </c>
      <c r="B2995" t="s">
        <v>45</v>
      </c>
      <c r="C2995">
        <v>32</v>
      </c>
      <c r="D2995">
        <v>16</v>
      </c>
      <c r="E2995" s="1">
        <f t="shared" si="46"/>
        <v>0.5</v>
      </c>
      <c r="F2995">
        <v>93.1</v>
      </c>
      <c r="G2995">
        <v>94.1</v>
      </c>
      <c r="H2995">
        <v>0.47039999999999998</v>
      </c>
      <c r="I2995">
        <v>45.7</v>
      </c>
      <c r="J2995">
        <v>47.9</v>
      </c>
      <c r="K2995">
        <v>18.899999999999999</v>
      </c>
      <c r="L2995">
        <v>19.600000000000001</v>
      </c>
      <c r="M2995">
        <v>27.2</v>
      </c>
      <c r="N2995">
        <v>26.3</v>
      </c>
      <c r="O2995">
        <v>29.7</v>
      </c>
      <c r="P2995">
        <v>30.4</v>
      </c>
      <c r="Q2995">
        <v>46.7</v>
      </c>
      <c r="R2995">
        <v>48.5</v>
      </c>
      <c r="S2995">
        <v>29.7</v>
      </c>
      <c r="T2995">
        <v>31.2</v>
      </c>
      <c r="U2995">
        <v>67.8</v>
      </c>
      <c r="V2995">
        <v>-8.4</v>
      </c>
      <c r="W2995" cm="1">
        <f t="array" ref="W2995">_xlfn.IFS(OR(X2995="N/A",X2995="NA"),0,OR(X2995="R64",X2995="R68"),1,X2995="R32",2,X2995="S16",3,X2995="E8",4,X2995="F4",5,X2995="2ND",6,X2995="Champions",7)</f>
        <v>0</v>
      </c>
      <c r="X2995" t="s">
        <v>425</v>
      </c>
      <c r="Y2995" t="s">
        <v>425</v>
      </c>
      <c r="Z2995">
        <v>2022</v>
      </c>
    </row>
    <row r="2996" spans="1:26" x14ac:dyDescent="0.3">
      <c r="A2996" t="s">
        <v>234</v>
      </c>
      <c r="B2996" t="s">
        <v>59</v>
      </c>
      <c r="C2996">
        <v>24</v>
      </c>
      <c r="D2996">
        <v>15</v>
      </c>
      <c r="E2996" s="1">
        <f t="shared" si="46"/>
        <v>0.625</v>
      </c>
      <c r="F2996">
        <v>103.1</v>
      </c>
      <c r="G2996">
        <v>104.3</v>
      </c>
      <c r="H2996">
        <v>0.46579999999999999</v>
      </c>
      <c r="I2996">
        <v>53.5</v>
      </c>
      <c r="J2996">
        <v>51.1</v>
      </c>
      <c r="K2996">
        <v>19.600000000000001</v>
      </c>
      <c r="L2996">
        <v>18.100000000000001</v>
      </c>
      <c r="M2996">
        <v>26.1</v>
      </c>
      <c r="N2996">
        <v>28.1</v>
      </c>
      <c r="O2996">
        <v>32.200000000000003</v>
      </c>
      <c r="P2996">
        <v>31.3</v>
      </c>
      <c r="Q2996">
        <v>55.6</v>
      </c>
      <c r="R2996">
        <v>53</v>
      </c>
      <c r="S2996">
        <v>34.1</v>
      </c>
      <c r="T2996">
        <v>32.299999999999997</v>
      </c>
      <c r="U2996">
        <v>72</v>
      </c>
      <c r="V2996">
        <v>-6.3</v>
      </c>
      <c r="W2996" cm="1">
        <f t="array" ref="W2996">_xlfn.IFS(OR(X2996="N/A",X2996="NA"),0,OR(X2996="R64",X2996="R68"),1,X2996="R32",2,X2996="S16",3,X2996="E8",4,X2996="F4",5,X2996="2ND",6,X2996="Champions",7)</f>
        <v>0</v>
      </c>
      <c r="X2996" t="s">
        <v>425</v>
      </c>
      <c r="Y2996" t="s">
        <v>425</v>
      </c>
      <c r="Z2996">
        <v>2022</v>
      </c>
    </row>
    <row r="2997" spans="1:26" x14ac:dyDescent="0.3">
      <c r="A2997" t="s">
        <v>334</v>
      </c>
      <c r="B2997" t="s">
        <v>67</v>
      </c>
      <c r="C2997">
        <v>31</v>
      </c>
      <c r="D2997">
        <v>21</v>
      </c>
      <c r="E2997" s="1">
        <f t="shared" si="46"/>
        <v>0.67741935483870963</v>
      </c>
      <c r="F2997">
        <v>94.2</v>
      </c>
      <c r="G2997">
        <v>95.6</v>
      </c>
      <c r="H2997">
        <v>0.4577</v>
      </c>
      <c r="I2997">
        <v>47.5</v>
      </c>
      <c r="J2997">
        <v>47.3</v>
      </c>
      <c r="K2997">
        <v>19.899999999999999</v>
      </c>
      <c r="L2997">
        <v>20.399999999999999</v>
      </c>
      <c r="M2997">
        <v>33.799999999999997</v>
      </c>
      <c r="N2997">
        <v>24.8</v>
      </c>
      <c r="O2997">
        <v>30.8</v>
      </c>
      <c r="P2997">
        <v>31.7</v>
      </c>
      <c r="Q2997">
        <v>47</v>
      </c>
      <c r="R2997">
        <v>45.7</v>
      </c>
      <c r="S2997">
        <v>32.299999999999997</v>
      </c>
      <c r="T2997">
        <v>33.200000000000003</v>
      </c>
      <c r="U2997">
        <v>64.8</v>
      </c>
      <c r="V2997">
        <v>-6</v>
      </c>
      <c r="W2997" cm="1">
        <f t="array" ref="W2997">_xlfn.IFS(OR(X2997="N/A",X2997="NA"),0,OR(X2997="R64",X2997="R68"),1,X2997="R32",2,X2997="S16",3,X2997="E8",4,X2997="F4",5,X2997="2ND",6,X2997="Champions",7)</f>
        <v>0</v>
      </c>
      <c r="X2997" t="s">
        <v>425</v>
      </c>
      <c r="Y2997" t="s">
        <v>425</v>
      </c>
      <c r="Z2997">
        <v>2022</v>
      </c>
    </row>
    <row r="2998" spans="1:26" x14ac:dyDescent="0.3">
      <c r="A2998" t="s">
        <v>384</v>
      </c>
      <c r="B2998" t="s">
        <v>72</v>
      </c>
      <c r="C2998">
        <v>28</v>
      </c>
      <c r="D2998">
        <v>19</v>
      </c>
      <c r="E2998" s="1">
        <f t="shared" si="46"/>
        <v>0.6785714285714286</v>
      </c>
      <c r="F2998">
        <v>108.1</v>
      </c>
      <c r="G2998">
        <v>109.7</v>
      </c>
      <c r="H2998">
        <v>0.45760000000000001</v>
      </c>
      <c r="I2998">
        <v>53.9</v>
      </c>
      <c r="J2998">
        <v>51.1</v>
      </c>
      <c r="K2998">
        <v>13.2</v>
      </c>
      <c r="L2998">
        <v>12.7</v>
      </c>
      <c r="M2998">
        <v>26.6</v>
      </c>
      <c r="N2998">
        <v>24.7</v>
      </c>
      <c r="O2998">
        <v>23</v>
      </c>
      <c r="P2998">
        <v>24.8</v>
      </c>
      <c r="Q2998">
        <v>52.3</v>
      </c>
      <c r="R2998">
        <v>50.8</v>
      </c>
      <c r="S2998">
        <v>37.200000000000003</v>
      </c>
      <c r="T2998">
        <v>34.4</v>
      </c>
      <c r="U2998">
        <v>70.2</v>
      </c>
      <c r="V2998">
        <v>-6.8</v>
      </c>
      <c r="W2998" cm="1">
        <f t="array" ref="W2998">_xlfn.IFS(OR(X2998="N/A",X2998="NA"),0,OR(X2998="R64",X2998="R68"),1,X2998="R32",2,X2998="S16",3,X2998="E8",4,X2998="F4",5,X2998="2ND",6,X2998="Champions",7)</f>
        <v>0</v>
      </c>
      <c r="X2998" t="s">
        <v>425</v>
      </c>
      <c r="Y2998" t="s">
        <v>425</v>
      </c>
      <c r="Z2998">
        <v>2022</v>
      </c>
    </row>
    <row r="2999" spans="1:26" x14ac:dyDescent="0.3">
      <c r="A2999" t="s">
        <v>130</v>
      </c>
      <c r="B2999" t="s">
        <v>131</v>
      </c>
      <c r="C2999">
        <v>32</v>
      </c>
      <c r="D2999">
        <v>22</v>
      </c>
      <c r="E2999" s="1">
        <f t="shared" si="46"/>
        <v>0.6875</v>
      </c>
      <c r="F2999">
        <v>104.7</v>
      </c>
      <c r="G2999">
        <v>106.4</v>
      </c>
      <c r="H2999">
        <v>0.45619999999999999</v>
      </c>
      <c r="I2999">
        <v>53.3</v>
      </c>
      <c r="J2999">
        <v>50.5</v>
      </c>
      <c r="K2999">
        <v>18.899999999999999</v>
      </c>
      <c r="L2999">
        <v>15.8</v>
      </c>
      <c r="M2999">
        <v>29.9</v>
      </c>
      <c r="N2999">
        <v>27.4</v>
      </c>
      <c r="O2999">
        <v>29.1</v>
      </c>
      <c r="P2999">
        <v>24</v>
      </c>
      <c r="Q2999">
        <v>53.8</v>
      </c>
      <c r="R2999">
        <v>50.5</v>
      </c>
      <c r="S2999">
        <v>35.1</v>
      </c>
      <c r="T2999">
        <v>33.700000000000003</v>
      </c>
      <c r="U2999">
        <v>70.099999999999994</v>
      </c>
      <c r="V2999">
        <v>-6.7</v>
      </c>
      <c r="W2999" cm="1">
        <f t="array" ref="W2999">_xlfn.IFS(OR(X2999="N/A",X2999="NA"),0,OR(X2999="R64",X2999="R68"),1,X2999="R32",2,X2999="S16",3,X2999="E8",4,X2999="F4",5,X2999="2ND",6,X2999="Champions",7)</f>
        <v>0</v>
      </c>
      <c r="X2999" t="s">
        <v>425</v>
      </c>
      <c r="Y2999" t="s">
        <v>425</v>
      </c>
      <c r="Z2999">
        <v>2022</v>
      </c>
    </row>
    <row r="3000" spans="1:26" x14ac:dyDescent="0.3">
      <c r="A3000" t="s">
        <v>207</v>
      </c>
      <c r="B3000" t="s">
        <v>40</v>
      </c>
      <c r="C3000">
        <v>31</v>
      </c>
      <c r="D3000">
        <v>17</v>
      </c>
      <c r="E3000" s="1">
        <f t="shared" si="46"/>
        <v>0.54838709677419351</v>
      </c>
      <c r="F3000">
        <v>104.7</v>
      </c>
      <c r="G3000">
        <v>106.4</v>
      </c>
      <c r="H3000">
        <v>0.45390000000000003</v>
      </c>
      <c r="I3000">
        <v>52.9</v>
      </c>
      <c r="J3000">
        <v>52.6</v>
      </c>
      <c r="K3000">
        <v>17.2</v>
      </c>
      <c r="L3000">
        <v>16.899999999999999</v>
      </c>
      <c r="M3000">
        <v>22.7</v>
      </c>
      <c r="N3000">
        <v>25.6</v>
      </c>
      <c r="O3000">
        <v>28</v>
      </c>
      <c r="P3000">
        <v>26.5</v>
      </c>
      <c r="Q3000">
        <v>53.6</v>
      </c>
      <c r="R3000">
        <v>51.7</v>
      </c>
      <c r="S3000">
        <v>34.5</v>
      </c>
      <c r="T3000">
        <v>36.200000000000003</v>
      </c>
      <c r="U3000">
        <v>65.400000000000006</v>
      </c>
      <c r="V3000">
        <v>-7.4</v>
      </c>
      <c r="W3000" cm="1">
        <f t="array" ref="W3000">_xlfn.IFS(OR(X3000="N/A",X3000="NA"),0,OR(X3000="R64",X3000="R68"),1,X3000="R32",2,X3000="S16",3,X3000="E8",4,X3000="F4",5,X3000="2ND",6,X3000="Champions",7)</f>
        <v>0</v>
      </c>
      <c r="X3000" t="s">
        <v>425</v>
      </c>
      <c r="Y3000" t="s">
        <v>425</v>
      </c>
      <c r="Z3000">
        <v>2022</v>
      </c>
    </row>
    <row r="3001" spans="1:26" x14ac:dyDescent="0.3">
      <c r="A3001" t="s">
        <v>95</v>
      </c>
      <c r="B3001" t="s">
        <v>45</v>
      </c>
      <c r="C3001">
        <v>32</v>
      </c>
      <c r="D3001">
        <v>15</v>
      </c>
      <c r="E3001" s="1">
        <f t="shared" si="46"/>
        <v>0.46875</v>
      </c>
      <c r="F3001">
        <v>110.9</v>
      </c>
      <c r="G3001">
        <v>112.8</v>
      </c>
      <c r="H3001">
        <v>0.4516</v>
      </c>
      <c r="I3001">
        <v>51.3</v>
      </c>
      <c r="J3001">
        <v>55.2</v>
      </c>
      <c r="K3001">
        <v>16.600000000000001</v>
      </c>
      <c r="L3001">
        <v>18</v>
      </c>
      <c r="M3001">
        <v>29.3</v>
      </c>
      <c r="N3001">
        <v>29.7</v>
      </c>
      <c r="O3001">
        <v>32.799999999999997</v>
      </c>
      <c r="P3001">
        <v>29.3</v>
      </c>
      <c r="Q3001">
        <v>48</v>
      </c>
      <c r="R3001">
        <v>54.7</v>
      </c>
      <c r="S3001">
        <v>37.1</v>
      </c>
      <c r="T3001">
        <v>37.4</v>
      </c>
      <c r="U3001">
        <v>69.099999999999994</v>
      </c>
      <c r="V3001">
        <v>-9</v>
      </c>
      <c r="W3001" cm="1">
        <f t="array" ref="W3001">_xlfn.IFS(OR(X3001="N/A",X3001="NA"),0,OR(X3001="R64",X3001="R68"),1,X3001="R32",2,X3001="S16",3,X3001="E8",4,X3001="F4",5,X3001="2ND",6,X3001="Champions",7)</f>
        <v>0</v>
      </c>
      <c r="X3001" t="s">
        <v>425</v>
      </c>
      <c r="Y3001" t="s">
        <v>425</v>
      </c>
      <c r="Z3001">
        <v>2022</v>
      </c>
    </row>
    <row r="3002" spans="1:26" x14ac:dyDescent="0.3">
      <c r="A3002" t="s">
        <v>365</v>
      </c>
      <c r="B3002" t="s">
        <v>29</v>
      </c>
      <c r="C3002">
        <v>32</v>
      </c>
      <c r="D3002">
        <v>6</v>
      </c>
      <c r="E3002" s="1">
        <f t="shared" si="46"/>
        <v>0.1875</v>
      </c>
      <c r="F3002">
        <v>107</v>
      </c>
      <c r="G3002">
        <v>108.8</v>
      </c>
      <c r="H3002">
        <v>0.45129999999999998</v>
      </c>
      <c r="I3002">
        <v>50.2</v>
      </c>
      <c r="J3002">
        <v>54.6</v>
      </c>
      <c r="K3002">
        <v>20.7</v>
      </c>
      <c r="L3002">
        <v>15.7</v>
      </c>
      <c r="M3002">
        <v>25.8</v>
      </c>
      <c r="N3002">
        <v>30.1</v>
      </c>
      <c r="O3002">
        <v>39</v>
      </c>
      <c r="P3002">
        <v>24.1</v>
      </c>
      <c r="Q3002">
        <v>51.3</v>
      </c>
      <c r="R3002">
        <v>56.1</v>
      </c>
      <c r="S3002">
        <v>32.1</v>
      </c>
      <c r="T3002">
        <v>34.9</v>
      </c>
      <c r="U3002">
        <v>68.8</v>
      </c>
      <c r="V3002">
        <v>-13.7</v>
      </c>
      <c r="W3002" cm="1">
        <f t="array" ref="W3002">_xlfn.IFS(OR(X3002="N/A",X3002="NA"),0,OR(X3002="R64",X3002="R68"),1,X3002="R32",2,X3002="S16",3,X3002="E8",4,X3002="F4",5,X3002="2ND",6,X3002="Champions",7)</f>
        <v>0</v>
      </c>
      <c r="X3002" t="s">
        <v>425</v>
      </c>
      <c r="Y3002" t="s">
        <v>425</v>
      </c>
      <c r="Z3002">
        <v>2022</v>
      </c>
    </row>
    <row r="3003" spans="1:26" x14ac:dyDescent="0.3">
      <c r="A3003" t="s">
        <v>174</v>
      </c>
      <c r="B3003" t="s">
        <v>164</v>
      </c>
      <c r="C3003">
        <v>31</v>
      </c>
      <c r="D3003">
        <v>21</v>
      </c>
      <c r="E3003" s="1">
        <f t="shared" si="46"/>
        <v>0.67741935483870963</v>
      </c>
      <c r="F3003">
        <v>101.3</v>
      </c>
      <c r="G3003">
        <v>103.2</v>
      </c>
      <c r="H3003">
        <v>0.44890000000000002</v>
      </c>
      <c r="I3003">
        <v>53.5</v>
      </c>
      <c r="J3003">
        <v>52.3</v>
      </c>
      <c r="K3003">
        <v>16.3</v>
      </c>
      <c r="L3003">
        <v>20.2</v>
      </c>
      <c r="M3003">
        <v>20</v>
      </c>
      <c r="N3003">
        <v>24.9</v>
      </c>
      <c r="O3003">
        <v>37.799999999999997</v>
      </c>
      <c r="P3003">
        <v>26.9</v>
      </c>
      <c r="Q3003">
        <v>54.5</v>
      </c>
      <c r="R3003">
        <v>49.2</v>
      </c>
      <c r="S3003">
        <v>34.6</v>
      </c>
      <c r="T3003">
        <v>38.1</v>
      </c>
      <c r="U3003">
        <v>69.599999999999994</v>
      </c>
      <c r="V3003">
        <v>-7.7</v>
      </c>
      <c r="W3003" cm="1">
        <f t="array" ref="W3003">_xlfn.IFS(OR(X3003="N/A",X3003="NA"),0,OR(X3003="R64",X3003="R68"),1,X3003="R32",2,X3003="S16",3,X3003="E8",4,X3003="F4",5,X3003="2ND",6,X3003="Champions",7)</f>
        <v>0</v>
      </c>
      <c r="X3003" t="s">
        <v>425</v>
      </c>
      <c r="Y3003" t="s">
        <v>425</v>
      </c>
      <c r="Z3003">
        <v>2022</v>
      </c>
    </row>
    <row r="3004" spans="1:26" x14ac:dyDescent="0.3">
      <c r="A3004" t="s">
        <v>107</v>
      </c>
      <c r="B3004" t="s">
        <v>26</v>
      </c>
      <c r="C3004">
        <v>32</v>
      </c>
      <c r="D3004">
        <v>11</v>
      </c>
      <c r="E3004" s="1">
        <f t="shared" si="46"/>
        <v>0.34375</v>
      </c>
      <c r="F3004">
        <v>98.9</v>
      </c>
      <c r="G3004">
        <v>101.1</v>
      </c>
      <c r="H3004">
        <v>0.43790000000000001</v>
      </c>
      <c r="I3004">
        <v>46.7</v>
      </c>
      <c r="J3004">
        <v>52</v>
      </c>
      <c r="K3004">
        <v>21.2</v>
      </c>
      <c r="L3004">
        <v>16.5</v>
      </c>
      <c r="M3004">
        <v>30.5</v>
      </c>
      <c r="N3004">
        <v>26.1</v>
      </c>
      <c r="O3004">
        <v>39.4</v>
      </c>
      <c r="P3004">
        <v>29.4</v>
      </c>
      <c r="Q3004">
        <v>46.5</v>
      </c>
      <c r="R3004">
        <v>49.5</v>
      </c>
      <c r="S3004">
        <v>31.4</v>
      </c>
      <c r="T3004">
        <v>36.799999999999997</v>
      </c>
      <c r="U3004">
        <v>64</v>
      </c>
      <c r="V3004">
        <v>-8.9</v>
      </c>
      <c r="W3004" cm="1">
        <f t="array" ref="W3004">_xlfn.IFS(OR(X3004="N/A",X3004="NA"),0,OR(X3004="R64",X3004="R68"),1,X3004="R32",2,X3004="S16",3,X3004="E8",4,X3004="F4",5,X3004="2ND",6,X3004="Champions",7)</f>
        <v>0</v>
      </c>
      <c r="X3004" t="s">
        <v>425</v>
      </c>
      <c r="Y3004" t="s">
        <v>425</v>
      </c>
      <c r="Z3004">
        <v>2022</v>
      </c>
    </row>
    <row r="3005" spans="1:26" x14ac:dyDescent="0.3">
      <c r="A3005" t="s">
        <v>429</v>
      </c>
      <c r="B3005" t="s">
        <v>51</v>
      </c>
      <c r="C3005">
        <v>28</v>
      </c>
      <c r="D3005">
        <v>14</v>
      </c>
      <c r="E3005" s="1">
        <f t="shared" si="46"/>
        <v>0.5</v>
      </c>
      <c r="F3005">
        <v>99.3</v>
      </c>
      <c r="G3005">
        <v>101.6</v>
      </c>
      <c r="H3005">
        <v>0.43569999999999998</v>
      </c>
      <c r="I3005">
        <v>46.3</v>
      </c>
      <c r="J3005">
        <v>52.4</v>
      </c>
      <c r="K3005">
        <v>18.2</v>
      </c>
      <c r="L3005">
        <v>24.7</v>
      </c>
      <c r="M3005">
        <v>27</v>
      </c>
      <c r="N3005">
        <v>34</v>
      </c>
      <c r="O3005">
        <v>33.700000000000003</v>
      </c>
      <c r="P3005">
        <v>35.6</v>
      </c>
      <c r="Q3005">
        <v>46.3</v>
      </c>
      <c r="R3005">
        <v>54.7</v>
      </c>
      <c r="S3005">
        <v>30.9</v>
      </c>
      <c r="T3005">
        <v>32.9</v>
      </c>
      <c r="U3005">
        <v>63.2</v>
      </c>
      <c r="V3005">
        <v>-9.5</v>
      </c>
      <c r="W3005" cm="1">
        <f t="array" ref="W3005">_xlfn.IFS(OR(X3005="N/A",X3005="NA"),0,OR(X3005="R64",X3005="R68"),1,X3005="R32",2,X3005="S16",3,X3005="E8",4,X3005="F4",5,X3005="2ND",6,X3005="Champions",7)</f>
        <v>0</v>
      </c>
      <c r="X3005" t="s">
        <v>425</v>
      </c>
      <c r="Y3005" t="s">
        <v>425</v>
      </c>
      <c r="Z3005">
        <v>2022</v>
      </c>
    </row>
    <row r="3006" spans="1:26" x14ac:dyDescent="0.3">
      <c r="A3006" t="s">
        <v>278</v>
      </c>
      <c r="B3006" t="s">
        <v>47</v>
      </c>
      <c r="C3006">
        <v>31</v>
      </c>
      <c r="D3006">
        <v>13</v>
      </c>
      <c r="E3006" s="1">
        <f t="shared" si="46"/>
        <v>0.41935483870967744</v>
      </c>
      <c r="F3006">
        <v>103.6</v>
      </c>
      <c r="G3006">
        <v>106.1</v>
      </c>
      <c r="H3006">
        <v>0.43070000000000003</v>
      </c>
      <c r="I3006">
        <v>51.8</v>
      </c>
      <c r="J3006">
        <v>51</v>
      </c>
      <c r="K3006">
        <v>19.5</v>
      </c>
      <c r="L3006">
        <v>17.2</v>
      </c>
      <c r="M3006">
        <v>28.5</v>
      </c>
      <c r="N3006">
        <v>29.8</v>
      </c>
      <c r="O3006">
        <v>31.3</v>
      </c>
      <c r="P3006">
        <v>31.9</v>
      </c>
      <c r="Q3006">
        <v>49.7</v>
      </c>
      <c r="R3006">
        <v>50.5</v>
      </c>
      <c r="S3006">
        <v>36.9</v>
      </c>
      <c r="T3006">
        <v>34.5</v>
      </c>
      <c r="U3006">
        <v>68</v>
      </c>
      <c r="V3006">
        <v>-12.4</v>
      </c>
      <c r="W3006" cm="1">
        <f t="array" ref="W3006">_xlfn.IFS(OR(X3006="N/A",X3006="NA"),0,OR(X3006="R64",X3006="R68"),1,X3006="R32",2,X3006="S16",3,X3006="E8",4,X3006="F4",5,X3006="2ND",6,X3006="Champions",7)</f>
        <v>0</v>
      </c>
      <c r="X3006" t="s">
        <v>425</v>
      </c>
      <c r="Y3006" t="s">
        <v>425</v>
      </c>
      <c r="Z3006">
        <v>2022</v>
      </c>
    </row>
    <row r="3007" spans="1:26" x14ac:dyDescent="0.3">
      <c r="A3007" t="s">
        <v>404</v>
      </c>
      <c r="B3007" t="s">
        <v>72</v>
      </c>
      <c r="C3007">
        <v>27</v>
      </c>
      <c r="D3007">
        <v>19</v>
      </c>
      <c r="E3007" s="1">
        <f t="shared" si="46"/>
        <v>0.70370370370370372</v>
      </c>
      <c r="F3007">
        <v>100.4</v>
      </c>
      <c r="G3007">
        <v>103</v>
      </c>
      <c r="H3007">
        <v>0.42770000000000002</v>
      </c>
      <c r="I3007">
        <v>52.3</v>
      </c>
      <c r="J3007">
        <v>52</v>
      </c>
      <c r="K3007">
        <v>15.6</v>
      </c>
      <c r="L3007">
        <v>21</v>
      </c>
      <c r="M3007">
        <v>21.5</v>
      </c>
      <c r="N3007">
        <v>26.6</v>
      </c>
      <c r="O3007">
        <v>31.6</v>
      </c>
      <c r="P3007">
        <v>44.4</v>
      </c>
      <c r="Q3007">
        <v>51.6</v>
      </c>
      <c r="R3007">
        <v>52.8</v>
      </c>
      <c r="S3007">
        <v>35.799999999999997</v>
      </c>
      <c r="T3007">
        <v>33.6</v>
      </c>
      <c r="U3007">
        <v>67.3</v>
      </c>
      <c r="V3007">
        <v>-7.3</v>
      </c>
      <c r="W3007" cm="1">
        <f t="array" ref="W3007">_xlfn.IFS(OR(X3007="N/A",X3007="NA"),0,OR(X3007="R64",X3007="R68"),1,X3007="R32",2,X3007="S16",3,X3007="E8",4,X3007="F4",5,X3007="2ND",6,X3007="Champions",7)</f>
        <v>0</v>
      </c>
      <c r="X3007" t="s">
        <v>425</v>
      </c>
      <c r="Y3007" t="s">
        <v>425</v>
      </c>
      <c r="Z3007">
        <v>2022</v>
      </c>
    </row>
    <row r="3008" spans="1:26" x14ac:dyDescent="0.3">
      <c r="A3008" t="s">
        <v>338</v>
      </c>
      <c r="B3008" t="s">
        <v>58</v>
      </c>
      <c r="C3008">
        <v>26</v>
      </c>
      <c r="D3008">
        <v>18</v>
      </c>
      <c r="E3008" s="1">
        <f t="shared" si="46"/>
        <v>0.69230769230769229</v>
      </c>
      <c r="F3008">
        <v>98</v>
      </c>
      <c r="G3008">
        <v>100.5</v>
      </c>
      <c r="H3008">
        <v>0.42570000000000002</v>
      </c>
      <c r="I3008">
        <v>49.3</v>
      </c>
      <c r="J3008">
        <v>49.2</v>
      </c>
      <c r="K3008">
        <v>20.6</v>
      </c>
      <c r="L3008">
        <v>19.3</v>
      </c>
      <c r="M3008">
        <v>29.4</v>
      </c>
      <c r="N3008">
        <v>28.4</v>
      </c>
      <c r="O3008">
        <v>34.5</v>
      </c>
      <c r="P3008">
        <v>28.2</v>
      </c>
      <c r="Q3008">
        <v>50</v>
      </c>
      <c r="R3008">
        <v>48.8</v>
      </c>
      <c r="S3008">
        <v>31.9</v>
      </c>
      <c r="T3008">
        <v>33.299999999999997</v>
      </c>
      <c r="U3008">
        <v>68.2</v>
      </c>
      <c r="V3008">
        <v>-5.9</v>
      </c>
      <c r="W3008" cm="1">
        <f t="array" ref="W3008">_xlfn.IFS(OR(X3008="N/A",X3008="NA"),0,OR(X3008="R64",X3008="R68"),1,X3008="R32",2,X3008="S16",3,X3008="E8",4,X3008="F4",5,X3008="2ND",6,X3008="Champions",7)</f>
        <v>0</v>
      </c>
      <c r="X3008" t="s">
        <v>425</v>
      </c>
      <c r="Y3008" t="s">
        <v>425</v>
      </c>
      <c r="Z3008">
        <v>2022</v>
      </c>
    </row>
    <row r="3009" spans="1:26" x14ac:dyDescent="0.3">
      <c r="A3009" t="s">
        <v>279</v>
      </c>
      <c r="B3009" t="s">
        <v>47</v>
      </c>
      <c r="C3009">
        <v>28</v>
      </c>
      <c r="D3009">
        <v>11</v>
      </c>
      <c r="E3009" s="1">
        <f t="shared" si="46"/>
        <v>0.39285714285714285</v>
      </c>
      <c r="F3009">
        <v>98.6</v>
      </c>
      <c r="G3009">
        <v>101.6</v>
      </c>
      <c r="H3009">
        <v>0.41589999999999999</v>
      </c>
      <c r="I3009">
        <v>50.6</v>
      </c>
      <c r="J3009">
        <v>51.7</v>
      </c>
      <c r="K3009">
        <v>19.2</v>
      </c>
      <c r="L3009">
        <v>15.8</v>
      </c>
      <c r="M3009">
        <v>17.3</v>
      </c>
      <c r="N3009">
        <v>22.5</v>
      </c>
      <c r="O3009">
        <v>26.4</v>
      </c>
      <c r="P3009">
        <v>26.2</v>
      </c>
      <c r="Q3009">
        <v>52.8</v>
      </c>
      <c r="R3009">
        <v>50.1</v>
      </c>
      <c r="S3009">
        <v>32</v>
      </c>
      <c r="T3009">
        <v>36.1</v>
      </c>
      <c r="U3009">
        <v>69.5</v>
      </c>
      <c r="V3009">
        <v>-12.3</v>
      </c>
      <c r="W3009" cm="1">
        <f t="array" ref="W3009">_xlfn.IFS(OR(X3009="N/A",X3009="NA"),0,OR(X3009="R64",X3009="R68"),1,X3009="R32",2,X3009="S16",3,X3009="E8",4,X3009="F4",5,X3009="2ND",6,X3009="Champions",7)</f>
        <v>0</v>
      </c>
      <c r="X3009" t="s">
        <v>425</v>
      </c>
      <c r="Y3009" t="s">
        <v>425</v>
      </c>
      <c r="Z3009">
        <v>2022</v>
      </c>
    </row>
    <row r="3010" spans="1:26" x14ac:dyDescent="0.3">
      <c r="A3010" t="s">
        <v>344</v>
      </c>
      <c r="B3010" t="s">
        <v>58</v>
      </c>
      <c r="C3010">
        <v>29</v>
      </c>
      <c r="D3010">
        <v>20</v>
      </c>
      <c r="E3010" s="1">
        <f t="shared" si="46"/>
        <v>0.68965517241379315</v>
      </c>
      <c r="F3010">
        <v>97.3</v>
      </c>
      <c r="G3010">
        <v>100.2</v>
      </c>
      <c r="H3010">
        <v>0.41460000000000002</v>
      </c>
      <c r="I3010">
        <v>47.6</v>
      </c>
      <c r="J3010">
        <v>48.5</v>
      </c>
      <c r="K3010">
        <v>22.1</v>
      </c>
      <c r="L3010">
        <v>20.3</v>
      </c>
      <c r="M3010">
        <v>31.6</v>
      </c>
      <c r="N3010">
        <v>27.6</v>
      </c>
      <c r="O3010">
        <v>34.9</v>
      </c>
      <c r="P3010">
        <v>34.5</v>
      </c>
      <c r="Q3010">
        <v>47.1</v>
      </c>
      <c r="R3010">
        <v>47.9</v>
      </c>
      <c r="S3010">
        <v>32.299999999999997</v>
      </c>
      <c r="T3010">
        <v>33.1</v>
      </c>
      <c r="U3010">
        <v>67.099999999999994</v>
      </c>
      <c r="V3010">
        <v>-5.8</v>
      </c>
      <c r="W3010" cm="1">
        <f t="array" ref="W3010">_xlfn.IFS(OR(X3010="N/A",X3010="NA"),0,OR(X3010="R64",X3010="R68"),1,X3010="R32",2,X3010="S16",3,X3010="E8",4,X3010="F4",5,X3010="2ND",6,X3010="Champions",7)</f>
        <v>0</v>
      </c>
      <c r="X3010" t="s">
        <v>425</v>
      </c>
      <c r="Y3010" t="s">
        <v>425</v>
      </c>
      <c r="Z3010">
        <v>2022</v>
      </c>
    </row>
    <row r="3011" spans="1:26" x14ac:dyDescent="0.3">
      <c r="A3011" t="s">
        <v>375</v>
      </c>
      <c r="B3011" t="s">
        <v>61</v>
      </c>
      <c r="C3011">
        <v>29</v>
      </c>
      <c r="D3011">
        <v>21</v>
      </c>
      <c r="E3011" s="1">
        <f t="shared" ref="E3011:E3074" si="47">D3011/C3011</f>
        <v>0.72413793103448276</v>
      </c>
      <c r="F3011">
        <v>99.6</v>
      </c>
      <c r="G3011">
        <v>102.7</v>
      </c>
      <c r="H3011">
        <v>0.41139999999999999</v>
      </c>
      <c r="I3011">
        <v>52.1</v>
      </c>
      <c r="J3011">
        <v>48.3</v>
      </c>
      <c r="K3011">
        <v>17.3</v>
      </c>
      <c r="L3011">
        <v>19.7</v>
      </c>
      <c r="M3011">
        <v>29.6</v>
      </c>
      <c r="N3011">
        <v>30.6</v>
      </c>
      <c r="O3011">
        <v>21.6</v>
      </c>
      <c r="P3011">
        <v>36.299999999999997</v>
      </c>
      <c r="Q3011">
        <v>54.5</v>
      </c>
      <c r="R3011">
        <v>47.2</v>
      </c>
      <c r="S3011">
        <v>32.1</v>
      </c>
      <c r="T3011">
        <v>33.299999999999997</v>
      </c>
      <c r="U3011">
        <v>69.8</v>
      </c>
      <c r="V3011">
        <v>-5.8</v>
      </c>
      <c r="W3011" cm="1">
        <f t="array" ref="W3011">_xlfn.IFS(OR(X3011="N/A",X3011="NA"),0,OR(X3011="R64",X3011="R68"),1,X3011="R32",2,X3011="S16",3,X3011="E8",4,X3011="F4",5,X3011="2ND",6,X3011="Champions",7)</f>
        <v>0</v>
      </c>
      <c r="X3011" t="s">
        <v>425</v>
      </c>
      <c r="Y3011" t="s">
        <v>425</v>
      </c>
      <c r="Z3011">
        <v>2022</v>
      </c>
    </row>
    <row r="3012" spans="1:26" x14ac:dyDescent="0.3">
      <c r="A3012" t="s">
        <v>409</v>
      </c>
      <c r="B3012" t="s">
        <v>37</v>
      </c>
      <c r="C3012">
        <v>28</v>
      </c>
      <c r="D3012">
        <v>11</v>
      </c>
      <c r="E3012" s="1">
        <f t="shared" si="47"/>
        <v>0.39285714285714285</v>
      </c>
      <c r="F3012">
        <v>105.1</v>
      </c>
      <c r="G3012">
        <v>108.5</v>
      </c>
      <c r="H3012">
        <v>0.41049999999999998</v>
      </c>
      <c r="I3012">
        <v>51.9</v>
      </c>
      <c r="J3012">
        <v>54.7</v>
      </c>
      <c r="K3012">
        <v>19.2</v>
      </c>
      <c r="L3012">
        <v>18.100000000000001</v>
      </c>
      <c r="M3012">
        <v>24.4</v>
      </c>
      <c r="N3012">
        <v>27.3</v>
      </c>
      <c r="O3012">
        <v>31.1</v>
      </c>
      <c r="P3012">
        <v>31.9</v>
      </c>
      <c r="Q3012">
        <v>52.3</v>
      </c>
      <c r="R3012">
        <v>55</v>
      </c>
      <c r="S3012">
        <v>34.200000000000003</v>
      </c>
      <c r="T3012">
        <v>36</v>
      </c>
      <c r="U3012">
        <v>65.8</v>
      </c>
      <c r="V3012">
        <v>-9.4</v>
      </c>
      <c r="W3012" cm="1">
        <f t="array" ref="W3012">_xlfn.IFS(OR(X3012="N/A",X3012="NA"),0,OR(X3012="R64",X3012="R68"),1,X3012="R32",2,X3012="S16",3,X3012="E8",4,X3012="F4",5,X3012="2ND",6,X3012="Champions",7)</f>
        <v>0</v>
      </c>
      <c r="X3012" t="s">
        <v>425</v>
      </c>
      <c r="Y3012" t="s">
        <v>425</v>
      </c>
      <c r="Z3012">
        <v>2022</v>
      </c>
    </row>
    <row r="3013" spans="1:26" x14ac:dyDescent="0.3">
      <c r="A3013" t="s">
        <v>229</v>
      </c>
      <c r="B3013" t="s">
        <v>47</v>
      </c>
      <c r="C3013">
        <v>30</v>
      </c>
      <c r="D3013">
        <v>14</v>
      </c>
      <c r="E3013" s="1">
        <f t="shared" si="47"/>
        <v>0.46666666666666667</v>
      </c>
      <c r="F3013">
        <v>102.1</v>
      </c>
      <c r="G3013">
        <v>105.4</v>
      </c>
      <c r="H3013">
        <v>0.41049999999999998</v>
      </c>
      <c r="I3013">
        <v>51</v>
      </c>
      <c r="J3013">
        <v>52.3</v>
      </c>
      <c r="K3013">
        <v>16.5</v>
      </c>
      <c r="L3013">
        <v>16.5</v>
      </c>
      <c r="M3013">
        <v>20.3</v>
      </c>
      <c r="N3013">
        <v>24.8</v>
      </c>
      <c r="O3013">
        <v>26.9</v>
      </c>
      <c r="P3013">
        <v>22.6</v>
      </c>
      <c r="Q3013">
        <v>52.1</v>
      </c>
      <c r="R3013">
        <v>51.6</v>
      </c>
      <c r="S3013">
        <v>32.9</v>
      </c>
      <c r="T3013">
        <v>35.6</v>
      </c>
      <c r="U3013">
        <v>65.2</v>
      </c>
      <c r="V3013">
        <v>-10.8</v>
      </c>
      <c r="W3013" cm="1">
        <f t="array" ref="W3013">_xlfn.IFS(OR(X3013="N/A",X3013="NA"),0,OR(X3013="R64",X3013="R68"),1,X3013="R32",2,X3013="S16",3,X3013="E8",4,X3013="F4",5,X3013="2ND",6,X3013="Champions",7)</f>
        <v>0</v>
      </c>
      <c r="X3013" t="s">
        <v>425</v>
      </c>
      <c r="Y3013" t="s">
        <v>425</v>
      </c>
      <c r="Z3013">
        <v>2022</v>
      </c>
    </row>
    <row r="3014" spans="1:26" x14ac:dyDescent="0.3">
      <c r="A3014" t="s">
        <v>193</v>
      </c>
      <c r="B3014" t="s">
        <v>48</v>
      </c>
      <c r="C3014">
        <v>22</v>
      </c>
      <c r="D3014">
        <v>13</v>
      </c>
      <c r="E3014" s="1">
        <f t="shared" si="47"/>
        <v>0.59090909090909094</v>
      </c>
      <c r="F3014">
        <v>97.4</v>
      </c>
      <c r="G3014">
        <v>100.7</v>
      </c>
      <c r="H3014">
        <v>0.40720000000000001</v>
      </c>
      <c r="I3014">
        <v>48.6</v>
      </c>
      <c r="J3014">
        <v>47.3</v>
      </c>
      <c r="K3014">
        <v>17.899999999999999</v>
      </c>
      <c r="L3014">
        <v>19.2</v>
      </c>
      <c r="M3014">
        <v>26.2</v>
      </c>
      <c r="N3014">
        <v>28.9</v>
      </c>
      <c r="O3014">
        <v>29.4</v>
      </c>
      <c r="P3014">
        <v>36.9</v>
      </c>
      <c r="Q3014">
        <v>48.7</v>
      </c>
      <c r="R3014">
        <v>45.4</v>
      </c>
      <c r="S3014">
        <v>32.299999999999997</v>
      </c>
      <c r="T3014">
        <v>33.9</v>
      </c>
      <c r="U3014">
        <v>67.3</v>
      </c>
      <c r="V3014">
        <v>-8.1</v>
      </c>
      <c r="W3014" cm="1">
        <f t="array" ref="W3014">_xlfn.IFS(OR(X3014="N/A",X3014="NA"),0,OR(X3014="R64",X3014="R68"),1,X3014="R32",2,X3014="S16",3,X3014="E8",4,X3014="F4",5,X3014="2ND",6,X3014="Champions",7)</f>
        <v>0</v>
      </c>
      <c r="X3014" t="s">
        <v>425</v>
      </c>
      <c r="Y3014" t="s">
        <v>425</v>
      </c>
      <c r="Z3014">
        <v>2022</v>
      </c>
    </row>
    <row r="3015" spans="1:26" x14ac:dyDescent="0.3">
      <c r="A3015" t="s">
        <v>389</v>
      </c>
      <c r="B3015" t="s">
        <v>43</v>
      </c>
      <c r="C3015">
        <v>31</v>
      </c>
      <c r="D3015">
        <v>21</v>
      </c>
      <c r="E3015" s="1">
        <f t="shared" si="47"/>
        <v>0.67741935483870963</v>
      </c>
      <c r="F3015">
        <v>99.1</v>
      </c>
      <c r="G3015">
        <v>102.4</v>
      </c>
      <c r="H3015">
        <v>0.40660000000000002</v>
      </c>
      <c r="I3015">
        <v>53.1</v>
      </c>
      <c r="J3015">
        <v>53.4</v>
      </c>
      <c r="K3015">
        <v>19.2</v>
      </c>
      <c r="L3015">
        <v>21.6</v>
      </c>
      <c r="M3015">
        <v>22.4</v>
      </c>
      <c r="N3015">
        <v>27.1</v>
      </c>
      <c r="O3015">
        <v>27.4</v>
      </c>
      <c r="P3015">
        <v>25.9</v>
      </c>
      <c r="Q3015">
        <v>51.9</v>
      </c>
      <c r="R3015">
        <v>53.6</v>
      </c>
      <c r="S3015">
        <v>36.4</v>
      </c>
      <c r="T3015">
        <v>35.4</v>
      </c>
      <c r="U3015">
        <v>68.3</v>
      </c>
      <c r="V3015">
        <v>-7.4</v>
      </c>
      <c r="W3015" cm="1">
        <f t="array" ref="W3015">_xlfn.IFS(OR(X3015="N/A",X3015="NA"),0,OR(X3015="R64",X3015="R68"),1,X3015="R32",2,X3015="S16",3,X3015="E8",4,X3015="F4",5,X3015="2ND",6,X3015="Champions",7)</f>
        <v>0</v>
      </c>
      <c r="X3015" t="s">
        <v>425</v>
      </c>
      <c r="Y3015" t="s">
        <v>425</v>
      </c>
      <c r="Z3015">
        <v>2022</v>
      </c>
    </row>
    <row r="3016" spans="1:26" x14ac:dyDescent="0.3">
      <c r="A3016" t="s">
        <v>245</v>
      </c>
      <c r="B3016" t="s">
        <v>69</v>
      </c>
      <c r="C3016">
        <v>29</v>
      </c>
      <c r="D3016">
        <v>14</v>
      </c>
      <c r="E3016" s="1">
        <f t="shared" si="47"/>
        <v>0.48275862068965519</v>
      </c>
      <c r="F3016">
        <v>98.4</v>
      </c>
      <c r="G3016">
        <v>101.8</v>
      </c>
      <c r="H3016">
        <v>0.4042</v>
      </c>
      <c r="I3016">
        <v>49.3</v>
      </c>
      <c r="J3016">
        <v>48.2</v>
      </c>
      <c r="K3016">
        <v>16.7</v>
      </c>
      <c r="L3016">
        <v>17.100000000000001</v>
      </c>
      <c r="M3016">
        <v>23.1</v>
      </c>
      <c r="N3016">
        <v>27.1</v>
      </c>
      <c r="O3016">
        <v>28.1</v>
      </c>
      <c r="P3016">
        <v>28.8</v>
      </c>
      <c r="Q3016">
        <v>48.2</v>
      </c>
      <c r="R3016">
        <v>46.9</v>
      </c>
      <c r="S3016">
        <v>34</v>
      </c>
      <c r="T3016">
        <v>33.6</v>
      </c>
      <c r="U3016">
        <v>64.3</v>
      </c>
      <c r="V3016">
        <v>-10.5</v>
      </c>
      <c r="W3016" cm="1">
        <f t="array" ref="W3016">_xlfn.IFS(OR(X3016="N/A",X3016="NA"),0,OR(X3016="R64",X3016="R68"),1,X3016="R32",2,X3016="S16",3,X3016="E8",4,X3016="F4",5,X3016="2ND",6,X3016="Champions",7)</f>
        <v>0</v>
      </c>
      <c r="X3016" t="s">
        <v>425</v>
      </c>
      <c r="Y3016" t="s">
        <v>425</v>
      </c>
      <c r="Z3016">
        <v>2022</v>
      </c>
    </row>
    <row r="3017" spans="1:26" x14ac:dyDescent="0.3">
      <c r="A3017" t="s">
        <v>241</v>
      </c>
      <c r="B3017" t="s">
        <v>69</v>
      </c>
      <c r="C3017">
        <v>32</v>
      </c>
      <c r="D3017">
        <v>15</v>
      </c>
      <c r="E3017" s="1">
        <f t="shared" si="47"/>
        <v>0.46875</v>
      </c>
      <c r="F3017">
        <v>99.4</v>
      </c>
      <c r="G3017">
        <v>103.1</v>
      </c>
      <c r="H3017">
        <v>0.39860000000000001</v>
      </c>
      <c r="I3017">
        <v>49.3</v>
      </c>
      <c r="J3017">
        <v>48.1</v>
      </c>
      <c r="K3017">
        <v>16.8</v>
      </c>
      <c r="L3017">
        <v>17</v>
      </c>
      <c r="M3017">
        <v>27.4</v>
      </c>
      <c r="N3017">
        <v>27.7</v>
      </c>
      <c r="O3017">
        <v>26.6</v>
      </c>
      <c r="P3017">
        <v>31.2</v>
      </c>
      <c r="Q3017">
        <v>48.6</v>
      </c>
      <c r="R3017">
        <v>48.1</v>
      </c>
      <c r="S3017">
        <v>33.5</v>
      </c>
      <c r="T3017">
        <v>32.200000000000003</v>
      </c>
      <c r="U3017">
        <v>64.3</v>
      </c>
      <c r="V3017">
        <v>-12.7</v>
      </c>
      <c r="W3017" cm="1">
        <f t="array" ref="W3017">_xlfn.IFS(OR(X3017="N/A",X3017="NA"),0,OR(X3017="R64",X3017="R68"),1,X3017="R32",2,X3017="S16",3,X3017="E8",4,X3017="F4",5,X3017="2ND",6,X3017="Champions",7)</f>
        <v>0</v>
      </c>
      <c r="X3017" t="s">
        <v>425</v>
      </c>
      <c r="Y3017" t="s">
        <v>425</v>
      </c>
      <c r="Z3017">
        <v>2022</v>
      </c>
    </row>
    <row r="3018" spans="1:26" x14ac:dyDescent="0.3">
      <c r="A3018" t="s">
        <v>239</v>
      </c>
      <c r="B3018" t="s">
        <v>59</v>
      </c>
      <c r="C3018">
        <v>23</v>
      </c>
      <c r="D3018">
        <v>13</v>
      </c>
      <c r="E3018" s="1">
        <f t="shared" si="47"/>
        <v>0.56521739130434778</v>
      </c>
      <c r="F3018">
        <v>97</v>
      </c>
      <c r="G3018">
        <v>100.7</v>
      </c>
      <c r="H3018">
        <v>0.39560000000000001</v>
      </c>
      <c r="I3018">
        <v>49.6</v>
      </c>
      <c r="J3018">
        <v>52.1</v>
      </c>
      <c r="K3018">
        <v>17.5</v>
      </c>
      <c r="L3018">
        <v>20.7</v>
      </c>
      <c r="M3018">
        <v>25.2</v>
      </c>
      <c r="N3018">
        <v>23.8</v>
      </c>
      <c r="O3018">
        <v>24.5</v>
      </c>
      <c r="P3018">
        <v>32.6</v>
      </c>
      <c r="Q3018">
        <v>50</v>
      </c>
      <c r="R3018">
        <v>49.8</v>
      </c>
      <c r="S3018">
        <v>32.6</v>
      </c>
      <c r="T3018">
        <v>37.1</v>
      </c>
      <c r="U3018">
        <v>67.2</v>
      </c>
      <c r="V3018">
        <v>-9.5</v>
      </c>
      <c r="W3018" cm="1">
        <f t="array" ref="W3018">_xlfn.IFS(OR(X3018="N/A",X3018="NA"),0,OR(X3018="R64",X3018="R68"),1,X3018="R32",2,X3018="S16",3,X3018="E8",4,X3018="F4",5,X3018="2ND",6,X3018="Champions",7)</f>
        <v>0</v>
      </c>
      <c r="X3018" t="s">
        <v>425</v>
      </c>
      <c r="Y3018" t="s">
        <v>425</v>
      </c>
      <c r="Z3018">
        <v>2022</v>
      </c>
    </row>
    <row r="3019" spans="1:26" x14ac:dyDescent="0.3">
      <c r="A3019" t="s">
        <v>184</v>
      </c>
      <c r="B3019" t="s">
        <v>74</v>
      </c>
      <c r="C3019">
        <v>29</v>
      </c>
      <c r="D3019">
        <v>17</v>
      </c>
      <c r="E3019" s="1">
        <f t="shared" si="47"/>
        <v>0.58620689655172409</v>
      </c>
      <c r="F3019">
        <v>101.3</v>
      </c>
      <c r="G3019">
        <v>105.1</v>
      </c>
      <c r="H3019">
        <v>0.39529999999999998</v>
      </c>
      <c r="I3019">
        <v>50.5</v>
      </c>
      <c r="J3019">
        <v>49.9</v>
      </c>
      <c r="K3019">
        <v>18.2</v>
      </c>
      <c r="L3019">
        <v>19</v>
      </c>
      <c r="M3019">
        <v>26.6</v>
      </c>
      <c r="N3019">
        <v>33</v>
      </c>
      <c r="O3019">
        <v>37.1</v>
      </c>
      <c r="P3019">
        <v>27.4</v>
      </c>
      <c r="Q3019">
        <v>50.1</v>
      </c>
      <c r="R3019">
        <v>52.9</v>
      </c>
      <c r="S3019">
        <v>34.1</v>
      </c>
      <c r="T3019">
        <v>29</v>
      </c>
      <c r="U3019">
        <v>66.5</v>
      </c>
      <c r="V3019">
        <v>-9.4</v>
      </c>
      <c r="W3019" cm="1">
        <f t="array" ref="W3019">_xlfn.IFS(OR(X3019="N/A",X3019="NA"),0,OR(X3019="R64",X3019="R68"),1,X3019="R32",2,X3019="S16",3,X3019="E8",4,X3019="F4",5,X3019="2ND",6,X3019="Champions",7)</f>
        <v>0</v>
      </c>
      <c r="X3019" t="s">
        <v>425</v>
      </c>
      <c r="Y3019" t="s">
        <v>425</v>
      </c>
      <c r="Z3019">
        <v>2022</v>
      </c>
    </row>
    <row r="3020" spans="1:26" x14ac:dyDescent="0.3">
      <c r="A3020" t="s">
        <v>385</v>
      </c>
      <c r="B3020" t="s">
        <v>72</v>
      </c>
      <c r="C3020">
        <v>29</v>
      </c>
      <c r="D3020">
        <v>19</v>
      </c>
      <c r="E3020" s="1">
        <f t="shared" si="47"/>
        <v>0.65517241379310343</v>
      </c>
      <c r="F3020">
        <v>103.5</v>
      </c>
      <c r="G3020">
        <v>107.5</v>
      </c>
      <c r="H3020">
        <v>0.39219999999999999</v>
      </c>
      <c r="I3020">
        <v>52</v>
      </c>
      <c r="J3020">
        <v>52.7</v>
      </c>
      <c r="K3020">
        <v>15.1</v>
      </c>
      <c r="L3020">
        <v>15.5</v>
      </c>
      <c r="M3020">
        <v>26.5</v>
      </c>
      <c r="N3020">
        <v>22.4</v>
      </c>
      <c r="O3020">
        <v>34.1</v>
      </c>
      <c r="P3020">
        <v>34.200000000000003</v>
      </c>
      <c r="Q3020">
        <v>50</v>
      </c>
      <c r="R3020">
        <v>51.7</v>
      </c>
      <c r="S3020">
        <v>37.299999999999997</v>
      </c>
      <c r="T3020">
        <v>36.200000000000003</v>
      </c>
      <c r="U3020">
        <v>65.8</v>
      </c>
      <c r="V3020">
        <v>-7.6</v>
      </c>
      <c r="W3020" cm="1">
        <f t="array" ref="W3020">_xlfn.IFS(OR(X3020="N/A",X3020="NA"),0,OR(X3020="R64",X3020="R68"),1,X3020="R32",2,X3020="S16",3,X3020="E8",4,X3020="F4",5,X3020="2ND",6,X3020="Champions",7)</f>
        <v>0</v>
      </c>
      <c r="X3020" t="s">
        <v>425</v>
      </c>
      <c r="Y3020" t="s">
        <v>425</v>
      </c>
      <c r="Z3020">
        <v>2022</v>
      </c>
    </row>
    <row r="3021" spans="1:26" x14ac:dyDescent="0.3">
      <c r="A3021" t="s">
        <v>319</v>
      </c>
      <c r="B3021" t="s">
        <v>38</v>
      </c>
      <c r="C3021">
        <v>31</v>
      </c>
      <c r="D3021">
        <v>3</v>
      </c>
      <c r="E3021" s="1">
        <f t="shared" si="47"/>
        <v>9.6774193548387094E-2</v>
      </c>
      <c r="F3021">
        <v>105.3</v>
      </c>
      <c r="G3021">
        <v>109.4</v>
      </c>
      <c r="H3021">
        <v>0.39200000000000002</v>
      </c>
      <c r="I3021">
        <v>49.2</v>
      </c>
      <c r="J3021">
        <v>55</v>
      </c>
      <c r="K3021">
        <v>18.2</v>
      </c>
      <c r="L3021">
        <v>17.5</v>
      </c>
      <c r="M3021">
        <v>26.2</v>
      </c>
      <c r="N3021">
        <v>34</v>
      </c>
      <c r="O3021">
        <v>27.6</v>
      </c>
      <c r="P3021">
        <v>29.1</v>
      </c>
      <c r="Q3021">
        <v>49.8</v>
      </c>
      <c r="R3021">
        <v>55.8</v>
      </c>
      <c r="S3021">
        <v>31.9</v>
      </c>
      <c r="T3021">
        <v>35.9</v>
      </c>
      <c r="U3021">
        <v>66.7</v>
      </c>
      <c r="V3021">
        <v>-16.100000000000001</v>
      </c>
      <c r="W3021" cm="1">
        <f t="array" ref="W3021">_xlfn.IFS(OR(X3021="N/A",X3021="NA"),0,OR(X3021="R64",X3021="R68"),1,X3021="R32",2,X3021="S16",3,X3021="E8",4,X3021="F4",5,X3021="2ND",6,X3021="Champions",7)</f>
        <v>0</v>
      </c>
      <c r="X3021" t="s">
        <v>425</v>
      </c>
      <c r="Y3021" t="s">
        <v>425</v>
      </c>
      <c r="Z3021">
        <v>2022</v>
      </c>
    </row>
    <row r="3022" spans="1:26" x14ac:dyDescent="0.3">
      <c r="A3022" t="s">
        <v>170</v>
      </c>
      <c r="B3022" t="s">
        <v>164</v>
      </c>
      <c r="C3022">
        <v>35</v>
      </c>
      <c r="D3022">
        <v>22</v>
      </c>
      <c r="E3022" s="1">
        <f t="shared" si="47"/>
        <v>0.62857142857142856</v>
      </c>
      <c r="F3022">
        <v>106.9</v>
      </c>
      <c r="G3022">
        <v>111.1</v>
      </c>
      <c r="H3022">
        <v>0.38919999999999999</v>
      </c>
      <c r="I3022">
        <v>56.2</v>
      </c>
      <c r="J3022">
        <v>52.9</v>
      </c>
      <c r="K3022">
        <v>17.100000000000001</v>
      </c>
      <c r="L3022">
        <v>13.9</v>
      </c>
      <c r="M3022">
        <v>21.9</v>
      </c>
      <c r="N3022">
        <v>24.6</v>
      </c>
      <c r="O3022">
        <v>30.8</v>
      </c>
      <c r="P3022">
        <v>30.1</v>
      </c>
      <c r="Q3022">
        <v>55.6</v>
      </c>
      <c r="R3022">
        <v>50.7</v>
      </c>
      <c r="S3022">
        <v>37.9</v>
      </c>
      <c r="T3022">
        <v>38.200000000000003</v>
      </c>
      <c r="U3022">
        <v>69.3</v>
      </c>
      <c r="V3022">
        <v>-9</v>
      </c>
      <c r="W3022" cm="1">
        <f t="array" ref="W3022">_xlfn.IFS(OR(X3022="N/A",X3022="NA"),0,OR(X3022="R64",X3022="R68"),1,X3022="R32",2,X3022="S16",3,X3022="E8",4,X3022="F4",5,X3022="2ND",6,X3022="Champions",7)</f>
        <v>0</v>
      </c>
      <c r="X3022" t="s">
        <v>425</v>
      </c>
      <c r="Y3022" t="s">
        <v>425</v>
      </c>
      <c r="Z3022">
        <v>2022</v>
      </c>
    </row>
    <row r="3023" spans="1:26" x14ac:dyDescent="0.3">
      <c r="A3023" t="s">
        <v>202</v>
      </c>
      <c r="B3023" t="s">
        <v>53</v>
      </c>
      <c r="C3023">
        <v>27</v>
      </c>
      <c r="D3023">
        <v>15</v>
      </c>
      <c r="E3023" s="1">
        <f t="shared" si="47"/>
        <v>0.55555555555555558</v>
      </c>
      <c r="F3023">
        <v>102.2</v>
      </c>
      <c r="G3023">
        <v>106.3</v>
      </c>
      <c r="H3023">
        <v>0.3891</v>
      </c>
      <c r="I3023">
        <v>51.1</v>
      </c>
      <c r="J3023">
        <v>53.3</v>
      </c>
      <c r="K3023">
        <v>17.7</v>
      </c>
      <c r="L3023">
        <v>20.6</v>
      </c>
      <c r="M3023">
        <v>25.9</v>
      </c>
      <c r="N3023">
        <v>31.5</v>
      </c>
      <c r="O3023">
        <v>30.6</v>
      </c>
      <c r="P3023">
        <v>27.5</v>
      </c>
      <c r="Q3023">
        <v>50.9</v>
      </c>
      <c r="R3023">
        <v>55.7</v>
      </c>
      <c r="S3023">
        <v>34.200000000000003</v>
      </c>
      <c r="T3023">
        <v>33.700000000000003</v>
      </c>
      <c r="U3023">
        <v>69</v>
      </c>
      <c r="V3023">
        <v>-8.3000000000000007</v>
      </c>
      <c r="W3023" cm="1">
        <f t="array" ref="W3023">_xlfn.IFS(OR(X3023="N/A",X3023="NA"),0,OR(X3023="R64",X3023="R68"),1,X3023="R32",2,X3023="S16",3,X3023="E8",4,X3023="F4",5,X3023="2ND",6,X3023="Champions",7)</f>
        <v>0</v>
      </c>
      <c r="X3023" t="s">
        <v>425</v>
      </c>
      <c r="Y3023" t="s">
        <v>425</v>
      </c>
      <c r="Z3023">
        <v>2022</v>
      </c>
    </row>
    <row r="3024" spans="1:26" x14ac:dyDescent="0.3">
      <c r="A3024" t="s">
        <v>408</v>
      </c>
      <c r="B3024" t="s">
        <v>51</v>
      </c>
      <c r="C3024">
        <v>31</v>
      </c>
      <c r="D3024">
        <v>18</v>
      </c>
      <c r="E3024" s="1">
        <f t="shared" si="47"/>
        <v>0.58064516129032262</v>
      </c>
      <c r="F3024">
        <v>98.1</v>
      </c>
      <c r="G3024">
        <v>102.2</v>
      </c>
      <c r="H3024">
        <v>0.3866</v>
      </c>
      <c r="I3024">
        <v>49.9</v>
      </c>
      <c r="J3024">
        <v>48.2</v>
      </c>
      <c r="K3024">
        <v>20.399999999999999</v>
      </c>
      <c r="L3024">
        <v>17.399999999999999</v>
      </c>
      <c r="M3024">
        <v>28.1</v>
      </c>
      <c r="N3024">
        <v>27.8</v>
      </c>
      <c r="O3024">
        <v>36.799999999999997</v>
      </c>
      <c r="P3024">
        <v>33.799999999999997</v>
      </c>
      <c r="Q3024">
        <v>49.8</v>
      </c>
      <c r="R3024">
        <v>47.8</v>
      </c>
      <c r="S3024">
        <v>33.4</v>
      </c>
      <c r="T3024">
        <v>32.6</v>
      </c>
      <c r="U3024">
        <v>67.3</v>
      </c>
      <c r="V3024">
        <v>-9.1</v>
      </c>
      <c r="W3024" cm="1">
        <f t="array" ref="W3024">_xlfn.IFS(OR(X3024="N/A",X3024="NA"),0,OR(X3024="R64",X3024="R68"),1,X3024="R32",2,X3024="S16",3,X3024="E8",4,X3024="F4",5,X3024="2ND",6,X3024="Champions",7)</f>
        <v>0</v>
      </c>
      <c r="X3024" t="s">
        <v>425</v>
      </c>
      <c r="Y3024" t="s">
        <v>425</v>
      </c>
      <c r="Z3024">
        <v>2022</v>
      </c>
    </row>
    <row r="3025" spans="1:26" x14ac:dyDescent="0.3">
      <c r="A3025" t="s">
        <v>236</v>
      </c>
      <c r="B3025" t="s">
        <v>59</v>
      </c>
      <c r="C3025">
        <v>28</v>
      </c>
      <c r="D3025">
        <v>12</v>
      </c>
      <c r="E3025" s="1">
        <f t="shared" si="47"/>
        <v>0.42857142857142855</v>
      </c>
      <c r="F3025">
        <v>105.2</v>
      </c>
      <c r="G3025">
        <v>109.6</v>
      </c>
      <c r="H3025">
        <v>0.38400000000000001</v>
      </c>
      <c r="I3025">
        <v>51.3</v>
      </c>
      <c r="J3025">
        <v>52.1</v>
      </c>
      <c r="K3025">
        <v>17</v>
      </c>
      <c r="L3025">
        <v>15.3</v>
      </c>
      <c r="M3025">
        <v>25.4</v>
      </c>
      <c r="N3025">
        <v>28</v>
      </c>
      <c r="O3025">
        <v>24.1</v>
      </c>
      <c r="P3025">
        <v>28.8</v>
      </c>
      <c r="Q3025">
        <v>52</v>
      </c>
      <c r="R3025">
        <v>52.1</v>
      </c>
      <c r="S3025">
        <v>33.5</v>
      </c>
      <c r="T3025">
        <v>34.700000000000003</v>
      </c>
      <c r="U3025">
        <v>67.900000000000006</v>
      </c>
      <c r="V3025">
        <v>-8.8000000000000007</v>
      </c>
      <c r="W3025" cm="1">
        <f t="array" ref="W3025">_xlfn.IFS(OR(X3025="N/A",X3025="NA"),0,OR(X3025="R64",X3025="R68"),1,X3025="R32",2,X3025="S16",3,X3025="E8",4,X3025="F4",5,X3025="2ND",6,X3025="Champions",7)</f>
        <v>0</v>
      </c>
      <c r="X3025" t="s">
        <v>425</v>
      </c>
      <c r="Y3025" t="s">
        <v>425</v>
      </c>
      <c r="Z3025">
        <v>2022</v>
      </c>
    </row>
    <row r="3026" spans="1:26" x14ac:dyDescent="0.3">
      <c r="A3026" t="s">
        <v>414</v>
      </c>
      <c r="B3026" t="s">
        <v>37</v>
      </c>
      <c r="C3026">
        <v>29</v>
      </c>
      <c r="D3026">
        <v>15</v>
      </c>
      <c r="E3026" s="1">
        <f t="shared" si="47"/>
        <v>0.51724137931034486</v>
      </c>
      <c r="F3026">
        <v>96</v>
      </c>
      <c r="G3026">
        <v>100.1</v>
      </c>
      <c r="H3026">
        <v>0.38219999999999998</v>
      </c>
      <c r="I3026">
        <v>46.7</v>
      </c>
      <c r="J3026">
        <v>49.2</v>
      </c>
      <c r="K3026">
        <v>18.600000000000001</v>
      </c>
      <c r="L3026">
        <v>16</v>
      </c>
      <c r="M3026">
        <v>26.3</v>
      </c>
      <c r="N3026">
        <v>26.4</v>
      </c>
      <c r="O3026">
        <v>25.5</v>
      </c>
      <c r="P3026">
        <v>23.7</v>
      </c>
      <c r="Q3026">
        <v>46.2</v>
      </c>
      <c r="R3026">
        <v>49</v>
      </c>
      <c r="S3026">
        <v>32.1</v>
      </c>
      <c r="T3026">
        <v>33.200000000000003</v>
      </c>
      <c r="U3026">
        <v>65.7</v>
      </c>
      <c r="V3026">
        <v>-7.8</v>
      </c>
      <c r="W3026" cm="1">
        <f t="array" ref="W3026">_xlfn.IFS(OR(X3026="N/A",X3026="NA"),0,OR(X3026="R64",X3026="R68"),1,X3026="R32",2,X3026="S16",3,X3026="E8",4,X3026="F4",5,X3026="2ND",6,X3026="Champions",7)</f>
        <v>0</v>
      </c>
      <c r="X3026" t="s">
        <v>425</v>
      </c>
      <c r="Y3026" t="s">
        <v>425</v>
      </c>
      <c r="Z3026">
        <v>2022</v>
      </c>
    </row>
    <row r="3027" spans="1:26" x14ac:dyDescent="0.3">
      <c r="A3027" t="s">
        <v>93</v>
      </c>
      <c r="B3027" t="s">
        <v>45</v>
      </c>
      <c r="C3027">
        <v>30</v>
      </c>
      <c r="D3027">
        <v>12</v>
      </c>
      <c r="E3027" s="1">
        <f t="shared" si="47"/>
        <v>0.4</v>
      </c>
      <c r="F3027">
        <v>98.9</v>
      </c>
      <c r="G3027">
        <v>103.1</v>
      </c>
      <c r="H3027">
        <v>0.38159999999999999</v>
      </c>
      <c r="I3027">
        <v>48.9</v>
      </c>
      <c r="J3027">
        <v>49.6</v>
      </c>
      <c r="K3027">
        <v>17.899999999999999</v>
      </c>
      <c r="L3027">
        <v>18</v>
      </c>
      <c r="M3027">
        <v>23.2</v>
      </c>
      <c r="N3027">
        <v>31.1</v>
      </c>
      <c r="O3027">
        <v>26</v>
      </c>
      <c r="P3027">
        <v>29.2</v>
      </c>
      <c r="Q3027">
        <v>48</v>
      </c>
      <c r="R3027">
        <v>51.4</v>
      </c>
      <c r="S3027">
        <v>33.700000000000003</v>
      </c>
      <c r="T3027">
        <v>30.7</v>
      </c>
      <c r="U3027">
        <v>69</v>
      </c>
      <c r="V3027">
        <v>-10.9</v>
      </c>
      <c r="W3027" cm="1">
        <f t="array" ref="W3027">_xlfn.IFS(OR(X3027="N/A",X3027="NA"),0,OR(X3027="R64",X3027="R68"),1,X3027="R32",2,X3027="S16",3,X3027="E8",4,X3027="F4",5,X3027="2ND",6,X3027="Champions",7)</f>
        <v>0</v>
      </c>
      <c r="X3027" t="s">
        <v>425</v>
      </c>
      <c r="Y3027" t="s">
        <v>425</v>
      </c>
      <c r="Z3027">
        <v>2022</v>
      </c>
    </row>
    <row r="3028" spans="1:26" x14ac:dyDescent="0.3">
      <c r="A3028" t="s">
        <v>247</v>
      </c>
      <c r="B3028" t="s">
        <v>69</v>
      </c>
      <c r="C3028">
        <v>32</v>
      </c>
      <c r="D3028">
        <v>14</v>
      </c>
      <c r="E3028" s="1">
        <f t="shared" si="47"/>
        <v>0.4375</v>
      </c>
      <c r="F3028">
        <v>98.6</v>
      </c>
      <c r="G3028">
        <v>102.9</v>
      </c>
      <c r="H3028">
        <v>0.37980000000000003</v>
      </c>
      <c r="I3028">
        <v>45.6</v>
      </c>
      <c r="J3028">
        <v>49.2</v>
      </c>
      <c r="K3028">
        <v>17.3</v>
      </c>
      <c r="L3028">
        <v>18.399999999999999</v>
      </c>
      <c r="M3028">
        <v>29.4</v>
      </c>
      <c r="N3028">
        <v>28.3</v>
      </c>
      <c r="O3028">
        <v>27.2</v>
      </c>
      <c r="P3028">
        <v>33.200000000000003</v>
      </c>
      <c r="Q3028">
        <v>44.9</v>
      </c>
      <c r="R3028">
        <v>47.3</v>
      </c>
      <c r="S3028">
        <v>31.6</v>
      </c>
      <c r="T3028">
        <v>34.4</v>
      </c>
      <c r="U3028">
        <v>67</v>
      </c>
      <c r="V3028">
        <v>-13.4</v>
      </c>
      <c r="W3028" cm="1">
        <f t="array" ref="W3028">_xlfn.IFS(OR(X3028="N/A",X3028="NA"),0,OR(X3028="R64",X3028="R68"),1,X3028="R32",2,X3028="S16",3,X3028="E8",4,X3028="F4",5,X3028="2ND",6,X3028="Champions",7)</f>
        <v>0</v>
      </c>
      <c r="X3028" t="s">
        <v>425</v>
      </c>
      <c r="Y3028" t="s">
        <v>425</v>
      </c>
      <c r="Z3028">
        <v>2022</v>
      </c>
    </row>
    <row r="3029" spans="1:26" x14ac:dyDescent="0.3">
      <c r="A3029" t="s">
        <v>222</v>
      </c>
      <c r="B3029" t="s">
        <v>43</v>
      </c>
      <c r="C3029">
        <v>29</v>
      </c>
      <c r="D3029">
        <v>14</v>
      </c>
      <c r="E3029" s="1">
        <f t="shared" si="47"/>
        <v>0.48275862068965519</v>
      </c>
      <c r="F3029">
        <v>105.7</v>
      </c>
      <c r="G3029">
        <v>110.4</v>
      </c>
      <c r="H3029">
        <v>0.37709999999999999</v>
      </c>
      <c r="I3029">
        <v>52.6</v>
      </c>
      <c r="J3029">
        <v>54.4</v>
      </c>
      <c r="K3029">
        <v>17.899999999999999</v>
      </c>
      <c r="L3029">
        <v>19</v>
      </c>
      <c r="M3029">
        <v>27.9</v>
      </c>
      <c r="N3029">
        <v>29.7</v>
      </c>
      <c r="O3029">
        <v>22.8</v>
      </c>
      <c r="P3029">
        <v>30.5</v>
      </c>
      <c r="Q3029">
        <v>50.1</v>
      </c>
      <c r="R3029">
        <v>55.4</v>
      </c>
      <c r="S3029">
        <v>36.9</v>
      </c>
      <c r="T3029">
        <v>35.299999999999997</v>
      </c>
      <c r="U3029">
        <v>64.900000000000006</v>
      </c>
      <c r="V3029">
        <v>-9.6</v>
      </c>
      <c r="W3029" cm="1">
        <f t="array" ref="W3029">_xlfn.IFS(OR(X3029="N/A",X3029="NA"),0,OR(X3029="R64",X3029="R68"),1,X3029="R32",2,X3029="S16",3,X3029="E8",4,X3029="F4",5,X3029="2ND",6,X3029="Champions",7)</f>
        <v>0</v>
      </c>
      <c r="X3029" t="s">
        <v>425</v>
      </c>
      <c r="Y3029" t="s">
        <v>425</v>
      </c>
      <c r="Z3029">
        <v>2022</v>
      </c>
    </row>
    <row r="3030" spans="1:26" x14ac:dyDescent="0.3">
      <c r="A3030" t="s">
        <v>235</v>
      </c>
      <c r="B3030" t="s">
        <v>59</v>
      </c>
      <c r="C3030">
        <v>24</v>
      </c>
      <c r="D3030">
        <v>9</v>
      </c>
      <c r="E3030" s="1">
        <f t="shared" si="47"/>
        <v>0.375</v>
      </c>
      <c r="F3030">
        <v>96.3</v>
      </c>
      <c r="G3030">
        <v>100.7</v>
      </c>
      <c r="H3030">
        <v>0.37680000000000002</v>
      </c>
      <c r="I3030">
        <v>48.2</v>
      </c>
      <c r="J3030">
        <v>50.8</v>
      </c>
      <c r="K3030">
        <v>17.399999999999999</v>
      </c>
      <c r="L3030">
        <v>19</v>
      </c>
      <c r="M3030">
        <v>23.6</v>
      </c>
      <c r="N3030">
        <v>26.6</v>
      </c>
      <c r="O3030">
        <v>24.5</v>
      </c>
      <c r="P3030">
        <v>28.4</v>
      </c>
      <c r="Q3030">
        <v>46.6</v>
      </c>
      <c r="R3030">
        <v>50.5</v>
      </c>
      <c r="S3030">
        <v>33.4</v>
      </c>
      <c r="T3030">
        <v>34.200000000000003</v>
      </c>
      <c r="U3030">
        <v>64.7</v>
      </c>
      <c r="V3030">
        <v>-11.2</v>
      </c>
      <c r="W3030" cm="1">
        <f t="array" ref="W3030">_xlfn.IFS(OR(X3030="N/A",X3030="NA"),0,OR(X3030="R64",X3030="R68"),1,X3030="R32",2,X3030="S16",3,X3030="E8",4,X3030="F4",5,X3030="2ND",6,X3030="Champions",7)</f>
        <v>0</v>
      </c>
      <c r="X3030" t="s">
        <v>425</v>
      </c>
      <c r="Y3030" t="s">
        <v>425</v>
      </c>
      <c r="Z3030">
        <v>2022</v>
      </c>
    </row>
    <row r="3031" spans="1:26" x14ac:dyDescent="0.3">
      <c r="A3031" t="s">
        <v>243</v>
      </c>
      <c r="B3031" t="s">
        <v>69</v>
      </c>
      <c r="C3031">
        <v>30</v>
      </c>
      <c r="D3031">
        <v>14</v>
      </c>
      <c r="E3031" s="1">
        <f t="shared" si="47"/>
        <v>0.46666666666666667</v>
      </c>
      <c r="F3031">
        <v>99.2</v>
      </c>
      <c r="G3031">
        <v>103.8</v>
      </c>
      <c r="H3031">
        <v>0.37290000000000001</v>
      </c>
      <c r="I3031">
        <v>50.4</v>
      </c>
      <c r="J3031">
        <v>48.3</v>
      </c>
      <c r="K3031">
        <v>18.2</v>
      </c>
      <c r="L3031">
        <v>16.7</v>
      </c>
      <c r="M3031">
        <v>26.4</v>
      </c>
      <c r="N3031">
        <v>27.1</v>
      </c>
      <c r="O3031">
        <v>25</v>
      </c>
      <c r="P3031">
        <v>28.5</v>
      </c>
      <c r="Q3031">
        <v>49.7</v>
      </c>
      <c r="R3031">
        <v>47.1</v>
      </c>
      <c r="S3031">
        <v>34.4</v>
      </c>
      <c r="T3031">
        <v>33.4</v>
      </c>
      <c r="U3031">
        <v>66.3</v>
      </c>
      <c r="V3031">
        <v>-11.6</v>
      </c>
      <c r="W3031" cm="1">
        <f t="array" ref="W3031">_xlfn.IFS(OR(X3031="N/A",X3031="NA"),0,OR(X3031="R64",X3031="R68"),1,X3031="R32",2,X3031="S16",3,X3031="E8",4,X3031="F4",5,X3031="2ND",6,X3031="Champions",7)</f>
        <v>0</v>
      </c>
      <c r="X3031" t="s">
        <v>425</v>
      </c>
      <c r="Y3031" t="s">
        <v>425</v>
      </c>
      <c r="Z3031">
        <v>2022</v>
      </c>
    </row>
    <row r="3032" spans="1:26" x14ac:dyDescent="0.3">
      <c r="A3032" t="s">
        <v>232</v>
      </c>
      <c r="B3032" t="s">
        <v>59</v>
      </c>
      <c r="C3032">
        <v>27</v>
      </c>
      <c r="D3032">
        <v>13</v>
      </c>
      <c r="E3032" s="1">
        <f t="shared" si="47"/>
        <v>0.48148148148148145</v>
      </c>
      <c r="F3032">
        <v>98.8</v>
      </c>
      <c r="G3032">
        <v>103.6</v>
      </c>
      <c r="H3032">
        <v>0.3679</v>
      </c>
      <c r="I3032">
        <v>49.4</v>
      </c>
      <c r="J3032">
        <v>51.1</v>
      </c>
      <c r="K3032">
        <v>19.100000000000001</v>
      </c>
      <c r="L3032">
        <v>19.5</v>
      </c>
      <c r="M3032">
        <v>28.2</v>
      </c>
      <c r="N3032">
        <v>28.1</v>
      </c>
      <c r="O3032">
        <v>31.6</v>
      </c>
      <c r="P3032">
        <v>33.200000000000003</v>
      </c>
      <c r="Q3032">
        <v>50.6</v>
      </c>
      <c r="R3032">
        <v>51.3</v>
      </c>
      <c r="S3032">
        <v>31.7</v>
      </c>
      <c r="T3032">
        <v>33.9</v>
      </c>
      <c r="U3032">
        <v>67.5</v>
      </c>
      <c r="V3032">
        <v>-9.9</v>
      </c>
      <c r="W3032" cm="1">
        <f t="array" ref="W3032">_xlfn.IFS(OR(X3032="N/A",X3032="NA"),0,OR(X3032="R64",X3032="R68"),1,X3032="R32",2,X3032="S16",3,X3032="E8",4,X3032="F4",5,X3032="2ND",6,X3032="Champions",7)</f>
        <v>0</v>
      </c>
      <c r="X3032" t="s">
        <v>425</v>
      </c>
      <c r="Y3032" t="s">
        <v>425</v>
      </c>
      <c r="Z3032">
        <v>2022</v>
      </c>
    </row>
    <row r="3033" spans="1:26" x14ac:dyDescent="0.3">
      <c r="A3033" t="s">
        <v>94</v>
      </c>
      <c r="B3033" t="s">
        <v>45</v>
      </c>
      <c r="C3033">
        <v>30</v>
      </c>
      <c r="D3033">
        <v>11</v>
      </c>
      <c r="E3033" s="1">
        <f t="shared" si="47"/>
        <v>0.36666666666666664</v>
      </c>
      <c r="F3033">
        <v>97.8</v>
      </c>
      <c r="G3033">
        <v>102.6</v>
      </c>
      <c r="H3033">
        <v>0.36530000000000001</v>
      </c>
      <c r="I3033">
        <v>47.8</v>
      </c>
      <c r="J3033">
        <v>50</v>
      </c>
      <c r="K3033">
        <v>19</v>
      </c>
      <c r="L3033">
        <v>16.7</v>
      </c>
      <c r="M3033">
        <v>29</v>
      </c>
      <c r="N3033">
        <v>27.4</v>
      </c>
      <c r="O3033">
        <v>25.1</v>
      </c>
      <c r="P3033">
        <v>31</v>
      </c>
      <c r="Q3033">
        <v>47.6</v>
      </c>
      <c r="R3033">
        <v>47.8</v>
      </c>
      <c r="S3033">
        <v>32</v>
      </c>
      <c r="T3033">
        <v>35.9</v>
      </c>
      <c r="U3033">
        <v>67.5</v>
      </c>
      <c r="V3033">
        <v>-11.7</v>
      </c>
      <c r="W3033" cm="1">
        <f t="array" ref="W3033">_xlfn.IFS(OR(X3033="N/A",X3033="NA"),0,OR(X3033="R64",X3033="R68"),1,X3033="R32",2,X3033="S16",3,X3033="E8",4,X3033="F4",5,X3033="2ND",6,X3033="Champions",7)</f>
        <v>0</v>
      </c>
      <c r="X3033" t="s">
        <v>425</v>
      </c>
      <c r="Y3033" t="s">
        <v>425</v>
      </c>
      <c r="Z3033">
        <v>2022</v>
      </c>
    </row>
    <row r="3034" spans="1:26" x14ac:dyDescent="0.3">
      <c r="A3034" t="s">
        <v>328</v>
      </c>
      <c r="B3034" t="s">
        <v>67</v>
      </c>
      <c r="C3034">
        <v>34</v>
      </c>
      <c r="D3034">
        <v>22</v>
      </c>
      <c r="E3034" s="1">
        <f t="shared" si="47"/>
        <v>0.6470588235294118</v>
      </c>
      <c r="F3034">
        <v>104.3</v>
      </c>
      <c r="G3034">
        <v>109.5</v>
      </c>
      <c r="H3034">
        <v>0.36459999999999998</v>
      </c>
      <c r="I3034">
        <v>51.9</v>
      </c>
      <c r="J3034">
        <v>50.9</v>
      </c>
      <c r="K3034">
        <v>18.2</v>
      </c>
      <c r="L3034">
        <v>16.5</v>
      </c>
      <c r="M3034">
        <v>30.9</v>
      </c>
      <c r="N3034">
        <v>24.2</v>
      </c>
      <c r="O3034">
        <v>28.8</v>
      </c>
      <c r="P3034">
        <v>29</v>
      </c>
      <c r="Q3034">
        <v>51.6</v>
      </c>
      <c r="R3034">
        <v>51</v>
      </c>
      <c r="S3034">
        <v>34.9</v>
      </c>
      <c r="T3034">
        <v>33.799999999999997</v>
      </c>
      <c r="U3034">
        <v>64.900000000000006</v>
      </c>
      <c r="V3034">
        <v>-8.3000000000000007</v>
      </c>
      <c r="W3034" cm="1">
        <f t="array" ref="W3034">_xlfn.IFS(OR(X3034="N/A",X3034="NA"),0,OR(X3034="R64",X3034="R68"),1,X3034="R32",2,X3034="S16",3,X3034="E8",4,X3034="F4",5,X3034="2ND",6,X3034="Champions",7)</f>
        <v>0</v>
      </c>
      <c r="X3034" t="s">
        <v>425</v>
      </c>
      <c r="Y3034" t="s">
        <v>425</v>
      </c>
      <c r="Z3034">
        <v>2022</v>
      </c>
    </row>
    <row r="3035" spans="1:26" x14ac:dyDescent="0.3">
      <c r="A3035" t="s">
        <v>311</v>
      </c>
      <c r="B3035" t="s">
        <v>64</v>
      </c>
      <c r="C3035">
        <v>30</v>
      </c>
      <c r="D3035">
        <v>14</v>
      </c>
      <c r="E3035" s="1">
        <f t="shared" si="47"/>
        <v>0.46666666666666667</v>
      </c>
      <c r="F3035">
        <v>104</v>
      </c>
      <c r="G3035">
        <v>109.2</v>
      </c>
      <c r="H3035">
        <v>0.36399999999999999</v>
      </c>
      <c r="I3035">
        <v>51.6</v>
      </c>
      <c r="J3035">
        <v>52.4</v>
      </c>
      <c r="K3035">
        <v>17.8</v>
      </c>
      <c r="L3035">
        <v>18.100000000000001</v>
      </c>
      <c r="M3035">
        <v>25.8</v>
      </c>
      <c r="N3035">
        <v>28.9</v>
      </c>
      <c r="O3035">
        <v>36.700000000000003</v>
      </c>
      <c r="P3035">
        <v>39.6</v>
      </c>
      <c r="Q3035">
        <v>50.6</v>
      </c>
      <c r="R3035">
        <v>52.8</v>
      </c>
      <c r="S3035">
        <v>35.4</v>
      </c>
      <c r="T3035">
        <v>34.6</v>
      </c>
      <c r="U3035">
        <v>71.599999999999994</v>
      </c>
      <c r="V3035">
        <v>-12.4</v>
      </c>
      <c r="W3035" cm="1">
        <f t="array" ref="W3035">_xlfn.IFS(OR(X3035="N/A",X3035="NA"),0,OR(X3035="R64",X3035="R68"),1,X3035="R32",2,X3035="S16",3,X3035="E8",4,X3035="F4",5,X3035="2ND",6,X3035="Champions",7)</f>
        <v>0</v>
      </c>
      <c r="X3035" t="s">
        <v>425</v>
      </c>
      <c r="Y3035" t="s">
        <v>425</v>
      </c>
      <c r="Z3035">
        <v>2022</v>
      </c>
    </row>
    <row r="3036" spans="1:26" x14ac:dyDescent="0.3">
      <c r="A3036" t="s">
        <v>179</v>
      </c>
      <c r="B3036" t="s">
        <v>74</v>
      </c>
      <c r="C3036">
        <v>29</v>
      </c>
      <c r="D3036">
        <v>14</v>
      </c>
      <c r="E3036" s="1">
        <f t="shared" si="47"/>
        <v>0.48275862068965519</v>
      </c>
      <c r="F3036">
        <v>98.8</v>
      </c>
      <c r="G3036">
        <v>103.8</v>
      </c>
      <c r="H3036">
        <v>0.36180000000000001</v>
      </c>
      <c r="I3036">
        <v>48.9</v>
      </c>
      <c r="J3036">
        <v>49.5</v>
      </c>
      <c r="K3036">
        <v>19.5</v>
      </c>
      <c r="L3036">
        <v>17.7</v>
      </c>
      <c r="M3036">
        <v>27.4</v>
      </c>
      <c r="N3036">
        <v>30.2</v>
      </c>
      <c r="O3036">
        <v>33.9</v>
      </c>
      <c r="P3036">
        <v>35.299999999999997</v>
      </c>
      <c r="Q3036">
        <v>49.4</v>
      </c>
      <c r="R3036">
        <v>52.1</v>
      </c>
      <c r="S3036">
        <v>32</v>
      </c>
      <c r="T3036">
        <v>30.1</v>
      </c>
      <c r="U3036">
        <v>66.400000000000006</v>
      </c>
      <c r="V3036">
        <v>-12.5</v>
      </c>
      <c r="W3036" cm="1">
        <f t="array" ref="W3036">_xlfn.IFS(OR(X3036="N/A",X3036="NA"),0,OR(X3036="R64",X3036="R68"),1,X3036="R32",2,X3036="S16",3,X3036="E8",4,X3036="F4",5,X3036="2ND",6,X3036="Champions",7)</f>
        <v>0</v>
      </c>
      <c r="X3036" t="s">
        <v>425</v>
      </c>
      <c r="Y3036" t="s">
        <v>425</v>
      </c>
      <c r="Z3036">
        <v>2022</v>
      </c>
    </row>
    <row r="3037" spans="1:26" x14ac:dyDescent="0.3">
      <c r="A3037" t="s">
        <v>133</v>
      </c>
      <c r="B3037" t="s">
        <v>131</v>
      </c>
      <c r="C3037">
        <v>27</v>
      </c>
      <c r="D3037">
        <v>13</v>
      </c>
      <c r="E3037" s="1">
        <f t="shared" si="47"/>
        <v>0.48148148148148145</v>
      </c>
      <c r="F3037">
        <v>103.6</v>
      </c>
      <c r="G3037">
        <v>109</v>
      </c>
      <c r="H3037">
        <v>0.35780000000000001</v>
      </c>
      <c r="I3037">
        <v>51.8</v>
      </c>
      <c r="J3037">
        <v>53.1</v>
      </c>
      <c r="K3037">
        <v>17.399999999999999</v>
      </c>
      <c r="L3037">
        <v>18.2</v>
      </c>
      <c r="M3037">
        <v>28.7</v>
      </c>
      <c r="N3037">
        <v>27.9</v>
      </c>
      <c r="O3037">
        <v>29.7</v>
      </c>
      <c r="P3037">
        <v>35.299999999999997</v>
      </c>
      <c r="Q3037">
        <v>50.3</v>
      </c>
      <c r="R3037">
        <v>52.1</v>
      </c>
      <c r="S3037">
        <v>36.200000000000003</v>
      </c>
      <c r="T3037">
        <v>36.200000000000003</v>
      </c>
      <c r="U3037">
        <v>66.3</v>
      </c>
      <c r="V3037">
        <v>-12</v>
      </c>
      <c r="W3037" cm="1">
        <f t="array" ref="W3037">_xlfn.IFS(OR(X3037="N/A",X3037="NA"),0,OR(X3037="R64",X3037="R68"),1,X3037="R32",2,X3037="S16",3,X3037="E8",4,X3037="F4",5,X3037="2ND",6,X3037="Champions",7)</f>
        <v>0</v>
      </c>
      <c r="X3037" t="s">
        <v>425</v>
      </c>
      <c r="Y3037" t="s">
        <v>425</v>
      </c>
      <c r="Z3037">
        <v>2022</v>
      </c>
    </row>
    <row r="3038" spans="1:26" x14ac:dyDescent="0.3">
      <c r="A3038" t="s">
        <v>206</v>
      </c>
      <c r="B3038" t="s">
        <v>53</v>
      </c>
      <c r="C3038">
        <v>31</v>
      </c>
      <c r="D3038">
        <v>9</v>
      </c>
      <c r="E3038" s="1">
        <f t="shared" si="47"/>
        <v>0.29032258064516131</v>
      </c>
      <c r="F3038">
        <v>97</v>
      </c>
      <c r="G3038">
        <v>102.1</v>
      </c>
      <c r="H3038">
        <v>0.35730000000000001</v>
      </c>
      <c r="I3038">
        <v>50.1</v>
      </c>
      <c r="J3038">
        <v>51.7</v>
      </c>
      <c r="K3038">
        <v>21.2</v>
      </c>
      <c r="L3038">
        <v>15.7</v>
      </c>
      <c r="M3038">
        <v>26.3</v>
      </c>
      <c r="N3038">
        <v>23.7</v>
      </c>
      <c r="O3038">
        <v>30.6</v>
      </c>
      <c r="P3038">
        <v>25.6</v>
      </c>
      <c r="Q3038">
        <v>51.6</v>
      </c>
      <c r="R3038">
        <v>51.9</v>
      </c>
      <c r="S3038">
        <v>32</v>
      </c>
      <c r="T3038">
        <v>34.299999999999997</v>
      </c>
      <c r="U3038">
        <v>64.599999999999994</v>
      </c>
      <c r="V3038">
        <v>-15.4</v>
      </c>
      <c r="W3038" cm="1">
        <f t="array" ref="W3038">_xlfn.IFS(OR(X3038="N/A",X3038="NA"),0,OR(X3038="R64",X3038="R68"),1,X3038="R32",2,X3038="S16",3,X3038="E8",4,X3038="F4",5,X3038="2ND",6,X3038="Champions",7)</f>
        <v>0</v>
      </c>
      <c r="X3038" t="s">
        <v>425</v>
      </c>
      <c r="Y3038" t="s">
        <v>425</v>
      </c>
      <c r="Z3038">
        <v>2022</v>
      </c>
    </row>
    <row r="3039" spans="1:26" x14ac:dyDescent="0.3">
      <c r="A3039" t="s">
        <v>175</v>
      </c>
      <c r="B3039" t="s">
        <v>164</v>
      </c>
      <c r="C3039">
        <v>32</v>
      </c>
      <c r="D3039">
        <v>18</v>
      </c>
      <c r="E3039" s="1">
        <f t="shared" si="47"/>
        <v>0.5625</v>
      </c>
      <c r="F3039">
        <v>102.9</v>
      </c>
      <c r="G3039">
        <v>108.3</v>
      </c>
      <c r="H3039">
        <v>0.35659999999999997</v>
      </c>
      <c r="I3039">
        <v>52.9</v>
      </c>
      <c r="J3039">
        <v>50.4</v>
      </c>
      <c r="K3039">
        <v>18.5</v>
      </c>
      <c r="L3039">
        <v>15.6</v>
      </c>
      <c r="M3039">
        <v>25.3</v>
      </c>
      <c r="N3039">
        <v>26</v>
      </c>
      <c r="O3039">
        <v>32.9</v>
      </c>
      <c r="P3039">
        <v>31.5</v>
      </c>
      <c r="Q3039">
        <v>51.9</v>
      </c>
      <c r="R3039">
        <v>50.4</v>
      </c>
      <c r="S3039">
        <v>36.1</v>
      </c>
      <c r="T3039">
        <v>33.6</v>
      </c>
      <c r="U3039">
        <v>69.7</v>
      </c>
      <c r="V3039">
        <v>-9.8000000000000007</v>
      </c>
      <c r="W3039" cm="1">
        <f t="array" ref="W3039">_xlfn.IFS(OR(X3039="N/A",X3039="NA"),0,OR(X3039="R64",X3039="R68"),1,X3039="R32",2,X3039="S16",3,X3039="E8",4,X3039="F4",5,X3039="2ND",6,X3039="Champions",7)</f>
        <v>0</v>
      </c>
      <c r="X3039" t="s">
        <v>425</v>
      </c>
      <c r="Y3039" t="s">
        <v>425</v>
      </c>
      <c r="Z3039">
        <v>2022</v>
      </c>
    </row>
    <row r="3040" spans="1:26" x14ac:dyDescent="0.3">
      <c r="A3040" t="s">
        <v>345</v>
      </c>
      <c r="B3040" t="s">
        <v>58</v>
      </c>
      <c r="C3040">
        <v>27</v>
      </c>
      <c r="D3040">
        <v>11</v>
      </c>
      <c r="E3040" s="1">
        <f t="shared" si="47"/>
        <v>0.40740740740740738</v>
      </c>
      <c r="F3040">
        <v>96.2</v>
      </c>
      <c r="G3040">
        <v>101.5</v>
      </c>
      <c r="H3040">
        <v>0.34989999999999999</v>
      </c>
      <c r="I3040">
        <v>45.7</v>
      </c>
      <c r="J3040">
        <v>49.4</v>
      </c>
      <c r="K3040">
        <v>20.3</v>
      </c>
      <c r="L3040">
        <v>20.3</v>
      </c>
      <c r="M3040">
        <v>30.5</v>
      </c>
      <c r="N3040">
        <v>31.7</v>
      </c>
      <c r="O3040">
        <v>29.7</v>
      </c>
      <c r="P3040">
        <v>32.299999999999997</v>
      </c>
      <c r="Q3040">
        <v>45.3</v>
      </c>
      <c r="R3040">
        <v>46.8</v>
      </c>
      <c r="S3040">
        <v>31</v>
      </c>
      <c r="T3040">
        <v>35.5</v>
      </c>
      <c r="U3040">
        <v>65.400000000000006</v>
      </c>
      <c r="V3040">
        <v>-11</v>
      </c>
      <c r="W3040" cm="1">
        <f t="array" ref="W3040">_xlfn.IFS(OR(X3040="N/A",X3040="NA"),0,OR(X3040="R64",X3040="R68"),1,X3040="R32",2,X3040="S16",3,X3040="E8",4,X3040="F4",5,X3040="2ND",6,X3040="Champions",7)</f>
        <v>0</v>
      </c>
      <c r="X3040" t="s">
        <v>425</v>
      </c>
      <c r="Y3040" t="s">
        <v>425</v>
      </c>
      <c r="Z3040">
        <v>2022</v>
      </c>
    </row>
    <row r="3041" spans="1:26" x14ac:dyDescent="0.3">
      <c r="A3041" t="s">
        <v>398</v>
      </c>
      <c r="B3041" t="s">
        <v>76</v>
      </c>
      <c r="C3041">
        <v>29</v>
      </c>
      <c r="D3041">
        <v>17</v>
      </c>
      <c r="E3041" s="1">
        <f t="shared" si="47"/>
        <v>0.58620689655172409</v>
      </c>
      <c r="F3041">
        <v>94.1</v>
      </c>
      <c r="G3041">
        <v>99.4</v>
      </c>
      <c r="H3041">
        <v>0.3488</v>
      </c>
      <c r="I3041">
        <v>49.2</v>
      </c>
      <c r="J3041">
        <v>49.2</v>
      </c>
      <c r="K3041">
        <v>20.399999999999999</v>
      </c>
      <c r="L3041">
        <v>25.2</v>
      </c>
      <c r="M3041">
        <v>27.5</v>
      </c>
      <c r="N3041">
        <v>31.1</v>
      </c>
      <c r="O3041">
        <v>33.6</v>
      </c>
      <c r="P3041">
        <v>45.7</v>
      </c>
      <c r="Q3041">
        <v>47.5</v>
      </c>
      <c r="R3041">
        <v>52.9</v>
      </c>
      <c r="S3041">
        <v>35</v>
      </c>
      <c r="T3041">
        <v>28.4</v>
      </c>
      <c r="U3041">
        <v>70.3</v>
      </c>
      <c r="V3041">
        <v>-8.6999999999999993</v>
      </c>
      <c r="W3041" cm="1">
        <f t="array" ref="W3041">_xlfn.IFS(OR(X3041="N/A",X3041="NA"),0,OR(X3041="R64",X3041="R68"),1,X3041="R32",2,X3041="S16",3,X3041="E8",4,X3041="F4",5,X3041="2ND",6,X3041="Champions",7)</f>
        <v>0</v>
      </c>
      <c r="X3041" t="s">
        <v>425</v>
      </c>
      <c r="Y3041" t="s">
        <v>425</v>
      </c>
      <c r="Z3041">
        <v>2022</v>
      </c>
    </row>
    <row r="3042" spans="1:26" x14ac:dyDescent="0.3">
      <c r="A3042" t="s">
        <v>211</v>
      </c>
      <c r="B3042" t="s">
        <v>40</v>
      </c>
      <c r="C3042">
        <v>31</v>
      </c>
      <c r="D3042">
        <v>12</v>
      </c>
      <c r="E3042" s="1">
        <f t="shared" si="47"/>
        <v>0.38709677419354838</v>
      </c>
      <c r="F3042">
        <v>100.3</v>
      </c>
      <c r="G3042">
        <v>105.9</v>
      </c>
      <c r="H3042">
        <v>0.34770000000000001</v>
      </c>
      <c r="I3042">
        <v>49.4</v>
      </c>
      <c r="J3042">
        <v>52</v>
      </c>
      <c r="K3042">
        <v>18.100000000000001</v>
      </c>
      <c r="L3042">
        <v>17.8</v>
      </c>
      <c r="M3042">
        <v>27.3</v>
      </c>
      <c r="N3042">
        <v>28.1</v>
      </c>
      <c r="O3042">
        <v>24.3</v>
      </c>
      <c r="P3042">
        <v>28.3</v>
      </c>
      <c r="Q3042">
        <v>52.1</v>
      </c>
      <c r="R3042">
        <v>51.6</v>
      </c>
      <c r="S3042">
        <v>30.1</v>
      </c>
      <c r="T3042">
        <v>35.299999999999997</v>
      </c>
      <c r="U3042">
        <v>72.400000000000006</v>
      </c>
      <c r="V3042">
        <v>-14.1</v>
      </c>
      <c r="W3042" cm="1">
        <f t="array" ref="W3042">_xlfn.IFS(OR(X3042="N/A",X3042="NA"),0,OR(X3042="R64",X3042="R68"),1,X3042="R32",2,X3042="S16",3,X3042="E8",4,X3042="F4",5,X3042="2ND",6,X3042="Champions",7)</f>
        <v>0</v>
      </c>
      <c r="X3042" t="s">
        <v>425</v>
      </c>
      <c r="Y3042" t="s">
        <v>425</v>
      </c>
      <c r="Z3042">
        <v>2022</v>
      </c>
    </row>
    <row r="3043" spans="1:26" x14ac:dyDescent="0.3">
      <c r="A3043" t="s">
        <v>116</v>
      </c>
      <c r="B3043" t="s">
        <v>112</v>
      </c>
      <c r="C3043">
        <v>30</v>
      </c>
      <c r="D3043">
        <v>18</v>
      </c>
      <c r="E3043" s="1">
        <f t="shared" si="47"/>
        <v>0.6</v>
      </c>
      <c r="F3043">
        <v>104</v>
      </c>
      <c r="G3043">
        <v>109.9</v>
      </c>
      <c r="H3043">
        <v>0.34510000000000002</v>
      </c>
      <c r="I3043">
        <v>50.3</v>
      </c>
      <c r="J3043">
        <v>52.6</v>
      </c>
      <c r="K3043">
        <v>15.5</v>
      </c>
      <c r="L3043">
        <v>17.399999999999999</v>
      </c>
      <c r="M3043">
        <v>27.4</v>
      </c>
      <c r="N3043">
        <v>29.7</v>
      </c>
      <c r="O3043">
        <v>27.7</v>
      </c>
      <c r="P3043">
        <v>23.8</v>
      </c>
      <c r="Q3043">
        <v>49.9</v>
      </c>
      <c r="R3043">
        <v>54.1</v>
      </c>
      <c r="S3043">
        <v>34</v>
      </c>
      <c r="T3043">
        <v>33.6</v>
      </c>
      <c r="U3043">
        <v>68.2</v>
      </c>
      <c r="V3043">
        <v>-8</v>
      </c>
      <c r="W3043" cm="1">
        <f t="array" ref="W3043">_xlfn.IFS(OR(X3043="N/A",X3043="NA"),0,OR(X3043="R64",X3043="R68"),1,X3043="R32",2,X3043="S16",3,X3043="E8",4,X3043="F4",5,X3043="2ND",6,X3043="Champions",7)</f>
        <v>0</v>
      </c>
      <c r="X3043" t="s">
        <v>425</v>
      </c>
      <c r="Y3043" t="s">
        <v>425</v>
      </c>
      <c r="Z3043">
        <v>2022</v>
      </c>
    </row>
    <row r="3044" spans="1:26" x14ac:dyDescent="0.3">
      <c r="A3044" t="s">
        <v>124</v>
      </c>
      <c r="B3044" t="s">
        <v>50</v>
      </c>
      <c r="C3044">
        <v>31</v>
      </c>
      <c r="D3044">
        <v>8</v>
      </c>
      <c r="E3044" s="1">
        <f t="shared" si="47"/>
        <v>0.25806451612903225</v>
      </c>
      <c r="F3044">
        <v>90.9</v>
      </c>
      <c r="G3044">
        <v>96.1</v>
      </c>
      <c r="H3044">
        <v>0.34489999999999998</v>
      </c>
      <c r="I3044">
        <v>41.3</v>
      </c>
      <c r="J3044">
        <v>48.3</v>
      </c>
      <c r="K3044">
        <v>19.100000000000001</v>
      </c>
      <c r="L3044">
        <v>18.899999999999999</v>
      </c>
      <c r="M3044">
        <v>29.8</v>
      </c>
      <c r="N3044">
        <v>27</v>
      </c>
      <c r="O3044">
        <v>25.4</v>
      </c>
      <c r="P3044">
        <v>33.6</v>
      </c>
      <c r="Q3044">
        <v>42.8</v>
      </c>
      <c r="R3044">
        <v>46.6</v>
      </c>
      <c r="S3044">
        <v>25.2</v>
      </c>
      <c r="T3044">
        <v>33.799999999999997</v>
      </c>
      <c r="U3044">
        <v>65</v>
      </c>
      <c r="V3044">
        <v>-12.9</v>
      </c>
      <c r="W3044" cm="1">
        <f t="array" ref="W3044">_xlfn.IFS(OR(X3044="N/A",X3044="NA"),0,OR(X3044="R64",X3044="R68"),1,X3044="R32",2,X3044="S16",3,X3044="E8",4,X3044="F4",5,X3044="2ND",6,X3044="Champions",7)</f>
        <v>0</v>
      </c>
      <c r="X3044" t="s">
        <v>425</v>
      </c>
      <c r="Y3044" t="s">
        <v>425</v>
      </c>
      <c r="Z3044">
        <v>2022</v>
      </c>
    </row>
    <row r="3045" spans="1:26" x14ac:dyDescent="0.3">
      <c r="A3045" t="s">
        <v>246</v>
      </c>
      <c r="B3045" t="s">
        <v>69</v>
      </c>
      <c r="C3045">
        <v>30</v>
      </c>
      <c r="D3045">
        <v>14</v>
      </c>
      <c r="E3045" s="1">
        <f t="shared" si="47"/>
        <v>0.46666666666666667</v>
      </c>
      <c r="F3045">
        <v>101.9</v>
      </c>
      <c r="G3045">
        <v>107.8</v>
      </c>
      <c r="H3045">
        <v>0.34439999999999998</v>
      </c>
      <c r="I3045">
        <v>50</v>
      </c>
      <c r="J3045">
        <v>50.6</v>
      </c>
      <c r="K3045">
        <v>18.7</v>
      </c>
      <c r="L3045">
        <v>17.2</v>
      </c>
      <c r="M3045">
        <v>28.6</v>
      </c>
      <c r="N3045">
        <v>28.6</v>
      </c>
      <c r="O3045">
        <v>27</v>
      </c>
      <c r="P3045">
        <v>27.2</v>
      </c>
      <c r="Q3045">
        <v>49.2</v>
      </c>
      <c r="R3045">
        <v>47.6</v>
      </c>
      <c r="S3045">
        <v>34</v>
      </c>
      <c r="T3045">
        <v>37.1</v>
      </c>
      <c r="U3045">
        <v>68.900000000000006</v>
      </c>
      <c r="V3045">
        <v>-12.3</v>
      </c>
      <c r="W3045" cm="1">
        <f t="array" ref="W3045">_xlfn.IFS(OR(X3045="N/A",X3045="NA"),0,OR(X3045="R64",X3045="R68"),1,X3045="R32",2,X3045="S16",3,X3045="E8",4,X3045="F4",5,X3045="2ND",6,X3045="Champions",7)</f>
        <v>0</v>
      </c>
      <c r="X3045" t="s">
        <v>425</v>
      </c>
      <c r="Y3045" t="s">
        <v>425</v>
      </c>
      <c r="Z3045">
        <v>2022</v>
      </c>
    </row>
    <row r="3046" spans="1:26" x14ac:dyDescent="0.3">
      <c r="A3046" t="s">
        <v>118</v>
      </c>
      <c r="B3046" t="s">
        <v>112</v>
      </c>
      <c r="C3046">
        <v>31</v>
      </c>
      <c r="D3046">
        <v>18</v>
      </c>
      <c r="E3046" s="1">
        <f t="shared" si="47"/>
        <v>0.58064516129032262</v>
      </c>
      <c r="F3046">
        <v>103.6</v>
      </c>
      <c r="G3046">
        <v>109.5</v>
      </c>
      <c r="H3046">
        <v>0.34410000000000002</v>
      </c>
      <c r="I3046">
        <v>52.6</v>
      </c>
      <c r="J3046">
        <v>52.8</v>
      </c>
      <c r="K3046">
        <v>16.2</v>
      </c>
      <c r="L3046">
        <v>16.600000000000001</v>
      </c>
      <c r="M3046">
        <v>21.9</v>
      </c>
      <c r="N3046">
        <v>28.8</v>
      </c>
      <c r="O3046">
        <v>31.1</v>
      </c>
      <c r="P3046">
        <v>19.7</v>
      </c>
      <c r="Q3046">
        <v>48.9</v>
      </c>
      <c r="R3046">
        <v>52.7</v>
      </c>
      <c r="S3046">
        <v>38.299999999999997</v>
      </c>
      <c r="T3046">
        <v>35.200000000000003</v>
      </c>
      <c r="U3046">
        <v>68.3</v>
      </c>
      <c r="V3046">
        <v>-9.4</v>
      </c>
      <c r="W3046" cm="1">
        <f t="array" ref="W3046">_xlfn.IFS(OR(X3046="N/A",X3046="NA"),0,OR(X3046="R64",X3046="R68"),1,X3046="R32",2,X3046="S16",3,X3046="E8",4,X3046="F4",5,X3046="2ND",6,X3046="Champions",7)</f>
        <v>0</v>
      </c>
      <c r="X3046" t="s">
        <v>425</v>
      </c>
      <c r="Y3046" t="s">
        <v>425</v>
      </c>
      <c r="Z3046">
        <v>2022</v>
      </c>
    </row>
    <row r="3047" spans="1:26" x14ac:dyDescent="0.3">
      <c r="A3047" t="s">
        <v>249</v>
      </c>
      <c r="B3047" t="s">
        <v>69</v>
      </c>
      <c r="C3047">
        <v>29</v>
      </c>
      <c r="D3047">
        <v>15</v>
      </c>
      <c r="E3047" s="1">
        <f t="shared" si="47"/>
        <v>0.51724137931034486</v>
      </c>
      <c r="F3047">
        <v>97.8</v>
      </c>
      <c r="G3047">
        <v>103.6</v>
      </c>
      <c r="H3047">
        <v>0.33900000000000002</v>
      </c>
      <c r="I3047">
        <v>48.7</v>
      </c>
      <c r="J3047">
        <v>49.1</v>
      </c>
      <c r="K3047">
        <v>18.399999999999999</v>
      </c>
      <c r="L3047">
        <v>17.3</v>
      </c>
      <c r="M3047">
        <v>24.5</v>
      </c>
      <c r="N3047">
        <v>28.5</v>
      </c>
      <c r="O3047">
        <v>28.9</v>
      </c>
      <c r="P3047">
        <v>29.2</v>
      </c>
      <c r="Q3047">
        <v>46.3</v>
      </c>
      <c r="R3047">
        <v>48.7</v>
      </c>
      <c r="S3047">
        <v>35.6</v>
      </c>
      <c r="T3047">
        <v>33.299999999999997</v>
      </c>
      <c r="U3047">
        <v>66.3</v>
      </c>
      <c r="V3047">
        <v>-9.3000000000000007</v>
      </c>
      <c r="W3047" cm="1">
        <f t="array" ref="W3047">_xlfn.IFS(OR(X3047="N/A",X3047="NA"),0,OR(X3047="R64",X3047="R68"),1,X3047="R32",2,X3047="S16",3,X3047="E8",4,X3047="F4",5,X3047="2ND",6,X3047="Champions",7)</f>
        <v>0</v>
      </c>
      <c r="X3047" t="s">
        <v>425</v>
      </c>
      <c r="Y3047" t="s">
        <v>425</v>
      </c>
      <c r="Z3047">
        <v>2022</v>
      </c>
    </row>
    <row r="3048" spans="1:26" x14ac:dyDescent="0.3">
      <c r="A3048" t="s">
        <v>115</v>
      </c>
      <c r="B3048" t="s">
        <v>112</v>
      </c>
      <c r="C3048">
        <v>26</v>
      </c>
      <c r="D3048">
        <v>15</v>
      </c>
      <c r="E3048" s="1">
        <f t="shared" si="47"/>
        <v>0.57692307692307687</v>
      </c>
      <c r="F3048">
        <v>102.6</v>
      </c>
      <c r="G3048">
        <v>108.7</v>
      </c>
      <c r="H3048">
        <v>0.3382</v>
      </c>
      <c r="I3048">
        <v>50.9</v>
      </c>
      <c r="J3048">
        <v>50.4</v>
      </c>
      <c r="K3048">
        <v>14.8</v>
      </c>
      <c r="L3048">
        <v>14</v>
      </c>
      <c r="M3048">
        <v>27.9</v>
      </c>
      <c r="N3048">
        <v>21.9</v>
      </c>
      <c r="O3048">
        <v>25.4</v>
      </c>
      <c r="P3048">
        <v>26.6</v>
      </c>
      <c r="Q3048">
        <v>48.1</v>
      </c>
      <c r="R3048">
        <v>49.8</v>
      </c>
      <c r="S3048">
        <v>36.6</v>
      </c>
      <c r="T3048">
        <v>34.200000000000003</v>
      </c>
      <c r="U3048">
        <v>61.9</v>
      </c>
      <c r="V3048">
        <v>-9.3000000000000007</v>
      </c>
      <c r="W3048" cm="1">
        <f t="array" ref="W3048">_xlfn.IFS(OR(X3048="N/A",X3048="NA"),0,OR(X3048="R64",X3048="R68"),1,X3048="R32",2,X3048="S16",3,X3048="E8",4,X3048="F4",5,X3048="2ND",6,X3048="Champions",7)</f>
        <v>0</v>
      </c>
      <c r="X3048" t="s">
        <v>425</v>
      </c>
      <c r="Y3048" t="s">
        <v>425</v>
      </c>
      <c r="Z3048">
        <v>2022</v>
      </c>
    </row>
    <row r="3049" spans="1:26" x14ac:dyDescent="0.3">
      <c r="A3049" t="s">
        <v>215</v>
      </c>
      <c r="B3049" t="s">
        <v>40</v>
      </c>
      <c r="C3049">
        <v>31</v>
      </c>
      <c r="D3049">
        <v>16</v>
      </c>
      <c r="E3049" s="1">
        <f t="shared" si="47"/>
        <v>0.5161290322580645</v>
      </c>
      <c r="F3049">
        <v>103.9</v>
      </c>
      <c r="G3049">
        <v>110.2</v>
      </c>
      <c r="H3049">
        <v>0.33710000000000001</v>
      </c>
      <c r="I3049">
        <v>52.9</v>
      </c>
      <c r="J3049">
        <v>50.8</v>
      </c>
      <c r="K3049">
        <v>18.399999999999999</v>
      </c>
      <c r="L3049">
        <v>14.3</v>
      </c>
      <c r="M3049">
        <v>26.1</v>
      </c>
      <c r="N3049">
        <v>28.2</v>
      </c>
      <c r="O3049">
        <v>31.2</v>
      </c>
      <c r="P3049">
        <v>21.1</v>
      </c>
      <c r="Q3049">
        <v>51.9</v>
      </c>
      <c r="R3049">
        <v>51.6</v>
      </c>
      <c r="S3049">
        <v>36.200000000000003</v>
      </c>
      <c r="T3049">
        <v>32.9</v>
      </c>
      <c r="U3049">
        <v>67.599999999999994</v>
      </c>
      <c r="V3049">
        <v>-9.6</v>
      </c>
      <c r="W3049" cm="1">
        <f t="array" ref="W3049">_xlfn.IFS(OR(X3049="N/A",X3049="NA"),0,OR(X3049="R64",X3049="R68"),1,X3049="R32",2,X3049="S16",3,X3049="E8",4,X3049="F4",5,X3049="2ND",6,X3049="Champions",7)</f>
        <v>0</v>
      </c>
      <c r="X3049" t="s">
        <v>425</v>
      </c>
      <c r="Y3049" t="s">
        <v>425</v>
      </c>
      <c r="Z3049">
        <v>2022</v>
      </c>
    </row>
    <row r="3050" spans="1:26" x14ac:dyDescent="0.3">
      <c r="A3050" t="s">
        <v>297</v>
      </c>
      <c r="B3050" t="s">
        <v>77</v>
      </c>
      <c r="C3050">
        <v>29</v>
      </c>
      <c r="D3050">
        <v>16</v>
      </c>
      <c r="E3050" s="1">
        <f t="shared" si="47"/>
        <v>0.55172413793103448</v>
      </c>
      <c r="F3050">
        <v>98.9</v>
      </c>
      <c r="G3050">
        <v>105</v>
      </c>
      <c r="H3050">
        <v>0.3367</v>
      </c>
      <c r="I3050">
        <v>48.4</v>
      </c>
      <c r="J3050">
        <v>48.5</v>
      </c>
      <c r="K3050">
        <v>18.5</v>
      </c>
      <c r="L3050">
        <v>18.2</v>
      </c>
      <c r="M3050">
        <v>30.6</v>
      </c>
      <c r="N3050">
        <v>29.7</v>
      </c>
      <c r="O3050">
        <v>30.4</v>
      </c>
      <c r="P3050">
        <v>29.7</v>
      </c>
      <c r="Q3050">
        <v>49.6</v>
      </c>
      <c r="R3050">
        <v>48.8</v>
      </c>
      <c r="S3050">
        <v>31</v>
      </c>
      <c r="T3050">
        <v>32</v>
      </c>
      <c r="U3050">
        <v>72.5</v>
      </c>
      <c r="V3050">
        <v>-8.6</v>
      </c>
      <c r="W3050" cm="1">
        <f t="array" ref="W3050">_xlfn.IFS(OR(X3050="N/A",X3050="NA"),0,OR(X3050="R64",X3050="R68"),1,X3050="R32",2,X3050="S16",3,X3050="E8",4,X3050="F4",5,X3050="2ND",6,X3050="Champions",7)</f>
        <v>0</v>
      </c>
      <c r="X3050" t="s">
        <v>425</v>
      </c>
      <c r="Y3050" t="s">
        <v>425</v>
      </c>
      <c r="Z3050">
        <v>2022</v>
      </c>
    </row>
    <row r="3051" spans="1:26" x14ac:dyDescent="0.3">
      <c r="A3051" t="s">
        <v>228</v>
      </c>
      <c r="B3051" t="s">
        <v>43</v>
      </c>
      <c r="C3051">
        <v>32</v>
      </c>
      <c r="D3051">
        <v>19</v>
      </c>
      <c r="E3051" s="1">
        <f t="shared" si="47"/>
        <v>0.59375</v>
      </c>
      <c r="F3051">
        <v>103.1</v>
      </c>
      <c r="G3051">
        <v>109.4</v>
      </c>
      <c r="H3051">
        <v>0.33660000000000001</v>
      </c>
      <c r="I3051">
        <v>51</v>
      </c>
      <c r="J3051">
        <v>51</v>
      </c>
      <c r="K3051">
        <v>17.3</v>
      </c>
      <c r="L3051">
        <v>17.100000000000001</v>
      </c>
      <c r="M3051">
        <v>29.8</v>
      </c>
      <c r="N3051">
        <v>28.3</v>
      </c>
      <c r="O3051">
        <v>30.4</v>
      </c>
      <c r="P3051">
        <v>30.3</v>
      </c>
      <c r="Q3051">
        <v>50.8</v>
      </c>
      <c r="R3051">
        <v>50.7</v>
      </c>
      <c r="S3051">
        <v>34.1</v>
      </c>
      <c r="T3051">
        <v>34.299999999999997</v>
      </c>
      <c r="U3051">
        <v>66.599999999999994</v>
      </c>
      <c r="V3051">
        <v>-10.4</v>
      </c>
      <c r="W3051" cm="1">
        <f t="array" ref="W3051">_xlfn.IFS(OR(X3051="N/A",X3051="NA"),0,OR(X3051="R64",X3051="R68"),1,X3051="R32",2,X3051="S16",3,X3051="E8",4,X3051="F4",5,X3051="2ND",6,X3051="Champions",7)</f>
        <v>0</v>
      </c>
      <c r="X3051" t="s">
        <v>425</v>
      </c>
      <c r="Y3051" t="s">
        <v>425</v>
      </c>
      <c r="Z3051">
        <v>2022</v>
      </c>
    </row>
    <row r="3052" spans="1:26" x14ac:dyDescent="0.3">
      <c r="A3052" t="s">
        <v>353</v>
      </c>
      <c r="B3052" t="s">
        <v>62</v>
      </c>
      <c r="C3052">
        <v>28</v>
      </c>
      <c r="D3052">
        <v>13</v>
      </c>
      <c r="E3052" s="1">
        <f t="shared" si="47"/>
        <v>0.4642857142857143</v>
      </c>
      <c r="F3052">
        <v>100.8</v>
      </c>
      <c r="G3052">
        <v>107.1</v>
      </c>
      <c r="H3052">
        <v>0.33239999999999997</v>
      </c>
      <c r="I3052">
        <v>52</v>
      </c>
      <c r="J3052">
        <v>50.4</v>
      </c>
      <c r="K3052">
        <v>17.100000000000001</v>
      </c>
      <c r="L3052">
        <v>13.8</v>
      </c>
      <c r="M3052">
        <v>23.7</v>
      </c>
      <c r="N3052">
        <v>29.4</v>
      </c>
      <c r="O3052">
        <v>29.9</v>
      </c>
      <c r="P3052">
        <v>26.3</v>
      </c>
      <c r="Q3052">
        <v>51.7</v>
      </c>
      <c r="R3052">
        <v>50.9</v>
      </c>
      <c r="S3052">
        <v>34.799999999999997</v>
      </c>
      <c r="T3052">
        <v>33.1</v>
      </c>
      <c r="U3052">
        <v>70.400000000000006</v>
      </c>
      <c r="V3052">
        <v>-11.7</v>
      </c>
      <c r="W3052" cm="1">
        <f t="array" ref="W3052">_xlfn.IFS(OR(X3052="N/A",X3052="NA"),0,OR(X3052="R64",X3052="R68"),1,X3052="R32",2,X3052="S16",3,X3052="E8",4,X3052="F4",5,X3052="2ND",6,X3052="Champions",7)</f>
        <v>0</v>
      </c>
      <c r="X3052" t="s">
        <v>425</v>
      </c>
      <c r="Y3052" t="s">
        <v>425</v>
      </c>
      <c r="Z3052">
        <v>2022</v>
      </c>
    </row>
    <row r="3053" spans="1:26" x14ac:dyDescent="0.3">
      <c r="A3053" t="s">
        <v>166</v>
      </c>
      <c r="B3053" t="s">
        <v>164</v>
      </c>
      <c r="C3053">
        <v>29</v>
      </c>
      <c r="D3053">
        <v>18</v>
      </c>
      <c r="E3053" s="1">
        <f t="shared" si="47"/>
        <v>0.62068965517241381</v>
      </c>
      <c r="F3053">
        <v>99.9</v>
      </c>
      <c r="G3053">
        <v>106.3</v>
      </c>
      <c r="H3053">
        <v>0.32819999999999999</v>
      </c>
      <c r="I3053">
        <v>50.2</v>
      </c>
      <c r="J3053">
        <v>51.8</v>
      </c>
      <c r="K3053">
        <v>15.7</v>
      </c>
      <c r="L3053">
        <v>19.100000000000001</v>
      </c>
      <c r="M3053">
        <v>18.100000000000001</v>
      </c>
      <c r="N3053">
        <v>26.8</v>
      </c>
      <c r="O3053">
        <v>38.5</v>
      </c>
      <c r="P3053">
        <v>42.8</v>
      </c>
      <c r="Q3053">
        <v>49.9</v>
      </c>
      <c r="R3053">
        <v>49.9</v>
      </c>
      <c r="S3053">
        <v>33.9</v>
      </c>
      <c r="T3053">
        <v>37.5</v>
      </c>
      <c r="U3053">
        <v>65.3</v>
      </c>
      <c r="V3053">
        <v>-9.9</v>
      </c>
      <c r="W3053" cm="1">
        <f t="array" ref="W3053">_xlfn.IFS(OR(X3053="N/A",X3053="NA"),0,OR(X3053="R64",X3053="R68"),1,X3053="R32",2,X3053="S16",3,X3053="E8",4,X3053="F4",5,X3053="2ND",6,X3053="Champions",7)</f>
        <v>0</v>
      </c>
      <c r="X3053" t="s">
        <v>425</v>
      </c>
      <c r="Y3053" t="s">
        <v>425</v>
      </c>
      <c r="Z3053">
        <v>2022</v>
      </c>
    </row>
    <row r="3054" spans="1:26" x14ac:dyDescent="0.3">
      <c r="A3054" t="s">
        <v>267</v>
      </c>
      <c r="B3054" t="s">
        <v>66</v>
      </c>
      <c r="C3054">
        <v>26</v>
      </c>
      <c r="D3054">
        <v>16</v>
      </c>
      <c r="E3054" s="1">
        <f t="shared" si="47"/>
        <v>0.61538461538461542</v>
      </c>
      <c r="F3054">
        <v>99.3</v>
      </c>
      <c r="G3054">
        <v>105.7</v>
      </c>
      <c r="H3054">
        <v>0.32590000000000002</v>
      </c>
      <c r="I3054">
        <v>50.4</v>
      </c>
      <c r="J3054">
        <v>49.4</v>
      </c>
      <c r="K3054">
        <v>20.7</v>
      </c>
      <c r="L3054">
        <v>23.5</v>
      </c>
      <c r="M3054">
        <v>28</v>
      </c>
      <c r="N3054">
        <v>34.5</v>
      </c>
      <c r="O3054">
        <v>36.200000000000003</v>
      </c>
      <c r="P3054">
        <v>33.9</v>
      </c>
      <c r="Q3054">
        <v>47.8</v>
      </c>
      <c r="R3054">
        <v>48.6</v>
      </c>
      <c r="S3054">
        <v>36.200000000000003</v>
      </c>
      <c r="T3054">
        <v>34</v>
      </c>
      <c r="U3054">
        <v>70.400000000000006</v>
      </c>
      <c r="V3054">
        <v>-9.5</v>
      </c>
      <c r="W3054" cm="1">
        <f t="array" ref="W3054">_xlfn.IFS(OR(X3054="N/A",X3054="NA"),0,OR(X3054="R64",X3054="R68"),1,X3054="R32",2,X3054="S16",3,X3054="E8",4,X3054="F4",5,X3054="2ND",6,X3054="Champions",7)</f>
        <v>0</v>
      </c>
      <c r="X3054" t="s">
        <v>425</v>
      </c>
      <c r="Y3054" t="s">
        <v>425</v>
      </c>
      <c r="Z3054">
        <v>2022</v>
      </c>
    </row>
    <row r="3055" spans="1:26" x14ac:dyDescent="0.3">
      <c r="A3055" t="s">
        <v>252</v>
      </c>
      <c r="B3055" t="s">
        <v>57</v>
      </c>
      <c r="C3055">
        <v>30</v>
      </c>
      <c r="D3055">
        <v>14</v>
      </c>
      <c r="E3055" s="1">
        <f t="shared" si="47"/>
        <v>0.46666666666666667</v>
      </c>
      <c r="F3055">
        <v>101.2</v>
      </c>
      <c r="G3055">
        <v>108.1</v>
      </c>
      <c r="H3055">
        <v>0.32069999999999999</v>
      </c>
      <c r="I3055">
        <v>51.3</v>
      </c>
      <c r="J3055">
        <v>52.4</v>
      </c>
      <c r="K3055">
        <v>19.5</v>
      </c>
      <c r="L3055">
        <v>17.100000000000001</v>
      </c>
      <c r="M3055">
        <v>26.8</v>
      </c>
      <c r="N3055">
        <v>28.3</v>
      </c>
      <c r="O3055">
        <v>38.1</v>
      </c>
      <c r="P3055">
        <v>32.799999999999997</v>
      </c>
      <c r="Q3055">
        <v>49.8</v>
      </c>
      <c r="R3055">
        <v>50.8</v>
      </c>
      <c r="S3055">
        <v>35.700000000000003</v>
      </c>
      <c r="T3055">
        <v>36.299999999999997</v>
      </c>
      <c r="U3055">
        <v>70</v>
      </c>
      <c r="V3055">
        <v>-12.2</v>
      </c>
      <c r="W3055" cm="1">
        <f t="array" ref="W3055">_xlfn.IFS(OR(X3055="N/A",X3055="NA"),0,OR(X3055="R64",X3055="R68"),1,X3055="R32",2,X3055="S16",3,X3055="E8",4,X3055="F4",5,X3055="2ND",6,X3055="Champions",7)</f>
        <v>0</v>
      </c>
      <c r="X3055" t="s">
        <v>425</v>
      </c>
      <c r="Y3055" t="s">
        <v>425</v>
      </c>
      <c r="Z3055">
        <v>2022</v>
      </c>
    </row>
    <row r="3056" spans="1:26" x14ac:dyDescent="0.3">
      <c r="A3056" t="s">
        <v>339</v>
      </c>
      <c r="B3056" t="s">
        <v>58</v>
      </c>
      <c r="C3056">
        <v>26</v>
      </c>
      <c r="D3056">
        <v>13</v>
      </c>
      <c r="E3056" s="1">
        <f t="shared" si="47"/>
        <v>0.5</v>
      </c>
      <c r="F3056">
        <v>95.9</v>
      </c>
      <c r="G3056">
        <v>102.4</v>
      </c>
      <c r="H3056">
        <v>0.32029999999999997</v>
      </c>
      <c r="I3056">
        <v>47.8</v>
      </c>
      <c r="J3056">
        <v>48.2</v>
      </c>
      <c r="K3056">
        <v>21.1</v>
      </c>
      <c r="L3056">
        <v>18.899999999999999</v>
      </c>
      <c r="M3056">
        <v>27.7</v>
      </c>
      <c r="N3056">
        <v>31</v>
      </c>
      <c r="O3056">
        <v>31.6</v>
      </c>
      <c r="P3056">
        <v>35.5</v>
      </c>
      <c r="Q3056">
        <v>50.1</v>
      </c>
      <c r="R3056">
        <v>47.3</v>
      </c>
      <c r="S3056">
        <v>29.2</v>
      </c>
      <c r="T3056">
        <v>33</v>
      </c>
      <c r="U3056">
        <v>66</v>
      </c>
      <c r="V3056">
        <v>-11.1</v>
      </c>
      <c r="W3056" cm="1">
        <f t="array" ref="W3056">_xlfn.IFS(OR(X3056="N/A",X3056="NA"),0,OR(X3056="R64",X3056="R68"),1,X3056="R32",2,X3056="S16",3,X3056="E8",4,X3056="F4",5,X3056="2ND",6,X3056="Champions",7)</f>
        <v>0</v>
      </c>
      <c r="X3056" t="s">
        <v>425</v>
      </c>
      <c r="Y3056" t="s">
        <v>425</v>
      </c>
      <c r="Z3056">
        <v>2022</v>
      </c>
    </row>
    <row r="3057" spans="1:26" x14ac:dyDescent="0.3">
      <c r="A3057" t="s">
        <v>314</v>
      </c>
      <c r="B3057" t="s">
        <v>64</v>
      </c>
      <c r="C3057">
        <v>30</v>
      </c>
      <c r="D3057">
        <v>11</v>
      </c>
      <c r="E3057" s="1">
        <f t="shared" si="47"/>
        <v>0.36666666666666664</v>
      </c>
      <c r="F3057">
        <v>100.5</v>
      </c>
      <c r="G3057">
        <v>107.3</v>
      </c>
      <c r="H3057">
        <v>0.32</v>
      </c>
      <c r="I3057">
        <v>49.2</v>
      </c>
      <c r="J3057">
        <v>51.5</v>
      </c>
      <c r="K3057">
        <v>18.899999999999999</v>
      </c>
      <c r="L3057">
        <v>18.100000000000001</v>
      </c>
      <c r="M3057">
        <v>30.9</v>
      </c>
      <c r="N3057">
        <v>30.5</v>
      </c>
      <c r="O3057">
        <v>24</v>
      </c>
      <c r="P3057">
        <v>24</v>
      </c>
      <c r="Q3057">
        <v>49.2</v>
      </c>
      <c r="R3057">
        <v>53.4</v>
      </c>
      <c r="S3057">
        <v>32.9</v>
      </c>
      <c r="T3057">
        <v>32.4</v>
      </c>
      <c r="U3057">
        <v>69.099999999999994</v>
      </c>
      <c r="V3057">
        <v>-14.2</v>
      </c>
      <c r="W3057" cm="1">
        <f t="array" ref="W3057">_xlfn.IFS(OR(X3057="N/A",X3057="NA"),0,OR(X3057="R64",X3057="R68"),1,X3057="R32",2,X3057="S16",3,X3057="E8",4,X3057="F4",5,X3057="2ND",6,X3057="Champions",7)</f>
        <v>0</v>
      </c>
      <c r="X3057" t="s">
        <v>425</v>
      </c>
      <c r="Y3057" t="s">
        <v>425</v>
      </c>
      <c r="Z3057">
        <v>2022</v>
      </c>
    </row>
    <row r="3058" spans="1:26" x14ac:dyDescent="0.3">
      <c r="A3058" t="s">
        <v>200</v>
      </c>
      <c r="B3058" t="s">
        <v>53</v>
      </c>
      <c r="C3058">
        <v>30</v>
      </c>
      <c r="D3058">
        <v>10</v>
      </c>
      <c r="E3058" s="1">
        <f t="shared" si="47"/>
        <v>0.33333333333333331</v>
      </c>
      <c r="F3058">
        <v>98.8</v>
      </c>
      <c r="G3058">
        <v>105.6</v>
      </c>
      <c r="H3058">
        <v>0.31879999999999997</v>
      </c>
      <c r="I3058">
        <v>49</v>
      </c>
      <c r="J3058">
        <v>50.6</v>
      </c>
      <c r="K3058">
        <v>19.899999999999999</v>
      </c>
      <c r="L3058">
        <v>16.600000000000001</v>
      </c>
      <c r="M3058">
        <v>25.4</v>
      </c>
      <c r="N3058">
        <v>28.8</v>
      </c>
      <c r="O3058">
        <v>25.9</v>
      </c>
      <c r="P3058">
        <v>43.8</v>
      </c>
      <c r="Q3058">
        <v>48.6</v>
      </c>
      <c r="R3058">
        <v>49.9</v>
      </c>
      <c r="S3058">
        <v>33</v>
      </c>
      <c r="T3058">
        <v>34.5</v>
      </c>
      <c r="U3058">
        <v>66</v>
      </c>
      <c r="V3058">
        <v>-13.5</v>
      </c>
      <c r="W3058" cm="1">
        <f t="array" ref="W3058">_xlfn.IFS(OR(X3058="N/A",X3058="NA"),0,OR(X3058="R64",X3058="R68"),1,X3058="R32",2,X3058="S16",3,X3058="E8",4,X3058="F4",5,X3058="2ND",6,X3058="Champions",7)</f>
        <v>0</v>
      </c>
      <c r="X3058" t="s">
        <v>425</v>
      </c>
      <c r="Y3058" t="s">
        <v>425</v>
      </c>
      <c r="Z3058">
        <v>2022</v>
      </c>
    </row>
    <row r="3059" spans="1:26" x14ac:dyDescent="0.3">
      <c r="A3059" t="s">
        <v>134</v>
      </c>
      <c r="B3059" t="s">
        <v>131</v>
      </c>
      <c r="C3059">
        <v>30</v>
      </c>
      <c r="D3059">
        <v>14</v>
      </c>
      <c r="E3059" s="1">
        <f t="shared" si="47"/>
        <v>0.46666666666666667</v>
      </c>
      <c r="F3059">
        <v>101.6</v>
      </c>
      <c r="G3059">
        <v>108.7</v>
      </c>
      <c r="H3059">
        <v>0.31519999999999998</v>
      </c>
      <c r="I3059">
        <v>52.3</v>
      </c>
      <c r="J3059">
        <v>51.5</v>
      </c>
      <c r="K3059">
        <v>19</v>
      </c>
      <c r="L3059">
        <v>14.1</v>
      </c>
      <c r="M3059">
        <v>22.7</v>
      </c>
      <c r="N3059">
        <v>28</v>
      </c>
      <c r="O3059">
        <v>33.9</v>
      </c>
      <c r="P3059">
        <v>22.7</v>
      </c>
      <c r="Q3059">
        <v>53.2</v>
      </c>
      <c r="R3059">
        <v>48.1</v>
      </c>
      <c r="S3059">
        <v>34</v>
      </c>
      <c r="T3059">
        <v>37.5</v>
      </c>
      <c r="U3059">
        <v>69.3</v>
      </c>
      <c r="V3059">
        <v>-12.4</v>
      </c>
      <c r="W3059" cm="1">
        <f t="array" ref="W3059">_xlfn.IFS(OR(X3059="N/A",X3059="NA"),0,OR(X3059="R64",X3059="R68"),1,X3059="R32",2,X3059="S16",3,X3059="E8",4,X3059="F4",5,X3059="2ND",6,X3059="Champions",7)</f>
        <v>0</v>
      </c>
      <c r="X3059" t="s">
        <v>425</v>
      </c>
      <c r="Y3059" t="s">
        <v>425</v>
      </c>
      <c r="Z3059">
        <v>2022</v>
      </c>
    </row>
    <row r="3060" spans="1:26" x14ac:dyDescent="0.3">
      <c r="A3060" t="s">
        <v>298</v>
      </c>
      <c r="B3060" t="s">
        <v>77</v>
      </c>
      <c r="C3060">
        <v>29</v>
      </c>
      <c r="D3060">
        <v>14</v>
      </c>
      <c r="E3060" s="1">
        <f t="shared" si="47"/>
        <v>0.48275862068965519</v>
      </c>
      <c r="F3060">
        <v>95.4</v>
      </c>
      <c r="G3060">
        <v>102.2</v>
      </c>
      <c r="H3060">
        <v>0.31319999999999998</v>
      </c>
      <c r="I3060">
        <v>48.6</v>
      </c>
      <c r="J3060">
        <v>48.6</v>
      </c>
      <c r="K3060">
        <v>20.100000000000001</v>
      </c>
      <c r="L3060">
        <v>18.899999999999999</v>
      </c>
      <c r="M3060">
        <v>31</v>
      </c>
      <c r="N3060">
        <v>29.1</v>
      </c>
      <c r="O3060">
        <v>26.3</v>
      </c>
      <c r="P3060">
        <v>26.2</v>
      </c>
      <c r="Q3060">
        <v>47.6</v>
      </c>
      <c r="R3060">
        <v>47.4</v>
      </c>
      <c r="S3060">
        <v>33.9</v>
      </c>
      <c r="T3060">
        <v>33.9</v>
      </c>
      <c r="U3060">
        <v>63.5</v>
      </c>
      <c r="V3060">
        <v>-11.2</v>
      </c>
      <c r="W3060" cm="1">
        <f t="array" ref="W3060">_xlfn.IFS(OR(X3060="N/A",X3060="NA"),0,OR(X3060="R64",X3060="R68"),1,X3060="R32",2,X3060="S16",3,X3060="E8",4,X3060="F4",5,X3060="2ND",6,X3060="Champions",7)</f>
        <v>0</v>
      </c>
      <c r="X3060" t="s">
        <v>425</v>
      </c>
      <c r="Y3060" t="s">
        <v>425</v>
      </c>
      <c r="Z3060">
        <v>2022</v>
      </c>
    </row>
    <row r="3061" spans="1:26" x14ac:dyDescent="0.3">
      <c r="A3061" t="s">
        <v>257</v>
      </c>
      <c r="B3061" t="s">
        <v>57</v>
      </c>
      <c r="C3061">
        <v>29</v>
      </c>
      <c r="D3061">
        <v>14</v>
      </c>
      <c r="E3061" s="1">
        <f t="shared" si="47"/>
        <v>0.48275862068965519</v>
      </c>
      <c r="F3061">
        <v>103.7</v>
      </c>
      <c r="G3061">
        <v>111.1</v>
      </c>
      <c r="H3061">
        <v>0.31130000000000002</v>
      </c>
      <c r="I3061">
        <v>50.3</v>
      </c>
      <c r="J3061">
        <v>53.5</v>
      </c>
      <c r="K3061">
        <v>15</v>
      </c>
      <c r="L3061">
        <v>18</v>
      </c>
      <c r="M3061">
        <v>26</v>
      </c>
      <c r="N3061">
        <v>30.2</v>
      </c>
      <c r="O3061">
        <v>23.7</v>
      </c>
      <c r="P3061">
        <v>30.4</v>
      </c>
      <c r="Q3061">
        <v>49.5</v>
      </c>
      <c r="R3061">
        <v>52.5</v>
      </c>
      <c r="S3061">
        <v>34.299999999999997</v>
      </c>
      <c r="T3061">
        <v>36.700000000000003</v>
      </c>
      <c r="U3061">
        <v>67.5</v>
      </c>
      <c r="V3061">
        <v>-13.2</v>
      </c>
      <c r="W3061" cm="1">
        <f t="array" ref="W3061">_xlfn.IFS(OR(X3061="N/A",X3061="NA"),0,OR(X3061="R64",X3061="R68"),1,X3061="R32",2,X3061="S16",3,X3061="E8",4,X3061="F4",5,X3061="2ND",6,X3061="Champions",7)</f>
        <v>0</v>
      </c>
      <c r="X3061" t="s">
        <v>425</v>
      </c>
      <c r="Y3061" t="s">
        <v>425</v>
      </c>
      <c r="Z3061">
        <v>2022</v>
      </c>
    </row>
    <row r="3062" spans="1:26" x14ac:dyDescent="0.3">
      <c r="A3062" t="s">
        <v>387</v>
      </c>
      <c r="B3062" t="s">
        <v>72</v>
      </c>
      <c r="C3062">
        <v>30</v>
      </c>
      <c r="D3062">
        <v>16</v>
      </c>
      <c r="E3062" s="1">
        <f t="shared" si="47"/>
        <v>0.53333333333333333</v>
      </c>
      <c r="F3062">
        <v>99.3</v>
      </c>
      <c r="G3062">
        <v>106.4</v>
      </c>
      <c r="H3062">
        <v>0.31090000000000001</v>
      </c>
      <c r="I3062">
        <v>49.6</v>
      </c>
      <c r="J3062">
        <v>52.9</v>
      </c>
      <c r="K3062">
        <v>15.9</v>
      </c>
      <c r="L3062">
        <v>17.3</v>
      </c>
      <c r="M3062">
        <v>28.8</v>
      </c>
      <c r="N3062">
        <v>22.7</v>
      </c>
      <c r="O3062">
        <v>29.4</v>
      </c>
      <c r="P3062">
        <v>31.4</v>
      </c>
      <c r="Q3062">
        <v>49.8</v>
      </c>
      <c r="R3062">
        <v>51.3</v>
      </c>
      <c r="S3062">
        <v>33</v>
      </c>
      <c r="T3062">
        <v>37.4</v>
      </c>
      <c r="U3062">
        <v>70.5</v>
      </c>
      <c r="V3062">
        <v>-10.199999999999999</v>
      </c>
      <c r="W3062" cm="1">
        <f t="array" ref="W3062">_xlfn.IFS(OR(X3062="N/A",X3062="NA"),0,OR(X3062="R64",X3062="R68"),1,X3062="R32",2,X3062="S16",3,X3062="E8",4,X3062="F4",5,X3062="2ND",6,X3062="Champions",7)</f>
        <v>0</v>
      </c>
      <c r="X3062" t="s">
        <v>425</v>
      </c>
      <c r="Y3062" t="s">
        <v>425</v>
      </c>
      <c r="Z3062">
        <v>2022</v>
      </c>
    </row>
    <row r="3063" spans="1:26" x14ac:dyDescent="0.3">
      <c r="A3063" t="s">
        <v>171</v>
      </c>
      <c r="B3063" t="s">
        <v>164</v>
      </c>
      <c r="C3063">
        <v>29</v>
      </c>
      <c r="D3063">
        <v>14</v>
      </c>
      <c r="E3063" s="1">
        <f t="shared" si="47"/>
        <v>0.48275862068965519</v>
      </c>
      <c r="F3063">
        <v>95.7</v>
      </c>
      <c r="G3063">
        <v>102.8</v>
      </c>
      <c r="H3063">
        <v>0.30580000000000002</v>
      </c>
      <c r="I3063">
        <v>47.1</v>
      </c>
      <c r="J3063">
        <v>52.7</v>
      </c>
      <c r="K3063">
        <v>17</v>
      </c>
      <c r="L3063">
        <v>23.4</v>
      </c>
      <c r="M3063">
        <v>26.1</v>
      </c>
      <c r="N3063">
        <v>31.8</v>
      </c>
      <c r="O3063">
        <v>31.6</v>
      </c>
      <c r="P3063">
        <v>39.4</v>
      </c>
      <c r="Q3063">
        <v>48.4</v>
      </c>
      <c r="R3063">
        <v>51.2</v>
      </c>
      <c r="S3063">
        <v>29.7</v>
      </c>
      <c r="T3063">
        <v>36.700000000000003</v>
      </c>
      <c r="U3063">
        <v>70.599999999999994</v>
      </c>
      <c r="V3063">
        <v>-12.8</v>
      </c>
      <c r="W3063" cm="1">
        <f t="array" ref="W3063">_xlfn.IFS(OR(X3063="N/A",X3063="NA"),0,OR(X3063="R64",X3063="R68"),1,X3063="R32",2,X3063="S16",3,X3063="E8",4,X3063="F4",5,X3063="2ND",6,X3063="Champions",7)</f>
        <v>0</v>
      </c>
      <c r="X3063" t="s">
        <v>425</v>
      </c>
      <c r="Y3063" t="s">
        <v>425</v>
      </c>
      <c r="Z3063">
        <v>2022</v>
      </c>
    </row>
    <row r="3064" spans="1:26" x14ac:dyDescent="0.3">
      <c r="A3064" t="s">
        <v>306</v>
      </c>
      <c r="B3064" t="s">
        <v>131</v>
      </c>
      <c r="C3064">
        <v>27</v>
      </c>
      <c r="D3064">
        <v>13</v>
      </c>
      <c r="E3064" s="1">
        <f t="shared" si="47"/>
        <v>0.48148148148148145</v>
      </c>
      <c r="F3064">
        <v>100.8</v>
      </c>
      <c r="G3064">
        <v>108.3</v>
      </c>
      <c r="H3064">
        <v>0.30549999999999999</v>
      </c>
      <c r="I3064">
        <v>48.4</v>
      </c>
      <c r="J3064">
        <v>54.6</v>
      </c>
      <c r="K3064">
        <v>15.6</v>
      </c>
      <c r="L3064">
        <v>22.3</v>
      </c>
      <c r="M3064">
        <v>28.7</v>
      </c>
      <c r="N3064">
        <v>31.8</v>
      </c>
      <c r="O3064">
        <v>21.7</v>
      </c>
      <c r="P3064">
        <v>28.1</v>
      </c>
      <c r="Q3064">
        <v>46</v>
      </c>
      <c r="R3064">
        <v>56.6</v>
      </c>
      <c r="S3064">
        <v>33.9</v>
      </c>
      <c r="T3064">
        <v>34.4</v>
      </c>
      <c r="U3064">
        <v>71</v>
      </c>
      <c r="V3064">
        <v>-13.7</v>
      </c>
      <c r="W3064" cm="1">
        <f t="array" ref="W3064">_xlfn.IFS(OR(X3064="N/A",X3064="NA"),0,OR(X3064="R64",X3064="R68"),1,X3064="R32",2,X3064="S16",3,X3064="E8",4,X3064="F4",5,X3064="2ND",6,X3064="Champions",7)</f>
        <v>0</v>
      </c>
      <c r="X3064" t="s">
        <v>425</v>
      </c>
      <c r="Y3064" t="s">
        <v>425</v>
      </c>
      <c r="Z3064">
        <v>2022</v>
      </c>
    </row>
    <row r="3065" spans="1:26" x14ac:dyDescent="0.3">
      <c r="A3065" t="s">
        <v>313</v>
      </c>
      <c r="B3065" t="s">
        <v>64</v>
      </c>
      <c r="C3065">
        <v>30</v>
      </c>
      <c r="D3065">
        <v>14</v>
      </c>
      <c r="E3065" s="1">
        <f t="shared" si="47"/>
        <v>0.46666666666666667</v>
      </c>
      <c r="F3065">
        <v>98</v>
      </c>
      <c r="G3065">
        <v>105.3</v>
      </c>
      <c r="H3065">
        <v>0.30320000000000003</v>
      </c>
      <c r="I3065">
        <v>49</v>
      </c>
      <c r="J3065">
        <v>50.1</v>
      </c>
      <c r="K3065">
        <v>19.8</v>
      </c>
      <c r="L3065">
        <v>19.7</v>
      </c>
      <c r="M3065">
        <v>29.7</v>
      </c>
      <c r="N3065">
        <v>28.6</v>
      </c>
      <c r="O3065">
        <v>30.4</v>
      </c>
      <c r="P3065">
        <v>39.200000000000003</v>
      </c>
      <c r="Q3065">
        <v>47.6</v>
      </c>
      <c r="R3065">
        <v>49.8</v>
      </c>
      <c r="S3065">
        <v>34.6</v>
      </c>
      <c r="T3065">
        <v>33.700000000000003</v>
      </c>
      <c r="U3065">
        <v>67.400000000000006</v>
      </c>
      <c r="V3065">
        <v>-13.5</v>
      </c>
      <c r="W3065" cm="1">
        <f t="array" ref="W3065">_xlfn.IFS(OR(X3065="N/A",X3065="NA"),0,OR(X3065="R64",X3065="R68"),1,X3065="R32",2,X3065="S16",3,X3065="E8",4,X3065="F4",5,X3065="2ND",6,X3065="Champions",7)</f>
        <v>0</v>
      </c>
      <c r="X3065" t="s">
        <v>425</v>
      </c>
      <c r="Y3065" t="s">
        <v>425</v>
      </c>
      <c r="Z3065">
        <v>2022</v>
      </c>
    </row>
    <row r="3066" spans="1:26" x14ac:dyDescent="0.3">
      <c r="A3066" t="s">
        <v>411</v>
      </c>
      <c r="B3066" t="s">
        <v>37</v>
      </c>
      <c r="C3066">
        <v>31</v>
      </c>
      <c r="D3066">
        <v>7</v>
      </c>
      <c r="E3066" s="1">
        <f t="shared" si="47"/>
        <v>0.22580645161290322</v>
      </c>
      <c r="F3066">
        <v>97.8</v>
      </c>
      <c r="G3066">
        <v>105.2</v>
      </c>
      <c r="H3066">
        <v>0.30220000000000002</v>
      </c>
      <c r="I3066">
        <v>47.5</v>
      </c>
      <c r="J3066">
        <v>52.7</v>
      </c>
      <c r="K3066">
        <v>20.399999999999999</v>
      </c>
      <c r="L3066">
        <v>18</v>
      </c>
      <c r="M3066">
        <v>26.3</v>
      </c>
      <c r="N3066">
        <v>31</v>
      </c>
      <c r="O3066">
        <v>23.9</v>
      </c>
      <c r="P3066">
        <v>31.5</v>
      </c>
      <c r="Q3066">
        <v>45.6</v>
      </c>
      <c r="R3066">
        <v>54.6</v>
      </c>
      <c r="S3066">
        <v>34.1</v>
      </c>
      <c r="T3066">
        <v>32.9</v>
      </c>
      <c r="U3066">
        <v>70.2</v>
      </c>
      <c r="V3066">
        <v>-15.3</v>
      </c>
      <c r="W3066" cm="1">
        <f t="array" ref="W3066">_xlfn.IFS(OR(X3066="N/A",X3066="NA"),0,OR(X3066="R64",X3066="R68"),1,X3066="R32",2,X3066="S16",3,X3066="E8",4,X3066="F4",5,X3066="2ND",6,X3066="Champions",7)</f>
        <v>0</v>
      </c>
      <c r="X3066" t="s">
        <v>425</v>
      </c>
      <c r="Y3066" t="s">
        <v>425</v>
      </c>
      <c r="Z3066">
        <v>2022</v>
      </c>
    </row>
    <row r="3067" spans="1:26" x14ac:dyDescent="0.3">
      <c r="A3067" t="s">
        <v>283</v>
      </c>
      <c r="B3067" t="s">
        <v>55</v>
      </c>
      <c r="C3067">
        <v>29</v>
      </c>
      <c r="D3067">
        <v>11</v>
      </c>
      <c r="E3067" s="1">
        <f t="shared" si="47"/>
        <v>0.37931034482758619</v>
      </c>
      <c r="F3067">
        <v>95.9</v>
      </c>
      <c r="G3067">
        <v>103.2</v>
      </c>
      <c r="H3067">
        <v>0.29920000000000002</v>
      </c>
      <c r="I3067">
        <v>50.9</v>
      </c>
      <c r="J3067">
        <v>51.5</v>
      </c>
      <c r="K3067">
        <v>21.5</v>
      </c>
      <c r="L3067">
        <v>20.3</v>
      </c>
      <c r="M3067">
        <v>19.600000000000001</v>
      </c>
      <c r="N3067">
        <v>29.4</v>
      </c>
      <c r="O3067">
        <v>26.8</v>
      </c>
      <c r="P3067">
        <v>38.9</v>
      </c>
      <c r="Q3067">
        <v>51.6</v>
      </c>
      <c r="R3067">
        <v>53.8</v>
      </c>
      <c r="S3067">
        <v>33.299999999999997</v>
      </c>
      <c r="T3067">
        <v>31.2</v>
      </c>
      <c r="U3067">
        <v>63.2</v>
      </c>
      <c r="V3067">
        <v>-10.1</v>
      </c>
      <c r="W3067" cm="1">
        <f t="array" ref="W3067">_xlfn.IFS(OR(X3067="N/A",X3067="NA"),0,OR(X3067="R64",X3067="R68"),1,X3067="R32",2,X3067="S16",3,X3067="E8",4,X3067="F4",5,X3067="2ND",6,X3067="Champions",7)</f>
        <v>0</v>
      </c>
      <c r="X3067" t="s">
        <v>425</v>
      </c>
      <c r="Y3067" t="s">
        <v>425</v>
      </c>
      <c r="Z3067">
        <v>2022</v>
      </c>
    </row>
    <row r="3068" spans="1:26" x14ac:dyDescent="0.3">
      <c r="A3068" t="s">
        <v>341</v>
      </c>
      <c r="B3068" t="s">
        <v>58</v>
      </c>
      <c r="C3068">
        <v>28</v>
      </c>
      <c r="D3068">
        <v>13</v>
      </c>
      <c r="E3068" s="1">
        <f t="shared" si="47"/>
        <v>0.4642857142857143</v>
      </c>
      <c r="F3068">
        <v>100.7</v>
      </c>
      <c r="G3068">
        <v>108.6</v>
      </c>
      <c r="H3068">
        <v>0.2974</v>
      </c>
      <c r="I3068">
        <v>50.2</v>
      </c>
      <c r="J3068">
        <v>52.9</v>
      </c>
      <c r="K3068">
        <v>18.899999999999999</v>
      </c>
      <c r="L3068">
        <v>19.399999999999999</v>
      </c>
      <c r="M3068">
        <v>24.7</v>
      </c>
      <c r="N3068">
        <v>33.4</v>
      </c>
      <c r="O3068">
        <v>26</v>
      </c>
      <c r="P3068">
        <v>34.700000000000003</v>
      </c>
      <c r="Q3068">
        <v>50.5</v>
      </c>
      <c r="R3068">
        <v>52</v>
      </c>
      <c r="S3068">
        <v>33.200000000000003</v>
      </c>
      <c r="T3068">
        <v>36.200000000000003</v>
      </c>
      <c r="U3068">
        <v>67.8</v>
      </c>
      <c r="V3068">
        <v>-11.9</v>
      </c>
      <c r="W3068" cm="1">
        <f t="array" ref="W3068">_xlfn.IFS(OR(X3068="N/A",X3068="NA"),0,OR(X3068="R64",X3068="R68"),1,X3068="R32",2,X3068="S16",3,X3068="E8",4,X3068="F4",5,X3068="2ND",6,X3068="Champions",7)</f>
        <v>0</v>
      </c>
      <c r="X3068" t="s">
        <v>425</v>
      </c>
      <c r="Y3068" t="s">
        <v>425</v>
      </c>
      <c r="Z3068">
        <v>2022</v>
      </c>
    </row>
    <row r="3069" spans="1:26" x14ac:dyDescent="0.3">
      <c r="A3069" t="s">
        <v>137</v>
      </c>
      <c r="B3069" t="s">
        <v>74</v>
      </c>
      <c r="C3069">
        <v>30</v>
      </c>
      <c r="D3069">
        <v>15</v>
      </c>
      <c r="E3069" s="1">
        <f t="shared" si="47"/>
        <v>0.5</v>
      </c>
      <c r="F3069">
        <v>101.3</v>
      </c>
      <c r="G3069">
        <v>109.2</v>
      </c>
      <c r="H3069">
        <v>0.29680000000000001</v>
      </c>
      <c r="I3069">
        <v>51.3</v>
      </c>
      <c r="J3069">
        <v>51.6</v>
      </c>
      <c r="K3069">
        <v>18.7</v>
      </c>
      <c r="L3069">
        <v>17.8</v>
      </c>
      <c r="M3069">
        <v>22.3</v>
      </c>
      <c r="N3069">
        <v>30.8</v>
      </c>
      <c r="O3069">
        <v>29</v>
      </c>
      <c r="P3069">
        <v>38.299999999999997</v>
      </c>
      <c r="Q3069">
        <v>49.3</v>
      </c>
      <c r="R3069">
        <v>52.8</v>
      </c>
      <c r="S3069">
        <v>36.4</v>
      </c>
      <c r="T3069">
        <v>33.299999999999997</v>
      </c>
      <c r="U3069">
        <v>68.5</v>
      </c>
      <c r="V3069">
        <v>-10.6</v>
      </c>
      <c r="W3069" cm="1">
        <f t="array" ref="W3069">_xlfn.IFS(OR(X3069="N/A",X3069="NA"),0,OR(X3069="R64",X3069="R68"),1,X3069="R32",2,X3069="S16",3,X3069="E8",4,X3069="F4",5,X3069="2ND",6,X3069="Champions",7)</f>
        <v>0</v>
      </c>
      <c r="X3069" t="s">
        <v>425</v>
      </c>
      <c r="Y3069" t="s">
        <v>425</v>
      </c>
      <c r="Z3069">
        <v>2022</v>
      </c>
    </row>
    <row r="3070" spans="1:26" x14ac:dyDescent="0.3">
      <c r="A3070" t="s">
        <v>139</v>
      </c>
      <c r="B3070" t="s">
        <v>131</v>
      </c>
      <c r="C3070">
        <v>28</v>
      </c>
      <c r="D3070">
        <v>11</v>
      </c>
      <c r="E3070" s="1">
        <f t="shared" si="47"/>
        <v>0.39285714285714285</v>
      </c>
      <c r="F3070">
        <v>96.5</v>
      </c>
      <c r="G3070">
        <v>104.4</v>
      </c>
      <c r="H3070">
        <v>0.28889999999999999</v>
      </c>
      <c r="I3070">
        <v>48.1</v>
      </c>
      <c r="J3070">
        <v>48.8</v>
      </c>
      <c r="K3070">
        <v>21.6</v>
      </c>
      <c r="L3070">
        <v>16.7</v>
      </c>
      <c r="M3070">
        <v>25.2</v>
      </c>
      <c r="N3070">
        <v>36.9</v>
      </c>
      <c r="O3070">
        <v>30.4</v>
      </c>
      <c r="P3070">
        <v>28.7</v>
      </c>
      <c r="Q3070">
        <v>47.7</v>
      </c>
      <c r="R3070">
        <v>48</v>
      </c>
      <c r="S3070">
        <v>32.4</v>
      </c>
      <c r="T3070">
        <v>33.9</v>
      </c>
      <c r="U3070">
        <v>68.099999999999994</v>
      </c>
      <c r="V3070">
        <v>-11.7</v>
      </c>
      <c r="W3070" cm="1">
        <f t="array" ref="W3070">_xlfn.IFS(OR(X3070="N/A",X3070="NA"),0,OR(X3070="R64",X3070="R68"),1,X3070="R32",2,X3070="S16",3,X3070="E8",4,X3070="F4",5,X3070="2ND",6,X3070="Champions",7)</f>
        <v>0</v>
      </c>
      <c r="X3070" t="s">
        <v>425</v>
      </c>
      <c r="Y3070" t="s">
        <v>425</v>
      </c>
      <c r="Z3070">
        <v>2022</v>
      </c>
    </row>
    <row r="3071" spans="1:26" x14ac:dyDescent="0.3">
      <c r="A3071" t="s">
        <v>426</v>
      </c>
      <c r="B3071" t="s">
        <v>48</v>
      </c>
      <c r="C3071">
        <v>27</v>
      </c>
      <c r="D3071">
        <v>13</v>
      </c>
      <c r="E3071" s="1">
        <f t="shared" si="47"/>
        <v>0.48148148148148145</v>
      </c>
      <c r="F3071">
        <v>101.1</v>
      </c>
      <c r="G3071">
        <v>109.6</v>
      </c>
      <c r="H3071">
        <v>0.2843</v>
      </c>
      <c r="I3071">
        <v>52</v>
      </c>
      <c r="J3071">
        <v>52.7</v>
      </c>
      <c r="K3071">
        <v>18.899999999999999</v>
      </c>
      <c r="L3071">
        <v>17.2</v>
      </c>
      <c r="M3071">
        <v>18.600000000000001</v>
      </c>
      <c r="N3071">
        <v>27.6</v>
      </c>
      <c r="O3071">
        <v>32.700000000000003</v>
      </c>
      <c r="P3071">
        <v>22</v>
      </c>
      <c r="Q3071">
        <v>50.3</v>
      </c>
      <c r="R3071">
        <v>54.3</v>
      </c>
      <c r="S3071">
        <v>36</v>
      </c>
      <c r="T3071">
        <v>32.9</v>
      </c>
      <c r="U3071">
        <v>67.900000000000006</v>
      </c>
      <c r="V3071">
        <v>-11.6</v>
      </c>
      <c r="W3071" cm="1">
        <f t="array" ref="W3071">_xlfn.IFS(OR(X3071="N/A",X3071="NA"),0,OR(X3071="R64",X3071="R68"),1,X3071="R32",2,X3071="S16",3,X3071="E8",4,X3071="F4",5,X3071="2ND",6,X3071="Champions",7)</f>
        <v>0</v>
      </c>
      <c r="X3071" t="s">
        <v>425</v>
      </c>
      <c r="Y3071" t="s">
        <v>425</v>
      </c>
      <c r="Z3071">
        <v>2022</v>
      </c>
    </row>
    <row r="3072" spans="1:26" x14ac:dyDescent="0.3">
      <c r="A3072" t="s">
        <v>250</v>
      </c>
      <c r="B3072" t="s">
        <v>69</v>
      </c>
      <c r="C3072">
        <v>29</v>
      </c>
      <c r="D3072">
        <v>15</v>
      </c>
      <c r="E3072" s="1">
        <f t="shared" si="47"/>
        <v>0.51724137931034486</v>
      </c>
      <c r="F3072">
        <v>99.4</v>
      </c>
      <c r="G3072">
        <v>107.9</v>
      </c>
      <c r="H3072">
        <v>0.27860000000000001</v>
      </c>
      <c r="I3072">
        <v>48.3</v>
      </c>
      <c r="J3072">
        <v>52.2</v>
      </c>
      <c r="K3072">
        <v>20.5</v>
      </c>
      <c r="L3072">
        <v>19.899999999999999</v>
      </c>
      <c r="M3072">
        <v>30</v>
      </c>
      <c r="N3072">
        <v>30.9</v>
      </c>
      <c r="O3072">
        <v>41.4</v>
      </c>
      <c r="P3072">
        <v>34.700000000000003</v>
      </c>
      <c r="Q3072">
        <v>50</v>
      </c>
      <c r="R3072">
        <v>52.9</v>
      </c>
      <c r="S3072">
        <v>29.9</v>
      </c>
      <c r="T3072">
        <v>33.9</v>
      </c>
      <c r="U3072">
        <v>68.5</v>
      </c>
      <c r="V3072">
        <v>-10.4</v>
      </c>
      <c r="W3072" cm="1">
        <f t="array" ref="W3072">_xlfn.IFS(OR(X3072="N/A",X3072="NA"),0,OR(X3072="R64",X3072="R68"),1,X3072="R32",2,X3072="S16",3,X3072="E8",4,X3072="F4",5,X3072="2ND",6,X3072="Champions",7)</f>
        <v>0</v>
      </c>
      <c r="X3072" t="s">
        <v>425</v>
      </c>
      <c r="Y3072" t="s">
        <v>425</v>
      </c>
      <c r="Z3072">
        <v>2022</v>
      </c>
    </row>
    <row r="3073" spans="1:26" x14ac:dyDescent="0.3">
      <c r="A3073" t="s">
        <v>182</v>
      </c>
      <c r="B3073" t="s">
        <v>74</v>
      </c>
      <c r="C3073">
        <v>29</v>
      </c>
      <c r="D3073">
        <v>12</v>
      </c>
      <c r="E3073" s="1">
        <f t="shared" si="47"/>
        <v>0.41379310344827586</v>
      </c>
      <c r="F3073">
        <v>95.3</v>
      </c>
      <c r="G3073">
        <v>103.7</v>
      </c>
      <c r="H3073">
        <v>0.27539999999999998</v>
      </c>
      <c r="I3073">
        <v>45.4</v>
      </c>
      <c r="J3073">
        <v>53.5</v>
      </c>
      <c r="K3073">
        <v>19.5</v>
      </c>
      <c r="L3073">
        <v>21.1</v>
      </c>
      <c r="M3073">
        <v>33.1</v>
      </c>
      <c r="N3073">
        <v>24.6</v>
      </c>
      <c r="O3073">
        <v>30.2</v>
      </c>
      <c r="P3073">
        <v>40.700000000000003</v>
      </c>
      <c r="Q3073">
        <v>49</v>
      </c>
      <c r="R3073">
        <v>51</v>
      </c>
      <c r="S3073">
        <v>26.1</v>
      </c>
      <c r="T3073">
        <v>38.4</v>
      </c>
      <c r="U3073">
        <v>64.099999999999994</v>
      </c>
      <c r="V3073">
        <v>-14.2</v>
      </c>
      <c r="W3073" cm="1">
        <f t="array" ref="W3073">_xlfn.IFS(OR(X3073="N/A",X3073="NA"),0,OR(X3073="R64",X3073="R68"),1,X3073="R32",2,X3073="S16",3,X3073="E8",4,X3073="F4",5,X3073="2ND",6,X3073="Champions",7)</f>
        <v>0</v>
      </c>
      <c r="X3073" t="s">
        <v>425</v>
      </c>
      <c r="Y3073" t="s">
        <v>425</v>
      </c>
      <c r="Z3073">
        <v>2022</v>
      </c>
    </row>
    <row r="3074" spans="1:26" x14ac:dyDescent="0.3">
      <c r="A3074" t="s">
        <v>378</v>
      </c>
      <c r="B3074" t="s">
        <v>61</v>
      </c>
      <c r="C3074">
        <v>30</v>
      </c>
      <c r="D3074">
        <v>19</v>
      </c>
      <c r="E3074" s="1">
        <f t="shared" si="47"/>
        <v>0.6333333333333333</v>
      </c>
      <c r="F3074">
        <v>102</v>
      </c>
      <c r="G3074">
        <v>111.3</v>
      </c>
      <c r="H3074">
        <v>0.26979999999999998</v>
      </c>
      <c r="I3074">
        <v>51.8</v>
      </c>
      <c r="J3074">
        <v>53.7</v>
      </c>
      <c r="K3074">
        <v>20</v>
      </c>
      <c r="L3074">
        <v>19.600000000000001</v>
      </c>
      <c r="M3074">
        <v>25.9</v>
      </c>
      <c r="N3074">
        <v>33.200000000000003</v>
      </c>
      <c r="O3074">
        <v>38.799999999999997</v>
      </c>
      <c r="P3074">
        <v>27.3</v>
      </c>
      <c r="Q3074">
        <v>51.9</v>
      </c>
      <c r="R3074">
        <v>55.4</v>
      </c>
      <c r="S3074">
        <v>34.4</v>
      </c>
      <c r="T3074">
        <v>34</v>
      </c>
      <c r="U3074">
        <v>70.3</v>
      </c>
      <c r="V3074">
        <v>-8.9</v>
      </c>
      <c r="W3074" cm="1">
        <f t="array" ref="W3074">_xlfn.IFS(OR(X3074="N/A",X3074="NA"),0,OR(X3074="R64",X3074="R68"),1,X3074="R32",2,X3074="S16",3,X3074="E8",4,X3074="F4",5,X3074="2ND",6,X3074="Champions",7)</f>
        <v>0</v>
      </c>
      <c r="X3074" t="s">
        <v>425</v>
      </c>
      <c r="Y3074" t="s">
        <v>425</v>
      </c>
      <c r="Z3074">
        <v>2022</v>
      </c>
    </row>
    <row r="3075" spans="1:26" x14ac:dyDescent="0.3">
      <c r="A3075" t="s">
        <v>253</v>
      </c>
      <c r="B3075" t="s">
        <v>57</v>
      </c>
      <c r="C3075">
        <v>29</v>
      </c>
      <c r="D3075">
        <v>13</v>
      </c>
      <c r="E3075" s="1">
        <f t="shared" ref="E3075:E3138" si="48">D3075/C3075</f>
        <v>0.44827586206896552</v>
      </c>
      <c r="F3075">
        <v>102.7</v>
      </c>
      <c r="G3075">
        <v>111.9</v>
      </c>
      <c r="H3075">
        <v>0.2697</v>
      </c>
      <c r="I3075">
        <v>48.6</v>
      </c>
      <c r="J3075">
        <v>53.5</v>
      </c>
      <c r="K3075">
        <v>16.5</v>
      </c>
      <c r="L3075">
        <v>17.3</v>
      </c>
      <c r="M3075">
        <v>29.9</v>
      </c>
      <c r="N3075">
        <v>30.7</v>
      </c>
      <c r="O3075">
        <v>31.9</v>
      </c>
      <c r="P3075">
        <v>30.8</v>
      </c>
      <c r="Q3075">
        <v>48</v>
      </c>
      <c r="R3075">
        <v>53.1</v>
      </c>
      <c r="S3075">
        <v>33.1</v>
      </c>
      <c r="T3075">
        <v>36</v>
      </c>
      <c r="U3075">
        <v>72.7</v>
      </c>
      <c r="V3075">
        <v>-13.4</v>
      </c>
      <c r="W3075" cm="1">
        <f t="array" ref="W3075">_xlfn.IFS(OR(X3075="N/A",X3075="NA"),0,OR(X3075="R64",X3075="R68"),1,X3075="R32",2,X3075="S16",3,X3075="E8",4,X3075="F4",5,X3075="2ND",6,X3075="Champions",7)</f>
        <v>0</v>
      </c>
      <c r="X3075" t="s">
        <v>425</v>
      </c>
      <c r="Y3075" t="s">
        <v>425</v>
      </c>
      <c r="Z3075">
        <v>2022</v>
      </c>
    </row>
    <row r="3076" spans="1:26" x14ac:dyDescent="0.3">
      <c r="A3076" t="s">
        <v>117</v>
      </c>
      <c r="B3076" t="s">
        <v>112</v>
      </c>
      <c r="C3076">
        <v>28</v>
      </c>
      <c r="D3076">
        <v>15</v>
      </c>
      <c r="E3076" s="1">
        <f t="shared" si="48"/>
        <v>0.5357142857142857</v>
      </c>
      <c r="F3076">
        <v>94.8</v>
      </c>
      <c r="G3076">
        <v>103.4</v>
      </c>
      <c r="H3076">
        <v>0.26900000000000002</v>
      </c>
      <c r="I3076">
        <v>48</v>
      </c>
      <c r="J3076">
        <v>48.9</v>
      </c>
      <c r="K3076">
        <v>18.3</v>
      </c>
      <c r="L3076">
        <v>19.5</v>
      </c>
      <c r="M3076">
        <v>29.2</v>
      </c>
      <c r="N3076">
        <v>29.9</v>
      </c>
      <c r="O3076">
        <v>26.5</v>
      </c>
      <c r="P3076">
        <v>32.5</v>
      </c>
      <c r="Q3076">
        <v>49.3</v>
      </c>
      <c r="R3076">
        <v>45.6</v>
      </c>
      <c r="S3076">
        <v>30.2</v>
      </c>
      <c r="T3076">
        <v>37</v>
      </c>
      <c r="U3076">
        <v>67.599999999999994</v>
      </c>
      <c r="V3076">
        <v>-11.8</v>
      </c>
      <c r="W3076" cm="1">
        <f t="array" ref="W3076">_xlfn.IFS(OR(X3076="N/A",X3076="NA"),0,OR(X3076="R64",X3076="R68"),1,X3076="R32",2,X3076="S16",3,X3076="E8",4,X3076="F4",5,X3076="2ND",6,X3076="Champions",7)</f>
        <v>0</v>
      </c>
      <c r="X3076" t="s">
        <v>425</v>
      </c>
      <c r="Y3076" t="s">
        <v>425</v>
      </c>
      <c r="Z3076">
        <v>2022</v>
      </c>
    </row>
    <row r="3077" spans="1:26" x14ac:dyDescent="0.3">
      <c r="A3077" t="s">
        <v>183</v>
      </c>
      <c r="B3077" t="s">
        <v>74</v>
      </c>
      <c r="C3077">
        <v>27</v>
      </c>
      <c r="D3077">
        <v>11</v>
      </c>
      <c r="E3077" s="1">
        <f t="shared" si="48"/>
        <v>0.40740740740740738</v>
      </c>
      <c r="F3077">
        <v>95.2</v>
      </c>
      <c r="G3077">
        <v>103.8</v>
      </c>
      <c r="H3077">
        <v>0.26879999999999998</v>
      </c>
      <c r="I3077">
        <v>46.5</v>
      </c>
      <c r="J3077">
        <v>52</v>
      </c>
      <c r="K3077">
        <v>20.6</v>
      </c>
      <c r="L3077">
        <v>20.2</v>
      </c>
      <c r="M3077">
        <v>28.9</v>
      </c>
      <c r="N3077">
        <v>26</v>
      </c>
      <c r="O3077">
        <v>27.8</v>
      </c>
      <c r="P3077">
        <v>37.4</v>
      </c>
      <c r="Q3077">
        <v>47.7</v>
      </c>
      <c r="R3077">
        <v>51.3</v>
      </c>
      <c r="S3077">
        <v>29.8</v>
      </c>
      <c r="T3077">
        <v>35.4</v>
      </c>
      <c r="U3077">
        <v>64.3</v>
      </c>
      <c r="V3077">
        <v>-12.1</v>
      </c>
      <c r="W3077" cm="1">
        <f t="array" ref="W3077">_xlfn.IFS(OR(X3077="N/A",X3077="NA"),0,OR(X3077="R64",X3077="R68"),1,X3077="R32",2,X3077="S16",3,X3077="E8",4,X3077="F4",5,X3077="2ND",6,X3077="Champions",7)</f>
        <v>0</v>
      </c>
      <c r="X3077" t="s">
        <v>425</v>
      </c>
      <c r="Y3077" t="s">
        <v>425</v>
      </c>
      <c r="Z3077">
        <v>2022</v>
      </c>
    </row>
    <row r="3078" spans="1:26" x14ac:dyDescent="0.3">
      <c r="A3078" t="s">
        <v>288</v>
      </c>
      <c r="B3078" t="s">
        <v>55</v>
      </c>
      <c r="C3078">
        <v>30</v>
      </c>
      <c r="D3078">
        <v>8</v>
      </c>
      <c r="E3078" s="1">
        <f t="shared" si="48"/>
        <v>0.26666666666666666</v>
      </c>
      <c r="F3078">
        <v>98.4</v>
      </c>
      <c r="G3078">
        <v>107.4</v>
      </c>
      <c r="H3078">
        <v>0.2676</v>
      </c>
      <c r="I3078">
        <v>49.7</v>
      </c>
      <c r="J3078">
        <v>53.5</v>
      </c>
      <c r="K3078">
        <v>20</v>
      </c>
      <c r="L3078">
        <v>15.7</v>
      </c>
      <c r="M3078">
        <v>22</v>
      </c>
      <c r="N3078">
        <v>30.5</v>
      </c>
      <c r="O3078">
        <v>22.5</v>
      </c>
      <c r="P3078">
        <v>27</v>
      </c>
      <c r="Q3078">
        <v>48.2</v>
      </c>
      <c r="R3078">
        <v>53.4</v>
      </c>
      <c r="S3078">
        <v>34.299999999999997</v>
      </c>
      <c r="T3078">
        <v>35.799999999999997</v>
      </c>
      <c r="U3078">
        <v>65.5</v>
      </c>
      <c r="V3078">
        <v>-13.6</v>
      </c>
      <c r="W3078" cm="1">
        <f t="array" ref="W3078">_xlfn.IFS(OR(X3078="N/A",X3078="NA"),0,OR(X3078="R64",X3078="R68"),1,X3078="R32",2,X3078="S16",3,X3078="E8",4,X3078="F4",5,X3078="2ND",6,X3078="Champions",7)</f>
        <v>0</v>
      </c>
      <c r="X3078" t="s">
        <v>425</v>
      </c>
      <c r="Y3078" t="s">
        <v>425</v>
      </c>
      <c r="Z3078">
        <v>2022</v>
      </c>
    </row>
    <row r="3079" spans="1:26" x14ac:dyDescent="0.3">
      <c r="A3079" t="s">
        <v>431</v>
      </c>
      <c r="B3079" t="s">
        <v>51</v>
      </c>
      <c r="C3079">
        <v>27</v>
      </c>
      <c r="D3079">
        <v>13</v>
      </c>
      <c r="E3079" s="1">
        <f t="shared" si="48"/>
        <v>0.48148148148148145</v>
      </c>
      <c r="F3079">
        <v>94.2</v>
      </c>
      <c r="G3079">
        <v>102.9</v>
      </c>
      <c r="H3079">
        <v>0.26640000000000003</v>
      </c>
      <c r="I3079">
        <v>46.5</v>
      </c>
      <c r="J3079">
        <v>50.9</v>
      </c>
      <c r="K3079">
        <v>21</v>
      </c>
      <c r="L3079">
        <v>17.8</v>
      </c>
      <c r="M3079">
        <v>26.7</v>
      </c>
      <c r="N3079">
        <v>28.9</v>
      </c>
      <c r="O3079">
        <v>35.200000000000003</v>
      </c>
      <c r="P3079">
        <v>30.7</v>
      </c>
      <c r="Q3079">
        <v>47.8</v>
      </c>
      <c r="R3079">
        <v>51.7</v>
      </c>
      <c r="S3079">
        <v>29.5</v>
      </c>
      <c r="T3079">
        <v>33</v>
      </c>
      <c r="U3079">
        <v>71.599999999999994</v>
      </c>
      <c r="V3079">
        <v>-11.5</v>
      </c>
      <c r="W3079" cm="1">
        <f t="array" ref="W3079">_xlfn.IFS(OR(X3079="N/A",X3079="NA"),0,OR(X3079="R64",X3079="R68"),1,X3079="R32",2,X3079="S16",3,X3079="E8",4,X3079="F4",5,X3079="2ND",6,X3079="Champions",7)</f>
        <v>0</v>
      </c>
      <c r="X3079" t="s">
        <v>425</v>
      </c>
      <c r="Y3079" t="s">
        <v>425</v>
      </c>
      <c r="Z3079">
        <v>2022</v>
      </c>
    </row>
    <row r="3080" spans="1:26" x14ac:dyDescent="0.3">
      <c r="A3080" t="s">
        <v>224</v>
      </c>
      <c r="B3080" t="s">
        <v>43</v>
      </c>
      <c r="C3080">
        <v>29</v>
      </c>
      <c r="D3080">
        <v>14</v>
      </c>
      <c r="E3080" s="1">
        <f t="shared" si="48"/>
        <v>0.48275862068965519</v>
      </c>
      <c r="F3080">
        <v>99.7</v>
      </c>
      <c r="G3080">
        <v>109.1</v>
      </c>
      <c r="H3080">
        <v>0.26300000000000001</v>
      </c>
      <c r="I3080">
        <v>51.1</v>
      </c>
      <c r="J3080">
        <v>51.6</v>
      </c>
      <c r="K3080">
        <v>17.2</v>
      </c>
      <c r="L3080">
        <v>16.8</v>
      </c>
      <c r="M3080">
        <v>25</v>
      </c>
      <c r="N3080">
        <v>27.2</v>
      </c>
      <c r="O3080">
        <v>22.9</v>
      </c>
      <c r="P3080">
        <v>34.200000000000003</v>
      </c>
      <c r="Q3080">
        <v>53.3</v>
      </c>
      <c r="R3080">
        <v>50</v>
      </c>
      <c r="S3080">
        <v>32.4</v>
      </c>
      <c r="T3080">
        <v>37.4</v>
      </c>
      <c r="U3080">
        <v>68.900000000000006</v>
      </c>
      <c r="V3080">
        <v>-11.7</v>
      </c>
      <c r="W3080" cm="1">
        <f t="array" ref="W3080">_xlfn.IFS(OR(X3080="N/A",X3080="NA"),0,OR(X3080="R64",X3080="R68"),1,X3080="R32",2,X3080="S16",3,X3080="E8",4,X3080="F4",5,X3080="2ND",6,X3080="Champions",7)</f>
        <v>0</v>
      </c>
      <c r="X3080" t="s">
        <v>425</v>
      </c>
      <c r="Y3080" t="s">
        <v>425</v>
      </c>
      <c r="Z3080">
        <v>2022</v>
      </c>
    </row>
    <row r="3081" spans="1:26" x14ac:dyDescent="0.3">
      <c r="A3081" t="s">
        <v>208</v>
      </c>
      <c r="B3081" t="s">
        <v>40</v>
      </c>
      <c r="C3081">
        <v>30</v>
      </c>
      <c r="D3081">
        <v>15</v>
      </c>
      <c r="E3081" s="1">
        <f t="shared" si="48"/>
        <v>0.5</v>
      </c>
      <c r="F3081">
        <v>96.8</v>
      </c>
      <c r="G3081">
        <v>105.9</v>
      </c>
      <c r="H3081">
        <v>0.2611</v>
      </c>
      <c r="I3081">
        <v>49.9</v>
      </c>
      <c r="J3081">
        <v>50.2</v>
      </c>
      <c r="K3081">
        <v>20.100000000000001</v>
      </c>
      <c r="L3081">
        <v>18.5</v>
      </c>
      <c r="M3081">
        <v>27</v>
      </c>
      <c r="N3081">
        <v>29.8</v>
      </c>
      <c r="O3081">
        <v>24.6</v>
      </c>
      <c r="P3081">
        <v>31.4</v>
      </c>
      <c r="Q3081">
        <v>49</v>
      </c>
      <c r="R3081">
        <v>50.2</v>
      </c>
      <c r="S3081">
        <v>34</v>
      </c>
      <c r="T3081">
        <v>33.4</v>
      </c>
      <c r="U3081">
        <v>66.7</v>
      </c>
      <c r="V3081">
        <v>-12</v>
      </c>
      <c r="W3081" cm="1">
        <f t="array" ref="W3081">_xlfn.IFS(OR(X3081="N/A",X3081="NA"),0,OR(X3081="R64",X3081="R68"),1,X3081="R32",2,X3081="S16",3,X3081="E8",4,X3081="F4",5,X3081="2ND",6,X3081="Champions",7)</f>
        <v>0</v>
      </c>
      <c r="X3081" t="s">
        <v>425</v>
      </c>
      <c r="Y3081" t="s">
        <v>425</v>
      </c>
      <c r="Z3081">
        <v>2022</v>
      </c>
    </row>
    <row r="3082" spans="1:26" x14ac:dyDescent="0.3">
      <c r="A3082" t="s">
        <v>410</v>
      </c>
      <c r="B3082" t="s">
        <v>37</v>
      </c>
      <c r="C3082">
        <v>28</v>
      </c>
      <c r="D3082">
        <v>8</v>
      </c>
      <c r="E3082" s="1">
        <f t="shared" si="48"/>
        <v>0.2857142857142857</v>
      </c>
      <c r="F3082">
        <v>95.3</v>
      </c>
      <c r="G3082">
        <v>104.3</v>
      </c>
      <c r="H3082">
        <v>0.26040000000000002</v>
      </c>
      <c r="I3082">
        <v>46.2</v>
      </c>
      <c r="J3082">
        <v>54.9</v>
      </c>
      <c r="K3082">
        <v>17.399999999999999</v>
      </c>
      <c r="L3082">
        <v>18.7</v>
      </c>
      <c r="M3082">
        <v>22.6</v>
      </c>
      <c r="N3082">
        <v>22.6</v>
      </c>
      <c r="O3082">
        <v>32.299999999999997</v>
      </c>
      <c r="P3082">
        <v>28.1</v>
      </c>
      <c r="Q3082">
        <v>45.8</v>
      </c>
      <c r="R3082">
        <v>52.1</v>
      </c>
      <c r="S3082">
        <v>31.4</v>
      </c>
      <c r="T3082">
        <v>39.200000000000003</v>
      </c>
      <c r="U3082">
        <v>68</v>
      </c>
      <c r="V3082">
        <v>-15.5</v>
      </c>
      <c r="W3082" cm="1">
        <f t="array" ref="W3082">_xlfn.IFS(OR(X3082="N/A",X3082="NA"),0,OR(X3082="R64",X3082="R68"),1,X3082="R32",2,X3082="S16",3,X3082="E8",4,X3082="F4",5,X3082="2ND",6,X3082="Champions",7)</f>
        <v>0</v>
      </c>
      <c r="X3082" t="s">
        <v>425</v>
      </c>
      <c r="Y3082" t="s">
        <v>425</v>
      </c>
      <c r="Z3082">
        <v>2022</v>
      </c>
    </row>
    <row r="3083" spans="1:26" x14ac:dyDescent="0.3">
      <c r="A3083" t="s">
        <v>397</v>
      </c>
      <c r="B3083" t="s">
        <v>76</v>
      </c>
      <c r="C3083">
        <v>27</v>
      </c>
      <c r="D3083">
        <v>8</v>
      </c>
      <c r="E3083" s="1">
        <f t="shared" si="48"/>
        <v>0.29629629629629628</v>
      </c>
      <c r="F3083">
        <v>96.5</v>
      </c>
      <c r="G3083">
        <v>105.7</v>
      </c>
      <c r="H3083">
        <v>0.2601</v>
      </c>
      <c r="I3083">
        <v>48.4</v>
      </c>
      <c r="J3083">
        <v>51</v>
      </c>
      <c r="K3083">
        <v>24</v>
      </c>
      <c r="L3083">
        <v>20.6</v>
      </c>
      <c r="M3083">
        <v>31.7</v>
      </c>
      <c r="N3083">
        <v>34.200000000000003</v>
      </c>
      <c r="O3083">
        <v>38.5</v>
      </c>
      <c r="P3083">
        <v>44.8</v>
      </c>
      <c r="Q3083">
        <v>46.8</v>
      </c>
      <c r="R3083">
        <v>49.6</v>
      </c>
      <c r="S3083">
        <v>34.5</v>
      </c>
      <c r="T3083">
        <v>35.700000000000003</v>
      </c>
      <c r="U3083">
        <v>70.7</v>
      </c>
      <c r="V3083">
        <v>-11.9</v>
      </c>
      <c r="W3083" cm="1">
        <f t="array" ref="W3083">_xlfn.IFS(OR(X3083="N/A",X3083="NA"),0,OR(X3083="R64",X3083="R68"),1,X3083="R32",2,X3083="S16",3,X3083="E8",4,X3083="F4",5,X3083="2ND",6,X3083="Champions",7)</f>
        <v>0</v>
      </c>
      <c r="X3083" t="s">
        <v>425</v>
      </c>
      <c r="Y3083" t="s">
        <v>425</v>
      </c>
      <c r="Z3083">
        <v>2022</v>
      </c>
    </row>
    <row r="3084" spans="1:26" x14ac:dyDescent="0.3">
      <c r="A3084" t="s">
        <v>240</v>
      </c>
      <c r="B3084" t="s">
        <v>69</v>
      </c>
      <c r="C3084">
        <v>31</v>
      </c>
      <c r="D3084">
        <v>11</v>
      </c>
      <c r="E3084" s="1">
        <f t="shared" si="48"/>
        <v>0.35483870967741937</v>
      </c>
      <c r="F3084">
        <v>95.9</v>
      </c>
      <c r="G3084">
        <v>105.1</v>
      </c>
      <c r="H3084">
        <v>0.25819999999999999</v>
      </c>
      <c r="I3084">
        <v>45.4</v>
      </c>
      <c r="J3084">
        <v>51.5</v>
      </c>
      <c r="K3084">
        <v>16.899999999999999</v>
      </c>
      <c r="L3084">
        <v>17.8</v>
      </c>
      <c r="M3084">
        <v>28</v>
      </c>
      <c r="N3084">
        <v>26.3</v>
      </c>
      <c r="O3084">
        <v>30.2</v>
      </c>
      <c r="P3084">
        <v>32.200000000000003</v>
      </c>
      <c r="Q3084">
        <v>45.5</v>
      </c>
      <c r="R3084">
        <v>53.7</v>
      </c>
      <c r="S3084">
        <v>30.2</v>
      </c>
      <c r="T3084">
        <v>31.2</v>
      </c>
      <c r="U3084">
        <v>68.3</v>
      </c>
      <c r="V3084">
        <v>-15</v>
      </c>
      <c r="W3084" cm="1">
        <f t="array" ref="W3084">_xlfn.IFS(OR(X3084="N/A",X3084="NA"),0,OR(X3084="R64",X3084="R68"),1,X3084="R32",2,X3084="S16",3,X3084="E8",4,X3084="F4",5,X3084="2ND",6,X3084="Champions",7)</f>
        <v>0</v>
      </c>
      <c r="X3084" t="s">
        <v>425</v>
      </c>
      <c r="Y3084" t="s">
        <v>425</v>
      </c>
      <c r="Z3084">
        <v>2022</v>
      </c>
    </row>
    <row r="3085" spans="1:26" x14ac:dyDescent="0.3">
      <c r="A3085" t="s">
        <v>113</v>
      </c>
      <c r="B3085" t="s">
        <v>112</v>
      </c>
      <c r="C3085">
        <v>32</v>
      </c>
      <c r="D3085">
        <v>12</v>
      </c>
      <c r="E3085" s="1">
        <f t="shared" si="48"/>
        <v>0.375</v>
      </c>
      <c r="F3085">
        <v>100.8</v>
      </c>
      <c r="G3085">
        <v>110.6</v>
      </c>
      <c r="H3085">
        <v>0.25669999999999998</v>
      </c>
      <c r="I3085">
        <v>53.3</v>
      </c>
      <c r="J3085">
        <v>51.6</v>
      </c>
      <c r="K3085">
        <v>18.2</v>
      </c>
      <c r="L3085">
        <v>16.5</v>
      </c>
      <c r="M3085">
        <v>23.8</v>
      </c>
      <c r="N3085">
        <v>28.4</v>
      </c>
      <c r="O3085">
        <v>27.6</v>
      </c>
      <c r="P3085">
        <v>28.9</v>
      </c>
      <c r="Q3085">
        <v>51.5</v>
      </c>
      <c r="R3085">
        <v>50.4</v>
      </c>
      <c r="S3085">
        <v>36.9</v>
      </c>
      <c r="T3085">
        <v>35.700000000000003</v>
      </c>
      <c r="U3085">
        <v>67.099999999999994</v>
      </c>
      <c r="V3085">
        <v>-16</v>
      </c>
      <c r="W3085" cm="1">
        <f t="array" ref="W3085">_xlfn.IFS(OR(X3085="N/A",X3085="NA"),0,OR(X3085="R64",X3085="R68"),1,X3085="R32",2,X3085="S16",3,X3085="E8",4,X3085="F4",5,X3085="2ND",6,X3085="Champions",7)</f>
        <v>0</v>
      </c>
      <c r="X3085" t="s">
        <v>425</v>
      </c>
      <c r="Y3085" t="s">
        <v>425</v>
      </c>
      <c r="Z3085">
        <v>2022</v>
      </c>
    </row>
    <row r="3086" spans="1:26" x14ac:dyDescent="0.3">
      <c r="A3086" t="s">
        <v>271</v>
      </c>
      <c r="B3086" t="s">
        <v>74</v>
      </c>
      <c r="C3086">
        <v>29</v>
      </c>
      <c r="D3086">
        <v>12</v>
      </c>
      <c r="E3086" s="1">
        <f t="shared" si="48"/>
        <v>0.41379310344827586</v>
      </c>
      <c r="F3086">
        <v>96.4</v>
      </c>
      <c r="G3086">
        <v>105.9</v>
      </c>
      <c r="H3086">
        <v>0.25340000000000001</v>
      </c>
      <c r="I3086">
        <v>46.6</v>
      </c>
      <c r="J3086">
        <v>51</v>
      </c>
      <c r="K3086">
        <v>18.100000000000001</v>
      </c>
      <c r="L3086">
        <v>19.899999999999999</v>
      </c>
      <c r="M3086">
        <v>29.2</v>
      </c>
      <c r="N3086">
        <v>30.8</v>
      </c>
      <c r="O3086">
        <v>28.2</v>
      </c>
      <c r="P3086">
        <v>37.799999999999997</v>
      </c>
      <c r="Q3086">
        <v>46.3</v>
      </c>
      <c r="R3086">
        <v>50.1</v>
      </c>
      <c r="S3086">
        <v>31.5</v>
      </c>
      <c r="T3086">
        <v>34.799999999999997</v>
      </c>
      <c r="U3086">
        <v>67.7</v>
      </c>
      <c r="V3086">
        <v>-14.5</v>
      </c>
      <c r="W3086" cm="1">
        <f t="array" ref="W3086">_xlfn.IFS(OR(X3086="N/A",X3086="NA"),0,OR(X3086="R64",X3086="R68"),1,X3086="R32",2,X3086="S16",3,X3086="E8",4,X3086="F4",5,X3086="2ND",6,X3086="Champions",7)</f>
        <v>0</v>
      </c>
      <c r="X3086" t="s">
        <v>425</v>
      </c>
      <c r="Y3086" t="s">
        <v>425</v>
      </c>
      <c r="Z3086">
        <v>2022</v>
      </c>
    </row>
    <row r="3087" spans="1:26" x14ac:dyDescent="0.3">
      <c r="A3087" t="s">
        <v>304</v>
      </c>
      <c r="B3087" t="s">
        <v>64</v>
      </c>
      <c r="C3087">
        <v>27</v>
      </c>
      <c r="D3087">
        <v>12</v>
      </c>
      <c r="E3087" s="1">
        <f t="shared" si="48"/>
        <v>0.44444444444444442</v>
      </c>
      <c r="F3087">
        <v>94.7</v>
      </c>
      <c r="G3087">
        <v>104.2</v>
      </c>
      <c r="H3087">
        <v>0.24890000000000001</v>
      </c>
      <c r="I3087">
        <v>46.6</v>
      </c>
      <c r="J3087">
        <v>52.5</v>
      </c>
      <c r="K3087">
        <v>21.3</v>
      </c>
      <c r="L3087">
        <v>20.9</v>
      </c>
      <c r="M3087">
        <v>29.5</v>
      </c>
      <c r="N3087">
        <v>30.4</v>
      </c>
      <c r="O3087">
        <v>25.7</v>
      </c>
      <c r="P3087">
        <v>36.1</v>
      </c>
      <c r="Q3087">
        <v>46.9</v>
      </c>
      <c r="R3087">
        <v>54.1</v>
      </c>
      <c r="S3087">
        <v>30.8</v>
      </c>
      <c r="T3087">
        <v>33.200000000000003</v>
      </c>
      <c r="U3087">
        <v>64.599999999999994</v>
      </c>
      <c r="V3087">
        <v>-10.8</v>
      </c>
      <c r="W3087" cm="1">
        <f t="array" ref="W3087">_xlfn.IFS(OR(X3087="N/A",X3087="NA"),0,OR(X3087="R64",X3087="R68"),1,X3087="R32",2,X3087="S16",3,X3087="E8",4,X3087="F4",5,X3087="2ND",6,X3087="Champions",7)</f>
        <v>0</v>
      </c>
      <c r="X3087" t="s">
        <v>425</v>
      </c>
      <c r="Y3087" t="s">
        <v>425</v>
      </c>
      <c r="Z3087">
        <v>2022</v>
      </c>
    </row>
    <row r="3088" spans="1:26" x14ac:dyDescent="0.3">
      <c r="A3088" t="s">
        <v>432</v>
      </c>
      <c r="B3088" t="s">
        <v>72</v>
      </c>
      <c r="C3088">
        <v>27</v>
      </c>
      <c r="D3088">
        <v>10</v>
      </c>
      <c r="E3088" s="1">
        <f t="shared" si="48"/>
        <v>0.37037037037037035</v>
      </c>
      <c r="F3088">
        <v>105.9</v>
      </c>
      <c r="G3088">
        <v>116.6</v>
      </c>
      <c r="H3088">
        <v>0.24729999999999999</v>
      </c>
      <c r="I3088">
        <v>52</v>
      </c>
      <c r="J3088">
        <v>58.9</v>
      </c>
      <c r="K3088">
        <v>12.6</v>
      </c>
      <c r="L3088">
        <v>16.100000000000001</v>
      </c>
      <c r="M3088">
        <v>20.7</v>
      </c>
      <c r="N3088">
        <v>27.1</v>
      </c>
      <c r="O3088">
        <v>23.7</v>
      </c>
      <c r="P3088">
        <v>32.5</v>
      </c>
      <c r="Q3088">
        <v>52.5</v>
      </c>
      <c r="R3088">
        <v>58</v>
      </c>
      <c r="S3088">
        <v>34.4</v>
      </c>
      <c r="T3088">
        <v>40.1</v>
      </c>
      <c r="U3088">
        <v>65.5</v>
      </c>
      <c r="V3088">
        <v>-15.8</v>
      </c>
      <c r="W3088" cm="1">
        <f t="array" ref="W3088">_xlfn.IFS(OR(X3088="N/A",X3088="NA"),0,OR(X3088="R64",X3088="R68"),1,X3088="R32",2,X3088="S16",3,X3088="E8",4,X3088="F4",5,X3088="2ND",6,X3088="Champions",7)</f>
        <v>0</v>
      </c>
      <c r="X3088" t="s">
        <v>425</v>
      </c>
      <c r="Y3088" t="s">
        <v>425</v>
      </c>
      <c r="Z3088">
        <v>2022</v>
      </c>
    </row>
    <row r="3089" spans="1:26" x14ac:dyDescent="0.3">
      <c r="A3089" t="s">
        <v>395</v>
      </c>
      <c r="B3089" t="s">
        <v>76</v>
      </c>
      <c r="C3089">
        <v>30</v>
      </c>
      <c r="D3089">
        <v>11</v>
      </c>
      <c r="E3089" s="1">
        <f t="shared" si="48"/>
        <v>0.36666666666666664</v>
      </c>
      <c r="F3089">
        <v>93.1</v>
      </c>
      <c r="G3089">
        <v>102.6</v>
      </c>
      <c r="H3089">
        <v>0.2462</v>
      </c>
      <c r="I3089">
        <v>45.3</v>
      </c>
      <c r="J3089">
        <v>47.7</v>
      </c>
      <c r="K3089">
        <v>19.899999999999999</v>
      </c>
      <c r="L3089">
        <v>18.3</v>
      </c>
      <c r="M3089">
        <v>31.4</v>
      </c>
      <c r="N3089">
        <v>27.9</v>
      </c>
      <c r="O3089">
        <v>26.5</v>
      </c>
      <c r="P3089">
        <v>36.6</v>
      </c>
      <c r="Q3089">
        <v>45.5</v>
      </c>
      <c r="R3089">
        <v>47.5</v>
      </c>
      <c r="S3089">
        <v>30</v>
      </c>
      <c r="T3089">
        <v>32.200000000000003</v>
      </c>
      <c r="U3089">
        <v>63.9</v>
      </c>
      <c r="V3089">
        <v>-12.7</v>
      </c>
      <c r="W3089" cm="1">
        <f t="array" ref="W3089">_xlfn.IFS(OR(X3089="N/A",X3089="NA"),0,OR(X3089="R64",X3089="R68"),1,X3089="R32",2,X3089="S16",3,X3089="E8",4,X3089="F4",5,X3089="2ND",6,X3089="Champions",7)</f>
        <v>0</v>
      </c>
      <c r="X3089" t="s">
        <v>425</v>
      </c>
      <c r="Y3089" t="s">
        <v>425</v>
      </c>
      <c r="Z3089">
        <v>2022</v>
      </c>
    </row>
    <row r="3090" spans="1:26" x14ac:dyDescent="0.3">
      <c r="A3090" t="s">
        <v>89</v>
      </c>
      <c r="B3090" t="s">
        <v>45</v>
      </c>
      <c r="C3090">
        <v>30</v>
      </c>
      <c r="D3090">
        <v>6</v>
      </c>
      <c r="E3090" s="1">
        <f t="shared" si="48"/>
        <v>0.2</v>
      </c>
      <c r="F3090">
        <v>97.8</v>
      </c>
      <c r="G3090">
        <v>107.9</v>
      </c>
      <c r="H3090">
        <v>0.245</v>
      </c>
      <c r="I3090">
        <v>45.4</v>
      </c>
      <c r="J3090">
        <v>54</v>
      </c>
      <c r="K3090">
        <v>16.899999999999999</v>
      </c>
      <c r="L3090">
        <v>19</v>
      </c>
      <c r="M3090">
        <v>29.2</v>
      </c>
      <c r="N3090">
        <v>31.5</v>
      </c>
      <c r="O3090">
        <v>21.9</v>
      </c>
      <c r="P3090">
        <v>21.9</v>
      </c>
      <c r="Q3090">
        <v>45.2</v>
      </c>
      <c r="R3090">
        <v>51.3</v>
      </c>
      <c r="S3090">
        <v>30.5</v>
      </c>
      <c r="T3090">
        <v>39.799999999999997</v>
      </c>
      <c r="U3090">
        <v>65.900000000000006</v>
      </c>
      <c r="V3090">
        <v>-16.399999999999999</v>
      </c>
      <c r="W3090" cm="1">
        <f t="array" ref="W3090">_xlfn.IFS(OR(X3090="N/A",X3090="NA"),0,OR(X3090="R64",X3090="R68"),1,X3090="R32",2,X3090="S16",3,X3090="E8",4,X3090="F4",5,X3090="2ND",6,X3090="Champions",7)</f>
        <v>0</v>
      </c>
      <c r="X3090" t="s">
        <v>425</v>
      </c>
      <c r="Y3090" t="s">
        <v>425</v>
      </c>
      <c r="Z3090">
        <v>2022</v>
      </c>
    </row>
    <row r="3091" spans="1:26" x14ac:dyDescent="0.3">
      <c r="A3091" t="s">
        <v>374</v>
      </c>
      <c r="B3091" t="s">
        <v>61</v>
      </c>
      <c r="C3091">
        <v>29</v>
      </c>
      <c r="D3091">
        <v>18</v>
      </c>
      <c r="E3091" s="1">
        <f t="shared" si="48"/>
        <v>0.62068965517241381</v>
      </c>
      <c r="F3091">
        <v>95.9</v>
      </c>
      <c r="G3091">
        <v>105.8</v>
      </c>
      <c r="H3091">
        <v>0.2445</v>
      </c>
      <c r="I3091">
        <v>49.4</v>
      </c>
      <c r="J3091">
        <v>50.1</v>
      </c>
      <c r="K3091">
        <v>19.3</v>
      </c>
      <c r="L3091">
        <v>19.7</v>
      </c>
      <c r="M3091">
        <v>26</v>
      </c>
      <c r="N3091">
        <v>30.8</v>
      </c>
      <c r="O3091">
        <v>42</v>
      </c>
      <c r="P3091">
        <v>32.799999999999997</v>
      </c>
      <c r="Q3091">
        <v>50.4</v>
      </c>
      <c r="R3091">
        <v>51.1</v>
      </c>
      <c r="S3091">
        <v>30.8</v>
      </c>
      <c r="T3091">
        <v>32.299999999999997</v>
      </c>
      <c r="U3091">
        <v>71.900000000000006</v>
      </c>
      <c r="V3091">
        <v>-9.1</v>
      </c>
      <c r="W3091" cm="1">
        <f t="array" ref="W3091">_xlfn.IFS(OR(X3091="N/A",X3091="NA"),0,OR(X3091="R64",X3091="R68"),1,X3091="R32",2,X3091="S16",3,X3091="E8",4,X3091="F4",5,X3091="2ND",6,X3091="Champions",7)</f>
        <v>0</v>
      </c>
      <c r="X3091" t="s">
        <v>425</v>
      </c>
      <c r="Y3091" t="s">
        <v>425</v>
      </c>
      <c r="Z3091">
        <v>2022</v>
      </c>
    </row>
    <row r="3092" spans="1:26" x14ac:dyDescent="0.3">
      <c r="A3092" t="s">
        <v>310</v>
      </c>
      <c r="B3092" t="s">
        <v>64</v>
      </c>
      <c r="C3092">
        <v>30</v>
      </c>
      <c r="D3092">
        <v>11</v>
      </c>
      <c r="E3092" s="1">
        <f t="shared" si="48"/>
        <v>0.36666666666666664</v>
      </c>
      <c r="F3092">
        <v>94.3</v>
      </c>
      <c r="G3092">
        <v>104</v>
      </c>
      <c r="H3092">
        <v>0.2432</v>
      </c>
      <c r="I3092">
        <v>46.7</v>
      </c>
      <c r="J3092">
        <v>49</v>
      </c>
      <c r="K3092">
        <v>21.6</v>
      </c>
      <c r="L3092">
        <v>19.2</v>
      </c>
      <c r="M3092">
        <v>31.1</v>
      </c>
      <c r="N3092">
        <v>30.6</v>
      </c>
      <c r="O3092">
        <v>34.5</v>
      </c>
      <c r="P3092">
        <v>37.6</v>
      </c>
      <c r="Q3092">
        <v>48.1</v>
      </c>
      <c r="R3092">
        <v>48.7</v>
      </c>
      <c r="S3092">
        <v>29.5</v>
      </c>
      <c r="T3092">
        <v>33</v>
      </c>
      <c r="U3092">
        <v>68.400000000000006</v>
      </c>
      <c r="V3092">
        <v>-15.2</v>
      </c>
      <c r="W3092" cm="1">
        <f t="array" ref="W3092">_xlfn.IFS(OR(X3092="N/A",X3092="NA"),0,OR(X3092="R64",X3092="R68"),1,X3092="R32",2,X3092="S16",3,X3092="E8",4,X3092="F4",5,X3092="2ND",6,X3092="Champions",7)</f>
        <v>0</v>
      </c>
      <c r="X3092" t="s">
        <v>425</v>
      </c>
      <c r="Y3092" t="s">
        <v>425</v>
      </c>
      <c r="Z3092">
        <v>2022</v>
      </c>
    </row>
    <row r="3093" spans="1:26" x14ac:dyDescent="0.3">
      <c r="A3093" t="s">
        <v>333</v>
      </c>
      <c r="B3093" t="s">
        <v>67</v>
      </c>
      <c r="C3093">
        <v>29</v>
      </c>
      <c r="D3093">
        <v>14</v>
      </c>
      <c r="E3093" s="1">
        <f t="shared" si="48"/>
        <v>0.48275862068965519</v>
      </c>
      <c r="F3093">
        <v>94.4</v>
      </c>
      <c r="G3093">
        <v>104.6</v>
      </c>
      <c r="H3093">
        <v>0.2366</v>
      </c>
      <c r="I3093">
        <v>50.4</v>
      </c>
      <c r="J3093">
        <v>51.4</v>
      </c>
      <c r="K3093">
        <v>19.5</v>
      </c>
      <c r="L3093">
        <v>20.6</v>
      </c>
      <c r="M3093">
        <v>25.2</v>
      </c>
      <c r="N3093">
        <v>26.1</v>
      </c>
      <c r="O3093">
        <v>25</v>
      </c>
      <c r="P3093">
        <v>30.7</v>
      </c>
      <c r="Q3093">
        <v>51.7</v>
      </c>
      <c r="R3093">
        <v>51.3</v>
      </c>
      <c r="S3093">
        <v>32.1</v>
      </c>
      <c r="T3093">
        <v>34.299999999999997</v>
      </c>
      <c r="U3093">
        <v>65.3</v>
      </c>
      <c r="V3093">
        <v>-12.1</v>
      </c>
      <c r="W3093" cm="1">
        <f t="array" ref="W3093">_xlfn.IFS(OR(X3093="N/A",X3093="NA"),0,OR(X3093="R64",X3093="R68"),1,X3093="R32",2,X3093="S16",3,X3093="E8",4,X3093="F4",5,X3093="2ND",6,X3093="Champions",7)</f>
        <v>0</v>
      </c>
      <c r="X3093" t="s">
        <v>425</v>
      </c>
      <c r="Y3093" t="s">
        <v>425</v>
      </c>
      <c r="Z3093">
        <v>2022</v>
      </c>
    </row>
    <row r="3094" spans="1:26" x14ac:dyDescent="0.3">
      <c r="A3094" t="s">
        <v>327</v>
      </c>
      <c r="B3094" t="s">
        <v>67</v>
      </c>
      <c r="C3094">
        <v>29</v>
      </c>
      <c r="D3094">
        <v>15</v>
      </c>
      <c r="E3094" s="1">
        <f t="shared" si="48"/>
        <v>0.51724137931034486</v>
      </c>
      <c r="F3094">
        <v>96.3</v>
      </c>
      <c r="G3094">
        <v>107</v>
      </c>
      <c r="H3094">
        <v>0.22889999999999999</v>
      </c>
      <c r="I3094">
        <v>48.8</v>
      </c>
      <c r="J3094">
        <v>52.8</v>
      </c>
      <c r="K3094">
        <v>18.899999999999999</v>
      </c>
      <c r="L3094">
        <v>19.399999999999999</v>
      </c>
      <c r="M3094">
        <v>29.8</v>
      </c>
      <c r="N3094">
        <v>27.2</v>
      </c>
      <c r="O3094">
        <v>32.1</v>
      </c>
      <c r="P3094">
        <v>22.9</v>
      </c>
      <c r="Q3094">
        <v>49.3</v>
      </c>
      <c r="R3094">
        <v>51.6</v>
      </c>
      <c r="S3094">
        <v>31.9</v>
      </c>
      <c r="T3094">
        <v>36.4</v>
      </c>
      <c r="U3094">
        <v>69</v>
      </c>
      <c r="V3094">
        <v>-12.2</v>
      </c>
      <c r="W3094" cm="1">
        <f t="array" ref="W3094">_xlfn.IFS(OR(X3094="N/A",X3094="NA"),0,OR(X3094="R64",X3094="R68"),1,X3094="R32",2,X3094="S16",3,X3094="E8",4,X3094="F4",5,X3094="2ND",6,X3094="Champions",7)</f>
        <v>0</v>
      </c>
      <c r="X3094" t="s">
        <v>425</v>
      </c>
      <c r="Y3094" t="s">
        <v>425</v>
      </c>
      <c r="Z3094">
        <v>2022</v>
      </c>
    </row>
    <row r="3095" spans="1:26" x14ac:dyDescent="0.3">
      <c r="A3095" t="s">
        <v>369</v>
      </c>
      <c r="B3095" t="s">
        <v>131</v>
      </c>
      <c r="C3095">
        <v>29</v>
      </c>
      <c r="D3095">
        <v>11</v>
      </c>
      <c r="E3095" s="1">
        <f t="shared" si="48"/>
        <v>0.37931034482758619</v>
      </c>
      <c r="F3095">
        <v>99.5</v>
      </c>
      <c r="G3095">
        <v>110.6</v>
      </c>
      <c r="H3095">
        <v>0.22889999999999999</v>
      </c>
      <c r="I3095">
        <v>48.2</v>
      </c>
      <c r="J3095">
        <v>54.8</v>
      </c>
      <c r="K3095">
        <v>18.8</v>
      </c>
      <c r="L3095">
        <v>16.399999999999999</v>
      </c>
      <c r="M3095">
        <v>26.2</v>
      </c>
      <c r="N3095">
        <v>30.9</v>
      </c>
      <c r="O3095">
        <v>23.1</v>
      </c>
      <c r="P3095">
        <v>29.8</v>
      </c>
      <c r="Q3095">
        <v>50.3</v>
      </c>
      <c r="R3095">
        <v>55.8</v>
      </c>
      <c r="S3095">
        <v>29.5</v>
      </c>
      <c r="T3095">
        <v>35.299999999999997</v>
      </c>
      <c r="U3095">
        <v>72.099999999999994</v>
      </c>
      <c r="V3095">
        <v>-13</v>
      </c>
      <c r="W3095" cm="1">
        <f t="array" ref="W3095">_xlfn.IFS(OR(X3095="N/A",X3095="NA"),0,OR(X3095="R64",X3095="R68"),1,X3095="R32",2,X3095="S16",3,X3095="E8",4,X3095="F4",5,X3095="2ND",6,X3095="Champions",7)</f>
        <v>0</v>
      </c>
      <c r="X3095" t="s">
        <v>425</v>
      </c>
      <c r="Y3095" t="s">
        <v>425</v>
      </c>
      <c r="Z3095">
        <v>2022</v>
      </c>
    </row>
    <row r="3096" spans="1:26" x14ac:dyDescent="0.3">
      <c r="A3096" t="s">
        <v>400</v>
      </c>
      <c r="B3096" t="s">
        <v>48</v>
      </c>
      <c r="C3096">
        <v>25</v>
      </c>
      <c r="D3096">
        <v>8</v>
      </c>
      <c r="E3096" s="1">
        <f t="shared" si="48"/>
        <v>0.32</v>
      </c>
      <c r="F3096">
        <v>96.7</v>
      </c>
      <c r="G3096">
        <v>107.5</v>
      </c>
      <c r="H3096">
        <v>0.22819999999999999</v>
      </c>
      <c r="I3096">
        <v>44.4</v>
      </c>
      <c r="J3096">
        <v>51.4</v>
      </c>
      <c r="K3096">
        <v>18</v>
      </c>
      <c r="L3096">
        <v>20.100000000000001</v>
      </c>
      <c r="M3096">
        <v>32</v>
      </c>
      <c r="N3096">
        <v>26.1</v>
      </c>
      <c r="O3096">
        <v>29.5</v>
      </c>
      <c r="P3096">
        <v>48</v>
      </c>
      <c r="Q3096">
        <v>44.9</v>
      </c>
      <c r="R3096">
        <v>50.5</v>
      </c>
      <c r="S3096">
        <v>28.3</v>
      </c>
      <c r="T3096">
        <v>35.200000000000003</v>
      </c>
      <c r="U3096">
        <v>64.400000000000006</v>
      </c>
      <c r="V3096">
        <v>-13.8</v>
      </c>
      <c r="W3096" cm="1">
        <f t="array" ref="W3096">_xlfn.IFS(OR(X3096="N/A",X3096="NA"),0,OR(X3096="R64",X3096="R68"),1,X3096="R32",2,X3096="S16",3,X3096="E8",4,X3096="F4",5,X3096="2ND",6,X3096="Champions",7)</f>
        <v>0</v>
      </c>
      <c r="X3096" t="s">
        <v>425</v>
      </c>
      <c r="Y3096" t="s">
        <v>425</v>
      </c>
      <c r="Z3096">
        <v>2022</v>
      </c>
    </row>
    <row r="3097" spans="1:26" x14ac:dyDescent="0.3">
      <c r="A3097" t="s">
        <v>312</v>
      </c>
      <c r="B3097" t="s">
        <v>64</v>
      </c>
      <c r="C3097">
        <v>28</v>
      </c>
      <c r="D3097">
        <v>8</v>
      </c>
      <c r="E3097" s="1">
        <f t="shared" si="48"/>
        <v>0.2857142857142857</v>
      </c>
      <c r="F3097">
        <v>96.4</v>
      </c>
      <c r="G3097">
        <v>107.2</v>
      </c>
      <c r="H3097">
        <v>0.2276</v>
      </c>
      <c r="I3097">
        <v>46.1</v>
      </c>
      <c r="J3097">
        <v>50.8</v>
      </c>
      <c r="K3097">
        <v>19.399999999999999</v>
      </c>
      <c r="L3097">
        <v>18.399999999999999</v>
      </c>
      <c r="M3097">
        <v>29.8</v>
      </c>
      <c r="N3097">
        <v>31.8</v>
      </c>
      <c r="O3097">
        <v>26.3</v>
      </c>
      <c r="P3097">
        <v>37.200000000000003</v>
      </c>
      <c r="Q3097">
        <v>47</v>
      </c>
      <c r="R3097">
        <v>51.2</v>
      </c>
      <c r="S3097">
        <v>29.7</v>
      </c>
      <c r="T3097">
        <v>33.4</v>
      </c>
      <c r="U3097">
        <v>69.099999999999994</v>
      </c>
      <c r="V3097">
        <v>-15.7</v>
      </c>
      <c r="W3097" cm="1">
        <f t="array" ref="W3097">_xlfn.IFS(OR(X3097="N/A",X3097="NA"),0,OR(X3097="R64",X3097="R68"),1,X3097="R32",2,X3097="S16",3,X3097="E8",4,X3097="F4",5,X3097="2ND",6,X3097="Champions",7)</f>
        <v>0</v>
      </c>
      <c r="X3097" t="s">
        <v>425</v>
      </c>
      <c r="Y3097" t="s">
        <v>425</v>
      </c>
      <c r="Z3097">
        <v>2022</v>
      </c>
    </row>
    <row r="3098" spans="1:26" x14ac:dyDescent="0.3">
      <c r="A3098" t="s">
        <v>428</v>
      </c>
      <c r="B3098" t="s">
        <v>77</v>
      </c>
      <c r="C3098">
        <v>29</v>
      </c>
      <c r="D3098">
        <v>14</v>
      </c>
      <c r="E3098" s="1">
        <f t="shared" si="48"/>
        <v>0.48275862068965519</v>
      </c>
      <c r="F3098">
        <v>93.5</v>
      </c>
      <c r="G3098">
        <v>104.3</v>
      </c>
      <c r="H3098">
        <v>0.22120000000000001</v>
      </c>
      <c r="I3098">
        <v>48.6</v>
      </c>
      <c r="J3098">
        <v>49.1</v>
      </c>
      <c r="K3098">
        <v>18.5</v>
      </c>
      <c r="L3098">
        <v>22.6</v>
      </c>
      <c r="M3098">
        <v>22.5</v>
      </c>
      <c r="N3098">
        <v>36.200000000000003</v>
      </c>
      <c r="O3098">
        <v>26</v>
      </c>
      <c r="P3098">
        <v>33.9</v>
      </c>
      <c r="Q3098">
        <v>47.8</v>
      </c>
      <c r="R3098">
        <v>48.8</v>
      </c>
      <c r="S3098">
        <v>33.299999999999997</v>
      </c>
      <c r="T3098">
        <v>33.200000000000003</v>
      </c>
      <c r="U3098">
        <v>62.2</v>
      </c>
      <c r="V3098">
        <v>-11.1</v>
      </c>
      <c r="W3098" cm="1">
        <f t="array" ref="W3098">_xlfn.IFS(OR(X3098="N/A",X3098="NA"),0,OR(X3098="R64",X3098="R68"),1,X3098="R32",2,X3098="S16",3,X3098="E8",4,X3098="F4",5,X3098="2ND",6,X3098="Champions",7)</f>
        <v>0</v>
      </c>
      <c r="X3098" t="s">
        <v>425</v>
      </c>
      <c r="Y3098" t="s">
        <v>425</v>
      </c>
      <c r="Z3098">
        <v>2022</v>
      </c>
    </row>
    <row r="3099" spans="1:26" x14ac:dyDescent="0.3">
      <c r="A3099" t="s">
        <v>120</v>
      </c>
      <c r="B3099" t="s">
        <v>112</v>
      </c>
      <c r="C3099">
        <v>31</v>
      </c>
      <c r="D3099">
        <v>13</v>
      </c>
      <c r="E3099" s="1">
        <f t="shared" si="48"/>
        <v>0.41935483870967744</v>
      </c>
      <c r="F3099">
        <v>91.7</v>
      </c>
      <c r="G3099">
        <v>102.3</v>
      </c>
      <c r="H3099">
        <v>0.2208</v>
      </c>
      <c r="I3099">
        <v>46.2</v>
      </c>
      <c r="J3099">
        <v>50.7</v>
      </c>
      <c r="K3099">
        <v>18.7</v>
      </c>
      <c r="L3099">
        <v>20.7</v>
      </c>
      <c r="M3099">
        <v>26.1</v>
      </c>
      <c r="N3099">
        <v>27.2</v>
      </c>
      <c r="O3099">
        <v>24.9</v>
      </c>
      <c r="P3099">
        <v>31.8</v>
      </c>
      <c r="Q3099">
        <v>45.2</v>
      </c>
      <c r="R3099">
        <v>49.1</v>
      </c>
      <c r="S3099">
        <v>32.299999999999997</v>
      </c>
      <c r="T3099">
        <v>35.5</v>
      </c>
      <c r="U3099">
        <v>65.3</v>
      </c>
      <c r="V3099">
        <v>-12.8</v>
      </c>
      <c r="W3099" cm="1">
        <f t="array" ref="W3099">_xlfn.IFS(OR(X3099="N/A",X3099="NA"),0,OR(X3099="R64",X3099="R68"),1,X3099="R32",2,X3099="S16",3,X3099="E8",4,X3099="F4",5,X3099="2ND",6,X3099="Champions",7)</f>
        <v>0</v>
      </c>
      <c r="X3099" t="s">
        <v>425</v>
      </c>
      <c r="Y3099" t="s">
        <v>425</v>
      </c>
      <c r="Z3099">
        <v>2022</v>
      </c>
    </row>
    <row r="3100" spans="1:26" x14ac:dyDescent="0.3">
      <c r="A3100" t="s">
        <v>356</v>
      </c>
      <c r="B3100" t="s">
        <v>62</v>
      </c>
      <c r="C3100">
        <v>31</v>
      </c>
      <c r="D3100">
        <v>11</v>
      </c>
      <c r="E3100" s="1">
        <f t="shared" si="48"/>
        <v>0.35483870967741937</v>
      </c>
      <c r="F3100">
        <v>98.2</v>
      </c>
      <c r="G3100">
        <v>109.7</v>
      </c>
      <c r="H3100">
        <v>0.21859999999999999</v>
      </c>
      <c r="I3100">
        <v>47.9</v>
      </c>
      <c r="J3100">
        <v>53.2</v>
      </c>
      <c r="K3100">
        <v>17.7</v>
      </c>
      <c r="L3100">
        <v>14.3</v>
      </c>
      <c r="M3100">
        <v>28.6</v>
      </c>
      <c r="N3100">
        <v>28.5</v>
      </c>
      <c r="O3100">
        <v>27.8</v>
      </c>
      <c r="P3100">
        <v>28.7</v>
      </c>
      <c r="Q3100">
        <v>49</v>
      </c>
      <c r="R3100">
        <v>52.6</v>
      </c>
      <c r="S3100">
        <v>31.3</v>
      </c>
      <c r="T3100">
        <v>36</v>
      </c>
      <c r="U3100">
        <v>68.400000000000006</v>
      </c>
      <c r="V3100">
        <v>-14.1</v>
      </c>
      <c r="W3100" cm="1">
        <f t="array" ref="W3100">_xlfn.IFS(OR(X3100="N/A",X3100="NA"),0,OR(X3100="R64",X3100="R68"),1,X3100="R32",2,X3100="S16",3,X3100="E8",4,X3100="F4",5,X3100="2ND",6,X3100="Champions",7)</f>
        <v>0</v>
      </c>
      <c r="X3100" t="s">
        <v>425</v>
      </c>
      <c r="Y3100" t="s">
        <v>425</v>
      </c>
      <c r="Z3100">
        <v>2022</v>
      </c>
    </row>
    <row r="3101" spans="1:26" x14ac:dyDescent="0.3">
      <c r="A3101" t="s">
        <v>381</v>
      </c>
      <c r="B3101" t="s">
        <v>72</v>
      </c>
      <c r="C3101">
        <v>30</v>
      </c>
      <c r="D3101">
        <v>11</v>
      </c>
      <c r="E3101" s="1">
        <f t="shared" si="48"/>
        <v>0.36666666666666664</v>
      </c>
      <c r="F3101">
        <v>99.1</v>
      </c>
      <c r="G3101">
        <v>110.7</v>
      </c>
      <c r="H3101">
        <v>0.2185</v>
      </c>
      <c r="I3101">
        <v>52.7</v>
      </c>
      <c r="J3101">
        <v>52.4</v>
      </c>
      <c r="K3101">
        <v>18.600000000000001</v>
      </c>
      <c r="L3101">
        <v>16.5</v>
      </c>
      <c r="M3101">
        <v>23.7</v>
      </c>
      <c r="N3101">
        <v>28.1</v>
      </c>
      <c r="O3101">
        <v>32</v>
      </c>
      <c r="P3101">
        <v>32.200000000000003</v>
      </c>
      <c r="Q3101">
        <v>51.1</v>
      </c>
      <c r="R3101">
        <v>50.9</v>
      </c>
      <c r="S3101">
        <v>37.1</v>
      </c>
      <c r="T3101">
        <v>36.4</v>
      </c>
      <c r="U3101">
        <v>66.5</v>
      </c>
      <c r="V3101">
        <v>-16.2</v>
      </c>
      <c r="W3101" cm="1">
        <f t="array" ref="W3101">_xlfn.IFS(OR(X3101="N/A",X3101="NA"),0,OR(X3101="R64",X3101="R68"),1,X3101="R32",2,X3101="S16",3,X3101="E8",4,X3101="F4",5,X3101="2ND",6,X3101="Champions",7)</f>
        <v>0</v>
      </c>
      <c r="X3101" t="s">
        <v>425</v>
      </c>
      <c r="Y3101" t="s">
        <v>425</v>
      </c>
      <c r="Z3101">
        <v>2022</v>
      </c>
    </row>
    <row r="3102" spans="1:26" x14ac:dyDescent="0.3">
      <c r="A3102" t="s">
        <v>188</v>
      </c>
      <c r="B3102" t="s">
        <v>48</v>
      </c>
      <c r="C3102">
        <v>27</v>
      </c>
      <c r="D3102">
        <v>7</v>
      </c>
      <c r="E3102" s="1">
        <f t="shared" si="48"/>
        <v>0.25925925925925924</v>
      </c>
      <c r="F3102">
        <v>93.2</v>
      </c>
      <c r="G3102">
        <v>104.2</v>
      </c>
      <c r="H3102">
        <v>0.2165</v>
      </c>
      <c r="I3102">
        <v>46.1</v>
      </c>
      <c r="J3102">
        <v>48.1</v>
      </c>
      <c r="K3102">
        <v>22.6</v>
      </c>
      <c r="L3102">
        <v>17</v>
      </c>
      <c r="M3102">
        <v>27.3</v>
      </c>
      <c r="N3102">
        <v>26.9</v>
      </c>
      <c r="O3102">
        <v>36.299999999999997</v>
      </c>
      <c r="P3102">
        <v>36.799999999999997</v>
      </c>
      <c r="Q3102">
        <v>47.2</v>
      </c>
      <c r="R3102">
        <v>44.5</v>
      </c>
      <c r="S3102">
        <v>29.5</v>
      </c>
      <c r="T3102">
        <v>36.200000000000003</v>
      </c>
      <c r="U3102">
        <v>64.599999999999994</v>
      </c>
      <c r="V3102">
        <v>-16.399999999999999</v>
      </c>
      <c r="W3102" cm="1">
        <f t="array" ref="W3102">_xlfn.IFS(OR(X3102="N/A",X3102="NA"),0,OR(X3102="R64",X3102="R68"),1,X3102="R32",2,X3102="S16",3,X3102="E8",4,X3102="F4",5,X3102="2ND",6,X3102="Champions",7)</f>
        <v>0</v>
      </c>
      <c r="X3102" t="s">
        <v>425</v>
      </c>
      <c r="Y3102" t="s">
        <v>425</v>
      </c>
      <c r="Z3102">
        <v>2022</v>
      </c>
    </row>
    <row r="3103" spans="1:26" x14ac:dyDescent="0.3">
      <c r="A3103" t="s">
        <v>258</v>
      </c>
      <c r="B3103" t="s">
        <v>57</v>
      </c>
      <c r="C3103">
        <v>30</v>
      </c>
      <c r="D3103">
        <v>9</v>
      </c>
      <c r="E3103" s="1">
        <f t="shared" si="48"/>
        <v>0.3</v>
      </c>
      <c r="F3103">
        <v>92.4</v>
      </c>
      <c r="G3103">
        <v>103.5</v>
      </c>
      <c r="H3103">
        <v>0.21310000000000001</v>
      </c>
      <c r="I3103">
        <v>47.2</v>
      </c>
      <c r="J3103">
        <v>50.6</v>
      </c>
      <c r="K3103">
        <v>19.899999999999999</v>
      </c>
      <c r="L3103">
        <v>19.7</v>
      </c>
      <c r="M3103">
        <v>24.3</v>
      </c>
      <c r="N3103">
        <v>29.4</v>
      </c>
      <c r="O3103">
        <v>33</v>
      </c>
      <c r="P3103">
        <v>40.700000000000003</v>
      </c>
      <c r="Q3103">
        <v>47</v>
      </c>
      <c r="R3103">
        <v>51.8</v>
      </c>
      <c r="S3103">
        <v>31.7</v>
      </c>
      <c r="T3103">
        <v>32.299999999999997</v>
      </c>
      <c r="U3103">
        <v>67</v>
      </c>
      <c r="V3103">
        <v>-14.7</v>
      </c>
      <c r="W3103" cm="1">
        <f t="array" ref="W3103">_xlfn.IFS(OR(X3103="N/A",X3103="NA"),0,OR(X3103="R64",X3103="R68"),1,X3103="R32",2,X3103="S16",3,X3103="E8",4,X3103="F4",5,X3103="2ND",6,X3103="Champions",7)</f>
        <v>0</v>
      </c>
      <c r="X3103" t="s">
        <v>425</v>
      </c>
      <c r="Y3103" t="s">
        <v>425</v>
      </c>
      <c r="Z3103">
        <v>2022</v>
      </c>
    </row>
    <row r="3104" spans="1:26" x14ac:dyDescent="0.3">
      <c r="A3104" t="s">
        <v>269</v>
      </c>
      <c r="B3104" t="s">
        <v>66</v>
      </c>
      <c r="C3104">
        <v>24</v>
      </c>
      <c r="D3104">
        <v>13</v>
      </c>
      <c r="E3104" s="1">
        <f t="shared" si="48"/>
        <v>0.54166666666666663</v>
      </c>
      <c r="F3104">
        <v>93.6</v>
      </c>
      <c r="G3104">
        <v>105.1</v>
      </c>
      <c r="H3104">
        <v>0.20860000000000001</v>
      </c>
      <c r="I3104">
        <v>46.1</v>
      </c>
      <c r="J3104">
        <v>51.2</v>
      </c>
      <c r="K3104">
        <v>21.2</v>
      </c>
      <c r="L3104">
        <v>23.2</v>
      </c>
      <c r="M3104">
        <v>31.4</v>
      </c>
      <c r="N3104">
        <v>29.9</v>
      </c>
      <c r="O3104">
        <v>31</v>
      </c>
      <c r="P3104">
        <v>43.7</v>
      </c>
      <c r="Q3104">
        <v>46.6</v>
      </c>
      <c r="R3104">
        <v>51</v>
      </c>
      <c r="S3104">
        <v>30</v>
      </c>
      <c r="T3104">
        <v>34.4</v>
      </c>
      <c r="U3104">
        <v>71.599999999999994</v>
      </c>
      <c r="V3104">
        <v>-10.8</v>
      </c>
      <c r="W3104" cm="1">
        <f t="array" ref="W3104">_xlfn.IFS(OR(X3104="N/A",X3104="NA"),0,OR(X3104="R64",X3104="R68"),1,X3104="R32",2,X3104="S16",3,X3104="E8",4,X3104="F4",5,X3104="2ND",6,X3104="Champions",7)</f>
        <v>0</v>
      </c>
      <c r="X3104" t="s">
        <v>425</v>
      </c>
      <c r="Y3104" t="s">
        <v>425</v>
      </c>
      <c r="Z3104">
        <v>2022</v>
      </c>
    </row>
    <row r="3105" spans="1:26" x14ac:dyDescent="0.3">
      <c r="A3105" t="s">
        <v>332</v>
      </c>
      <c r="B3105" t="s">
        <v>67</v>
      </c>
      <c r="C3105">
        <v>31</v>
      </c>
      <c r="D3105">
        <v>13</v>
      </c>
      <c r="E3105" s="1">
        <f t="shared" si="48"/>
        <v>0.41935483870967744</v>
      </c>
      <c r="F3105">
        <v>97.5</v>
      </c>
      <c r="G3105">
        <v>109.5</v>
      </c>
      <c r="H3105">
        <v>0.20730000000000001</v>
      </c>
      <c r="I3105">
        <v>52.1</v>
      </c>
      <c r="J3105">
        <v>49.3</v>
      </c>
      <c r="K3105">
        <v>19.2</v>
      </c>
      <c r="L3105">
        <v>14.7</v>
      </c>
      <c r="M3105">
        <v>21.5</v>
      </c>
      <c r="N3105">
        <v>26.4</v>
      </c>
      <c r="O3105">
        <v>25.1</v>
      </c>
      <c r="P3105">
        <v>31.8</v>
      </c>
      <c r="Q3105">
        <v>48.9</v>
      </c>
      <c r="R3105">
        <v>47.4</v>
      </c>
      <c r="S3105">
        <v>38.200000000000003</v>
      </c>
      <c r="T3105">
        <v>36.4</v>
      </c>
      <c r="U3105">
        <v>68.2</v>
      </c>
      <c r="V3105">
        <v>-14.5</v>
      </c>
      <c r="W3105" cm="1">
        <f t="array" ref="W3105">_xlfn.IFS(OR(X3105="N/A",X3105="NA"),0,OR(X3105="R64",X3105="R68"),1,X3105="R32",2,X3105="S16",3,X3105="E8",4,X3105="F4",5,X3105="2ND",6,X3105="Champions",7)</f>
        <v>0</v>
      </c>
      <c r="X3105" t="s">
        <v>425</v>
      </c>
      <c r="Y3105" t="s">
        <v>425</v>
      </c>
      <c r="Z3105">
        <v>2022</v>
      </c>
    </row>
    <row r="3106" spans="1:26" x14ac:dyDescent="0.3">
      <c r="A3106" t="s">
        <v>111</v>
      </c>
      <c r="B3106" t="s">
        <v>112</v>
      </c>
      <c r="C3106">
        <v>27</v>
      </c>
      <c r="D3106">
        <v>12</v>
      </c>
      <c r="E3106" s="1">
        <f t="shared" si="48"/>
        <v>0.44444444444444442</v>
      </c>
      <c r="F3106">
        <v>93.6</v>
      </c>
      <c r="G3106">
        <v>105.5</v>
      </c>
      <c r="H3106">
        <v>0.2031</v>
      </c>
      <c r="I3106">
        <v>48.8</v>
      </c>
      <c r="J3106">
        <v>49.9</v>
      </c>
      <c r="K3106">
        <v>18.8</v>
      </c>
      <c r="L3106">
        <v>15.9</v>
      </c>
      <c r="M3106">
        <v>26.7</v>
      </c>
      <c r="N3106">
        <v>27.1</v>
      </c>
      <c r="O3106">
        <v>23.2</v>
      </c>
      <c r="P3106">
        <v>30.1</v>
      </c>
      <c r="Q3106">
        <v>47</v>
      </c>
      <c r="R3106">
        <v>49.6</v>
      </c>
      <c r="S3106">
        <v>34.700000000000003</v>
      </c>
      <c r="T3106">
        <v>33.6</v>
      </c>
      <c r="U3106">
        <v>67.099999999999994</v>
      </c>
      <c r="V3106">
        <v>-12.7</v>
      </c>
      <c r="W3106" cm="1">
        <f t="array" ref="W3106">_xlfn.IFS(OR(X3106="N/A",X3106="NA"),0,OR(X3106="R64",X3106="R68"),1,X3106="R32",2,X3106="S16",3,X3106="E8",4,X3106="F4",5,X3106="2ND",6,X3106="Champions",7)</f>
        <v>0</v>
      </c>
      <c r="X3106" t="s">
        <v>425</v>
      </c>
      <c r="Y3106" t="s">
        <v>425</v>
      </c>
      <c r="Z3106">
        <v>2022</v>
      </c>
    </row>
    <row r="3107" spans="1:26" x14ac:dyDescent="0.3">
      <c r="A3107" t="s">
        <v>140</v>
      </c>
      <c r="B3107" t="s">
        <v>131</v>
      </c>
      <c r="C3107">
        <v>26</v>
      </c>
      <c r="D3107">
        <v>9</v>
      </c>
      <c r="E3107" s="1">
        <f t="shared" si="48"/>
        <v>0.34615384615384615</v>
      </c>
      <c r="F3107">
        <v>91.2</v>
      </c>
      <c r="G3107">
        <v>102.8</v>
      </c>
      <c r="H3107">
        <v>0.20219999999999999</v>
      </c>
      <c r="I3107">
        <v>43.2</v>
      </c>
      <c r="J3107">
        <v>50.2</v>
      </c>
      <c r="K3107">
        <v>17</v>
      </c>
      <c r="L3107">
        <v>18.899999999999999</v>
      </c>
      <c r="M3107">
        <v>25.5</v>
      </c>
      <c r="N3107">
        <v>29.9</v>
      </c>
      <c r="O3107">
        <v>23.8</v>
      </c>
      <c r="P3107">
        <v>40</v>
      </c>
      <c r="Q3107">
        <v>42.8</v>
      </c>
      <c r="R3107">
        <v>50.1</v>
      </c>
      <c r="S3107">
        <v>29.2</v>
      </c>
      <c r="T3107">
        <v>33.700000000000003</v>
      </c>
      <c r="U3107">
        <v>67.599999999999994</v>
      </c>
      <c r="V3107">
        <v>-15.2</v>
      </c>
      <c r="W3107" cm="1">
        <f t="array" ref="W3107">_xlfn.IFS(OR(X3107="N/A",X3107="NA"),0,OR(X3107="R64",X3107="R68"),1,X3107="R32",2,X3107="S16",3,X3107="E8",4,X3107="F4",5,X3107="2ND",6,X3107="Champions",7)</f>
        <v>0</v>
      </c>
      <c r="X3107" t="s">
        <v>425</v>
      </c>
      <c r="Y3107" t="s">
        <v>425</v>
      </c>
      <c r="Z3107">
        <v>2022</v>
      </c>
    </row>
    <row r="3108" spans="1:26" x14ac:dyDescent="0.3">
      <c r="A3108" t="s">
        <v>255</v>
      </c>
      <c r="B3108" t="s">
        <v>57</v>
      </c>
      <c r="C3108">
        <v>30</v>
      </c>
      <c r="D3108">
        <v>10</v>
      </c>
      <c r="E3108" s="1">
        <f t="shared" si="48"/>
        <v>0.33333333333333331</v>
      </c>
      <c r="F3108">
        <v>94.5</v>
      </c>
      <c r="G3108">
        <v>106.6</v>
      </c>
      <c r="H3108">
        <v>0.20169999999999999</v>
      </c>
      <c r="I3108">
        <v>48.2</v>
      </c>
      <c r="J3108">
        <v>51.6</v>
      </c>
      <c r="K3108">
        <v>19.2</v>
      </c>
      <c r="L3108">
        <v>16.899999999999999</v>
      </c>
      <c r="M3108">
        <v>23.3</v>
      </c>
      <c r="N3108">
        <v>28.4</v>
      </c>
      <c r="O3108">
        <v>29.8</v>
      </c>
      <c r="P3108">
        <v>29.3</v>
      </c>
      <c r="Q3108">
        <v>49.3</v>
      </c>
      <c r="R3108">
        <v>50.6</v>
      </c>
      <c r="S3108">
        <v>30.7</v>
      </c>
      <c r="T3108">
        <v>35.6</v>
      </c>
      <c r="U3108">
        <v>69.5</v>
      </c>
      <c r="V3108">
        <v>-15.4</v>
      </c>
      <c r="W3108" cm="1">
        <f t="array" ref="W3108">_xlfn.IFS(OR(X3108="N/A",X3108="NA"),0,OR(X3108="R64",X3108="R68"),1,X3108="R32",2,X3108="S16",3,X3108="E8",4,X3108="F4",5,X3108="2ND",6,X3108="Champions",7)</f>
        <v>0</v>
      </c>
      <c r="X3108" t="s">
        <v>425</v>
      </c>
      <c r="Y3108" t="s">
        <v>425</v>
      </c>
      <c r="Z3108">
        <v>2022</v>
      </c>
    </row>
    <row r="3109" spans="1:26" x14ac:dyDescent="0.3">
      <c r="A3109" t="s">
        <v>136</v>
      </c>
      <c r="B3109" t="s">
        <v>131</v>
      </c>
      <c r="C3109">
        <v>26</v>
      </c>
      <c r="D3109">
        <v>11</v>
      </c>
      <c r="E3109" s="1">
        <f t="shared" si="48"/>
        <v>0.42307692307692307</v>
      </c>
      <c r="F3109">
        <v>96.1</v>
      </c>
      <c r="G3109">
        <v>108.3</v>
      </c>
      <c r="H3109">
        <v>0.2011</v>
      </c>
      <c r="I3109">
        <v>48.8</v>
      </c>
      <c r="J3109">
        <v>53</v>
      </c>
      <c r="K3109">
        <v>19.5</v>
      </c>
      <c r="L3109">
        <v>16.100000000000001</v>
      </c>
      <c r="M3109">
        <v>28.2</v>
      </c>
      <c r="N3109">
        <v>27.5</v>
      </c>
      <c r="O3109">
        <v>25.6</v>
      </c>
      <c r="P3109">
        <v>26.8</v>
      </c>
      <c r="Q3109">
        <v>46.5</v>
      </c>
      <c r="R3109">
        <v>53.5</v>
      </c>
      <c r="S3109">
        <v>34.9</v>
      </c>
      <c r="T3109">
        <v>34.9</v>
      </c>
      <c r="U3109">
        <v>65.5</v>
      </c>
      <c r="V3109">
        <v>-14.6</v>
      </c>
      <c r="W3109" cm="1">
        <f t="array" ref="W3109">_xlfn.IFS(OR(X3109="N/A",X3109="NA"),0,OR(X3109="R64",X3109="R68"),1,X3109="R32",2,X3109="S16",3,X3109="E8",4,X3109="F4",5,X3109="2ND",6,X3109="Champions",7)</f>
        <v>0</v>
      </c>
      <c r="X3109" t="s">
        <v>425</v>
      </c>
      <c r="Y3109" t="s">
        <v>425</v>
      </c>
      <c r="Z3109">
        <v>2022</v>
      </c>
    </row>
    <row r="3110" spans="1:26" x14ac:dyDescent="0.3">
      <c r="A3110" t="s">
        <v>373</v>
      </c>
      <c r="B3110" t="s">
        <v>61</v>
      </c>
      <c r="C3110">
        <v>29</v>
      </c>
      <c r="D3110">
        <v>11</v>
      </c>
      <c r="E3110" s="1">
        <f t="shared" si="48"/>
        <v>0.37931034482758619</v>
      </c>
      <c r="F3110">
        <v>97.4</v>
      </c>
      <c r="G3110">
        <v>110.3</v>
      </c>
      <c r="H3110">
        <v>0.19400000000000001</v>
      </c>
      <c r="I3110">
        <v>48.6</v>
      </c>
      <c r="J3110">
        <v>52</v>
      </c>
      <c r="K3110">
        <v>22</v>
      </c>
      <c r="L3110">
        <v>17.7</v>
      </c>
      <c r="M3110">
        <v>33.200000000000003</v>
      </c>
      <c r="N3110">
        <v>28.9</v>
      </c>
      <c r="O3110">
        <v>37.5</v>
      </c>
      <c r="P3110">
        <v>40.200000000000003</v>
      </c>
      <c r="Q3110">
        <v>49.9</v>
      </c>
      <c r="R3110">
        <v>52</v>
      </c>
      <c r="S3110">
        <v>30.6</v>
      </c>
      <c r="T3110">
        <v>34.700000000000003</v>
      </c>
      <c r="U3110">
        <v>69.7</v>
      </c>
      <c r="V3110">
        <v>-16.399999999999999</v>
      </c>
      <c r="W3110" cm="1">
        <f t="array" ref="W3110">_xlfn.IFS(OR(X3110="N/A",X3110="NA"),0,OR(X3110="R64",X3110="R68"),1,X3110="R32",2,X3110="S16",3,X3110="E8",4,X3110="F4",5,X3110="2ND",6,X3110="Champions",7)</f>
        <v>0</v>
      </c>
      <c r="X3110" t="s">
        <v>425</v>
      </c>
      <c r="Y3110" t="s">
        <v>425</v>
      </c>
      <c r="Z3110">
        <v>2022</v>
      </c>
    </row>
    <row r="3111" spans="1:26" x14ac:dyDescent="0.3">
      <c r="A3111" t="s">
        <v>261</v>
      </c>
      <c r="B3111" t="s">
        <v>57</v>
      </c>
      <c r="C3111">
        <v>28</v>
      </c>
      <c r="D3111">
        <v>8</v>
      </c>
      <c r="E3111" s="1">
        <f t="shared" si="48"/>
        <v>0.2857142857142857</v>
      </c>
      <c r="F3111">
        <v>97.4</v>
      </c>
      <c r="G3111">
        <v>110.2</v>
      </c>
      <c r="H3111">
        <v>0.19339999999999999</v>
      </c>
      <c r="I3111">
        <v>49.3</v>
      </c>
      <c r="J3111">
        <v>53.4</v>
      </c>
      <c r="K3111">
        <v>20.3</v>
      </c>
      <c r="L3111">
        <v>15</v>
      </c>
      <c r="M3111">
        <v>27.2</v>
      </c>
      <c r="N3111">
        <v>32.299999999999997</v>
      </c>
      <c r="O3111">
        <v>24.3</v>
      </c>
      <c r="P3111">
        <v>29.8</v>
      </c>
      <c r="Q3111">
        <v>48.9</v>
      </c>
      <c r="R3111">
        <v>55.3</v>
      </c>
      <c r="S3111">
        <v>33.200000000000003</v>
      </c>
      <c r="T3111">
        <v>33.799999999999997</v>
      </c>
      <c r="U3111">
        <v>64.2</v>
      </c>
      <c r="V3111">
        <v>-16.899999999999999</v>
      </c>
      <c r="W3111" cm="1">
        <f t="array" ref="W3111">_xlfn.IFS(OR(X3111="N/A",X3111="NA"),0,OR(X3111="R64",X3111="R68"),1,X3111="R32",2,X3111="S16",3,X3111="E8",4,X3111="F4",5,X3111="2ND",6,X3111="Champions",7)</f>
        <v>0</v>
      </c>
      <c r="X3111" t="s">
        <v>425</v>
      </c>
      <c r="Y3111" t="s">
        <v>425</v>
      </c>
      <c r="Z3111">
        <v>2022</v>
      </c>
    </row>
    <row r="3112" spans="1:26" x14ac:dyDescent="0.3">
      <c r="A3112" t="s">
        <v>266</v>
      </c>
      <c r="B3112" t="s">
        <v>76</v>
      </c>
      <c r="C3112">
        <v>28</v>
      </c>
      <c r="D3112">
        <v>13</v>
      </c>
      <c r="E3112" s="1">
        <f t="shared" si="48"/>
        <v>0.4642857142857143</v>
      </c>
      <c r="F3112">
        <v>94.9</v>
      </c>
      <c r="G3112">
        <v>107.4</v>
      </c>
      <c r="H3112">
        <v>0.19270000000000001</v>
      </c>
      <c r="I3112">
        <v>46.1</v>
      </c>
      <c r="J3112">
        <v>48.2</v>
      </c>
      <c r="K3112">
        <v>18.7</v>
      </c>
      <c r="L3112">
        <v>18.5</v>
      </c>
      <c r="M3112">
        <v>25.7</v>
      </c>
      <c r="N3112">
        <v>34.4</v>
      </c>
      <c r="O3112">
        <v>29.8</v>
      </c>
      <c r="P3112">
        <v>38.9</v>
      </c>
      <c r="Q3112">
        <v>46.6</v>
      </c>
      <c r="R3112">
        <v>46.4</v>
      </c>
      <c r="S3112">
        <v>29.7</v>
      </c>
      <c r="T3112">
        <v>34.299999999999997</v>
      </c>
      <c r="U3112">
        <v>65.400000000000006</v>
      </c>
      <c r="V3112">
        <v>-12.2</v>
      </c>
      <c r="W3112" cm="1">
        <f t="array" ref="W3112">_xlfn.IFS(OR(X3112="N/A",X3112="NA"),0,OR(X3112="R64",X3112="R68"),1,X3112="R32",2,X3112="S16",3,X3112="E8",4,X3112="F4",5,X3112="2ND",6,X3112="Champions",7)</f>
        <v>0</v>
      </c>
      <c r="X3112" t="s">
        <v>425</v>
      </c>
      <c r="Y3112" t="s">
        <v>425</v>
      </c>
      <c r="Z3112">
        <v>2022</v>
      </c>
    </row>
    <row r="3113" spans="1:26" x14ac:dyDescent="0.3">
      <c r="A3113" t="s">
        <v>303</v>
      </c>
      <c r="B3113" t="s">
        <v>43</v>
      </c>
      <c r="C3113">
        <v>31</v>
      </c>
      <c r="D3113">
        <v>8</v>
      </c>
      <c r="E3113" s="1">
        <f t="shared" si="48"/>
        <v>0.25806451612903225</v>
      </c>
      <c r="F3113">
        <v>99.1</v>
      </c>
      <c r="G3113">
        <v>112.5</v>
      </c>
      <c r="H3113">
        <v>0.1885</v>
      </c>
      <c r="I3113">
        <v>50.9</v>
      </c>
      <c r="J3113">
        <v>53.1</v>
      </c>
      <c r="K3113">
        <v>20.8</v>
      </c>
      <c r="L3113">
        <v>16.899999999999999</v>
      </c>
      <c r="M3113">
        <v>28.2</v>
      </c>
      <c r="N3113">
        <v>32.200000000000003</v>
      </c>
      <c r="O3113">
        <v>28.2</v>
      </c>
      <c r="P3113">
        <v>28.9</v>
      </c>
      <c r="Q3113">
        <v>51.6</v>
      </c>
      <c r="R3113">
        <v>51.9</v>
      </c>
      <c r="S3113">
        <v>32.9</v>
      </c>
      <c r="T3113">
        <v>36.9</v>
      </c>
      <c r="U3113">
        <v>66.900000000000006</v>
      </c>
      <c r="V3113">
        <v>-18.7</v>
      </c>
      <c r="W3113" cm="1">
        <f t="array" ref="W3113">_xlfn.IFS(OR(X3113="N/A",X3113="NA"),0,OR(X3113="R64",X3113="R68"),1,X3113="R32",2,X3113="S16",3,X3113="E8",4,X3113="F4",5,X3113="2ND",6,X3113="Champions",7)</f>
        <v>0</v>
      </c>
      <c r="X3113" t="s">
        <v>425</v>
      </c>
      <c r="Y3113" t="s">
        <v>425</v>
      </c>
      <c r="Z3113">
        <v>2022</v>
      </c>
    </row>
    <row r="3114" spans="1:26" x14ac:dyDescent="0.3">
      <c r="A3114" t="s">
        <v>218</v>
      </c>
      <c r="B3114" t="s">
        <v>40</v>
      </c>
      <c r="C3114">
        <v>28</v>
      </c>
      <c r="D3114">
        <v>10</v>
      </c>
      <c r="E3114" s="1">
        <f t="shared" si="48"/>
        <v>0.35714285714285715</v>
      </c>
      <c r="F3114">
        <v>93.9</v>
      </c>
      <c r="G3114">
        <v>106.8</v>
      </c>
      <c r="H3114">
        <v>0.18629999999999999</v>
      </c>
      <c r="I3114">
        <v>43.6</v>
      </c>
      <c r="J3114">
        <v>54.3</v>
      </c>
      <c r="K3114">
        <v>17.600000000000001</v>
      </c>
      <c r="L3114">
        <v>17</v>
      </c>
      <c r="M3114">
        <v>29.5</v>
      </c>
      <c r="N3114">
        <v>25.8</v>
      </c>
      <c r="O3114">
        <v>25.4</v>
      </c>
      <c r="P3114">
        <v>33</v>
      </c>
      <c r="Q3114">
        <v>43.9</v>
      </c>
      <c r="R3114">
        <v>53</v>
      </c>
      <c r="S3114">
        <v>28.7</v>
      </c>
      <c r="T3114">
        <v>37.700000000000003</v>
      </c>
      <c r="U3114">
        <v>68.7</v>
      </c>
      <c r="V3114">
        <v>-15.7</v>
      </c>
      <c r="W3114" cm="1">
        <f t="array" ref="W3114">_xlfn.IFS(OR(X3114="N/A",X3114="NA"),0,OR(X3114="R64",X3114="R68"),1,X3114="R32",2,X3114="S16",3,X3114="E8",4,X3114="F4",5,X3114="2ND",6,X3114="Champions",7)</f>
        <v>0</v>
      </c>
      <c r="X3114" t="s">
        <v>425</v>
      </c>
      <c r="Y3114" t="s">
        <v>425</v>
      </c>
      <c r="Z3114">
        <v>2022</v>
      </c>
    </row>
    <row r="3115" spans="1:26" x14ac:dyDescent="0.3">
      <c r="A3115" t="s">
        <v>172</v>
      </c>
      <c r="B3115" t="s">
        <v>164</v>
      </c>
      <c r="C3115">
        <v>27</v>
      </c>
      <c r="D3115">
        <v>11</v>
      </c>
      <c r="E3115" s="1">
        <f t="shared" si="48"/>
        <v>0.40740740740740738</v>
      </c>
      <c r="F3115">
        <v>95.4</v>
      </c>
      <c r="G3115">
        <v>108.5</v>
      </c>
      <c r="H3115">
        <v>0.1847</v>
      </c>
      <c r="I3115">
        <v>48.8</v>
      </c>
      <c r="J3115">
        <v>52.6</v>
      </c>
      <c r="K3115">
        <v>16.7</v>
      </c>
      <c r="L3115">
        <v>17.7</v>
      </c>
      <c r="M3115">
        <v>21.4</v>
      </c>
      <c r="N3115">
        <v>27.6</v>
      </c>
      <c r="O3115">
        <v>28.3</v>
      </c>
      <c r="P3115">
        <v>33.700000000000003</v>
      </c>
      <c r="Q3115">
        <v>46.9</v>
      </c>
      <c r="R3115">
        <v>53.4</v>
      </c>
      <c r="S3115">
        <v>35.1</v>
      </c>
      <c r="T3115">
        <v>34.200000000000003</v>
      </c>
      <c r="U3115">
        <v>64.400000000000006</v>
      </c>
      <c r="V3115">
        <v>-14.1</v>
      </c>
      <c r="W3115" cm="1">
        <f t="array" ref="W3115">_xlfn.IFS(OR(X3115="N/A",X3115="NA"),0,OR(X3115="R64",X3115="R68"),1,X3115="R32",2,X3115="S16",3,X3115="E8",4,X3115="F4",5,X3115="2ND",6,X3115="Champions",7)</f>
        <v>0</v>
      </c>
      <c r="X3115" t="s">
        <v>425</v>
      </c>
      <c r="Y3115" t="s">
        <v>425</v>
      </c>
      <c r="Z3115">
        <v>2022</v>
      </c>
    </row>
    <row r="3116" spans="1:26" x14ac:dyDescent="0.3">
      <c r="A3116" t="s">
        <v>335</v>
      </c>
      <c r="B3116" t="s">
        <v>67</v>
      </c>
      <c r="C3116">
        <v>29</v>
      </c>
      <c r="D3116">
        <v>10</v>
      </c>
      <c r="E3116" s="1">
        <f t="shared" si="48"/>
        <v>0.34482758620689657</v>
      </c>
      <c r="F3116">
        <v>97.3</v>
      </c>
      <c r="G3116">
        <v>111</v>
      </c>
      <c r="H3116">
        <v>0.17960000000000001</v>
      </c>
      <c r="I3116">
        <v>50.6</v>
      </c>
      <c r="J3116">
        <v>53.7</v>
      </c>
      <c r="K3116">
        <v>16.399999999999999</v>
      </c>
      <c r="L3116">
        <v>17.2</v>
      </c>
      <c r="M3116">
        <v>22.4</v>
      </c>
      <c r="N3116">
        <v>30</v>
      </c>
      <c r="O3116">
        <v>20.9</v>
      </c>
      <c r="P3116">
        <v>25.8</v>
      </c>
      <c r="Q3116">
        <v>51.9</v>
      </c>
      <c r="R3116">
        <v>51.8</v>
      </c>
      <c r="S3116">
        <v>32.799999999999997</v>
      </c>
      <c r="T3116">
        <v>38</v>
      </c>
      <c r="U3116">
        <v>64.8</v>
      </c>
      <c r="V3116">
        <v>-15.4</v>
      </c>
      <c r="W3116" cm="1">
        <f t="array" ref="W3116">_xlfn.IFS(OR(X3116="N/A",X3116="NA"),0,OR(X3116="R64",X3116="R68"),1,X3116="R32",2,X3116="S16",3,X3116="E8",4,X3116="F4",5,X3116="2ND",6,X3116="Champions",7)</f>
        <v>0</v>
      </c>
      <c r="X3116" t="s">
        <v>425</v>
      </c>
      <c r="Y3116" t="s">
        <v>425</v>
      </c>
      <c r="Z3116">
        <v>2022</v>
      </c>
    </row>
    <row r="3117" spans="1:26" x14ac:dyDescent="0.3">
      <c r="A3117" t="s">
        <v>405</v>
      </c>
      <c r="B3117" t="s">
        <v>51</v>
      </c>
      <c r="C3117">
        <v>29</v>
      </c>
      <c r="D3117">
        <v>8</v>
      </c>
      <c r="E3117" s="1">
        <f t="shared" si="48"/>
        <v>0.27586206896551724</v>
      </c>
      <c r="F3117">
        <v>98.5</v>
      </c>
      <c r="G3117">
        <v>112.6</v>
      </c>
      <c r="H3117">
        <v>0.1767</v>
      </c>
      <c r="I3117">
        <v>49.5</v>
      </c>
      <c r="J3117">
        <v>51.9</v>
      </c>
      <c r="K3117">
        <v>20.7</v>
      </c>
      <c r="L3117">
        <v>17.899999999999999</v>
      </c>
      <c r="M3117">
        <v>24.7</v>
      </c>
      <c r="N3117">
        <v>33.5</v>
      </c>
      <c r="O3117">
        <v>41.4</v>
      </c>
      <c r="P3117">
        <v>35.700000000000003</v>
      </c>
      <c r="Q3117">
        <v>51.9</v>
      </c>
      <c r="R3117">
        <v>53.7</v>
      </c>
      <c r="S3117">
        <v>30.3</v>
      </c>
      <c r="T3117">
        <v>32.700000000000003</v>
      </c>
      <c r="U3117">
        <v>71.7</v>
      </c>
      <c r="V3117">
        <v>-16.3</v>
      </c>
      <c r="W3117" cm="1">
        <f t="array" ref="W3117">_xlfn.IFS(OR(X3117="N/A",X3117="NA"),0,OR(X3117="R64",X3117="R68"),1,X3117="R32",2,X3117="S16",3,X3117="E8",4,X3117="F4",5,X3117="2ND",6,X3117="Champions",7)</f>
        <v>0</v>
      </c>
      <c r="X3117" t="s">
        <v>425</v>
      </c>
      <c r="Y3117" t="s">
        <v>425</v>
      </c>
      <c r="Z3117">
        <v>2022</v>
      </c>
    </row>
    <row r="3118" spans="1:26" x14ac:dyDescent="0.3">
      <c r="A3118" t="s">
        <v>272</v>
      </c>
      <c r="B3118" t="s">
        <v>66</v>
      </c>
      <c r="C3118">
        <v>27</v>
      </c>
      <c r="D3118">
        <v>16</v>
      </c>
      <c r="E3118" s="1">
        <f t="shared" si="48"/>
        <v>0.59259259259259256</v>
      </c>
      <c r="F3118">
        <v>94.7</v>
      </c>
      <c r="G3118">
        <v>108.4</v>
      </c>
      <c r="H3118">
        <v>0.17430000000000001</v>
      </c>
      <c r="I3118">
        <v>47.7</v>
      </c>
      <c r="J3118">
        <v>50.5</v>
      </c>
      <c r="K3118">
        <v>23.8</v>
      </c>
      <c r="L3118">
        <v>22</v>
      </c>
      <c r="M3118">
        <v>32.6</v>
      </c>
      <c r="N3118">
        <v>30.5</v>
      </c>
      <c r="O3118">
        <v>37.799999999999997</v>
      </c>
      <c r="P3118">
        <v>43.4</v>
      </c>
      <c r="Q3118">
        <v>48.3</v>
      </c>
      <c r="R3118">
        <v>51.4</v>
      </c>
      <c r="S3118">
        <v>31.1</v>
      </c>
      <c r="T3118">
        <v>32.9</v>
      </c>
      <c r="U3118">
        <v>67.599999999999994</v>
      </c>
      <c r="V3118">
        <v>-10.4</v>
      </c>
      <c r="W3118" cm="1">
        <f t="array" ref="W3118">_xlfn.IFS(OR(X3118="N/A",X3118="NA"),0,OR(X3118="R64",X3118="R68"),1,X3118="R32",2,X3118="S16",3,X3118="E8",4,X3118="F4",5,X3118="2ND",6,X3118="Champions",7)</f>
        <v>0</v>
      </c>
      <c r="X3118" t="s">
        <v>425</v>
      </c>
      <c r="Y3118" t="s">
        <v>425</v>
      </c>
      <c r="Z3118">
        <v>2022</v>
      </c>
    </row>
    <row r="3119" spans="1:26" x14ac:dyDescent="0.3">
      <c r="A3119" t="s">
        <v>274</v>
      </c>
      <c r="B3119" t="s">
        <v>66</v>
      </c>
      <c r="C3119">
        <v>28</v>
      </c>
      <c r="D3119">
        <v>15</v>
      </c>
      <c r="E3119" s="1">
        <f t="shared" si="48"/>
        <v>0.5357142857142857</v>
      </c>
      <c r="F3119">
        <v>92.3</v>
      </c>
      <c r="G3119">
        <v>105.7</v>
      </c>
      <c r="H3119">
        <v>0.17419999999999999</v>
      </c>
      <c r="I3119">
        <v>43.3</v>
      </c>
      <c r="J3119">
        <v>49.9</v>
      </c>
      <c r="K3119">
        <v>20.2</v>
      </c>
      <c r="L3119">
        <v>20.6</v>
      </c>
      <c r="M3119">
        <v>34.299999999999997</v>
      </c>
      <c r="N3119">
        <v>29</v>
      </c>
      <c r="O3119">
        <v>31.9</v>
      </c>
      <c r="P3119">
        <v>37.4</v>
      </c>
      <c r="Q3119">
        <v>42.1</v>
      </c>
      <c r="R3119">
        <v>47.7</v>
      </c>
      <c r="S3119">
        <v>30.6</v>
      </c>
      <c r="T3119">
        <v>35.700000000000003</v>
      </c>
      <c r="U3119">
        <v>70.400000000000006</v>
      </c>
      <c r="V3119">
        <v>-12.5</v>
      </c>
      <c r="W3119" cm="1">
        <f t="array" ref="W3119">_xlfn.IFS(OR(X3119="N/A",X3119="NA"),0,OR(X3119="R64",X3119="R68"),1,X3119="R32",2,X3119="S16",3,X3119="E8",4,X3119="F4",5,X3119="2ND",6,X3119="Champions",7)</f>
        <v>0</v>
      </c>
      <c r="X3119" t="s">
        <v>425</v>
      </c>
      <c r="Y3119" t="s">
        <v>425</v>
      </c>
      <c r="Z3119">
        <v>2022</v>
      </c>
    </row>
    <row r="3120" spans="1:26" x14ac:dyDescent="0.3">
      <c r="A3120" t="s">
        <v>347</v>
      </c>
      <c r="B3120" t="s">
        <v>58</v>
      </c>
      <c r="C3120">
        <v>25</v>
      </c>
      <c r="D3120">
        <v>9</v>
      </c>
      <c r="E3120" s="1">
        <f t="shared" si="48"/>
        <v>0.36</v>
      </c>
      <c r="F3120">
        <v>96.7</v>
      </c>
      <c r="G3120">
        <v>110.7</v>
      </c>
      <c r="H3120">
        <v>0.17330000000000001</v>
      </c>
      <c r="I3120">
        <v>47.9</v>
      </c>
      <c r="J3120">
        <v>56.3</v>
      </c>
      <c r="K3120">
        <v>20.3</v>
      </c>
      <c r="L3120">
        <v>20</v>
      </c>
      <c r="M3120">
        <v>23.5</v>
      </c>
      <c r="N3120">
        <v>30.6</v>
      </c>
      <c r="O3120">
        <v>32.299999999999997</v>
      </c>
      <c r="P3120">
        <v>31</v>
      </c>
      <c r="Q3120">
        <v>46.6</v>
      </c>
      <c r="R3120">
        <v>55.5</v>
      </c>
      <c r="S3120">
        <v>33.299999999999997</v>
      </c>
      <c r="T3120">
        <v>38.4</v>
      </c>
      <c r="U3120">
        <v>66.8</v>
      </c>
      <c r="V3120">
        <v>-13.6</v>
      </c>
      <c r="W3120" cm="1">
        <f t="array" ref="W3120">_xlfn.IFS(OR(X3120="N/A",X3120="NA"),0,OR(X3120="R64",X3120="R68"),1,X3120="R32",2,X3120="S16",3,X3120="E8",4,X3120="F4",5,X3120="2ND",6,X3120="Champions",7)</f>
        <v>0</v>
      </c>
      <c r="X3120" t="s">
        <v>425</v>
      </c>
      <c r="Y3120" t="s">
        <v>425</v>
      </c>
      <c r="Z3120">
        <v>2022</v>
      </c>
    </row>
    <row r="3121" spans="1:26" x14ac:dyDescent="0.3">
      <c r="A3121" t="s">
        <v>300</v>
      </c>
      <c r="B3121" t="s">
        <v>77</v>
      </c>
      <c r="C3121">
        <v>29</v>
      </c>
      <c r="D3121">
        <v>10</v>
      </c>
      <c r="E3121" s="1">
        <f t="shared" si="48"/>
        <v>0.34482758620689657</v>
      </c>
      <c r="F3121">
        <v>94.2</v>
      </c>
      <c r="G3121">
        <v>108</v>
      </c>
      <c r="H3121">
        <v>0.17130000000000001</v>
      </c>
      <c r="I3121">
        <v>46</v>
      </c>
      <c r="J3121">
        <v>51.9</v>
      </c>
      <c r="K3121">
        <v>17.899999999999999</v>
      </c>
      <c r="L3121">
        <v>18.899999999999999</v>
      </c>
      <c r="M3121">
        <v>29.4</v>
      </c>
      <c r="N3121">
        <v>29.8</v>
      </c>
      <c r="O3121">
        <v>23.3</v>
      </c>
      <c r="P3121">
        <v>32.4</v>
      </c>
      <c r="Q3121">
        <v>45.4</v>
      </c>
      <c r="R3121">
        <v>52.7</v>
      </c>
      <c r="S3121">
        <v>31.3</v>
      </c>
      <c r="T3121">
        <v>33.299999999999997</v>
      </c>
      <c r="U3121">
        <v>66.7</v>
      </c>
      <c r="V3121">
        <v>-15.6</v>
      </c>
      <c r="W3121" cm="1">
        <f t="array" ref="W3121">_xlfn.IFS(OR(X3121="N/A",X3121="NA"),0,OR(X3121="R64",X3121="R68"),1,X3121="R32",2,X3121="S16",3,X3121="E8",4,X3121="F4",5,X3121="2ND",6,X3121="Champions",7)</f>
        <v>0</v>
      </c>
      <c r="X3121" t="s">
        <v>425</v>
      </c>
      <c r="Y3121" t="s">
        <v>425</v>
      </c>
      <c r="Z3121">
        <v>2022</v>
      </c>
    </row>
    <row r="3122" spans="1:26" x14ac:dyDescent="0.3">
      <c r="A3122" t="s">
        <v>254</v>
      </c>
      <c r="B3122" t="s">
        <v>57</v>
      </c>
      <c r="C3122">
        <v>30</v>
      </c>
      <c r="D3122">
        <v>7</v>
      </c>
      <c r="E3122" s="1">
        <f t="shared" si="48"/>
        <v>0.23333333333333334</v>
      </c>
      <c r="F3122">
        <v>95.1</v>
      </c>
      <c r="G3122">
        <v>109.1</v>
      </c>
      <c r="H3122">
        <v>0.17130000000000001</v>
      </c>
      <c r="I3122">
        <v>47.8</v>
      </c>
      <c r="J3122">
        <v>53</v>
      </c>
      <c r="K3122">
        <v>19.600000000000001</v>
      </c>
      <c r="L3122">
        <v>16.600000000000001</v>
      </c>
      <c r="M3122">
        <v>25.4</v>
      </c>
      <c r="N3122">
        <v>31.4</v>
      </c>
      <c r="O3122">
        <v>30.5</v>
      </c>
      <c r="P3122">
        <v>36</v>
      </c>
      <c r="Q3122">
        <v>45.5</v>
      </c>
      <c r="R3122">
        <v>53.6</v>
      </c>
      <c r="S3122">
        <v>34.1</v>
      </c>
      <c r="T3122">
        <v>34.799999999999997</v>
      </c>
      <c r="U3122">
        <v>67.599999999999994</v>
      </c>
      <c r="V3122">
        <v>-16.100000000000001</v>
      </c>
      <c r="W3122" cm="1">
        <f t="array" ref="W3122">_xlfn.IFS(OR(X3122="N/A",X3122="NA"),0,OR(X3122="R64",X3122="R68"),1,X3122="R32",2,X3122="S16",3,X3122="E8",4,X3122="F4",5,X3122="2ND",6,X3122="Champions",7)</f>
        <v>0</v>
      </c>
      <c r="X3122" t="s">
        <v>425</v>
      </c>
      <c r="Y3122" t="s">
        <v>425</v>
      </c>
      <c r="Z3122">
        <v>2022</v>
      </c>
    </row>
    <row r="3123" spans="1:26" x14ac:dyDescent="0.3">
      <c r="A3123" t="s">
        <v>264</v>
      </c>
      <c r="B3123" t="s">
        <v>66</v>
      </c>
      <c r="C3123">
        <v>32</v>
      </c>
      <c r="D3123">
        <v>9</v>
      </c>
      <c r="E3123" s="1">
        <f t="shared" si="48"/>
        <v>0.28125</v>
      </c>
      <c r="F3123">
        <v>89.8</v>
      </c>
      <c r="G3123">
        <v>103.2</v>
      </c>
      <c r="H3123">
        <v>0.1681</v>
      </c>
      <c r="I3123">
        <v>46</v>
      </c>
      <c r="J3123">
        <v>49.3</v>
      </c>
      <c r="K3123">
        <v>19.399999999999999</v>
      </c>
      <c r="L3123">
        <v>21.2</v>
      </c>
      <c r="M3123">
        <v>20.100000000000001</v>
      </c>
      <c r="N3123">
        <v>32</v>
      </c>
      <c r="O3123">
        <v>34.6</v>
      </c>
      <c r="P3123">
        <v>28.1</v>
      </c>
      <c r="Q3123">
        <v>47.6</v>
      </c>
      <c r="R3123">
        <v>46.7</v>
      </c>
      <c r="S3123">
        <v>29.7</v>
      </c>
      <c r="T3123">
        <v>35.200000000000003</v>
      </c>
      <c r="U3123">
        <v>72.900000000000006</v>
      </c>
      <c r="V3123">
        <v>-16.7</v>
      </c>
      <c r="W3123" cm="1">
        <f t="array" ref="W3123">_xlfn.IFS(OR(X3123="N/A",X3123="NA"),0,OR(X3123="R64",X3123="R68"),1,X3123="R32",2,X3123="S16",3,X3123="E8",4,X3123="F4",5,X3123="2ND",6,X3123="Champions",7)</f>
        <v>0</v>
      </c>
      <c r="X3123" t="s">
        <v>425</v>
      </c>
      <c r="Y3123" t="s">
        <v>425</v>
      </c>
      <c r="Z3123">
        <v>2022</v>
      </c>
    </row>
    <row r="3124" spans="1:26" x14ac:dyDescent="0.3">
      <c r="A3124" t="s">
        <v>187</v>
      </c>
      <c r="B3124" t="s">
        <v>74</v>
      </c>
      <c r="C3124">
        <v>26</v>
      </c>
      <c r="D3124">
        <v>9</v>
      </c>
      <c r="E3124" s="1">
        <f t="shared" si="48"/>
        <v>0.34615384615384615</v>
      </c>
      <c r="F3124">
        <v>91.3</v>
      </c>
      <c r="G3124">
        <v>105.2</v>
      </c>
      <c r="H3124">
        <v>0.16420000000000001</v>
      </c>
      <c r="I3124">
        <v>44.1</v>
      </c>
      <c r="J3124">
        <v>47.4</v>
      </c>
      <c r="K3124">
        <v>18</v>
      </c>
      <c r="L3124">
        <v>16.2</v>
      </c>
      <c r="M3124">
        <v>22.1</v>
      </c>
      <c r="N3124">
        <v>31</v>
      </c>
      <c r="O3124">
        <v>36.5</v>
      </c>
      <c r="P3124">
        <v>37.9</v>
      </c>
      <c r="Q3124">
        <v>44.1</v>
      </c>
      <c r="R3124">
        <v>48.8</v>
      </c>
      <c r="S3124">
        <v>29.3</v>
      </c>
      <c r="T3124">
        <v>29.8</v>
      </c>
      <c r="U3124">
        <v>68.900000000000006</v>
      </c>
      <c r="V3124">
        <v>-15.3</v>
      </c>
      <c r="W3124" cm="1">
        <f t="array" ref="W3124">_xlfn.IFS(OR(X3124="N/A",X3124="NA"),0,OR(X3124="R64",X3124="R68"),1,X3124="R32",2,X3124="S16",3,X3124="E8",4,X3124="F4",5,X3124="2ND",6,X3124="Champions",7)</f>
        <v>0</v>
      </c>
      <c r="X3124" t="s">
        <v>425</v>
      </c>
      <c r="Y3124" t="s">
        <v>425</v>
      </c>
      <c r="Z3124">
        <v>2022</v>
      </c>
    </row>
    <row r="3125" spans="1:26" x14ac:dyDescent="0.3">
      <c r="A3125" t="s">
        <v>268</v>
      </c>
      <c r="B3125" t="s">
        <v>66</v>
      </c>
      <c r="C3125">
        <v>24</v>
      </c>
      <c r="D3125">
        <v>11</v>
      </c>
      <c r="E3125" s="1">
        <f t="shared" si="48"/>
        <v>0.45833333333333331</v>
      </c>
      <c r="F3125">
        <v>88.6</v>
      </c>
      <c r="G3125">
        <v>102.1</v>
      </c>
      <c r="H3125">
        <v>0.1641</v>
      </c>
      <c r="I3125">
        <v>45.4</v>
      </c>
      <c r="J3125">
        <v>51</v>
      </c>
      <c r="K3125">
        <v>22</v>
      </c>
      <c r="L3125">
        <v>23.8</v>
      </c>
      <c r="M3125">
        <v>27.3</v>
      </c>
      <c r="N3125">
        <v>29.9</v>
      </c>
      <c r="O3125">
        <v>31</v>
      </c>
      <c r="P3125">
        <v>35.799999999999997</v>
      </c>
      <c r="Q3125">
        <v>44.3</v>
      </c>
      <c r="R3125">
        <v>51.3</v>
      </c>
      <c r="S3125">
        <v>31.2</v>
      </c>
      <c r="T3125">
        <v>33.700000000000003</v>
      </c>
      <c r="U3125">
        <v>67.599999999999994</v>
      </c>
      <c r="V3125">
        <v>-11.4</v>
      </c>
      <c r="W3125" cm="1">
        <f t="array" ref="W3125">_xlfn.IFS(OR(X3125="N/A",X3125="NA"),0,OR(X3125="R64",X3125="R68"),1,X3125="R32",2,X3125="S16",3,X3125="E8",4,X3125="F4",5,X3125="2ND",6,X3125="Champions",7)</f>
        <v>0</v>
      </c>
      <c r="X3125" t="s">
        <v>425</v>
      </c>
      <c r="Y3125" t="s">
        <v>425</v>
      </c>
      <c r="Z3125">
        <v>2022</v>
      </c>
    </row>
    <row r="3126" spans="1:26" x14ac:dyDescent="0.3">
      <c r="A3126" t="s">
        <v>329</v>
      </c>
      <c r="B3126" t="s">
        <v>67</v>
      </c>
      <c r="C3126">
        <v>32</v>
      </c>
      <c r="D3126">
        <v>9</v>
      </c>
      <c r="E3126" s="1">
        <f t="shared" si="48"/>
        <v>0.28125</v>
      </c>
      <c r="F3126">
        <v>100.7</v>
      </c>
      <c r="G3126">
        <v>116.1</v>
      </c>
      <c r="H3126">
        <v>0.16289999999999999</v>
      </c>
      <c r="I3126">
        <v>52.8</v>
      </c>
      <c r="J3126">
        <v>53.8</v>
      </c>
      <c r="K3126">
        <v>19.3</v>
      </c>
      <c r="L3126">
        <v>13.7</v>
      </c>
      <c r="M3126">
        <v>21.8</v>
      </c>
      <c r="N3126">
        <v>30</v>
      </c>
      <c r="O3126">
        <v>28.3</v>
      </c>
      <c r="P3126">
        <v>22.9</v>
      </c>
      <c r="Q3126">
        <v>50.6</v>
      </c>
      <c r="R3126">
        <v>52.3</v>
      </c>
      <c r="S3126">
        <v>37.6</v>
      </c>
      <c r="T3126">
        <v>37.4</v>
      </c>
      <c r="U3126">
        <v>67.8</v>
      </c>
      <c r="V3126">
        <v>-18.399999999999999</v>
      </c>
      <c r="W3126" cm="1">
        <f t="array" ref="W3126">_xlfn.IFS(OR(X3126="N/A",X3126="NA"),0,OR(X3126="R64",X3126="R68"),1,X3126="R32",2,X3126="S16",3,X3126="E8",4,X3126="F4",5,X3126="2ND",6,X3126="Champions",7)</f>
        <v>0</v>
      </c>
      <c r="X3126" t="s">
        <v>425</v>
      </c>
      <c r="Y3126" t="s">
        <v>425</v>
      </c>
      <c r="Z3126">
        <v>2022</v>
      </c>
    </row>
    <row r="3127" spans="1:26" x14ac:dyDescent="0.3">
      <c r="A3127" t="s">
        <v>277</v>
      </c>
      <c r="B3127" t="s">
        <v>47</v>
      </c>
      <c r="C3127">
        <v>29</v>
      </c>
      <c r="D3127">
        <v>6</v>
      </c>
      <c r="E3127" s="1">
        <f t="shared" si="48"/>
        <v>0.20689655172413793</v>
      </c>
      <c r="F3127">
        <v>92</v>
      </c>
      <c r="G3127">
        <v>106.3</v>
      </c>
      <c r="H3127">
        <v>0.16</v>
      </c>
      <c r="I3127">
        <v>46.9</v>
      </c>
      <c r="J3127">
        <v>56.1</v>
      </c>
      <c r="K3127">
        <v>17.2</v>
      </c>
      <c r="L3127">
        <v>17.899999999999999</v>
      </c>
      <c r="M3127">
        <v>14.4</v>
      </c>
      <c r="N3127">
        <v>22.3</v>
      </c>
      <c r="O3127">
        <v>24.6</v>
      </c>
      <c r="P3127">
        <v>31</v>
      </c>
      <c r="Q3127">
        <v>45.2</v>
      </c>
      <c r="R3127">
        <v>55.3</v>
      </c>
      <c r="S3127">
        <v>32.6</v>
      </c>
      <c r="T3127">
        <v>38.4</v>
      </c>
      <c r="U3127">
        <v>63.9</v>
      </c>
      <c r="V3127">
        <v>-16.399999999999999</v>
      </c>
      <c r="W3127" cm="1">
        <f t="array" ref="W3127">_xlfn.IFS(OR(X3127="N/A",X3127="NA"),0,OR(X3127="R64",X3127="R68"),1,X3127="R32",2,X3127="S16",3,X3127="E8",4,X3127="F4",5,X3127="2ND",6,X3127="Champions",7)</f>
        <v>0</v>
      </c>
      <c r="X3127" t="s">
        <v>425</v>
      </c>
      <c r="Y3127" t="s">
        <v>425</v>
      </c>
      <c r="Z3127">
        <v>2022</v>
      </c>
    </row>
    <row r="3128" spans="1:26" x14ac:dyDescent="0.3">
      <c r="A3128" t="s">
        <v>394</v>
      </c>
      <c r="B3128" t="s">
        <v>76</v>
      </c>
      <c r="C3128">
        <v>30</v>
      </c>
      <c r="D3128">
        <v>12</v>
      </c>
      <c r="E3128" s="1">
        <f t="shared" si="48"/>
        <v>0.4</v>
      </c>
      <c r="F3128">
        <v>92.1</v>
      </c>
      <c r="G3128">
        <v>106.4</v>
      </c>
      <c r="H3128">
        <v>0.15970000000000001</v>
      </c>
      <c r="I3128">
        <v>44.6</v>
      </c>
      <c r="J3128">
        <v>48.9</v>
      </c>
      <c r="K3128">
        <v>20</v>
      </c>
      <c r="L3128">
        <v>19.2</v>
      </c>
      <c r="M3128">
        <v>27.4</v>
      </c>
      <c r="N3128">
        <v>31.4</v>
      </c>
      <c r="O3128">
        <v>33.4</v>
      </c>
      <c r="P3128">
        <v>40.799999999999997</v>
      </c>
      <c r="Q3128">
        <v>43.8</v>
      </c>
      <c r="R3128">
        <v>46.3</v>
      </c>
      <c r="S3128">
        <v>31.1</v>
      </c>
      <c r="T3128">
        <v>35.700000000000003</v>
      </c>
      <c r="U3128">
        <v>69.2</v>
      </c>
      <c r="V3128">
        <v>-13.6</v>
      </c>
      <c r="W3128" cm="1">
        <f t="array" ref="W3128">_xlfn.IFS(OR(X3128="N/A",X3128="NA"),0,OR(X3128="R64",X3128="R68"),1,X3128="R32",2,X3128="S16",3,X3128="E8",4,X3128="F4",5,X3128="2ND",6,X3128="Champions",7)</f>
        <v>0</v>
      </c>
      <c r="X3128" t="s">
        <v>425</v>
      </c>
      <c r="Y3128" t="s">
        <v>425</v>
      </c>
      <c r="Z3128">
        <v>2022</v>
      </c>
    </row>
    <row r="3129" spans="1:26" x14ac:dyDescent="0.3">
      <c r="A3129" t="s">
        <v>299</v>
      </c>
      <c r="B3129" t="s">
        <v>77</v>
      </c>
      <c r="C3129">
        <v>29</v>
      </c>
      <c r="D3129">
        <v>10</v>
      </c>
      <c r="E3129" s="1">
        <f t="shared" si="48"/>
        <v>0.34482758620689657</v>
      </c>
      <c r="F3129">
        <v>100.3</v>
      </c>
      <c r="G3129">
        <v>116.1</v>
      </c>
      <c r="H3129">
        <v>0.15770000000000001</v>
      </c>
      <c r="I3129">
        <v>50.8</v>
      </c>
      <c r="J3129">
        <v>53.2</v>
      </c>
      <c r="K3129">
        <v>19.600000000000001</v>
      </c>
      <c r="L3129">
        <v>15.7</v>
      </c>
      <c r="M3129">
        <v>30.8</v>
      </c>
      <c r="N3129">
        <v>31.3</v>
      </c>
      <c r="O3129">
        <v>24.9</v>
      </c>
      <c r="P3129">
        <v>25.5</v>
      </c>
      <c r="Q3129">
        <v>50.5</v>
      </c>
      <c r="R3129">
        <v>53.6</v>
      </c>
      <c r="S3129">
        <v>34.200000000000003</v>
      </c>
      <c r="T3129">
        <v>35</v>
      </c>
      <c r="U3129">
        <v>67.400000000000006</v>
      </c>
      <c r="V3129">
        <v>-16.7</v>
      </c>
      <c r="W3129" cm="1">
        <f t="array" ref="W3129">_xlfn.IFS(OR(X3129="N/A",X3129="NA"),0,OR(X3129="R64",X3129="R68"),1,X3129="R32",2,X3129="S16",3,X3129="E8",4,X3129="F4",5,X3129="2ND",6,X3129="Champions",7)</f>
        <v>0</v>
      </c>
      <c r="X3129" t="s">
        <v>425</v>
      </c>
      <c r="Y3129" t="s">
        <v>425</v>
      </c>
      <c r="Z3129">
        <v>2022</v>
      </c>
    </row>
    <row r="3130" spans="1:26" x14ac:dyDescent="0.3">
      <c r="A3130" t="s">
        <v>301</v>
      </c>
      <c r="B3130" t="s">
        <v>77</v>
      </c>
      <c r="C3130">
        <v>29</v>
      </c>
      <c r="D3130">
        <v>9</v>
      </c>
      <c r="E3130" s="1">
        <f t="shared" si="48"/>
        <v>0.31034482758620691</v>
      </c>
      <c r="F3130">
        <v>94.5</v>
      </c>
      <c r="G3130">
        <v>109.5</v>
      </c>
      <c r="H3130">
        <v>0.15579999999999999</v>
      </c>
      <c r="I3130">
        <v>46.9</v>
      </c>
      <c r="J3130">
        <v>52.4</v>
      </c>
      <c r="K3130">
        <v>18.100000000000001</v>
      </c>
      <c r="L3130">
        <v>18.3</v>
      </c>
      <c r="M3130">
        <v>30.5</v>
      </c>
      <c r="N3130">
        <v>31.9</v>
      </c>
      <c r="O3130">
        <v>29.8</v>
      </c>
      <c r="P3130">
        <v>25.6</v>
      </c>
      <c r="Q3130">
        <v>46.7</v>
      </c>
      <c r="R3130">
        <v>51.4</v>
      </c>
      <c r="S3130">
        <v>31.5</v>
      </c>
      <c r="T3130">
        <v>35.9</v>
      </c>
      <c r="U3130">
        <v>67.099999999999994</v>
      </c>
      <c r="V3130">
        <v>-16.600000000000001</v>
      </c>
      <c r="W3130" cm="1">
        <f t="array" ref="W3130">_xlfn.IFS(OR(X3130="N/A",X3130="NA"),0,OR(X3130="R64",X3130="R68"),1,X3130="R32",2,X3130="S16",3,X3130="E8",4,X3130="F4",5,X3130="2ND",6,X3130="Champions",7)</f>
        <v>0</v>
      </c>
      <c r="X3130" t="s">
        <v>425</v>
      </c>
      <c r="Y3130" t="s">
        <v>425</v>
      </c>
      <c r="Z3130">
        <v>2022</v>
      </c>
    </row>
    <row r="3131" spans="1:26" x14ac:dyDescent="0.3">
      <c r="A3131" t="s">
        <v>391</v>
      </c>
      <c r="B3131" t="s">
        <v>76</v>
      </c>
      <c r="C3131">
        <v>30</v>
      </c>
      <c r="D3131">
        <v>10</v>
      </c>
      <c r="E3131" s="1">
        <f t="shared" si="48"/>
        <v>0.33333333333333331</v>
      </c>
      <c r="F3131">
        <v>95.8</v>
      </c>
      <c r="G3131">
        <v>111.1</v>
      </c>
      <c r="H3131">
        <v>0.1532</v>
      </c>
      <c r="I3131">
        <v>47.7</v>
      </c>
      <c r="J3131">
        <v>50.4</v>
      </c>
      <c r="K3131">
        <v>21.5</v>
      </c>
      <c r="L3131">
        <v>19.399999999999999</v>
      </c>
      <c r="M3131">
        <v>29.5</v>
      </c>
      <c r="N3131">
        <v>33.5</v>
      </c>
      <c r="O3131">
        <v>36.9</v>
      </c>
      <c r="P3131">
        <v>33.799999999999997</v>
      </c>
      <c r="Q3131">
        <v>46.8</v>
      </c>
      <c r="R3131">
        <v>50.8</v>
      </c>
      <c r="S3131">
        <v>33</v>
      </c>
      <c r="T3131">
        <v>33.200000000000003</v>
      </c>
      <c r="U3131">
        <v>69.8</v>
      </c>
      <c r="V3131">
        <v>-14.3</v>
      </c>
      <c r="W3131" cm="1">
        <f t="array" ref="W3131">_xlfn.IFS(OR(X3131="N/A",X3131="NA"),0,OR(X3131="R64",X3131="R68"),1,X3131="R32",2,X3131="S16",3,X3131="E8",4,X3131="F4",5,X3131="2ND",6,X3131="Champions",7)</f>
        <v>0</v>
      </c>
      <c r="X3131" t="s">
        <v>425</v>
      </c>
      <c r="Y3131" t="s">
        <v>425</v>
      </c>
      <c r="Z3131">
        <v>2022</v>
      </c>
    </row>
    <row r="3132" spans="1:26" x14ac:dyDescent="0.3">
      <c r="A3132" t="s">
        <v>216</v>
      </c>
      <c r="B3132" t="s">
        <v>40</v>
      </c>
      <c r="C3132">
        <v>31</v>
      </c>
      <c r="D3132">
        <v>7</v>
      </c>
      <c r="E3132" s="1">
        <f t="shared" si="48"/>
        <v>0.22580645161290322</v>
      </c>
      <c r="F3132">
        <v>94.9</v>
      </c>
      <c r="G3132">
        <v>110.5</v>
      </c>
      <c r="H3132">
        <v>0.14729999999999999</v>
      </c>
      <c r="I3132">
        <v>46.9</v>
      </c>
      <c r="J3132">
        <v>54.1</v>
      </c>
      <c r="K3132">
        <v>19.7</v>
      </c>
      <c r="L3132">
        <v>15.9</v>
      </c>
      <c r="M3132">
        <v>23.7</v>
      </c>
      <c r="N3132">
        <v>28.4</v>
      </c>
      <c r="O3132">
        <v>26.7</v>
      </c>
      <c r="P3132">
        <v>28.1</v>
      </c>
      <c r="Q3132">
        <v>47</v>
      </c>
      <c r="R3132">
        <v>52.6</v>
      </c>
      <c r="S3132">
        <v>31</v>
      </c>
      <c r="T3132">
        <v>37.4</v>
      </c>
      <c r="U3132">
        <v>67.099999999999994</v>
      </c>
      <c r="V3132">
        <v>-18.899999999999999</v>
      </c>
      <c r="W3132" cm="1">
        <f t="array" ref="W3132">_xlfn.IFS(OR(X3132="N/A",X3132="NA"),0,OR(X3132="R64",X3132="R68"),1,X3132="R32",2,X3132="S16",3,X3132="E8",4,X3132="F4",5,X3132="2ND",6,X3132="Champions",7)</f>
        <v>0</v>
      </c>
      <c r="X3132" t="s">
        <v>425</v>
      </c>
      <c r="Y3132" t="s">
        <v>425</v>
      </c>
      <c r="Z3132">
        <v>2022</v>
      </c>
    </row>
    <row r="3133" spans="1:26" x14ac:dyDescent="0.3">
      <c r="A3133" t="s">
        <v>390</v>
      </c>
      <c r="B3133" t="s">
        <v>76</v>
      </c>
      <c r="C3133">
        <v>30</v>
      </c>
      <c r="D3133">
        <v>12</v>
      </c>
      <c r="E3133" s="1">
        <f t="shared" si="48"/>
        <v>0.4</v>
      </c>
      <c r="F3133">
        <v>86.1</v>
      </c>
      <c r="G3133">
        <v>100.3</v>
      </c>
      <c r="H3133">
        <v>0.14710000000000001</v>
      </c>
      <c r="I3133">
        <v>41.3</v>
      </c>
      <c r="J3133">
        <v>46.3</v>
      </c>
      <c r="K3133">
        <v>19.600000000000001</v>
      </c>
      <c r="L3133">
        <v>19.600000000000001</v>
      </c>
      <c r="M3133">
        <v>28.7</v>
      </c>
      <c r="N3133">
        <v>31</v>
      </c>
      <c r="O3133">
        <v>33.5</v>
      </c>
      <c r="P3133">
        <v>28.6</v>
      </c>
      <c r="Q3133">
        <v>41.5</v>
      </c>
      <c r="R3133">
        <v>45.2</v>
      </c>
      <c r="S3133">
        <v>27.1</v>
      </c>
      <c r="T3133">
        <v>32</v>
      </c>
      <c r="U3133">
        <v>66.599999999999994</v>
      </c>
      <c r="V3133">
        <v>-14</v>
      </c>
      <c r="W3133" cm="1">
        <f t="array" ref="W3133">_xlfn.IFS(OR(X3133="N/A",X3133="NA"),0,OR(X3133="R64",X3133="R68"),1,X3133="R32",2,X3133="S16",3,X3133="E8",4,X3133="F4",5,X3133="2ND",6,X3133="Champions",7)</f>
        <v>0</v>
      </c>
      <c r="X3133" t="s">
        <v>425</v>
      </c>
      <c r="Y3133" t="s">
        <v>425</v>
      </c>
      <c r="Z3133">
        <v>2022</v>
      </c>
    </row>
    <row r="3134" spans="1:26" x14ac:dyDescent="0.3">
      <c r="A3134" t="s">
        <v>163</v>
      </c>
      <c r="B3134" t="s">
        <v>164</v>
      </c>
      <c r="C3134">
        <v>29</v>
      </c>
      <c r="D3134">
        <v>9</v>
      </c>
      <c r="E3134" s="1">
        <f t="shared" si="48"/>
        <v>0.31034482758620691</v>
      </c>
      <c r="F3134">
        <v>97.5</v>
      </c>
      <c r="G3134">
        <v>114.1</v>
      </c>
      <c r="H3134">
        <v>0.1406</v>
      </c>
      <c r="I3134">
        <v>50.2</v>
      </c>
      <c r="J3134">
        <v>54.6</v>
      </c>
      <c r="K3134">
        <v>18.5</v>
      </c>
      <c r="L3134">
        <v>14.5</v>
      </c>
      <c r="M3134">
        <v>23.3</v>
      </c>
      <c r="N3134">
        <v>26.3</v>
      </c>
      <c r="O3134">
        <v>33.799999999999997</v>
      </c>
      <c r="P3134">
        <v>33.9</v>
      </c>
      <c r="Q3134">
        <v>47.4</v>
      </c>
      <c r="R3134">
        <v>55.5</v>
      </c>
      <c r="S3134">
        <v>36.700000000000003</v>
      </c>
      <c r="T3134">
        <v>35.1</v>
      </c>
      <c r="U3134">
        <v>70.2</v>
      </c>
      <c r="V3134">
        <v>-17.7</v>
      </c>
      <c r="W3134" cm="1">
        <f t="array" ref="W3134">_xlfn.IFS(OR(X3134="N/A",X3134="NA"),0,OR(X3134="R64",X3134="R68"),1,X3134="R32",2,X3134="S16",3,X3134="E8",4,X3134="F4",5,X3134="2ND",6,X3134="Champions",7)</f>
        <v>0</v>
      </c>
      <c r="X3134" t="s">
        <v>425</v>
      </c>
      <c r="Y3134" t="s">
        <v>425</v>
      </c>
      <c r="Z3134">
        <v>2022</v>
      </c>
    </row>
    <row r="3135" spans="1:26" x14ac:dyDescent="0.3">
      <c r="A3135" t="s">
        <v>165</v>
      </c>
      <c r="B3135" t="s">
        <v>164</v>
      </c>
      <c r="C3135">
        <v>28</v>
      </c>
      <c r="D3135">
        <v>7</v>
      </c>
      <c r="E3135" s="1">
        <f t="shared" si="48"/>
        <v>0.25</v>
      </c>
      <c r="F3135">
        <v>94.1</v>
      </c>
      <c r="G3135">
        <v>110.3</v>
      </c>
      <c r="H3135">
        <v>0.13869999999999999</v>
      </c>
      <c r="I3135">
        <v>47.4</v>
      </c>
      <c r="J3135">
        <v>53.2</v>
      </c>
      <c r="K3135">
        <v>21.1</v>
      </c>
      <c r="L3135">
        <v>16.7</v>
      </c>
      <c r="M3135">
        <v>27.6</v>
      </c>
      <c r="N3135">
        <v>27.5</v>
      </c>
      <c r="O3135">
        <v>33</v>
      </c>
      <c r="P3135">
        <v>35.200000000000003</v>
      </c>
      <c r="Q3135">
        <v>49.6</v>
      </c>
      <c r="R3135">
        <v>54.5</v>
      </c>
      <c r="S3135">
        <v>29.6</v>
      </c>
      <c r="T3135">
        <v>34.1</v>
      </c>
      <c r="U3135">
        <v>63.9</v>
      </c>
      <c r="V3135">
        <v>-18.899999999999999</v>
      </c>
      <c r="W3135" cm="1">
        <f t="array" ref="W3135">_xlfn.IFS(OR(X3135="N/A",X3135="NA"),0,OR(X3135="R64",X3135="R68"),1,X3135="R32",2,X3135="S16",3,X3135="E8",4,X3135="F4",5,X3135="2ND",6,X3135="Champions",7)</f>
        <v>0</v>
      </c>
      <c r="X3135" t="s">
        <v>425</v>
      </c>
      <c r="Y3135" t="s">
        <v>425</v>
      </c>
      <c r="Z3135">
        <v>2022</v>
      </c>
    </row>
    <row r="3136" spans="1:26" x14ac:dyDescent="0.3">
      <c r="A3136" t="s">
        <v>223</v>
      </c>
      <c r="B3136" t="s">
        <v>43</v>
      </c>
      <c r="C3136">
        <v>29</v>
      </c>
      <c r="D3136">
        <v>5</v>
      </c>
      <c r="E3136" s="1">
        <f t="shared" si="48"/>
        <v>0.17241379310344829</v>
      </c>
      <c r="F3136">
        <v>92.2</v>
      </c>
      <c r="G3136">
        <v>108.2</v>
      </c>
      <c r="H3136">
        <v>0.1381</v>
      </c>
      <c r="I3136">
        <v>46.5</v>
      </c>
      <c r="J3136">
        <v>53</v>
      </c>
      <c r="K3136">
        <v>19.899999999999999</v>
      </c>
      <c r="L3136">
        <v>18.100000000000001</v>
      </c>
      <c r="M3136">
        <v>26.6</v>
      </c>
      <c r="N3136">
        <v>28.7</v>
      </c>
      <c r="O3136">
        <v>32</v>
      </c>
      <c r="P3136">
        <v>31.7</v>
      </c>
      <c r="Q3136">
        <v>48.9</v>
      </c>
      <c r="R3136">
        <v>53.6</v>
      </c>
      <c r="S3136">
        <v>28</v>
      </c>
      <c r="T3136">
        <v>34.700000000000003</v>
      </c>
      <c r="U3136">
        <v>64.5</v>
      </c>
      <c r="V3136">
        <v>-20.399999999999999</v>
      </c>
      <c r="W3136" cm="1">
        <f t="array" ref="W3136">_xlfn.IFS(OR(X3136="N/A",X3136="NA"),0,OR(X3136="R64",X3136="R68"),1,X3136="R32",2,X3136="S16",3,X3136="E8",4,X3136="F4",5,X3136="2ND",6,X3136="Champions",7)</f>
        <v>0</v>
      </c>
      <c r="X3136" t="s">
        <v>425</v>
      </c>
      <c r="Y3136" t="s">
        <v>425</v>
      </c>
      <c r="Z3136">
        <v>2022</v>
      </c>
    </row>
    <row r="3137" spans="1:26" x14ac:dyDescent="0.3">
      <c r="A3137" t="s">
        <v>169</v>
      </c>
      <c r="B3137" t="s">
        <v>164</v>
      </c>
      <c r="C3137">
        <v>30</v>
      </c>
      <c r="D3137">
        <v>9</v>
      </c>
      <c r="E3137" s="1">
        <f t="shared" si="48"/>
        <v>0.3</v>
      </c>
      <c r="F3137">
        <v>94.7</v>
      </c>
      <c r="G3137">
        <v>111.3</v>
      </c>
      <c r="H3137">
        <v>0.13589999999999999</v>
      </c>
      <c r="I3137">
        <v>47.9</v>
      </c>
      <c r="J3137">
        <v>53</v>
      </c>
      <c r="K3137">
        <v>20.399999999999999</v>
      </c>
      <c r="L3137">
        <v>13.8</v>
      </c>
      <c r="M3137">
        <v>28.9</v>
      </c>
      <c r="N3137">
        <v>23.5</v>
      </c>
      <c r="O3137">
        <v>27.7</v>
      </c>
      <c r="P3137">
        <v>34.1</v>
      </c>
      <c r="Q3137">
        <v>45.4</v>
      </c>
      <c r="R3137">
        <v>52.2</v>
      </c>
      <c r="S3137">
        <v>34.299999999999997</v>
      </c>
      <c r="T3137">
        <v>36.299999999999997</v>
      </c>
      <c r="U3137">
        <v>65.3</v>
      </c>
      <c r="V3137">
        <v>-18</v>
      </c>
      <c r="W3137" cm="1">
        <f t="array" ref="W3137">_xlfn.IFS(OR(X3137="N/A",X3137="NA"),0,OR(X3137="R64",X3137="R68"),1,X3137="R32",2,X3137="S16",3,X3137="E8",4,X3137="F4",5,X3137="2ND",6,X3137="Champions",7)</f>
        <v>0</v>
      </c>
      <c r="X3137" t="s">
        <v>425</v>
      </c>
      <c r="Y3137" t="s">
        <v>425</v>
      </c>
      <c r="Z3137">
        <v>2022</v>
      </c>
    </row>
    <row r="3138" spans="1:26" x14ac:dyDescent="0.3">
      <c r="A3138" t="s">
        <v>225</v>
      </c>
      <c r="B3138" t="s">
        <v>43</v>
      </c>
      <c r="C3138">
        <v>31</v>
      </c>
      <c r="D3138">
        <v>10</v>
      </c>
      <c r="E3138" s="1">
        <f t="shared" si="48"/>
        <v>0.32258064516129031</v>
      </c>
      <c r="F3138">
        <v>91.7</v>
      </c>
      <c r="G3138">
        <v>107.9</v>
      </c>
      <c r="H3138">
        <v>0.13270000000000001</v>
      </c>
      <c r="I3138">
        <v>47.7</v>
      </c>
      <c r="J3138">
        <v>47.5</v>
      </c>
      <c r="K3138">
        <v>19.600000000000001</v>
      </c>
      <c r="L3138">
        <v>14.9</v>
      </c>
      <c r="M3138">
        <v>25.9</v>
      </c>
      <c r="N3138">
        <v>30.1</v>
      </c>
      <c r="O3138">
        <v>28</v>
      </c>
      <c r="P3138">
        <v>29.1</v>
      </c>
      <c r="Q3138">
        <v>47.5</v>
      </c>
      <c r="R3138">
        <v>45.3</v>
      </c>
      <c r="S3138">
        <v>31.9</v>
      </c>
      <c r="T3138">
        <v>33.799999999999997</v>
      </c>
      <c r="U3138">
        <v>66.900000000000006</v>
      </c>
      <c r="V3138">
        <v>-17.8</v>
      </c>
      <c r="W3138" cm="1">
        <f t="array" ref="W3138">_xlfn.IFS(OR(X3138="N/A",X3138="NA"),0,OR(X3138="R64",X3138="R68"),1,X3138="R32",2,X3138="S16",3,X3138="E8",4,X3138="F4",5,X3138="2ND",6,X3138="Champions",7)</f>
        <v>0</v>
      </c>
      <c r="X3138" t="s">
        <v>425</v>
      </c>
      <c r="Y3138" t="s">
        <v>425</v>
      </c>
      <c r="Z3138">
        <v>2022</v>
      </c>
    </row>
    <row r="3139" spans="1:26" x14ac:dyDescent="0.3">
      <c r="A3139" t="s">
        <v>190</v>
      </c>
      <c r="B3139" t="s">
        <v>48</v>
      </c>
      <c r="C3139">
        <v>28</v>
      </c>
      <c r="D3139">
        <v>7</v>
      </c>
      <c r="E3139" s="1">
        <f t="shared" ref="E3139:E3202" si="49">D3139/C3139</f>
        <v>0.25</v>
      </c>
      <c r="F3139">
        <v>93.5</v>
      </c>
      <c r="G3139">
        <v>110.2</v>
      </c>
      <c r="H3139">
        <v>0.13200000000000001</v>
      </c>
      <c r="I3139">
        <v>44.4</v>
      </c>
      <c r="J3139">
        <v>51.9</v>
      </c>
      <c r="K3139">
        <v>18.5</v>
      </c>
      <c r="L3139">
        <v>19.899999999999999</v>
      </c>
      <c r="M3139">
        <v>26.8</v>
      </c>
      <c r="N3139">
        <v>33</v>
      </c>
      <c r="O3139">
        <v>29.6</v>
      </c>
      <c r="P3139">
        <v>36.5</v>
      </c>
      <c r="Q3139">
        <v>44</v>
      </c>
      <c r="R3139">
        <v>53.1</v>
      </c>
      <c r="S3139">
        <v>30.2</v>
      </c>
      <c r="T3139">
        <v>33.200000000000003</v>
      </c>
      <c r="U3139">
        <v>64.900000000000006</v>
      </c>
      <c r="V3139">
        <v>-17.399999999999999</v>
      </c>
      <c r="W3139" cm="1">
        <f t="array" ref="W3139">_xlfn.IFS(OR(X3139="N/A",X3139="NA"),0,OR(X3139="R64",X3139="R68"),1,X3139="R32",2,X3139="S16",3,X3139="E8",4,X3139="F4",5,X3139="2ND",6,X3139="Champions",7)</f>
        <v>0</v>
      </c>
      <c r="X3139" t="s">
        <v>425</v>
      </c>
      <c r="Y3139" t="s">
        <v>425</v>
      </c>
      <c r="Z3139">
        <v>2022</v>
      </c>
    </row>
    <row r="3140" spans="1:26" x14ac:dyDescent="0.3">
      <c r="A3140" t="s">
        <v>376</v>
      </c>
      <c r="B3140" t="s">
        <v>61</v>
      </c>
      <c r="C3140">
        <v>29</v>
      </c>
      <c r="D3140">
        <v>9</v>
      </c>
      <c r="E3140" s="1">
        <f t="shared" si="49"/>
        <v>0.31034482758620691</v>
      </c>
      <c r="F3140">
        <v>96.7</v>
      </c>
      <c r="G3140">
        <v>113.9</v>
      </c>
      <c r="H3140">
        <v>0.13170000000000001</v>
      </c>
      <c r="I3140">
        <v>49.5</v>
      </c>
      <c r="J3140">
        <v>53.2</v>
      </c>
      <c r="K3140">
        <v>20.100000000000001</v>
      </c>
      <c r="L3140">
        <v>17.100000000000001</v>
      </c>
      <c r="M3140">
        <v>27.8</v>
      </c>
      <c r="N3140">
        <v>32.200000000000003</v>
      </c>
      <c r="O3140">
        <v>25</v>
      </c>
      <c r="P3140">
        <v>34.1</v>
      </c>
      <c r="Q3140">
        <v>48.4</v>
      </c>
      <c r="R3140">
        <v>54.4</v>
      </c>
      <c r="S3140">
        <v>34.4</v>
      </c>
      <c r="T3140">
        <v>34</v>
      </c>
      <c r="U3140">
        <v>71.2</v>
      </c>
      <c r="V3140">
        <v>-16.399999999999999</v>
      </c>
      <c r="W3140" cm="1">
        <f t="array" ref="W3140">_xlfn.IFS(OR(X3140="N/A",X3140="NA"),0,OR(X3140="R64",X3140="R68"),1,X3140="R32",2,X3140="S16",3,X3140="E8",4,X3140="F4",5,X3140="2ND",6,X3140="Champions",7)</f>
        <v>0</v>
      </c>
      <c r="X3140" t="s">
        <v>425</v>
      </c>
      <c r="Y3140" t="s">
        <v>425</v>
      </c>
      <c r="Z3140">
        <v>2022</v>
      </c>
    </row>
    <row r="3141" spans="1:26" x14ac:dyDescent="0.3">
      <c r="A3141" t="s">
        <v>263</v>
      </c>
      <c r="B3141" t="s">
        <v>76</v>
      </c>
      <c r="C3141">
        <v>29</v>
      </c>
      <c r="D3141">
        <v>9</v>
      </c>
      <c r="E3141" s="1">
        <f t="shared" si="49"/>
        <v>0.31034482758620691</v>
      </c>
      <c r="F3141">
        <v>93.4</v>
      </c>
      <c r="G3141">
        <v>110.1</v>
      </c>
      <c r="H3141">
        <v>0.13059999999999999</v>
      </c>
      <c r="I3141">
        <v>45.4</v>
      </c>
      <c r="J3141">
        <v>51.5</v>
      </c>
      <c r="K3141">
        <v>19.7</v>
      </c>
      <c r="L3141">
        <v>20.399999999999999</v>
      </c>
      <c r="M3141">
        <v>27.9</v>
      </c>
      <c r="N3141">
        <v>30.9</v>
      </c>
      <c r="O3141">
        <v>28.8</v>
      </c>
      <c r="P3141">
        <v>35.5</v>
      </c>
      <c r="Q3141">
        <v>43.7</v>
      </c>
      <c r="R3141">
        <v>52.7</v>
      </c>
      <c r="S3141">
        <v>33.700000000000003</v>
      </c>
      <c r="T3141">
        <v>32.9</v>
      </c>
      <c r="U3141">
        <v>66</v>
      </c>
      <c r="V3141">
        <v>-16.7</v>
      </c>
      <c r="W3141" cm="1">
        <f t="array" ref="W3141">_xlfn.IFS(OR(X3141="N/A",X3141="NA"),0,OR(X3141="R64",X3141="R68"),1,X3141="R32",2,X3141="S16",3,X3141="E8",4,X3141="F4",5,X3141="2ND",6,X3141="Champions",7)</f>
        <v>0</v>
      </c>
      <c r="X3141" t="s">
        <v>425</v>
      </c>
      <c r="Y3141" t="s">
        <v>425</v>
      </c>
      <c r="Z3141">
        <v>2022</v>
      </c>
    </row>
    <row r="3142" spans="1:26" x14ac:dyDescent="0.3">
      <c r="A3142" t="s">
        <v>205</v>
      </c>
      <c r="B3142" t="s">
        <v>53</v>
      </c>
      <c r="C3142">
        <v>31</v>
      </c>
      <c r="D3142">
        <v>5</v>
      </c>
      <c r="E3142" s="1">
        <f t="shared" si="49"/>
        <v>0.16129032258064516</v>
      </c>
      <c r="F3142">
        <v>90.2</v>
      </c>
      <c r="G3142">
        <v>106.3</v>
      </c>
      <c r="H3142">
        <v>0.13039999999999999</v>
      </c>
      <c r="I3142">
        <v>46</v>
      </c>
      <c r="J3142">
        <v>53.6</v>
      </c>
      <c r="K3142">
        <v>23.1</v>
      </c>
      <c r="L3142">
        <v>17.899999999999999</v>
      </c>
      <c r="M3142">
        <v>27.1</v>
      </c>
      <c r="N3142">
        <v>27.7</v>
      </c>
      <c r="O3142">
        <v>30.3</v>
      </c>
      <c r="P3142">
        <v>27.2</v>
      </c>
      <c r="Q3142">
        <v>45.5</v>
      </c>
      <c r="R3142">
        <v>55.7</v>
      </c>
      <c r="S3142">
        <v>31.1</v>
      </c>
      <c r="T3142">
        <v>33.700000000000003</v>
      </c>
      <c r="U3142">
        <v>68.900000000000006</v>
      </c>
      <c r="V3142">
        <v>-20.399999999999999</v>
      </c>
      <c r="W3142" cm="1">
        <f t="array" ref="W3142">_xlfn.IFS(OR(X3142="N/A",X3142="NA"),0,OR(X3142="R64",X3142="R68"),1,X3142="R32",2,X3142="S16",3,X3142="E8",4,X3142="F4",5,X3142="2ND",6,X3142="Champions",7)</f>
        <v>0</v>
      </c>
      <c r="X3142" t="s">
        <v>425</v>
      </c>
      <c r="Y3142" t="s">
        <v>425</v>
      </c>
      <c r="Z3142">
        <v>2022</v>
      </c>
    </row>
    <row r="3143" spans="1:26" x14ac:dyDescent="0.3">
      <c r="A3143" t="s">
        <v>326</v>
      </c>
      <c r="B3143" t="s">
        <v>67</v>
      </c>
      <c r="C3143">
        <v>32</v>
      </c>
      <c r="D3143">
        <v>10</v>
      </c>
      <c r="E3143" s="1">
        <f t="shared" si="49"/>
        <v>0.3125</v>
      </c>
      <c r="F3143">
        <v>93.2</v>
      </c>
      <c r="G3143">
        <v>109.9</v>
      </c>
      <c r="H3143">
        <v>0.13020000000000001</v>
      </c>
      <c r="I3143">
        <v>49.6</v>
      </c>
      <c r="J3143">
        <v>53.3</v>
      </c>
      <c r="K3143">
        <v>20.2</v>
      </c>
      <c r="L3143">
        <v>17.399999999999999</v>
      </c>
      <c r="M3143">
        <v>25</v>
      </c>
      <c r="N3143">
        <v>29</v>
      </c>
      <c r="O3143">
        <v>25.6</v>
      </c>
      <c r="P3143">
        <v>28.9</v>
      </c>
      <c r="Q3143">
        <v>49.6</v>
      </c>
      <c r="R3143">
        <v>53.9</v>
      </c>
      <c r="S3143">
        <v>33.1</v>
      </c>
      <c r="T3143">
        <v>34.700000000000003</v>
      </c>
      <c r="U3143">
        <v>65</v>
      </c>
      <c r="V3143">
        <v>-18.100000000000001</v>
      </c>
      <c r="W3143" cm="1">
        <f t="array" ref="W3143">_xlfn.IFS(OR(X3143="N/A",X3143="NA"),0,OR(X3143="R64",X3143="R68"),1,X3143="R32",2,X3143="S16",3,X3143="E8",4,X3143="F4",5,X3143="2ND",6,X3143="Champions",7)</f>
        <v>0</v>
      </c>
      <c r="X3143" t="s">
        <v>425</v>
      </c>
      <c r="Y3143" t="s">
        <v>425</v>
      </c>
      <c r="Z3143">
        <v>2022</v>
      </c>
    </row>
    <row r="3144" spans="1:26" x14ac:dyDescent="0.3">
      <c r="A3144" t="s">
        <v>401</v>
      </c>
      <c r="B3144" t="s">
        <v>51</v>
      </c>
      <c r="C3144">
        <v>32</v>
      </c>
      <c r="D3144">
        <v>7</v>
      </c>
      <c r="E3144" s="1">
        <f t="shared" si="49"/>
        <v>0.21875</v>
      </c>
      <c r="F3144">
        <v>95.6</v>
      </c>
      <c r="G3144">
        <v>113.1</v>
      </c>
      <c r="H3144">
        <v>0.1273</v>
      </c>
      <c r="I3144">
        <v>45.9</v>
      </c>
      <c r="J3144">
        <v>53.6</v>
      </c>
      <c r="K3144">
        <v>22</v>
      </c>
      <c r="L3144">
        <v>18.600000000000001</v>
      </c>
      <c r="M3144">
        <v>31.6</v>
      </c>
      <c r="N3144">
        <v>32.200000000000003</v>
      </c>
      <c r="O3144">
        <v>29.3</v>
      </c>
      <c r="P3144">
        <v>38.5</v>
      </c>
      <c r="Q3144">
        <v>45.2</v>
      </c>
      <c r="R3144">
        <v>50</v>
      </c>
      <c r="S3144">
        <v>31.1</v>
      </c>
      <c r="T3144">
        <v>40.1</v>
      </c>
      <c r="U3144">
        <v>66.2</v>
      </c>
      <c r="V3144">
        <v>-18.100000000000001</v>
      </c>
      <c r="W3144" cm="1">
        <f t="array" ref="W3144">_xlfn.IFS(OR(X3144="N/A",X3144="NA"),0,OR(X3144="R64",X3144="R68"),1,X3144="R32",2,X3144="S16",3,X3144="E8",4,X3144="F4",5,X3144="2ND",6,X3144="Champions",7)</f>
        <v>0</v>
      </c>
      <c r="X3144" t="s">
        <v>425</v>
      </c>
      <c r="Y3144" t="s">
        <v>425</v>
      </c>
      <c r="Z3144">
        <v>2022</v>
      </c>
    </row>
    <row r="3145" spans="1:26" x14ac:dyDescent="0.3">
      <c r="A3145" t="s">
        <v>433</v>
      </c>
      <c r="B3145" t="s">
        <v>61</v>
      </c>
      <c r="C3145">
        <v>25</v>
      </c>
      <c r="D3145">
        <v>11</v>
      </c>
      <c r="E3145" s="1">
        <f t="shared" si="49"/>
        <v>0.44</v>
      </c>
      <c r="F3145">
        <v>95</v>
      </c>
      <c r="G3145">
        <v>113</v>
      </c>
      <c r="H3145">
        <v>0.11990000000000001</v>
      </c>
      <c r="I3145">
        <v>48.8</v>
      </c>
      <c r="J3145">
        <v>55.3</v>
      </c>
      <c r="K3145">
        <v>20.6</v>
      </c>
      <c r="L3145">
        <v>19.100000000000001</v>
      </c>
      <c r="M3145">
        <v>29.3</v>
      </c>
      <c r="N3145">
        <v>27.2</v>
      </c>
      <c r="O3145">
        <v>37.799999999999997</v>
      </c>
      <c r="P3145">
        <v>37.799999999999997</v>
      </c>
      <c r="Q3145">
        <v>50.5</v>
      </c>
      <c r="R3145">
        <v>53.7</v>
      </c>
      <c r="S3145">
        <v>30.5</v>
      </c>
      <c r="T3145">
        <v>38.799999999999997</v>
      </c>
      <c r="U3145">
        <v>68.3</v>
      </c>
      <c r="V3145">
        <v>-14.3</v>
      </c>
      <c r="W3145" cm="1">
        <f t="array" ref="W3145">_xlfn.IFS(OR(X3145="N/A",X3145="NA"),0,OR(X3145="R64",X3145="R68"),1,X3145="R32",2,X3145="S16",3,X3145="E8",4,X3145="F4",5,X3145="2ND",6,X3145="Champions",7)</f>
        <v>0</v>
      </c>
      <c r="X3145" t="s">
        <v>425</v>
      </c>
      <c r="Y3145" t="s">
        <v>425</v>
      </c>
      <c r="Z3145">
        <v>2022</v>
      </c>
    </row>
    <row r="3146" spans="1:26" x14ac:dyDescent="0.3">
      <c r="A3146" t="s">
        <v>177</v>
      </c>
      <c r="B3146" t="s">
        <v>74</v>
      </c>
      <c r="C3146">
        <v>28</v>
      </c>
      <c r="D3146">
        <v>6</v>
      </c>
      <c r="E3146" s="1">
        <f t="shared" si="49"/>
        <v>0.21428571428571427</v>
      </c>
      <c r="F3146">
        <v>92.9</v>
      </c>
      <c r="G3146">
        <v>111.3</v>
      </c>
      <c r="H3146">
        <v>0.111</v>
      </c>
      <c r="I3146">
        <v>46.2</v>
      </c>
      <c r="J3146">
        <v>55.4</v>
      </c>
      <c r="K3146">
        <v>21.4</v>
      </c>
      <c r="L3146">
        <v>17.3</v>
      </c>
      <c r="M3146">
        <v>26.2</v>
      </c>
      <c r="N3146">
        <v>25.7</v>
      </c>
      <c r="O3146">
        <v>28.4</v>
      </c>
      <c r="P3146">
        <v>30</v>
      </c>
      <c r="Q3146">
        <v>47.1</v>
      </c>
      <c r="R3146">
        <v>56.1</v>
      </c>
      <c r="S3146">
        <v>30.1</v>
      </c>
      <c r="T3146">
        <v>36.1</v>
      </c>
      <c r="U3146">
        <v>69.2</v>
      </c>
      <c r="V3146">
        <v>-20</v>
      </c>
      <c r="W3146" cm="1">
        <f t="array" ref="W3146">_xlfn.IFS(OR(X3146="N/A",X3146="NA"),0,OR(X3146="R64",X3146="R68"),1,X3146="R32",2,X3146="S16",3,X3146="E8",4,X3146="F4",5,X3146="2ND",6,X3146="Champions",7)</f>
        <v>0</v>
      </c>
      <c r="X3146" t="s">
        <v>425</v>
      </c>
      <c r="Y3146" t="s">
        <v>425</v>
      </c>
      <c r="Z3146">
        <v>2022</v>
      </c>
    </row>
    <row r="3147" spans="1:26" x14ac:dyDescent="0.3">
      <c r="A3147" t="s">
        <v>138</v>
      </c>
      <c r="B3147" t="s">
        <v>112</v>
      </c>
      <c r="C3147">
        <v>28</v>
      </c>
      <c r="D3147">
        <v>11</v>
      </c>
      <c r="E3147" s="1">
        <f t="shared" si="49"/>
        <v>0.39285714285714285</v>
      </c>
      <c r="F3147">
        <v>89.4</v>
      </c>
      <c r="G3147">
        <v>107.4</v>
      </c>
      <c r="H3147">
        <v>0.1087</v>
      </c>
      <c r="I3147">
        <v>46.5</v>
      </c>
      <c r="J3147">
        <v>51</v>
      </c>
      <c r="K3147">
        <v>18.7</v>
      </c>
      <c r="L3147">
        <v>16.7</v>
      </c>
      <c r="M3147">
        <v>23.2</v>
      </c>
      <c r="N3147">
        <v>27.9</v>
      </c>
      <c r="O3147">
        <v>31</v>
      </c>
      <c r="P3147">
        <v>27</v>
      </c>
      <c r="Q3147">
        <v>45.1</v>
      </c>
      <c r="R3147">
        <v>51</v>
      </c>
      <c r="S3147">
        <v>32.6</v>
      </c>
      <c r="T3147">
        <v>34</v>
      </c>
      <c r="U3147">
        <v>66.2</v>
      </c>
      <c r="V3147">
        <v>-13.3</v>
      </c>
      <c r="W3147" cm="1">
        <f t="array" ref="W3147">_xlfn.IFS(OR(X3147="N/A",X3147="NA"),0,OR(X3147="R64",X3147="R68"),1,X3147="R32",2,X3147="S16",3,X3147="E8",4,X3147="F4",5,X3147="2ND",6,X3147="Champions",7)</f>
        <v>0</v>
      </c>
      <c r="X3147" t="s">
        <v>425</v>
      </c>
      <c r="Y3147" t="s">
        <v>425</v>
      </c>
      <c r="Z3147">
        <v>2022</v>
      </c>
    </row>
    <row r="3148" spans="1:26" x14ac:dyDescent="0.3">
      <c r="A3148" t="s">
        <v>168</v>
      </c>
      <c r="B3148" t="s">
        <v>72</v>
      </c>
      <c r="C3148">
        <v>29</v>
      </c>
      <c r="D3148">
        <v>6</v>
      </c>
      <c r="E3148" s="1">
        <f t="shared" si="49"/>
        <v>0.20689655172413793</v>
      </c>
      <c r="F3148">
        <v>96.1</v>
      </c>
      <c r="G3148">
        <v>115.4</v>
      </c>
      <c r="H3148">
        <v>0.1084</v>
      </c>
      <c r="I3148">
        <v>47.2</v>
      </c>
      <c r="J3148">
        <v>56.3</v>
      </c>
      <c r="K3148">
        <v>17.5</v>
      </c>
      <c r="L3148">
        <v>13.6</v>
      </c>
      <c r="M3148">
        <v>26.8</v>
      </c>
      <c r="N3148">
        <v>25.8</v>
      </c>
      <c r="O3148">
        <v>31.6</v>
      </c>
      <c r="P3148">
        <v>30.5</v>
      </c>
      <c r="Q3148">
        <v>44.7</v>
      </c>
      <c r="R3148">
        <v>55.8</v>
      </c>
      <c r="S3148">
        <v>33.5</v>
      </c>
      <c r="T3148">
        <v>38.1</v>
      </c>
      <c r="U3148">
        <v>67.400000000000006</v>
      </c>
      <c r="V3148">
        <v>-20.7</v>
      </c>
      <c r="W3148" cm="1">
        <f t="array" ref="W3148">_xlfn.IFS(OR(X3148="N/A",X3148="NA"),0,OR(X3148="R64",X3148="R68"),1,X3148="R32",2,X3148="S16",3,X3148="E8",4,X3148="F4",5,X3148="2ND",6,X3148="Champions",7)</f>
        <v>0</v>
      </c>
      <c r="X3148" t="s">
        <v>425</v>
      </c>
      <c r="Y3148" t="s">
        <v>425</v>
      </c>
      <c r="Z3148">
        <v>2022</v>
      </c>
    </row>
    <row r="3149" spans="1:26" x14ac:dyDescent="0.3">
      <c r="A3149" t="s">
        <v>296</v>
      </c>
      <c r="B3149" t="s">
        <v>77</v>
      </c>
      <c r="C3149">
        <v>26</v>
      </c>
      <c r="D3149">
        <v>4</v>
      </c>
      <c r="E3149" s="1">
        <f t="shared" si="49"/>
        <v>0.15384615384615385</v>
      </c>
      <c r="F3149">
        <v>94.7</v>
      </c>
      <c r="G3149">
        <v>114.1</v>
      </c>
      <c r="H3149">
        <v>0.10489999999999999</v>
      </c>
      <c r="I3149">
        <v>46.4</v>
      </c>
      <c r="J3149">
        <v>53.8</v>
      </c>
      <c r="K3149">
        <v>19.3</v>
      </c>
      <c r="L3149">
        <v>18.100000000000001</v>
      </c>
      <c r="M3149">
        <v>27.7</v>
      </c>
      <c r="N3149">
        <v>34.1</v>
      </c>
      <c r="O3149">
        <v>27.8</v>
      </c>
      <c r="P3149">
        <v>34.1</v>
      </c>
      <c r="Q3149">
        <v>45.2</v>
      </c>
      <c r="R3149">
        <v>54.5</v>
      </c>
      <c r="S3149">
        <v>32.4</v>
      </c>
      <c r="T3149">
        <v>35.1</v>
      </c>
      <c r="U3149">
        <v>69.599999999999994</v>
      </c>
      <c r="V3149">
        <v>-17.2</v>
      </c>
      <c r="W3149" cm="1">
        <f t="array" ref="W3149">_xlfn.IFS(OR(X3149="N/A",X3149="NA"),0,OR(X3149="R64",X3149="R68"),1,X3149="R32",2,X3149="S16",3,X3149="E8",4,X3149="F4",5,X3149="2ND",6,X3149="Champions",7)</f>
        <v>0</v>
      </c>
      <c r="X3149" t="s">
        <v>425</v>
      </c>
      <c r="Y3149" t="s">
        <v>425</v>
      </c>
      <c r="Z3149">
        <v>2022</v>
      </c>
    </row>
    <row r="3150" spans="1:26" x14ac:dyDescent="0.3">
      <c r="A3150" t="s">
        <v>383</v>
      </c>
      <c r="B3150" t="s">
        <v>72</v>
      </c>
      <c r="C3150">
        <v>29</v>
      </c>
      <c r="D3150">
        <v>5</v>
      </c>
      <c r="E3150" s="1">
        <f t="shared" si="49"/>
        <v>0.17241379310344829</v>
      </c>
      <c r="F3150">
        <v>96.5</v>
      </c>
      <c r="G3150">
        <v>116.5</v>
      </c>
      <c r="H3150">
        <v>0.1028</v>
      </c>
      <c r="I3150">
        <v>49.3</v>
      </c>
      <c r="J3150">
        <v>56.3</v>
      </c>
      <c r="K3150">
        <v>19.3</v>
      </c>
      <c r="L3150">
        <v>14.7</v>
      </c>
      <c r="M3150">
        <v>24.6</v>
      </c>
      <c r="N3150">
        <v>30</v>
      </c>
      <c r="O3150">
        <v>28.3</v>
      </c>
      <c r="P3150">
        <v>37.4</v>
      </c>
      <c r="Q3150">
        <v>46.9</v>
      </c>
      <c r="R3150">
        <v>54</v>
      </c>
      <c r="S3150">
        <v>35.799999999999997</v>
      </c>
      <c r="T3150">
        <v>39.9</v>
      </c>
      <c r="U3150">
        <v>69.8</v>
      </c>
      <c r="V3150">
        <v>-18.5</v>
      </c>
      <c r="W3150" cm="1">
        <f t="array" ref="W3150">_xlfn.IFS(OR(X3150="N/A",X3150="NA"),0,OR(X3150="R64",X3150="R68"),1,X3150="R32",2,X3150="S16",3,X3150="E8",4,X3150="F4",5,X3150="2ND",6,X3150="Champions",7)</f>
        <v>0</v>
      </c>
      <c r="X3150" t="s">
        <v>425</v>
      </c>
      <c r="Y3150" t="s">
        <v>425</v>
      </c>
      <c r="Z3150">
        <v>2022</v>
      </c>
    </row>
    <row r="3151" spans="1:26" x14ac:dyDescent="0.3">
      <c r="A3151" t="s">
        <v>372</v>
      </c>
      <c r="B3151" t="s">
        <v>51</v>
      </c>
      <c r="C3151">
        <v>27</v>
      </c>
      <c r="D3151">
        <v>2</v>
      </c>
      <c r="E3151" s="1">
        <f t="shared" si="49"/>
        <v>7.407407407407407E-2</v>
      </c>
      <c r="F3151">
        <v>90.9</v>
      </c>
      <c r="G3151">
        <v>110.6</v>
      </c>
      <c r="H3151">
        <v>9.5200000000000007E-2</v>
      </c>
      <c r="I3151">
        <v>44.5</v>
      </c>
      <c r="J3151">
        <v>52.9</v>
      </c>
      <c r="K3151">
        <v>21.5</v>
      </c>
      <c r="L3151">
        <v>17.8</v>
      </c>
      <c r="M3151">
        <v>30</v>
      </c>
      <c r="N3151">
        <v>31.7</v>
      </c>
      <c r="O3151">
        <v>26.2</v>
      </c>
      <c r="P3151">
        <v>38.5</v>
      </c>
      <c r="Q3151">
        <v>44.1</v>
      </c>
      <c r="R3151">
        <v>52.7</v>
      </c>
      <c r="S3151">
        <v>30.2</v>
      </c>
      <c r="T3151">
        <v>35.5</v>
      </c>
      <c r="U3151">
        <v>66</v>
      </c>
      <c r="V3151">
        <v>-21.1</v>
      </c>
      <c r="W3151" cm="1">
        <f t="array" ref="W3151">_xlfn.IFS(OR(X3151="N/A",X3151="NA"),0,OR(X3151="R64",X3151="R68"),1,X3151="R32",2,X3151="S16",3,X3151="E8",4,X3151="F4",5,X3151="2ND",6,X3151="Champions",7)</f>
        <v>0</v>
      </c>
      <c r="X3151" t="s">
        <v>425</v>
      </c>
      <c r="Y3151" t="s">
        <v>425</v>
      </c>
      <c r="Z3151">
        <v>2022</v>
      </c>
    </row>
    <row r="3152" spans="1:26" x14ac:dyDescent="0.3">
      <c r="A3152" t="s">
        <v>331</v>
      </c>
      <c r="B3152" t="s">
        <v>67</v>
      </c>
      <c r="C3152">
        <v>29</v>
      </c>
      <c r="D3152">
        <v>9</v>
      </c>
      <c r="E3152" s="1">
        <f t="shared" si="49"/>
        <v>0.31034482758620691</v>
      </c>
      <c r="F3152">
        <v>90.8</v>
      </c>
      <c r="G3152">
        <v>111.2</v>
      </c>
      <c r="H3152">
        <v>8.8700000000000001E-2</v>
      </c>
      <c r="I3152">
        <v>45.1</v>
      </c>
      <c r="J3152">
        <v>53.2</v>
      </c>
      <c r="K3152">
        <v>18.2</v>
      </c>
      <c r="L3152">
        <v>17.600000000000001</v>
      </c>
      <c r="M3152">
        <v>27.3</v>
      </c>
      <c r="N3152">
        <v>29.4</v>
      </c>
      <c r="O3152">
        <v>28.6</v>
      </c>
      <c r="P3152">
        <v>30.8</v>
      </c>
      <c r="Q3152">
        <v>43.2</v>
      </c>
      <c r="R3152">
        <v>52.7</v>
      </c>
      <c r="S3152">
        <v>33.1</v>
      </c>
      <c r="T3152">
        <v>36.1</v>
      </c>
      <c r="U3152">
        <v>67</v>
      </c>
      <c r="V3152">
        <v>-18.7</v>
      </c>
      <c r="W3152" cm="1">
        <f t="array" ref="W3152">_xlfn.IFS(OR(X3152="N/A",X3152="NA"),0,OR(X3152="R64",X3152="R68"),1,X3152="R32",2,X3152="S16",3,X3152="E8",4,X3152="F4",5,X3152="2ND",6,X3152="Champions",7)</f>
        <v>0</v>
      </c>
      <c r="X3152" t="s">
        <v>425</v>
      </c>
      <c r="Y3152" t="s">
        <v>425</v>
      </c>
      <c r="Z3152">
        <v>2022</v>
      </c>
    </row>
    <row r="3153" spans="1:26" x14ac:dyDescent="0.3">
      <c r="A3153" t="s">
        <v>393</v>
      </c>
      <c r="B3153" t="s">
        <v>76</v>
      </c>
      <c r="C3153">
        <v>29</v>
      </c>
      <c r="D3153">
        <v>7</v>
      </c>
      <c r="E3153" s="1">
        <f t="shared" si="49"/>
        <v>0.2413793103448276</v>
      </c>
      <c r="F3153">
        <v>97.6</v>
      </c>
      <c r="G3153">
        <v>119.8</v>
      </c>
      <c r="H3153">
        <v>8.6400000000000005E-2</v>
      </c>
      <c r="I3153">
        <v>46.6</v>
      </c>
      <c r="J3153">
        <v>55.5</v>
      </c>
      <c r="K3153">
        <v>19.5</v>
      </c>
      <c r="L3153">
        <v>18.7</v>
      </c>
      <c r="M3153">
        <v>24.8</v>
      </c>
      <c r="N3153">
        <v>36.299999999999997</v>
      </c>
      <c r="O3153">
        <v>33.6</v>
      </c>
      <c r="P3153">
        <v>34.6</v>
      </c>
      <c r="Q3153">
        <v>48</v>
      </c>
      <c r="R3153">
        <v>56.1</v>
      </c>
      <c r="S3153">
        <v>29.8</v>
      </c>
      <c r="T3153">
        <v>36</v>
      </c>
      <c r="U3153">
        <v>67.400000000000006</v>
      </c>
      <c r="V3153">
        <v>-17.399999999999999</v>
      </c>
      <c r="W3153" cm="1">
        <f t="array" ref="W3153">_xlfn.IFS(OR(X3153="N/A",X3153="NA"),0,OR(X3153="R64",X3153="R68"),1,X3153="R32",2,X3153="S16",3,X3153="E8",4,X3153="F4",5,X3153="2ND",6,X3153="Champions",7)</f>
        <v>0</v>
      </c>
      <c r="X3153" t="s">
        <v>425</v>
      </c>
      <c r="Y3153" t="s">
        <v>425</v>
      </c>
      <c r="Z3153">
        <v>2022</v>
      </c>
    </row>
    <row r="3154" spans="1:26" x14ac:dyDescent="0.3">
      <c r="A3154" t="s">
        <v>396</v>
      </c>
      <c r="B3154" t="s">
        <v>76</v>
      </c>
      <c r="C3154">
        <v>28</v>
      </c>
      <c r="D3154">
        <v>2</v>
      </c>
      <c r="E3154" s="1">
        <f t="shared" si="49"/>
        <v>7.1428571428571425E-2</v>
      </c>
      <c r="F3154">
        <v>93.2</v>
      </c>
      <c r="G3154">
        <v>115.3</v>
      </c>
      <c r="H3154">
        <v>8.0100000000000005E-2</v>
      </c>
      <c r="I3154">
        <v>44.5</v>
      </c>
      <c r="J3154">
        <v>56.7</v>
      </c>
      <c r="K3154">
        <v>18.100000000000001</v>
      </c>
      <c r="L3154">
        <v>20.7</v>
      </c>
      <c r="M3154">
        <v>23.4</v>
      </c>
      <c r="N3154">
        <v>33.9</v>
      </c>
      <c r="O3154">
        <v>31.4</v>
      </c>
      <c r="P3154">
        <v>36.5</v>
      </c>
      <c r="Q3154">
        <v>43.8</v>
      </c>
      <c r="R3154">
        <v>55.1</v>
      </c>
      <c r="S3154">
        <v>30.5</v>
      </c>
      <c r="T3154">
        <v>40</v>
      </c>
      <c r="U3154">
        <v>70.8</v>
      </c>
      <c r="V3154">
        <v>-21.3</v>
      </c>
      <c r="W3154" cm="1">
        <f t="array" ref="W3154">_xlfn.IFS(OR(X3154="N/A",X3154="NA"),0,OR(X3154="R64",X3154="R68"),1,X3154="R32",2,X3154="S16",3,X3154="E8",4,X3154="F4",5,X3154="2ND",6,X3154="Champions",7)</f>
        <v>0</v>
      </c>
      <c r="X3154" t="s">
        <v>425</v>
      </c>
      <c r="Y3154" t="s">
        <v>425</v>
      </c>
      <c r="Z3154">
        <v>2022</v>
      </c>
    </row>
    <row r="3155" spans="1:26" x14ac:dyDescent="0.3">
      <c r="A3155" t="s">
        <v>371</v>
      </c>
      <c r="B3155" t="s">
        <v>61</v>
      </c>
      <c r="C3155">
        <v>29</v>
      </c>
      <c r="D3155">
        <v>7</v>
      </c>
      <c r="E3155" s="1">
        <f t="shared" si="49"/>
        <v>0.2413793103448276</v>
      </c>
      <c r="F3155">
        <v>94.4</v>
      </c>
      <c r="G3155">
        <v>116.7</v>
      </c>
      <c r="H3155">
        <v>7.9699999999999993E-2</v>
      </c>
      <c r="I3155">
        <v>48.4</v>
      </c>
      <c r="J3155">
        <v>56.8</v>
      </c>
      <c r="K3155">
        <v>19.899999999999999</v>
      </c>
      <c r="L3155">
        <v>18</v>
      </c>
      <c r="M3155">
        <v>22.3</v>
      </c>
      <c r="N3155">
        <v>32.4</v>
      </c>
      <c r="O3155">
        <v>27.4</v>
      </c>
      <c r="P3155">
        <v>30</v>
      </c>
      <c r="Q3155">
        <v>46.5</v>
      </c>
      <c r="R3155">
        <v>57.4</v>
      </c>
      <c r="S3155">
        <v>33.799999999999997</v>
      </c>
      <c r="T3155">
        <v>37.1</v>
      </c>
      <c r="U3155">
        <v>65</v>
      </c>
      <c r="V3155">
        <v>-19.399999999999999</v>
      </c>
      <c r="W3155" cm="1">
        <f t="array" ref="W3155">_xlfn.IFS(OR(X3155="N/A",X3155="NA"),0,OR(X3155="R64",X3155="R68"),1,X3155="R32",2,X3155="S16",3,X3155="E8",4,X3155="F4",5,X3155="2ND",6,X3155="Champions",7)</f>
        <v>0</v>
      </c>
      <c r="X3155" t="s">
        <v>425</v>
      </c>
      <c r="Y3155" t="s">
        <v>425</v>
      </c>
      <c r="Z3155">
        <v>2022</v>
      </c>
    </row>
    <row r="3156" spans="1:26" x14ac:dyDescent="0.3">
      <c r="A3156" t="s">
        <v>114</v>
      </c>
      <c r="B3156" t="s">
        <v>112</v>
      </c>
      <c r="C3156">
        <v>26</v>
      </c>
      <c r="D3156">
        <v>6</v>
      </c>
      <c r="E3156" s="1">
        <f t="shared" si="49"/>
        <v>0.23076923076923078</v>
      </c>
      <c r="F3156">
        <v>92.3</v>
      </c>
      <c r="G3156">
        <v>114.2</v>
      </c>
      <c r="H3156">
        <v>7.9200000000000007E-2</v>
      </c>
      <c r="I3156">
        <v>46.9</v>
      </c>
      <c r="J3156">
        <v>54.9</v>
      </c>
      <c r="K3156">
        <v>19.3</v>
      </c>
      <c r="L3156">
        <v>18.3</v>
      </c>
      <c r="M3156">
        <v>24</v>
      </c>
      <c r="N3156">
        <v>30.4</v>
      </c>
      <c r="O3156">
        <v>20.399999999999999</v>
      </c>
      <c r="P3156">
        <v>32.799999999999997</v>
      </c>
      <c r="Q3156">
        <v>47</v>
      </c>
      <c r="R3156">
        <v>53.3</v>
      </c>
      <c r="S3156">
        <v>31</v>
      </c>
      <c r="T3156">
        <v>38.6</v>
      </c>
      <c r="U3156">
        <v>66.099999999999994</v>
      </c>
      <c r="V3156">
        <v>-18.3</v>
      </c>
      <c r="W3156" cm="1">
        <f t="array" ref="W3156">_xlfn.IFS(OR(X3156="N/A",X3156="NA"),0,OR(X3156="R64",X3156="R68"),1,X3156="R32",2,X3156="S16",3,X3156="E8",4,X3156="F4",5,X3156="2ND",6,X3156="Champions",7)</f>
        <v>0</v>
      </c>
      <c r="X3156" t="s">
        <v>425</v>
      </c>
      <c r="Y3156" t="s">
        <v>425</v>
      </c>
      <c r="Z3156">
        <v>2022</v>
      </c>
    </row>
    <row r="3157" spans="1:26" x14ac:dyDescent="0.3">
      <c r="A3157" t="s">
        <v>233</v>
      </c>
      <c r="B3157" t="s">
        <v>59</v>
      </c>
      <c r="C3157">
        <v>25</v>
      </c>
      <c r="D3157">
        <v>4</v>
      </c>
      <c r="E3157" s="1">
        <f t="shared" si="49"/>
        <v>0.16</v>
      </c>
      <c r="F3157">
        <v>91.5</v>
      </c>
      <c r="G3157">
        <v>114.2</v>
      </c>
      <c r="H3157">
        <v>7.2499999999999995E-2</v>
      </c>
      <c r="I3157">
        <v>48.5</v>
      </c>
      <c r="J3157">
        <v>54.8</v>
      </c>
      <c r="K3157">
        <v>21.5</v>
      </c>
      <c r="L3157">
        <v>16.399999999999999</v>
      </c>
      <c r="M3157">
        <v>27.5</v>
      </c>
      <c r="N3157">
        <v>28.8</v>
      </c>
      <c r="O3157">
        <v>26.1</v>
      </c>
      <c r="P3157">
        <v>25.1</v>
      </c>
      <c r="Q3157">
        <v>46.4</v>
      </c>
      <c r="R3157">
        <v>53.4</v>
      </c>
      <c r="S3157">
        <v>34.9</v>
      </c>
      <c r="T3157">
        <v>37.799999999999997</v>
      </c>
      <c r="U3157">
        <v>69.599999999999994</v>
      </c>
      <c r="V3157">
        <v>-18.100000000000001</v>
      </c>
      <c r="W3157" cm="1">
        <f t="array" ref="W3157">_xlfn.IFS(OR(X3157="N/A",X3157="NA"),0,OR(X3157="R64",X3157="R68"),1,X3157="R32",2,X3157="S16",3,X3157="E8",4,X3157="F4",5,X3157="2ND",6,X3157="Champions",7)</f>
        <v>0</v>
      </c>
      <c r="X3157" t="s">
        <v>425</v>
      </c>
      <c r="Y3157" t="s">
        <v>425</v>
      </c>
      <c r="Z3157">
        <v>2022</v>
      </c>
    </row>
    <row r="3158" spans="1:26" x14ac:dyDescent="0.3">
      <c r="A3158" t="s">
        <v>295</v>
      </c>
      <c r="B3158" t="s">
        <v>77</v>
      </c>
      <c r="C3158">
        <v>32</v>
      </c>
      <c r="D3158">
        <v>8</v>
      </c>
      <c r="E3158" s="1">
        <f t="shared" si="49"/>
        <v>0.25</v>
      </c>
      <c r="F3158">
        <v>90</v>
      </c>
      <c r="G3158">
        <v>112.5</v>
      </c>
      <c r="H3158">
        <v>7.1199999999999999E-2</v>
      </c>
      <c r="I3158">
        <v>46</v>
      </c>
      <c r="J3158">
        <v>52.9</v>
      </c>
      <c r="K3158">
        <v>20.6</v>
      </c>
      <c r="L3158">
        <v>18.8</v>
      </c>
      <c r="M3158">
        <v>26.3</v>
      </c>
      <c r="N3158">
        <v>31.8</v>
      </c>
      <c r="O3158">
        <v>29.1</v>
      </c>
      <c r="P3158">
        <v>28.8</v>
      </c>
      <c r="Q3158">
        <v>42.6</v>
      </c>
      <c r="R3158">
        <v>53.3</v>
      </c>
      <c r="S3158">
        <v>34.200000000000003</v>
      </c>
      <c r="T3158">
        <v>34.799999999999997</v>
      </c>
      <c r="U3158">
        <v>65.099999999999994</v>
      </c>
      <c r="V3158">
        <v>-19</v>
      </c>
      <c r="W3158" cm="1">
        <f t="array" ref="W3158">_xlfn.IFS(OR(X3158="N/A",X3158="NA"),0,OR(X3158="R64",X3158="R68"),1,X3158="R32",2,X3158="S16",3,X3158="E8",4,X3158="F4",5,X3158="2ND",6,X3158="Champions",7)</f>
        <v>0</v>
      </c>
      <c r="X3158" t="s">
        <v>425</v>
      </c>
      <c r="Y3158" t="s">
        <v>425</v>
      </c>
      <c r="Z3158">
        <v>2022</v>
      </c>
    </row>
    <row r="3159" spans="1:26" x14ac:dyDescent="0.3">
      <c r="A3159" t="s">
        <v>265</v>
      </c>
      <c r="B3159" t="s">
        <v>66</v>
      </c>
      <c r="C3159">
        <v>25</v>
      </c>
      <c r="D3159">
        <v>2</v>
      </c>
      <c r="E3159" s="1">
        <f t="shared" si="49"/>
        <v>0.08</v>
      </c>
      <c r="F3159">
        <v>86.5</v>
      </c>
      <c r="G3159">
        <v>110.1</v>
      </c>
      <c r="H3159">
        <v>5.8700000000000002E-2</v>
      </c>
      <c r="I3159">
        <v>45</v>
      </c>
      <c r="J3159">
        <v>51.1</v>
      </c>
      <c r="K3159">
        <v>25.6</v>
      </c>
      <c r="L3159">
        <v>19.3</v>
      </c>
      <c r="M3159">
        <v>27</v>
      </c>
      <c r="N3159">
        <v>34.700000000000003</v>
      </c>
      <c r="O3159">
        <v>32.4</v>
      </c>
      <c r="P3159">
        <v>34.200000000000003</v>
      </c>
      <c r="Q3159">
        <v>43.4</v>
      </c>
      <c r="R3159">
        <v>48.6</v>
      </c>
      <c r="S3159">
        <v>32.200000000000003</v>
      </c>
      <c r="T3159">
        <v>36.1</v>
      </c>
      <c r="U3159">
        <v>68.099999999999994</v>
      </c>
      <c r="V3159">
        <v>-22.8</v>
      </c>
      <c r="W3159" cm="1">
        <f t="array" ref="W3159">_xlfn.IFS(OR(X3159="N/A",X3159="NA"),0,OR(X3159="R64",X3159="R68"),1,X3159="R32",2,X3159="S16",3,X3159="E8",4,X3159="F4",5,X3159="2ND",6,X3159="Champions",7)</f>
        <v>0</v>
      </c>
      <c r="X3159" t="s">
        <v>425</v>
      </c>
      <c r="Y3159" t="s">
        <v>425</v>
      </c>
      <c r="Z3159">
        <v>2022</v>
      </c>
    </row>
    <row r="3160" spans="1:26" x14ac:dyDescent="0.3">
      <c r="A3160" t="s">
        <v>305</v>
      </c>
      <c r="B3160" t="s">
        <v>64</v>
      </c>
      <c r="C3160">
        <v>29</v>
      </c>
      <c r="D3160">
        <v>5</v>
      </c>
      <c r="E3160" s="1">
        <f t="shared" si="49"/>
        <v>0.17241379310344829</v>
      </c>
      <c r="F3160">
        <v>83</v>
      </c>
      <c r="G3160">
        <v>108.4</v>
      </c>
      <c r="H3160">
        <v>4.4200000000000003E-2</v>
      </c>
      <c r="I3160">
        <v>44.2</v>
      </c>
      <c r="J3160">
        <v>53.4</v>
      </c>
      <c r="K3160">
        <v>24.1</v>
      </c>
      <c r="L3160">
        <v>18.2</v>
      </c>
      <c r="M3160">
        <v>20.6</v>
      </c>
      <c r="N3160">
        <v>32.6</v>
      </c>
      <c r="O3160">
        <v>31.2</v>
      </c>
      <c r="P3160">
        <v>24.2</v>
      </c>
      <c r="Q3160">
        <v>42.3</v>
      </c>
      <c r="R3160">
        <v>55.8</v>
      </c>
      <c r="S3160">
        <v>31.8</v>
      </c>
      <c r="T3160">
        <v>33.5</v>
      </c>
      <c r="U3160">
        <v>64.900000000000006</v>
      </c>
      <c r="V3160">
        <v>-20.3</v>
      </c>
      <c r="W3160" cm="1">
        <f t="array" ref="W3160">_xlfn.IFS(OR(X3160="N/A",X3160="NA"),0,OR(X3160="R64",X3160="R68"),1,X3160="R32",2,X3160="S16",3,X3160="E8",4,X3160="F4",5,X3160="2ND",6,X3160="Champions",7)</f>
        <v>0</v>
      </c>
      <c r="X3160" t="s">
        <v>425</v>
      </c>
      <c r="Y3160" t="s">
        <v>425</v>
      </c>
      <c r="Z3160">
        <v>2022</v>
      </c>
    </row>
    <row r="3161" spans="1:26" x14ac:dyDescent="0.3">
      <c r="A3161" t="s">
        <v>230</v>
      </c>
      <c r="B3161" t="s">
        <v>43</v>
      </c>
      <c r="C3161">
        <v>27</v>
      </c>
      <c r="D3161">
        <v>3</v>
      </c>
      <c r="E3161" s="1">
        <f t="shared" si="49"/>
        <v>0.1111111111111111</v>
      </c>
      <c r="F3161">
        <v>80.400000000000006</v>
      </c>
      <c r="G3161">
        <v>109.2</v>
      </c>
      <c r="H3161">
        <v>2.8500000000000001E-2</v>
      </c>
      <c r="I3161">
        <v>42.4</v>
      </c>
      <c r="J3161">
        <v>52.8</v>
      </c>
      <c r="K3161">
        <v>26.1</v>
      </c>
      <c r="L3161">
        <v>20.5</v>
      </c>
      <c r="M3161">
        <v>30.1</v>
      </c>
      <c r="N3161">
        <v>33</v>
      </c>
      <c r="O3161">
        <v>24.9</v>
      </c>
      <c r="P3161">
        <v>37.5</v>
      </c>
      <c r="Q3161">
        <v>41.6</v>
      </c>
      <c r="R3161">
        <v>52.4</v>
      </c>
      <c r="S3161">
        <v>29.2</v>
      </c>
      <c r="T3161">
        <v>35.5</v>
      </c>
      <c r="U3161">
        <v>62.6</v>
      </c>
      <c r="V3161">
        <v>-22.4</v>
      </c>
      <c r="W3161" cm="1">
        <f t="array" ref="W3161">_xlfn.IFS(OR(X3161="N/A",X3161="NA"),0,OR(X3161="R64",X3161="R68"),1,X3161="R32",2,X3161="S16",3,X3161="E8",4,X3161="F4",5,X3161="2ND",6,X3161="Champions",7)</f>
        <v>0</v>
      </c>
      <c r="X3161" t="s">
        <v>425</v>
      </c>
      <c r="Y3161" t="s">
        <v>425</v>
      </c>
      <c r="Z3161">
        <v>2022</v>
      </c>
    </row>
    <row r="3162" spans="1:26" x14ac:dyDescent="0.3">
      <c r="A3162" t="s">
        <v>65</v>
      </c>
      <c r="B3162" t="s">
        <v>35</v>
      </c>
      <c r="C3162">
        <v>36</v>
      </c>
      <c r="D3162">
        <v>28</v>
      </c>
      <c r="E3162" s="1">
        <f t="shared" si="49"/>
        <v>0.77777777777777779</v>
      </c>
      <c r="F3162">
        <v>113.8</v>
      </c>
      <c r="G3162">
        <v>92.3</v>
      </c>
      <c r="H3162">
        <v>0.91769999999999996</v>
      </c>
      <c r="I3162">
        <v>52.6</v>
      </c>
      <c r="J3162">
        <v>47</v>
      </c>
      <c r="K3162">
        <v>17.5</v>
      </c>
      <c r="L3162">
        <v>20.2</v>
      </c>
      <c r="M3162">
        <v>28.7</v>
      </c>
      <c r="N3162">
        <v>28.7</v>
      </c>
      <c r="O3162">
        <v>29.8</v>
      </c>
      <c r="P3162">
        <v>31.1</v>
      </c>
      <c r="Q3162">
        <v>53</v>
      </c>
      <c r="R3162">
        <v>47.2</v>
      </c>
      <c r="S3162">
        <v>34.700000000000003</v>
      </c>
      <c r="T3162">
        <v>31</v>
      </c>
      <c r="U3162">
        <v>69</v>
      </c>
      <c r="V3162">
        <v>10.1</v>
      </c>
      <c r="W3162" cm="1">
        <f t="array" ref="W3162">_xlfn.IFS(OR(X3162="N/A",X3162="NA"),0,OR(X3162="R64",X3162="R68"),1,X3162="R32",2,X3162="S16",3,X3162="E8",4,X3162="F4",5,X3162="2ND",6,X3162="Champions",7)</f>
        <v>2</v>
      </c>
      <c r="X3162" t="s">
        <v>420</v>
      </c>
      <c r="Y3162">
        <v>1</v>
      </c>
      <c r="Z3162">
        <v>2023</v>
      </c>
    </row>
    <row r="3163" spans="1:26" x14ac:dyDescent="0.3">
      <c r="A3163" t="s">
        <v>63</v>
      </c>
      <c r="B3163" t="s">
        <v>31</v>
      </c>
      <c r="C3163">
        <v>35</v>
      </c>
      <c r="D3163">
        <v>29</v>
      </c>
      <c r="E3163" s="1">
        <f t="shared" si="49"/>
        <v>0.82857142857142863</v>
      </c>
      <c r="F3163">
        <v>117.9</v>
      </c>
      <c r="G3163">
        <v>93.7</v>
      </c>
      <c r="H3163">
        <v>0.93330000000000002</v>
      </c>
      <c r="I3163">
        <v>51.8</v>
      </c>
      <c r="J3163">
        <v>47.2</v>
      </c>
      <c r="K3163">
        <v>17.2</v>
      </c>
      <c r="L3163">
        <v>15.4</v>
      </c>
      <c r="M3163">
        <v>38.4</v>
      </c>
      <c r="N3163">
        <v>23.5</v>
      </c>
      <c r="O3163">
        <v>37.200000000000003</v>
      </c>
      <c r="P3163">
        <v>19.2</v>
      </c>
      <c r="Q3163">
        <v>54.1</v>
      </c>
      <c r="R3163">
        <v>47.2</v>
      </c>
      <c r="S3163">
        <v>32.200000000000003</v>
      </c>
      <c r="T3163">
        <v>31.3</v>
      </c>
      <c r="U3163">
        <v>63.9</v>
      </c>
      <c r="V3163">
        <v>9.4</v>
      </c>
      <c r="W3163" cm="1">
        <f t="array" ref="W3163">_xlfn.IFS(OR(X3163="N/A",X3163="NA"),0,OR(X3163="R64",X3163="R68"),1,X3163="R32",2,X3163="S16",3,X3163="E8",4,X3163="F4",5,X3163="2ND",6,X3163="Champions",7)</f>
        <v>1</v>
      </c>
      <c r="X3163" t="s">
        <v>422</v>
      </c>
      <c r="Y3163">
        <v>1</v>
      </c>
      <c r="Z3163">
        <v>2023</v>
      </c>
    </row>
    <row r="3164" spans="1:26" x14ac:dyDescent="0.3">
      <c r="A3164" t="s">
        <v>358</v>
      </c>
      <c r="B3164" t="s">
        <v>29</v>
      </c>
      <c r="C3164">
        <v>37</v>
      </c>
      <c r="D3164">
        <v>31</v>
      </c>
      <c r="E3164" s="1">
        <f t="shared" si="49"/>
        <v>0.83783783783783783</v>
      </c>
      <c r="F3164">
        <v>116.1</v>
      </c>
      <c r="G3164">
        <v>89</v>
      </c>
      <c r="H3164">
        <v>0.95479999999999998</v>
      </c>
      <c r="I3164">
        <v>52.1</v>
      </c>
      <c r="J3164">
        <v>41.3</v>
      </c>
      <c r="K3164">
        <v>18.7</v>
      </c>
      <c r="L3164">
        <v>15.8</v>
      </c>
      <c r="M3164">
        <v>34.200000000000003</v>
      </c>
      <c r="N3164">
        <v>27.9</v>
      </c>
      <c r="O3164">
        <v>36.6</v>
      </c>
      <c r="P3164">
        <v>32.6</v>
      </c>
      <c r="Q3164">
        <v>53.8</v>
      </c>
      <c r="R3164">
        <v>40.799999999999997</v>
      </c>
      <c r="S3164">
        <v>33.5</v>
      </c>
      <c r="T3164">
        <v>28.3</v>
      </c>
      <c r="U3164">
        <v>72.599999999999994</v>
      </c>
      <c r="V3164">
        <v>10.199999999999999</v>
      </c>
      <c r="W3164" cm="1">
        <f t="array" ref="W3164">_xlfn.IFS(OR(X3164="N/A",X3164="NA"),0,OR(X3164="R64",X3164="R68"),1,X3164="R32",2,X3164="S16",3,X3164="E8",4,X3164="F4",5,X3164="2ND",6,X3164="Champions",7)</f>
        <v>3</v>
      </c>
      <c r="X3164" t="s">
        <v>424</v>
      </c>
      <c r="Y3164">
        <v>1</v>
      </c>
      <c r="Z3164">
        <v>2023</v>
      </c>
    </row>
    <row r="3165" spans="1:26" x14ac:dyDescent="0.3">
      <c r="A3165" t="s">
        <v>122</v>
      </c>
      <c r="B3165" t="s">
        <v>50</v>
      </c>
      <c r="C3165">
        <v>37</v>
      </c>
      <c r="D3165">
        <v>33</v>
      </c>
      <c r="E3165" s="1">
        <f t="shared" si="49"/>
        <v>0.89189189189189189</v>
      </c>
      <c r="F3165">
        <v>117.3</v>
      </c>
      <c r="G3165">
        <v>90.3</v>
      </c>
      <c r="H3165">
        <v>0.95320000000000005</v>
      </c>
      <c r="I3165">
        <v>52.3</v>
      </c>
      <c r="J3165">
        <v>42.7</v>
      </c>
      <c r="K3165">
        <v>15.4</v>
      </c>
      <c r="L3165">
        <v>21.1</v>
      </c>
      <c r="M3165">
        <v>37.1</v>
      </c>
      <c r="N3165">
        <v>27.7</v>
      </c>
      <c r="O3165">
        <v>28.9</v>
      </c>
      <c r="P3165">
        <v>35.700000000000003</v>
      </c>
      <c r="Q3165">
        <v>53.1</v>
      </c>
      <c r="R3165">
        <v>43.4</v>
      </c>
      <c r="S3165">
        <v>34</v>
      </c>
      <c r="T3165">
        <v>27.9</v>
      </c>
      <c r="U3165">
        <v>63.4</v>
      </c>
      <c r="V3165">
        <v>8</v>
      </c>
      <c r="W3165" cm="1">
        <f t="array" ref="W3165">_xlfn.IFS(OR(X3165="N/A",X3165="NA"),0,OR(X3165="R64",X3165="R68"),1,X3165="R32",2,X3165="S16",3,X3165="E8",4,X3165="F4",5,X3165="2ND",6,X3165="Champions",7)</f>
        <v>3</v>
      </c>
      <c r="X3165" t="s">
        <v>424</v>
      </c>
      <c r="Y3165">
        <v>1</v>
      </c>
      <c r="Z3165">
        <v>2023</v>
      </c>
    </row>
    <row r="3166" spans="1:26" x14ac:dyDescent="0.3">
      <c r="A3166" t="s">
        <v>152</v>
      </c>
      <c r="B3166" t="s">
        <v>35</v>
      </c>
      <c r="C3166">
        <v>38</v>
      </c>
      <c r="D3166">
        <v>29</v>
      </c>
      <c r="E3166" s="1">
        <f t="shared" si="49"/>
        <v>0.76315789473684215</v>
      </c>
      <c r="F3166">
        <v>116.1</v>
      </c>
      <c r="G3166">
        <v>91.8</v>
      </c>
      <c r="H3166">
        <v>0.93710000000000004</v>
      </c>
      <c r="I3166">
        <v>53.3</v>
      </c>
      <c r="J3166">
        <v>48.1</v>
      </c>
      <c r="K3166">
        <v>16.3</v>
      </c>
      <c r="L3166">
        <v>22.1</v>
      </c>
      <c r="M3166">
        <v>28.3</v>
      </c>
      <c r="N3166">
        <v>29</v>
      </c>
      <c r="O3166">
        <v>30.5</v>
      </c>
      <c r="P3166">
        <v>33.700000000000003</v>
      </c>
      <c r="Q3166">
        <v>54</v>
      </c>
      <c r="R3166">
        <v>47.9</v>
      </c>
      <c r="S3166">
        <v>34.700000000000003</v>
      </c>
      <c r="T3166">
        <v>32.4</v>
      </c>
      <c r="U3166">
        <v>68.5</v>
      </c>
      <c r="V3166">
        <v>7.5</v>
      </c>
      <c r="W3166" cm="1">
        <f t="array" ref="W3166">_xlfn.IFS(OR(X3166="N/A",X3166="NA"),0,OR(X3166="R64",X3166="R68"),1,X3166="R32",2,X3166="S16",3,X3166="E8",4,X3166="F4",5,X3166="2ND",6,X3166="Champions",7)</f>
        <v>4</v>
      </c>
      <c r="X3166" t="s">
        <v>54</v>
      </c>
      <c r="Y3166">
        <v>2</v>
      </c>
      <c r="Z3166">
        <v>2023</v>
      </c>
    </row>
    <row r="3167" spans="1:26" x14ac:dyDescent="0.3">
      <c r="A3167" t="s">
        <v>81</v>
      </c>
      <c r="B3167" t="s">
        <v>33</v>
      </c>
      <c r="C3167">
        <v>36</v>
      </c>
      <c r="D3167">
        <v>29</v>
      </c>
      <c r="E3167" s="1">
        <f t="shared" si="49"/>
        <v>0.80555555555555558</v>
      </c>
      <c r="F3167">
        <v>118.7</v>
      </c>
      <c r="G3167">
        <v>96</v>
      </c>
      <c r="H3167">
        <v>0.91969999999999996</v>
      </c>
      <c r="I3167">
        <v>56</v>
      </c>
      <c r="J3167">
        <v>51</v>
      </c>
      <c r="K3167">
        <v>15.3</v>
      </c>
      <c r="L3167">
        <v>22.5</v>
      </c>
      <c r="M3167">
        <v>26.2</v>
      </c>
      <c r="N3167">
        <v>31.7</v>
      </c>
      <c r="O3167">
        <v>27</v>
      </c>
      <c r="P3167">
        <v>29.1</v>
      </c>
      <c r="Q3167">
        <v>58.2</v>
      </c>
      <c r="R3167">
        <v>50.3</v>
      </c>
      <c r="S3167">
        <v>35.299999999999997</v>
      </c>
      <c r="T3167">
        <v>34.700000000000003</v>
      </c>
      <c r="U3167">
        <v>68.400000000000006</v>
      </c>
      <c r="V3167">
        <v>7.8</v>
      </c>
      <c r="W3167" cm="1">
        <f t="array" ref="W3167">_xlfn.IFS(OR(X3167="N/A",X3167="NA"),0,OR(X3167="R64",X3167="R68"),1,X3167="R32",2,X3167="S16",3,X3167="E8",4,X3167="F4",5,X3167="2ND",6,X3167="Champions",7)</f>
        <v>2</v>
      </c>
      <c r="X3167" t="s">
        <v>420</v>
      </c>
      <c r="Y3167">
        <v>2</v>
      </c>
      <c r="Z3167">
        <v>2023</v>
      </c>
    </row>
    <row r="3168" spans="1:26" x14ac:dyDescent="0.3">
      <c r="A3168" t="s">
        <v>71</v>
      </c>
      <c r="B3168" t="s">
        <v>38</v>
      </c>
      <c r="C3168">
        <v>35</v>
      </c>
      <c r="D3168">
        <v>28</v>
      </c>
      <c r="E3168" s="1">
        <f t="shared" si="49"/>
        <v>0.8</v>
      </c>
      <c r="F3168">
        <v>119.4</v>
      </c>
      <c r="G3168">
        <v>95.4</v>
      </c>
      <c r="H3168">
        <v>0.92920000000000003</v>
      </c>
      <c r="I3168">
        <v>56.5</v>
      </c>
      <c r="J3168">
        <v>47.1</v>
      </c>
      <c r="K3168">
        <v>18.399999999999999</v>
      </c>
      <c r="L3168">
        <v>16.899999999999999</v>
      </c>
      <c r="M3168">
        <v>30.7</v>
      </c>
      <c r="N3168">
        <v>26.1</v>
      </c>
      <c r="O3168">
        <v>35.799999999999997</v>
      </c>
      <c r="P3168">
        <v>25.5</v>
      </c>
      <c r="Q3168">
        <v>56.4</v>
      </c>
      <c r="R3168">
        <v>46.2</v>
      </c>
      <c r="S3168">
        <v>37.799999999999997</v>
      </c>
      <c r="T3168">
        <v>32.299999999999997</v>
      </c>
      <c r="U3168">
        <v>72.2</v>
      </c>
      <c r="V3168">
        <v>7.6</v>
      </c>
      <c r="W3168" cm="1">
        <f t="array" ref="W3168">_xlfn.IFS(OR(X3168="N/A",X3168="NA"),0,OR(X3168="R64",X3168="R68"),1,X3168="R32",2,X3168="S16",3,X3168="E8",4,X3168="F4",5,X3168="2ND",6,X3168="Champions",7)</f>
        <v>1</v>
      </c>
      <c r="X3168" t="s">
        <v>422</v>
      </c>
      <c r="Y3168">
        <v>2</v>
      </c>
      <c r="Z3168">
        <v>2023</v>
      </c>
    </row>
    <row r="3169" spans="1:26" x14ac:dyDescent="0.3">
      <c r="A3169" t="s">
        <v>324</v>
      </c>
      <c r="B3169" t="s">
        <v>38</v>
      </c>
      <c r="C3169">
        <v>37</v>
      </c>
      <c r="D3169">
        <v>31</v>
      </c>
      <c r="E3169" s="1">
        <f t="shared" si="49"/>
        <v>0.83783783783783783</v>
      </c>
      <c r="F3169">
        <v>114.9</v>
      </c>
      <c r="G3169">
        <v>88.5</v>
      </c>
      <c r="H3169">
        <v>0.95279999999999998</v>
      </c>
      <c r="I3169">
        <v>51.1</v>
      </c>
      <c r="J3169">
        <v>46.8</v>
      </c>
      <c r="K3169">
        <v>14.9</v>
      </c>
      <c r="L3169">
        <v>23.3</v>
      </c>
      <c r="M3169">
        <v>33</v>
      </c>
      <c r="N3169">
        <v>28.2</v>
      </c>
      <c r="O3169">
        <v>27.4</v>
      </c>
      <c r="P3169">
        <v>27.5</v>
      </c>
      <c r="Q3169">
        <v>50.6</v>
      </c>
      <c r="R3169">
        <v>46.9</v>
      </c>
      <c r="S3169">
        <v>34.9</v>
      </c>
      <c r="T3169">
        <v>31.1</v>
      </c>
      <c r="U3169">
        <v>66.099999999999994</v>
      </c>
      <c r="V3169">
        <v>8.4</v>
      </c>
      <c r="W3169" cm="1">
        <f t="array" ref="W3169">_xlfn.IFS(OR(X3169="N/A",X3169="NA"),0,OR(X3169="R64",X3169="R68"),1,X3169="R32",2,X3169="S16",3,X3169="E8",4,X3169="F4",5,X3169="2ND",6,X3169="Champions",7)</f>
        <v>3</v>
      </c>
      <c r="X3169" t="s">
        <v>424</v>
      </c>
      <c r="Y3169">
        <v>2</v>
      </c>
      <c r="Z3169">
        <v>2023</v>
      </c>
    </row>
    <row r="3170" spans="1:26" x14ac:dyDescent="0.3">
      <c r="A3170" t="s">
        <v>68</v>
      </c>
      <c r="B3170" t="s">
        <v>35</v>
      </c>
      <c r="C3170">
        <v>36</v>
      </c>
      <c r="D3170">
        <v>26</v>
      </c>
      <c r="E3170" s="1">
        <f t="shared" si="49"/>
        <v>0.72222222222222221</v>
      </c>
      <c r="F3170">
        <v>112.6</v>
      </c>
      <c r="G3170">
        <v>94.7</v>
      </c>
      <c r="H3170">
        <v>0.88029999999999997</v>
      </c>
      <c r="I3170">
        <v>52.3</v>
      </c>
      <c r="J3170">
        <v>48.1</v>
      </c>
      <c r="K3170">
        <v>19.3</v>
      </c>
      <c r="L3170">
        <v>21</v>
      </c>
      <c r="M3170">
        <v>29.9</v>
      </c>
      <c r="N3170">
        <v>30.3</v>
      </c>
      <c r="O3170">
        <v>36.1</v>
      </c>
      <c r="P3170">
        <v>36.299999999999997</v>
      </c>
      <c r="Q3170">
        <v>52.8</v>
      </c>
      <c r="R3170">
        <v>49.2</v>
      </c>
      <c r="S3170">
        <v>34.299999999999997</v>
      </c>
      <c r="T3170">
        <v>30.8</v>
      </c>
      <c r="U3170">
        <v>69.8</v>
      </c>
      <c r="V3170">
        <v>4.2</v>
      </c>
      <c r="W3170" cm="1">
        <f t="array" ref="W3170">_xlfn.IFS(OR(X3170="N/A",X3170="NA"),0,OR(X3170="R64",X3170="R68"),1,X3170="R32",2,X3170="S16",3,X3170="E8",4,X3170="F4",5,X3170="2ND",6,X3170="Champions",7)</f>
        <v>4</v>
      </c>
      <c r="X3170" t="s">
        <v>54</v>
      </c>
      <c r="Y3170">
        <v>3</v>
      </c>
      <c r="Z3170">
        <v>2023</v>
      </c>
    </row>
    <row r="3171" spans="1:26" x14ac:dyDescent="0.3">
      <c r="A3171" t="s">
        <v>36</v>
      </c>
      <c r="B3171" t="s">
        <v>37</v>
      </c>
      <c r="C3171">
        <v>36</v>
      </c>
      <c r="D3171">
        <v>31</v>
      </c>
      <c r="E3171" s="1">
        <f t="shared" si="49"/>
        <v>0.86111111111111116</v>
      </c>
      <c r="F3171">
        <v>123.2</v>
      </c>
      <c r="G3171">
        <v>99</v>
      </c>
      <c r="H3171">
        <v>0.92510000000000003</v>
      </c>
      <c r="I3171">
        <v>57.6</v>
      </c>
      <c r="J3171">
        <v>51.4</v>
      </c>
      <c r="K3171">
        <v>14.8</v>
      </c>
      <c r="L3171">
        <v>17.8</v>
      </c>
      <c r="M3171">
        <v>31.2</v>
      </c>
      <c r="N3171">
        <v>25.6</v>
      </c>
      <c r="O3171">
        <v>34.1</v>
      </c>
      <c r="P3171">
        <v>26</v>
      </c>
      <c r="Q3171">
        <v>58.2</v>
      </c>
      <c r="R3171">
        <v>50.6</v>
      </c>
      <c r="S3171">
        <v>37.5</v>
      </c>
      <c r="T3171">
        <v>35.200000000000003</v>
      </c>
      <c r="U3171">
        <v>70.099999999999994</v>
      </c>
      <c r="V3171">
        <v>6.6</v>
      </c>
      <c r="W3171" cm="1">
        <f t="array" ref="W3171">_xlfn.IFS(OR(X3171="N/A",X3171="NA"),0,OR(X3171="R64",X3171="R68"),1,X3171="R32",2,X3171="S16",3,X3171="E8",4,X3171="F4",5,X3171="2ND",6,X3171="Champions",7)</f>
        <v>4</v>
      </c>
      <c r="X3171" t="s">
        <v>54</v>
      </c>
      <c r="Y3171">
        <v>3</v>
      </c>
      <c r="Z3171">
        <v>2023</v>
      </c>
    </row>
    <row r="3172" spans="1:26" x14ac:dyDescent="0.3">
      <c r="A3172" t="s">
        <v>153</v>
      </c>
      <c r="B3172" t="s">
        <v>35</v>
      </c>
      <c r="C3172">
        <v>34</v>
      </c>
      <c r="D3172">
        <v>23</v>
      </c>
      <c r="E3172" s="1">
        <f t="shared" si="49"/>
        <v>0.67647058823529416</v>
      </c>
      <c r="F3172">
        <v>121.7</v>
      </c>
      <c r="G3172">
        <v>100.6</v>
      </c>
      <c r="H3172">
        <v>0.89910000000000001</v>
      </c>
      <c r="I3172">
        <v>53.2</v>
      </c>
      <c r="J3172">
        <v>51.6</v>
      </c>
      <c r="K3172">
        <v>17.899999999999999</v>
      </c>
      <c r="L3172">
        <v>19.899999999999999</v>
      </c>
      <c r="M3172">
        <v>34.4</v>
      </c>
      <c r="N3172">
        <v>30.9</v>
      </c>
      <c r="O3172">
        <v>36.799999999999997</v>
      </c>
      <c r="P3172">
        <v>31.3</v>
      </c>
      <c r="Q3172">
        <v>51.6</v>
      </c>
      <c r="R3172">
        <v>53.3</v>
      </c>
      <c r="S3172">
        <v>36.799999999999997</v>
      </c>
      <c r="T3172">
        <v>32.5</v>
      </c>
      <c r="U3172">
        <v>66.900000000000006</v>
      </c>
      <c r="V3172">
        <v>5.2</v>
      </c>
      <c r="W3172" cm="1">
        <f t="array" ref="W3172">_xlfn.IFS(OR(X3172="N/A",X3172="NA"),0,OR(X3172="R64",X3172="R68"),1,X3172="R32",2,X3172="S16",3,X3172="E8",4,X3172="F4",5,X3172="2ND",6,X3172="Champions",7)</f>
        <v>2</v>
      </c>
      <c r="X3172" t="s">
        <v>420</v>
      </c>
      <c r="Y3172">
        <v>3</v>
      </c>
      <c r="Z3172">
        <v>2023</v>
      </c>
    </row>
    <row r="3173" spans="1:26" x14ac:dyDescent="0.3">
      <c r="A3173" t="s">
        <v>70</v>
      </c>
      <c r="B3173" t="s">
        <v>33</v>
      </c>
      <c r="C3173">
        <v>37</v>
      </c>
      <c r="D3173">
        <v>27</v>
      </c>
      <c r="E3173" s="1">
        <f t="shared" si="49"/>
        <v>0.72972972972972971</v>
      </c>
      <c r="F3173">
        <v>118</v>
      </c>
      <c r="G3173">
        <v>98.5</v>
      </c>
      <c r="H3173">
        <v>0.88900000000000001</v>
      </c>
      <c r="I3173">
        <v>55.2</v>
      </c>
      <c r="J3173">
        <v>50.3</v>
      </c>
      <c r="K3173">
        <v>17.2</v>
      </c>
      <c r="L3173">
        <v>16.2</v>
      </c>
      <c r="M3173">
        <v>30.8</v>
      </c>
      <c r="N3173">
        <v>25</v>
      </c>
      <c r="O3173">
        <v>31.4</v>
      </c>
      <c r="P3173">
        <v>27</v>
      </c>
      <c r="Q3173">
        <v>53.8</v>
      </c>
      <c r="R3173">
        <v>48.6</v>
      </c>
      <c r="S3173">
        <v>39</v>
      </c>
      <c r="T3173">
        <v>35.799999999999997</v>
      </c>
      <c r="U3173">
        <v>70.5</v>
      </c>
      <c r="V3173">
        <v>5.4</v>
      </c>
      <c r="W3173" cm="1">
        <f t="array" ref="W3173">_xlfn.IFS(OR(X3173="N/A",X3173="NA"),0,OR(X3173="R64",X3173="R68"),1,X3173="R32",2,X3173="S16",3,X3173="E8",4,X3173="F4",5,X3173="2ND",6,X3173="Champions",7)</f>
        <v>3</v>
      </c>
      <c r="X3173" t="s">
        <v>424</v>
      </c>
      <c r="Y3173">
        <v>3</v>
      </c>
      <c r="Z3173">
        <v>2023</v>
      </c>
    </row>
    <row r="3174" spans="1:26" x14ac:dyDescent="0.3">
      <c r="A3174" t="s">
        <v>49</v>
      </c>
      <c r="B3174" t="s">
        <v>33</v>
      </c>
      <c r="C3174">
        <v>39</v>
      </c>
      <c r="D3174">
        <v>31</v>
      </c>
      <c r="E3174" s="1">
        <f t="shared" si="49"/>
        <v>0.79487179487179482</v>
      </c>
      <c r="F3174">
        <v>121.5</v>
      </c>
      <c r="G3174">
        <v>91.2</v>
      </c>
      <c r="H3174">
        <v>0.96430000000000005</v>
      </c>
      <c r="I3174">
        <v>53.9</v>
      </c>
      <c r="J3174">
        <v>44.4</v>
      </c>
      <c r="K3174">
        <v>18.899999999999999</v>
      </c>
      <c r="L3174">
        <v>18.5</v>
      </c>
      <c r="M3174">
        <v>38.5</v>
      </c>
      <c r="N3174">
        <v>26.1</v>
      </c>
      <c r="O3174">
        <v>30.8</v>
      </c>
      <c r="P3174">
        <v>37.799999999999997</v>
      </c>
      <c r="Q3174">
        <v>53.6</v>
      </c>
      <c r="R3174">
        <v>44.4</v>
      </c>
      <c r="S3174">
        <v>36.299999999999997</v>
      </c>
      <c r="T3174">
        <v>29.7</v>
      </c>
      <c r="U3174">
        <v>66.7</v>
      </c>
      <c r="V3174">
        <v>5</v>
      </c>
      <c r="W3174" cm="1">
        <f t="array" ref="W3174">_xlfn.IFS(OR(X3174="N/A",X3174="NA"),0,OR(X3174="R64",X3174="R68"),1,X3174="R32",2,X3174="S16",3,X3174="E8",4,X3174="F4",5,X3174="2ND",6,X3174="Champions",7)</f>
        <v>7</v>
      </c>
      <c r="X3174" t="s">
        <v>42</v>
      </c>
      <c r="Y3174">
        <v>4</v>
      </c>
      <c r="Z3174">
        <v>2023</v>
      </c>
    </row>
    <row r="3175" spans="1:26" x14ac:dyDescent="0.3">
      <c r="A3175" t="s">
        <v>147</v>
      </c>
      <c r="B3175" t="s">
        <v>31</v>
      </c>
      <c r="C3175">
        <v>35</v>
      </c>
      <c r="D3175">
        <v>23</v>
      </c>
      <c r="E3175" s="1">
        <f t="shared" si="49"/>
        <v>0.65714285714285714</v>
      </c>
      <c r="F3175">
        <v>113.1</v>
      </c>
      <c r="G3175">
        <v>96.9</v>
      </c>
      <c r="H3175">
        <v>0.85570000000000002</v>
      </c>
      <c r="I3175">
        <v>53.5</v>
      </c>
      <c r="J3175">
        <v>47.2</v>
      </c>
      <c r="K3175">
        <v>16.8</v>
      </c>
      <c r="L3175">
        <v>16.3</v>
      </c>
      <c r="M3175">
        <v>28.1</v>
      </c>
      <c r="N3175">
        <v>29</v>
      </c>
      <c r="O3175">
        <v>29.5</v>
      </c>
      <c r="P3175">
        <v>29.8</v>
      </c>
      <c r="Q3175">
        <v>53</v>
      </c>
      <c r="R3175">
        <v>45.4</v>
      </c>
      <c r="S3175">
        <v>36.799999999999997</v>
      </c>
      <c r="T3175">
        <v>33.4</v>
      </c>
      <c r="U3175">
        <v>67.900000000000006</v>
      </c>
      <c r="V3175">
        <v>3.4</v>
      </c>
      <c r="W3175" cm="1">
        <f t="array" ref="W3175">_xlfn.IFS(OR(X3175="N/A",X3175="NA"),0,OR(X3175="R64",X3175="R68"),1,X3175="R32",2,X3175="S16",3,X3175="E8",4,X3175="F4",5,X3175="2ND",6,X3175="Champions",7)</f>
        <v>2</v>
      </c>
      <c r="X3175" t="s">
        <v>420</v>
      </c>
      <c r="Y3175">
        <v>4</v>
      </c>
      <c r="Z3175">
        <v>2023</v>
      </c>
    </row>
    <row r="3176" spans="1:26" x14ac:dyDescent="0.3">
      <c r="A3176" t="s">
        <v>44</v>
      </c>
      <c r="B3176" t="s">
        <v>26</v>
      </c>
      <c r="C3176">
        <v>33</v>
      </c>
      <c r="D3176">
        <v>25</v>
      </c>
      <c r="E3176" s="1">
        <f t="shared" si="49"/>
        <v>0.75757575757575757</v>
      </c>
      <c r="F3176">
        <v>110</v>
      </c>
      <c r="G3176">
        <v>94</v>
      </c>
      <c r="H3176">
        <v>0.85909999999999997</v>
      </c>
      <c r="I3176">
        <v>51.2</v>
      </c>
      <c r="J3176">
        <v>48.3</v>
      </c>
      <c r="K3176">
        <v>13.6</v>
      </c>
      <c r="L3176">
        <v>19.5</v>
      </c>
      <c r="M3176">
        <v>25.6</v>
      </c>
      <c r="N3176">
        <v>24.9</v>
      </c>
      <c r="O3176">
        <v>34.700000000000003</v>
      </c>
      <c r="P3176">
        <v>26.3</v>
      </c>
      <c r="Q3176">
        <v>50.4</v>
      </c>
      <c r="R3176">
        <v>46.4</v>
      </c>
      <c r="S3176">
        <v>35</v>
      </c>
      <c r="T3176">
        <v>34.1</v>
      </c>
      <c r="U3176">
        <v>61.3</v>
      </c>
      <c r="V3176">
        <v>4.0999999999999996</v>
      </c>
      <c r="W3176" cm="1">
        <f t="array" ref="W3176">_xlfn.IFS(OR(X3176="N/A",X3176="NA"),0,OR(X3176="R64",X3176="R68"),1,X3176="R32",2,X3176="S16",3,X3176="E8",4,X3176="F4",5,X3176="2ND",6,X3176="Champions",7)</f>
        <v>1</v>
      </c>
      <c r="X3176" t="s">
        <v>422</v>
      </c>
      <c r="Y3176">
        <v>4</v>
      </c>
      <c r="Z3176">
        <v>2023</v>
      </c>
    </row>
    <row r="3177" spans="1:26" x14ac:dyDescent="0.3">
      <c r="A3177" t="s">
        <v>361</v>
      </c>
      <c r="B3177" t="s">
        <v>29</v>
      </c>
      <c r="C3177">
        <v>36</v>
      </c>
      <c r="D3177">
        <v>25</v>
      </c>
      <c r="E3177" s="1">
        <f t="shared" si="49"/>
        <v>0.69444444444444442</v>
      </c>
      <c r="F3177">
        <v>111.2</v>
      </c>
      <c r="G3177">
        <v>87.5</v>
      </c>
      <c r="H3177">
        <v>0.94010000000000005</v>
      </c>
      <c r="I3177">
        <v>49.9</v>
      </c>
      <c r="J3177">
        <v>42.8</v>
      </c>
      <c r="K3177">
        <v>18.100000000000001</v>
      </c>
      <c r="L3177">
        <v>22.2</v>
      </c>
      <c r="M3177">
        <v>36.4</v>
      </c>
      <c r="N3177">
        <v>26.9</v>
      </c>
      <c r="O3177">
        <v>30.7</v>
      </c>
      <c r="P3177">
        <v>33.799999999999997</v>
      </c>
      <c r="Q3177">
        <v>50.3</v>
      </c>
      <c r="R3177">
        <v>45.1</v>
      </c>
      <c r="S3177">
        <v>32.799999999999997</v>
      </c>
      <c r="T3177">
        <v>26.5</v>
      </c>
      <c r="U3177">
        <v>65.099999999999994</v>
      </c>
      <c r="V3177">
        <v>2.8</v>
      </c>
      <c r="W3177" cm="1">
        <f t="array" ref="W3177">_xlfn.IFS(OR(X3177="N/A",X3177="NA"),0,OR(X3177="R64",X3177="R68"),1,X3177="R32",2,X3177="S16",3,X3177="E8",4,X3177="F4",5,X3177="2ND",6,X3177="Champions",7)</f>
        <v>3</v>
      </c>
      <c r="X3177" t="s">
        <v>424</v>
      </c>
      <c r="Y3177">
        <v>4</v>
      </c>
      <c r="Z3177">
        <v>2023</v>
      </c>
    </row>
    <row r="3178" spans="1:26" x14ac:dyDescent="0.3">
      <c r="A3178" t="s">
        <v>292</v>
      </c>
      <c r="B3178" t="s">
        <v>55</v>
      </c>
      <c r="C3178">
        <v>38</v>
      </c>
      <c r="D3178">
        <v>32</v>
      </c>
      <c r="E3178" s="1">
        <f t="shared" si="49"/>
        <v>0.84210526315789469</v>
      </c>
      <c r="F3178">
        <v>110.8</v>
      </c>
      <c r="G3178">
        <v>89.5</v>
      </c>
      <c r="H3178">
        <v>0.92049999999999998</v>
      </c>
      <c r="I3178">
        <v>49.3</v>
      </c>
      <c r="J3178">
        <v>46.5</v>
      </c>
      <c r="K3178">
        <v>17.3</v>
      </c>
      <c r="L3178">
        <v>19.100000000000001</v>
      </c>
      <c r="M3178">
        <v>31.6</v>
      </c>
      <c r="N3178">
        <v>26.1</v>
      </c>
      <c r="O3178">
        <v>33.200000000000003</v>
      </c>
      <c r="P3178">
        <v>30.2</v>
      </c>
      <c r="Q3178">
        <v>48.4</v>
      </c>
      <c r="R3178">
        <v>49.3</v>
      </c>
      <c r="S3178">
        <v>34</v>
      </c>
      <c r="T3178">
        <v>28.3</v>
      </c>
      <c r="U3178">
        <v>65.7</v>
      </c>
      <c r="V3178">
        <v>5.7</v>
      </c>
      <c r="W3178" cm="1">
        <f t="array" ref="W3178">_xlfn.IFS(OR(X3178="N/A",X3178="NA"),0,OR(X3178="R64",X3178="R68"),1,X3178="R32",2,X3178="S16",3,X3178="E8",4,X3178="F4",5,X3178="2ND",6,X3178="Champions",7)</f>
        <v>6</v>
      </c>
      <c r="X3178" t="s">
        <v>28</v>
      </c>
      <c r="Y3178">
        <v>5</v>
      </c>
      <c r="Z3178">
        <v>2023</v>
      </c>
    </row>
    <row r="3179" spans="1:26" x14ac:dyDescent="0.3">
      <c r="A3179" t="s">
        <v>106</v>
      </c>
      <c r="B3179" t="s">
        <v>26</v>
      </c>
      <c r="C3179">
        <v>37</v>
      </c>
      <c r="D3179">
        <v>29</v>
      </c>
      <c r="E3179" s="1">
        <f t="shared" si="49"/>
        <v>0.78378378378378377</v>
      </c>
      <c r="F3179">
        <v>119.1</v>
      </c>
      <c r="G3179">
        <v>100.9</v>
      </c>
      <c r="H3179">
        <v>0.87150000000000005</v>
      </c>
      <c r="I3179">
        <v>54.3</v>
      </c>
      <c r="J3179">
        <v>51.2</v>
      </c>
      <c r="K3179">
        <v>16.100000000000001</v>
      </c>
      <c r="L3179">
        <v>18.100000000000001</v>
      </c>
      <c r="M3179">
        <v>31.8</v>
      </c>
      <c r="N3179">
        <v>28.8</v>
      </c>
      <c r="O3179">
        <v>30.7</v>
      </c>
      <c r="P3179">
        <v>24</v>
      </c>
      <c r="Q3179">
        <v>53.8</v>
      </c>
      <c r="R3179">
        <v>51.8</v>
      </c>
      <c r="S3179">
        <v>36.799999999999997</v>
      </c>
      <c r="T3179">
        <v>33.5</v>
      </c>
      <c r="U3179">
        <v>68.599999999999994</v>
      </c>
      <c r="V3179">
        <v>3.7</v>
      </c>
      <c r="W3179" cm="1">
        <f t="array" ref="W3179">_xlfn.IFS(OR(X3179="N/A",X3179="NA"),0,OR(X3179="R64",X3179="R68"),1,X3179="R32",2,X3179="S16",3,X3179="E8",4,X3179="F4",5,X3179="2ND",6,X3179="Champions",7)</f>
        <v>5</v>
      </c>
      <c r="X3179" t="s">
        <v>83</v>
      </c>
      <c r="Y3179">
        <v>5</v>
      </c>
      <c r="Z3179">
        <v>2023</v>
      </c>
    </row>
    <row r="3180" spans="1:26" x14ac:dyDescent="0.3">
      <c r="A3180" t="s">
        <v>413</v>
      </c>
      <c r="B3180" t="s">
        <v>37</v>
      </c>
      <c r="C3180">
        <v>34</v>
      </c>
      <c r="D3180">
        <v>27</v>
      </c>
      <c r="E3180" s="1">
        <f t="shared" si="49"/>
        <v>0.79411764705882348</v>
      </c>
      <c r="F3180">
        <v>112.1</v>
      </c>
      <c r="G3180">
        <v>90.5</v>
      </c>
      <c r="H3180">
        <v>0.92130000000000001</v>
      </c>
      <c r="I3180">
        <v>52</v>
      </c>
      <c r="J3180">
        <v>47.1</v>
      </c>
      <c r="K3180">
        <v>16.399999999999999</v>
      </c>
      <c r="L3180">
        <v>19.2</v>
      </c>
      <c r="M3180">
        <v>32.6</v>
      </c>
      <c r="N3180">
        <v>21.9</v>
      </c>
      <c r="O3180">
        <v>32</v>
      </c>
      <c r="P3180">
        <v>29.9</v>
      </c>
      <c r="Q3180">
        <v>50.8</v>
      </c>
      <c r="R3180">
        <v>45.7</v>
      </c>
      <c r="S3180">
        <v>36.1</v>
      </c>
      <c r="T3180">
        <v>33.299999999999997</v>
      </c>
      <c r="U3180">
        <v>61.9</v>
      </c>
      <c r="V3180">
        <v>3.4</v>
      </c>
      <c r="W3180" cm="1">
        <f t="array" ref="W3180">_xlfn.IFS(OR(X3180="N/A",X3180="NA"),0,OR(X3180="R64",X3180="R68"),1,X3180="R32",2,X3180="S16",3,X3180="E8",4,X3180="F4",5,X3180="2ND",6,X3180="Champions",7)</f>
        <v>2</v>
      </c>
      <c r="X3180" t="s">
        <v>420</v>
      </c>
      <c r="Y3180">
        <v>5</v>
      </c>
      <c r="Z3180">
        <v>2023</v>
      </c>
    </row>
    <row r="3181" spans="1:26" x14ac:dyDescent="0.3">
      <c r="A3181" t="s">
        <v>41</v>
      </c>
      <c r="B3181" t="s">
        <v>26</v>
      </c>
      <c r="C3181">
        <v>36</v>
      </c>
      <c r="D3181">
        <v>27</v>
      </c>
      <c r="E3181" s="1">
        <f t="shared" si="49"/>
        <v>0.75</v>
      </c>
      <c r="F3181">
        <v>113.3</v>
      </c>
      <c r="G3181">
        <v>92.9</v>
      </c>
      <c r="H3181">
        <v>0.90720000000000001</v>
      </c>
      <c r="I3181">
        <v>51.1</v>
      </c>
      <c r="J3181">
        <v>46</v>
      </c>
      <c r="K3181">
        <v>18.3</v>
      </c>
      <c r="L3181">
        <v>16.5</v>
      </c>
      <c r="M3181">
        <v>35.9</v>
      </c>
      <c r="N3181">
        <v>26.1</v>
      </c>
      <c r="O3181">
        <v>29.9</v>
      </c>
      <c r="P3181">
        <v>23.7</v>
      </c>
      <c r="Q3181">
        <v>51.5</v>
      </c>
      <c r="R3181">
        <v>46.2</v>
      </c>
      <c r="S3181">
        <v>33.5</v>
      </c>
      <c r="T3181">
        <v>30.5</v>
      </c>
      <c r="U3181">
        <v>64.900000000000006</v>
      </c>
      <c r="V3181">
        <v>4.5</v>
      </c>
      <c r="W3181" cm="1">
        <f t="array" ref="W3181">_xlfn.IFS(OR(X3181="N/A",X3181="NA"),0,OR(X3181="R64",X3181="R68"),1,X3181="R32",2,X3181="S16",3,X3181="E8",4,X3181="F4",5,X3181="2ND",6,X3181="Champions",7)</f>
        <v>2</v>
      </c>
      <c r="X3181" t="s">
        <v>420</v>
      </c>
      <c r="Y3181">
        <v>5</v>
      </c>
      <c r="Z3181">
        <v>2023</v>
      </c>
    </row>
    <row r="3182" spans="1:26" x14ac:dyDescent="0.3">
      <c r="A3182" t="s">
        <v>156</v>
      </c>
      <c r="B3182" t="s">
        <v>33</v>
      </c>
      <c r="C3182">
        <v>37</v>
      </c>
      <c r="D3182">
        <v>24</v>
      </c>
      <c r="E3182" s="1">
        <f t="shared" si="49"/>
        <v>0.64864864864864868</v>
      </c>
      <c r="F3182">
        <v>115</v>
      </c>
      <c r="G3182">
        <v>93.2</v>
      </c>
      <c r="H3182">
        <v>0.91769999999999996</v>
      </c>
      <c r="I3182">
        <v>54.2</v>
      </c>
      <c r="J3182">
        <v>47.1</v>
      </c>
      <c r="K3182">
        <v>16.600000000000001</v>
      </c>
      <c r="L3182">
        <v>13.9</v>
      </c>
      <c r="M3182">
        <v>25.3</v>
      </c>
      <c r="N3182">
        <v>23.5</v>
      </c>
      <c r="O3182">
        <v>28.4</v>
      </c>
      <c r="P3182">
        <v>19.7</v>
      </c>
      <c r="Q3182">
        <v>55.1</v>
      </c>
      <c r="R3182">
        <v>45.7</v>
      </c>
      <c r="S3182">
        <v>35.4</v>
      </c>
      <c r="T3182">
        <v>33.6</v>
      </c>
      <c r="U3182">
        <v>67.7</v>
      </c>
      <c r="V3182">
        <v>2.2000000000000002</v>
      </c>
      <c r="W3182" cm="1">
        <f t="array" ref="W3182">_xlfn.IFS(OR(X3182="N/A",X3182="NA"),0,OR(X3182="R64",X3182="R68"),1,X3182="R32",2,X3182="S16",3,X3182="E8",4,X3182="F4",5,X3182="2ND",6,X3182="Champions",7)</f>
        <v>4</v>
      </c>
      <c r="X3182" t="s">
        <v>54</v>
      </c>
      <c r="Y3182">
        <v>6</v>
      </c>
      <c r="Z3182">
        <v>2023</v>
      </c>
    </row>
    <row r="3183" spans="1:26" x14ac:dyDescent="0.3">
      <c r="A3183" t="s">
        <v>39</v>
      </c>
      <c r="B3183" t="s">
        <v>29</v>
      </c>
      <c r="C3183">
        <v>34</v>
      </c>
      <c r="D3183">
        <v>22</v>
      </c>
      <c r="E3183" s="1">
        <f t="shared" si="49"/>
        <v>0.6470588235294118</v>
      </c>
      <c r="F3183">
        <v>115.7</v>
      </c>
      <c r="G3183">
        <v>97.7</v>
      </c>
      <c r="H3183">
        <v>0.87380000000000002</v>
      </c>
      <c r="I3183">
        <v>50.6</v>
      </c>
      <c r="J3183">
        <v>48.6</v>
      </c>
      <c r="K3183">
        <v>17.399999999999999</v>
      </c>
      <c r="L3183">
        <v>16.600000000000001</v>
      </c>
      <c r="M3183">
        <v>39.200000000000003</v>
      </c>
      <c r="N3183">
        <v>25</v>
      </c>
      <c r="O3183">
        <v>31.9</v>
      </c>
      <c r="P3183">
        <v>29.9</v>
      </c>
      <c r="Q3183">
        <v>50</v>
      </c>
      <c r="R3183">
        <v>48.6</v>
      </c>
      <c r="S3183">
        <v>34.700000000000003</v>
      </c>
      <c r="T3183">
        <v>32.4</v>
      </c>
      <c r="U3183">
        <v>65.8</v>
      </c>
      <c r="V3183">
        <v>1.6</v>
      </c>
      <c r="W3183" cm="1">
        <f t="array" ref="W3183">_xlfn.IFS(OR(X3183="N/A",X3183="NA"),0,OR(X3183="R64",X3183="R68"),1,X3183="R32",2,X3183="S16",3,X3183="E8",4,X3183="F4",5,X3183="2ND",6,X3183="Champions",7)</f>
        <v>2</v>
      </c>
      <c r="X3183" t="s">
        <v>420</v>
      </c>
      <c r="Y3183">
        <v>6</v>
      </c>
      <c r="Z3183">
        <v>2023</v>
      </c>
    </row>
    <row r="3184" spans="1:26" x14ac:dyDescent="0.3">
      <c r="A3184" t="s">
        <v>150</v>
      </c>
      <c r="B3184" t="s">
        <v>35</v>
      </c>
      <c r="C3184">
        <v>35</v>
      </c>
      <c r="D3184">
        <v>22</v>
      </c>
      <c r="E3184" s="1">
        <f t="shared" si="49"/>
        <v>0.62857142857142856</v>
      </c>
      <c r="F3184">
        <v>111.7</v>
      </c>
      <c r="G3184">
        <v>94.6</v>
      </c>
      <c r="H3184">
        <v>0.87039999999999995</v>
      </c>
      <c r="I3184">
        <v>50</v>
      </c>
      <c r="J3184">
        <v>48.1</v>
      </c>
      <c r="K3184">
        <v>16.7</v>
      </c>
      <c r="L3184">
        <v>21.6</v>
      </c>
      <c r="M3184">
        <v>32.200000000000003</v>
      </c>
      <c r="N3184">
        <v>30.5</v>
      </c>
      <c r="O3184">
        <v>34.1</v>
      </c>
      <c r="P3184">
        <v>30.1</v>
      </c>
      <c r="Q3184">
        <v>51.5</v>
      </c>
      <c r="R3184">
        <v>49.2</v>
      </c>
      <c r="S3184">
        <v>31</v>
      </c>
      <c r="T3184">
        <v>30.8</v>
      </c>
      <c r="U3184">
        <v>69.7</v>
      </c>
      <c r="V3184">
        <v>2.2000000000000002</v>
      </c>
      <c r="W3184" cm="1">
        <f t="array" ref="W3184">_xlfn.IFS(OR(X3184="N/A",X3184="NA"),0,OR(X3184="R64",X3184="R68"),1,X3184="R32",2,X3184="S16",3,X3184="E8",4,X3184="F4",5,X3184="2ND",6,X3184="Champions",7)</f>
        <v>2</v>
      </c>
      <c r="X3184" t="s">
        <v>420</v>
      </c>
      <c r="Y3184">
        <v>6</v>
      </c>
      <c r="Z3184">
        <v>2023</v>
      </c>
    </row>
    <row r="3185" spans="1:26" x14ac:dyDescent="0.3">
      <c r="A3185" t="s">
        <v>154</v>
      </c>
      <c r="B3185" t="s">
        <v>35</v>
      </c>
      <c r="C3185">
        <v>33</v>
      </c>
      <c r="D3185">
        <v>19</v>
      </c>
      <c r="E3185" s="1">
        <f t="shared" si="49"/>
        <v>0.5757575757575758</v>
      </c>
      <c r="F3185">
        <v>107</v>
      </c>
      <c r="G3185">
        <v>90.9</v>
      </c>
      <c r="H3185">
        <v>0.86780000000000002</v>
      </c>
      <c r="I3185">
        <v>49.9</v>
      </c>
      <c r="J3185">
        <v>49.9</v>
      </c>
      <c r="K3185">
        <v>19.600000000000001</v>
      </c>
      <c r="L3185">
        <v>25</v>
      </c>
      <c r="M3185">
        <v>33.9</v>
      </c>
      <c r="N3185">
        <v>26.5</v>
      </c>
      <c r="O3185">
        <v>27.9</v>
      </c>
      <c r="P3185">
        <v>40.799999999999997</v>
      </c>
      <c r="Q3185">
        <v>50</v>
      </c>
      <c r="R3185">
        <v>49.2</v>
      </c>
      <c r="S3185">
        <v>33.1</v>
      </c>
      <c r="T3185">
        <v>33.700000000000003</v>
      </c>
      <c r="U3185">
        <v>64</v>
      </c>
      <c r="V3185">
        <v>2.4</v>
      </c>
      <c r="W3185" cm="1">
        <f t="array" ref="W3185">_xlfn.IFS(OR(X3185="N/A",X3185="NA"),0,OR(X3185="R64",X3185="R68"),1,X3185="R32",2,X3185="S16",3,X3185="E8",4,X3185="F4",5,X3185="2ND",6,X3185="Champions",7)</f>
        <v>1</v>
      </c>
      <c r="X3185" t="s">
        <v>422</v>
      </c>
      <c r="Y3185">
        <v>6</v>
      </c>
      <c r="Z3185">
        <v>2023</v>
      </c>
    </row>
    <row r="3186" spans="1:26" x14ac:dyDescent="0.3">
      <c r="A3186" t="s">
        <v>144</v>
      </c>
      <c r="B3186" t="s">
        <v>31</v>
      </c>
      <c r="C3186">
        <v>34</v>
      </c>
      <c r="D3186">
        <v>22</v>
      </c>
      <c r="E3186" s="1">
        <f t="shared" si="49"/>
        <v>0.6470588235294118</v>
      </c>
      <c r="F3186">
        <v>109.7</v>
      </c>
      <c r="G3186">
        <v>93.4</v>
      </c>
      <c r="H3186">
        <v>0.86419999999999997</v>
      </c>
      <c r="I3186">
        <v>47.3</v>
      </c>
      <c r="J3186">
        <v>48.4</v>
      </c>
      <c r="K3186">
        <v>14.7</v>
      </c>
      <c r="L3186">
        <v>21.3</v>
      </c>
      <c r="M3186">
        <v>28.6</v>
      </c>
      <c r="N3186">
        <v>27.7</v>
      </c>
      <c r="O3186">
        <v>29.7</v>
      </c>
      <c r="P3186">
        <v>31.6</v>
      </c>
      <c r="Q3186">
        <v>46.7</v>
      </c>
      <c r="R3186">
        <v>46.8</v>
      </c>
      <c r="S3186">
        <v>32.1</v>
      </c>
      <c r="T3186">
        <v>33.799999999999997</v>
      </c>
      <c r="U3186">
        <v>64.5</v>
      </c>
      <c r="V3186">
        <v>1.6</v>
      </c>
      <c r="W3186" cm="1">
        <f t="array" ref="W3186">_xlfn.IFS(OR(X3186="N/A",X3186="NA"),0,OR(X3186="R64",X3186="R68"),1,X3186="R32",2,X3186="S16",3,X3186="E8",4,X3186="F4",5,X3186="2ND",6,X3186="Champions",7)</f>
        <v>2</v>
      </c>
      <c r="X3186" t="s">
        <v>420</v>
      </c>
      <c r="Y3186">
        <v>7</v>
      </c>
      <c r="Z3186">
        <v>2023</v>
      </c>
    </row>
    <row r="3187" spans="1:26" x14ac:dyDescent="0.3">
      <c r="A3187" t="s">
        <v>360</v>
      </c>
      <c r="B3187" t="s">
        <v>29</v>
      </c>
      <c r="C3187">
        <v>35</v>
      </c>
      <c r="D3187">
        <v>25</v>
      </c>
      <c r="E3187" s="1">
        <f t="shared" si="49"/>
        <v>0.7142857142857143</v>
      </c>
      <c r="F3187">
        <v>117.5</v>
      </c>
      <c r="G3187">
        <v>104.5</v>
      </c>
      <c r="H3187">
        <v>0.79390000000000005</v>
      </c>
      <c r="I3187">
        <v>55</v>
      </c>
      <c r="J3187">
        <v>52.3</v>
      </c>
      <c r="K3187">
        <v>15.8</v>
      </c>
      <c r="L3187">
        <v>24</v>
      </c>
      <c r="M3187">
        <v>26.3</v>
      </c>
      <c r="N3187">
        <v>37.200000000000003</v>
      </c>
      <c r="O3187">
        <v>29.1</v>
      </c>
      <c r="P3187">
        <v>34.200000000000003</v>
      </c>
      <c r="Q3187">
        <v>55.8</v>
      </c>
      <c r="R3187">
        <v>52.2</v>
      </c>
      <c r="S3187">
        <v>36</v>
      </c>
      <c r="T3187">
        <v>35</v>
      </c>
      <c r="U3187">
        <v>68.900000000000006</v>
      </c>
      <c r="V3187">
        <v>3.5</v>
      </c>
      <c r="W3187" cm="1">
        <f t="array" ref="W3187">_xlfn.IFS(OR(X3187="N/A",X3187="NA"),0,OR(X3187="R64",X3187="R68"),1,X3187="R32",2,X3187="S16",3,X3187="E8",4,X3187="F4",5,X3187="2ND",6,X3187="Champions",7)</f>
        <v>2</v>
      </c>
      <c r="X3187" t="s">
        <v>420</v>
      </c>
      <c r="Y3187">
        <v>7</v>
      </c>
      <c r="Z3187">
        <v>2023</v>
      </c>
    </row>
    <row r="3188" spans="1:26" x14ac:dyDescent="0.3">
      <c r="A3188" t="s">
        <v>362</v>
      </c>
      <c r="B3188" t="s">
        <v>29</v>
      </c>
      <c r="C3188">
        <v>35</v>
      </c>
      <c r="D3188">
        <v>25</v>
      </c>
      <c r="E3188" s="1">
        <f t="shared" si="49"/>
        <v>0.7142857142857143</v>
      </c>
      <c r="F3188">
        <v>113.8</v>
      </c>
      <c r="G3188">
        <v>95.7</v>
      </c>
      <c r="H3188">
        <v>0.88080000000000003</v>
      </c>
      <c r="I3188">
        <v>48.8</v>
      </c>
      <c r="J3188">
        <v>48.2</v>
      </c>
      <c r="K3188">
        <v>18.3</v>
      </c>
      <c r="L3188">
        <v>20.9</v>
      </c>
      <c r="M3188">
        <v>36.700000000000003</v>
      </c>
      <c r="N3188">
        <v>30.4</v>
      </c>
      <c r="O3188">
        <v>45.1</v>
      </c>
      <c r="P3188">
        <v>34.700000000000003</v>
      </c>
      <c r="Q3188">
        <v>48.8</v>
      </c>
      <c r="R3188">
        <v>47.2</v>
      </c>
      <c r="S3188">
        <v>32.6</v>
      </c>
      <c r="T3188">
        <v>33</v>
      </c>
      <c r="U3188">
        <v>66</v>
      </c>
      <c r="V3188">
        <v>3.7</v>
      </c>
      <c r="W3188" cm="1">
        <f t="array" ref="W3188">_xlfn.IFS(OR(X3188="N/A",X3188="NA"),0,OR(X3188="R64",X3188="R68"),1,X3188="R32",2,X3188="S16",3,X3188="E8",4,X3188="F4",5,X3188="2ND",6,X3188="Champions",7)</f>
        <v>1</v>
      </c>
      <c r="X3188" t="s">
        <v>422</v>
      </c>
      <c r="Y3188">
        <v>7</v>
      </c>
      <c r="Z3188">
        <v>2023</v>
      </c>
    </row>
    <row r="3189" spans="1:26" x14ac:dyDescent="0.3">
      <c r="A3189" t="s">
        <v>78</v>
      </c>
      <c r="B3189" t="s">
        <v>31</v>
      </c>
      <c r="C3189">
        <v>34</v>
      </c>
      <c r="D3189">
        <v>21</v>
      </c>
      <c r="E3189" s="1">
        <f t="shared" si="49"/>
        <v>0.61764705882352944</v>
      </c>
      <c r="F3189">
        <v>114.4</v>
      </c>
      <c r="G3189">
        <v>96.4</v>
      </c>
      <c r="H3189">
        <v>0.87709999999999999</v>
      </c>
      <c r="I3189">
        <v>51.7</v>
      </c>
      <c r="J3189">
        <v>48.6</v>
      </c>
      <c r="K3189">
        <v>16.399999999999999</v>
      </c>
      <c r="L3189">
        <v>14.8</v>
      </c>
      <c r="M3189">
        <v>27.6</v>
      </c>
      <c r="N3189">
        <v>25.2</v>
      </c>
      <c r="O3189">
        <v>27.2</v>
      </c>
      <c r="P3189">
        <v>28</v>
      </c>
      <c r="Q3189">
        <v>48.2</v>
      </c>
      <c r="R3189">
        <v>48.7</v>
      </c>
      <c r="S3189">
        <v>39.299999999999997</v>
      </c>
      <c r="T3189">
        <v>32.4</v>
      </c>
      <c r="U3189">
        <v>64.599999999999994</v>
      </c>
      <c r="V3189">
        <v>2.4</v>
      </c>
      <c r="W3189" cm="1">
        <f t="array" ref="W3189">_xlfn.IFS(OR(X3189="N/A",X3189="NA"),0,OR(X3189="R64",X3189="R68"),1,X3189="R32",2,X3189="S16",3,X3189="E8",4,X3189="F4",5,X3189="2ND",6,X3189="Champions",7)</f>
        <v>3</v>
      </c>
      <c r="X3189" t="s">
        <v>424</v>
      </c>
      <c r="Y3189">
        <v>7</v>
      </c>
      <c r="Z3189">
        <v>2023</v>
      </c>
    </row>
    <row r="3190" spans="1:26" x14ac:dyDescent="0.3">
      <c r="A3190" t="s">
        <v>149</v>
      </c>
      <c r="B3190" t="s">
        <v>31</v>
      </c>
      <c r="C3190">
        <v>35</v>
      </c>
      <c r="D3190">
        <v>22</v>
      </c>
      <c r="E3190" s="1">
        <f t="shared" si="49"/>
        <v>0.62857142857142856</v>
      </c>
      <c r="F3190">
        <v>112.6</v>
      </c>
      <c r="G3190">
        <v>95.8</v>
      </c>
      <c r="H3190">
        <v>0.86580000000000001</v>
      </c>
      <c r="I3190">
        <v>50.8</v>
      </c>
      <c r="J3190">
        <v>47.7</v>
      </c>
      <c r="K3190">
        <v>16.5</v>
      </c>
      <c r="L3190">
        <v>18.399999999999999</v>
      </c>
      <c r="M3190">
        <v>30</v>
      </c>
      <c r="N3190">
        <v>28.1</v>
      </c>
      <c r="O3190">
        <v>34.299999999999997</v>
      </c>
      <c r="P3190">
        <v>28.4</v>
      </c>
      <c r="Q3190">
        <v>51.8</v>
      </c>
      <c r="R3190">
        <v>47.4</v>
      </c>
      <c r="S3190">
        <v>32.799999999999997</v>
      </c>
      <c r="T3190">
        <v>32.299999999999997</v>
      </c>
      <c r="U3190">
        <v>64.3</v>
      </c>
      <c r="V3190">
        <v>1</v>
      </c>
      <c r="W3190" cm="1">
        <f t="array" ref="W3190">_xlfn.IFS(OR(X3190="N/A",X3190="NA"),0,OR(X3190="R64",X3190="R68"),1,X3190="R32",2,X3190="S16",3,X3190="E8",4,X3190="F4",5,X3190="2ND",6,X3190="Champions",7)</f>
        <v>2</v>
      </c>
      <c r="X3190" t="s">
        <v>420</v>
      </c>
      <c r="Y3190">
        <v>8</v>
      </c>
      <c r="Z3190">
        <v>2023</v>
      </c>
    </row>
    <row r="3191" spans="1:26" x14ac:dyDescent="0.3">
      <c r="A3191" t="s">
        <v>148</v>
      </c>
      <c r="B3191" t="s">
        <v>31</v>
      </c>
      <c r="C3191">
        <v>33</v>
      </c>
      <c r="D3191">
        <v>19</v>
      </c>
      <c r="E3191" s="1">
        <f t="shared" si="49"/>
        <v>0.5757575757575758</v>
      </c>
      <c r="F3191">
        <v>119.9</v>
      </c>
      <c r="G3191">
        <v>103.9</v>
      </c>
      <c r="H3191">
        <v>0.83850000000000002</v>
      </c>
      <c r="I3191">
        <v>51.7</v>
      </c>
      <c r="J3191">
        <v>53.3</v>
      </c>
      <c r="K3191">
        <v>14</v>
      </c>
      <c r="L3191">
        <v>18.2</v>
      </c>
      <c r="M3191">
        <v>32.1</v>
      </c>
      <c r="N3191">
        <v>27.4</v>
      </c>
      <c r="O3191">
        <v>32.299999999999997</v>
      </c>
      <c r="P3191">
        <v>23.8</v>
      </c>
      <c r="Q3191">
        <v>52.1</v>
      </c>
      <c r="R3191">
        <v>52.5</v>
      </c>
      <c r="S3191">
        <v>34</v>
      </c>
      <c r="T3191">
        <v>36.6</v>
      </c>
      <c r="U3191">
        <v>69.599999999999994</v>
      </c>
      <c r="V3191">
        <v>0.3</v>
      </c>
      <c r="W3191" cm="1">
        <f t="array" ref="W3191">_xlfn.IFS(OR(X3191="N/A",X3191="NA"),0,OR(X3191="R64",X3191="R68"),1,X3191="R32",2,X3191="S16",3,X3191="E8",4,X3191="F4",5,X3191="2ND",6,X3191="Champions",7)</f>
        <v>1</v>
      </c>
      <c r="X3191" t="s">
        <v>422</v>
      </c>
      <c r="Y3191">
        <v>8</v>
      </c>
      <c r="Z3191">
        <v>2023</v>
      </c>
    </row>
    <row r="3192" spans="1:26" x14ac:dyDescent="0.3">
      <c r="A3192" t="s">
        <v>123</v>
      </c>
      <c r="B3192" t="s">
        <v>50</v>
      </c>
      <c r="C3192">
        <v>35</v>
      </c>
      <c r="D3192">
        <v>26</v>
      </c>
      <c r="E3192" s="1">
        <f t="shared" si="49"/>
        <v>0.74285714285714288</v>
      </c>
      <c r="F3192">
        <v>115.4</v>
      </c>
      <c r="G3192">
        <v>95</v>
      </c>
      <c r="H3192">
        <v>0.90300000000000002</v>
      </c>
      <c r="I3192">
        <v>53</v>
      </c>
      <c r="J3192">
        <v>46.7</v>
      </c>
      <c r="K3192">
        <v>18.3</v>
      </c>
      <c r="L3192">
        <v>20.8</v>
      </c>
      <c r="M3192">
        <v>31.2</v>
      </c>
      <c r="N3192">
        <v>32.700000000000003</v>
      </c>
      <c r="O3192">
        <v>35.4</v>
      </c>
      <c r="P3192">
        <v>34.4</v>
      </c>
      <c r="Q3192">
        <v>53.1</v>
      </c>
      <c r="R3192">
        <v>47.1</v>
      </c>
      <c r="S3192">
        <v>35.299999999999997</v>
      </c>
      <c r="T3192">
        <v>30.8</v>
      </c>
      <c r="U3192">
        <v>71</v>
      </c>
      <c r="V3192">
        <v>4.7</v>
      </c>
      <c r="W3192" cm="1">
        <f t="array" ref="W3192">_xlfn.IFS(OR(X3192="N/A",X3192="NA"),0,OR(X3192="R64",X3192="R68"),1,X3192="R32",2,X3192="S16",3,X3192="E8",4,X3192="F4",5,X3192="2ND",6,X3192="Champions",7)</f>
        <v>1</v>
      </c>
      <c r="X3192" t="s">
        <v>422</v>
      </c>
      <c r="Y3192">
        <v>8</v>
      </c>
      <c r="Z3192">
        <v>2023</v>
      </c>
    </row>
    <row r="3193" spans="1:26" x14ac:dyDescent="0.3">
      <c r="A3193" t="s">
        <v>364</v>
      </c>
      <c r="B3193" t="s">
        <v>29</v>
      </c>
      <c r="C3193">
        <v>36</v>
      </c>
      <c r="D3193">
        <v>22</v>
      </c>
      <c r="E3193" s="1">
        <f t="shared" si="49"/>
        <v>0.61111111111111116</v>
      </c>
      <c r="F3193">
        <v>111.9</v>
      </c>
      <c r="G3193">
        <v>93.3</v>
      </c>
      <c r="H3193">
        <v>0.88939999999999997</v>
      </c>
      <c r="I3193">
        <v>50.9</v>
      </c>
      <c r="J3193">
        <v>47.2</v>
      </c>
      <c r="K3193">
        <v>18.100000000000001</v>
      </c>
      <c r="L3193">
        <v>20.5</v>
      </c>
      <c r="M3193">
        <v>30.8</v>
      </c>
      <c r="N3193">
        <v>27.9</v>
      </c>
      <c r="O3193">
        <v>39.299999999999997</v>
      </c>
      <c r="P3193">
        <v>39.5</v>
      </c>
      <c r="Q3193">
        <v>52.5</v>
      </c>
      <c r="R3193">
        <v>47.4</v>
      </c>
      <c r="S3193">
        <v>31.3</v>
      </c>
      <c r="T3193">
        <v>31.1</v>
      </c>
      <c r="U3193">
        <v>69.5</v>
      </c>
      <c r="V3193">
        <v>0.4</v>
      </c>
      <c r="W3193" cm="1">
        <f t="array" ref="W3193">_xlfn.IFS(OR(X3193="N/A",X3193="NA"),0,OR(X3193="R64",X3193="R68"),1,X3193="R32",2,X3193="S16",3,X3193="E8",4,X3193="F4",5,X3193="2ND",6,X3193="Champions",7)</f>
        <v>3</v>
      </c>
      <c r="X3193" t="s">
        <v>424</v>
      </c>
      <c r="Y3193">
        <v>8</v>
      </c>
      <c r="Z3193">
        <v>2023</v>
      </c>
    </row>
    <row r="3194" spans="1:26" x14ac:dyDescent="0.3">
      <c r="A3194" t="s">
        <v>209</v>
      </c>
      <c r="B3194" t="s">
        <v>40</v>
      </c>
      <c r="C3194">
        <v>37</v>
      </c>
      <c r="D3194">
        <v>35</v>
      </c>
      <c r="E3194" s="1">
        <f t="shared" si="49"/>
        <v>0.94594594594594594</v>
      </c>
      <c r="F3194">
        <v>114</v>
      </c>
      <c r="G3194">
        <v>95.8</v>
      </c>
      <c r="H3194">
        <v>0.88149999999999995</v>
      </c>
      <c r="I3194">
        <v>54.3</v>
      </c>
      <c r="J3194">
        <v>46.1</v>
      </c>
      <c r="K3194">
        <v>16.899999999999999</v>
      </c>
      <c r="L3194">
        <v>17.7</v>
      </c>
      <c r="M3194">
        <v>31.4</v>
      </c>
      <c r="N3194">
        <v>25.4</v>
      </c>
      <c r="O3194">
        <v>29.6</v>
      </c>
      <c r="P3194">
        <v>26.3</v>
      </c>
      <c r="Q3194">
        <v>53.8</v>
      </c>
      <c r="R3194">
        <v>44.7</v>
      </c>
      <c r="S3194">
        <v>36.6</v>
      </c>
      <c r="T3194">
        <v>32.4</v>
      </c>
      <c r="U3194">
        <v>67.5</v>
      </c>
      <c r="V3194">
        <v>4.7</v>
      </c>
      <c r="W3194" cm="1">
        <f t="array" ref="W3194">_xlfn.IFS(OR(X3194="N/A",X3194="NA"),0,OR(X3194="R64",X3194="R68"),1,X3194="R32",2,X3194="S16",3,X3194="E8",4,X3194="F4",5,X3194="2ND",6,X3194="Champions",7)</f>
        <v>5</v>
      </c>
      <c r="X3194" t="s">
        <v>83</v>
      </c>
      <c r="Y3194">
        <v>9</v>
      </c>
      <c r="Z3194">
        <v>2023</v>
      </c>
    </row>
    <row r="3195" spans="1:26" x14ac:dyDescent="0.3">
      <c r="A3195" t="s">
        <v>87</v>
      </c>
      <c r="B3195" t="s">
        <v>29</v>
      </c>
      <c r="C3195">
        <v>34</v>
      </c>
      <c r="D3195">
        <v>21</v>
      </c>
      <c r="E3195" s="1">
        <f t="shared" si="49"/>
        <v>0.61764705882352944</v>
      </c>
      <c r="F3195">
        <v>113.1</v>
      </c>
      <c r="G3195">
        <v>94.9</v>
      </c>
      <c r="H3195">
        <v>0.88290000000000002</v>
      </c>
      <c r="I3195">
        <v>49.5</v>
      </c>
      <c r="J3195">
        <v>45.7</v>
      </c>
      <c r="K3195">
        <v>17.7</v>
      </c>
      <c r="L3195">
        <v>18.899999999999999</v>
      </c>
      <c r="M3195">
        <v>32.799999999999997</v>
      </c>
      <c r="N3195">
        <v>32.4</v>
      </c>
      <c r="O3195">
        <v>36.299999999999997</v>
      </c>
      <c r="P3195">
        <v>38.9</v>
      </c>
      <c r="Q3195">
        <v>50.7</v>
      </c>
      <c r="R3195">
        <v>47</v>
      </c>
      <c r="S3195">
        <v>31.5</v>
      </c>
      <c r="T3195">
        <v>28.8</v>
      </c>
      <c r="U3195">
        <v>67.599999999999994</v>
      </c>
      <c r="V3195">
        <v>1.1000000000000001</v>
      </c>
      <c r="W3195" cm="1">
        <f t="array" ref="W3195">_xlfn.IFS(OR(X3195="N/A",X3195="NA"),0,OR(X3195="R64",X3195="R68"),1,X3195="R32",2,X3195="S16",3,X3195="E8",4,X3195="F4",5,X3195="2ND",6,X3195="Champions",7)</f>
        <v>2</v>
      </c>
      <c r="X3195" t="s">
        <v>420</v>
      </c>
      <c r="Y3195">
        <v>9</v>
      </c>
      <c r="Z3195">
        <v>2023</v>
      </c>
    </row>
    <row r="3196" spans="1:26" x14ac:dyDescent="0.3">
      <c r="A3196" t="s">
        <v>155</v>
      </c>
      <c r="B3196" t="s">
        <v>35</v>
      </c>
      <c r="C3196">
        <v>34</v>
      </c>
      <c r="D3196">
        <v>19</v>
      </c>
      <c r="E3196" s="1">
        <f t="shared" si="49"/>
        <v>0.55882352941176472</v>
      </c>
      <c r="F3196">
        <v>117.2</v>
      </c>
      <c r="G3196">
        <v>97.5</v>
      </c>
      <c r="H3196">
        <v>0.89329999999999998</v>
      </c>
      <c r="I3196">
        <v>51.5</v>
      </c>
      <c r="J3196">
        <v>50.9</v>
      </c>
      <c r="K3196">
        <v>18.5</v>
      </c>
      <c r="L3196">
        <v>20.9</v>
      </c>
      <c r="M3196">
        <v>34</v>
      </c>
      <c r="N3196">
        <v>29.3</v>
      </c>
      <c r="O3196">
        <v>39.4</v>
      </c>
      <c r="P3196">
        <v>38.700000000000003</v>
      </c>
      <c r="Q3196">
        <v>50.9</v>
      </c>
      <c r="R3196">
        <v>50.8</v>
      </c>
      <c r="S3196">
        <v>35</v>
      </c>
      <c r="T3196">
        <v>34</v>
      </c>
      <c r="U3196">
        <v>68.400000000000006</v>
      </c>
      <c r="V3196">
        <v>1.5</v>
      </c>
      <c r="W3196" cm="1">
        <f t="array" ref="W3196">_xlfn.IFS(OR(X3196="N/A",X3196="NA"),0,OR(X3196="R64",X3196="R68"),1,X3196="R32",2,X3196="S16",3,X3196="E8",4,X3196="F4",5,X3196="2ND",6,X3196="Champions",7)</f>
        <v>1</v>
      </c>
      <c r="X3196" t="s">
        <v>422</v>
      </c>
      <c r="Y3196">
        <v>9</v>
      </c>
      <c r="Z3196">
        <v>2023</v>
      </c>
    </row>
    <row r="3197" spans="1:26" x14ac:dyDescent="0.3">
      <c r="A3197" t="s">
        <v>141</v>
      </c>
      <c r="B3197" t="s">
        <v>31</v>
      </c>
      <c r="C3197">
        <v>33</v>
      </c>
      <c r="D3197">
        <v>20</v>
      </c>
      <c r="E3197" s="1">
        <f t="shared" si="49"/>
        <v>0.60606060606060608</v>
      </c>
      <c r="F3197">
        <v>108.9</v>
      </c>
      <c r="G3197">
        <v>95.4</v>
      </c>
      <c r="H3197">
        <v>0.8216</v>
      </c>
      <c r="I3197">
        <v>51.4</v>
      </c>
      <c r="J3197">
        <v>46.7</v>
      </c>
      <c r="K3197">
        <v>18.399999999999999</v>
      </c>
      <c r="L3197">
        <v>18.5</v>
      </c>
      <c r="M3197">
        <v>31.6</v>
      </c>
      <c r="N3197">
        <v>26.7</v>
      </c>
      <c r="O3197">
        <v>34.299999999999997</v>
      </c>
      <c r="P3197">
        <v>30.1</v>
      </c>
      <c r="Q3197">
        <v>55.1</v>
      </c>
      <c r="R3197">
        <v>45.1</v>
      </c>
      <c r="S3197">
        <v>30.8</v>
      </c>
      <c r="T3197">
        <v>33.4</v>
      </c>
      <c r="U3197">
        <v>69.8</v>
      </c>
      <c r="V3197">
        <v>0.9</v>
      </c>
      <c r="W3197" cm="1">
        <f t="array" ref="W3197">_xlfn.IFS(OR(X3197="N/A",X3197="NA"),0,OR(X3197="R64",X3197="R68"),1,X3197="R32",2,X3197="S16",3,X3197="E8",4,X3197="F4",5,X3197="2ND",6,X3197="Champions",7)</f>
        <v>1</v>
      </c>
      <c r="X3197" t="s">
        <v>422</v>
      </c>
      <c r="Y3197">
        <v>9</v>
      </c>
      <c r="Z3197">
        <v>2023</v>
      </c>
    </row>
    <row r="3198" spans="1:26" x14ac:dyDescent="0.3">
      <c r="A3198" t="s">
        <v>145</v>
      </c>
      <c r="B3198" t="s">
        <v>31</v>
      </c>
      <c r="C3198">
        <v>37</v>
      </c>
      <c r="D3198">
        <v>23</v>
      </c>
      <c r="E3198" s="1">
        <f t="shared" si="49"/>
        <v>0.6216216216216216</v>
      </c>
      <c r="F3198">
        <v>117.5</v>
      </c>
      <c r="G3198">
        <v>100.7</v>
      </c>
      <c r="H3198">
        <v>0.85470000000000002</v>
      </c>
      <c r="I3198">
        <v>55.4</v>
      </c>
      <c r="J3198">
        <v>49.1</v>
      </c>
      <c r="K3198">
        <v>13.7</v>
      </c>
      <c r="L3198">
        <v>13.1</v>
      </c>
      <c r="M3198">
        <v>19.2</v>
      </c>
      <c r="N3198">
        <v>25.6</v>
      </c>
      <c r="O3198">
        <v>21.3</v>
      </c>
      <c r="P3198">
        <v>25.5</v>
      </c>
      <c r="Q3198">
        <v>53.1</v>
      </c>
      <c r="R3198">
        <v>49.2</v>
      </c>
      <c r="S3198">
        <v>38.700000000000003</v>
      </c>
      <c r="T3198">
        <v>32.700000000000003</v>
      </c>
      <c r="U3198">
        <v>64.3</v>
      </c>
      <c r="V3198">
        <v>1.3</v>
      </c>
      <c r="W3198" cm="1">
        <f t="array" ref="W3198">_xlfn.IFS(OR(X3198="N/A",X3198="NA"),0,OR(X3198="R64",X3198="R68"),1,X3198="R32",2,X3198="S16",3,X3198="E8",4,X3198="F4",5,X3198="2ND",6,X3198="Champions",7)</f>
        <v>2</v>
      </c>
      <c r="X3198" t="s">
        <v>420</v>
      </c>
      <c r="Y3198">
        <v>10</v>
      </c>
      <c r="Z3198">
        <v>2023</v>
      </c>
    </row>
    <row r="3199" spans="1:26" x14ac:dyDescent="0.3">
      <c r="A3199" t="s">
        <v>321</v>
      </c>
      <c r="B3199" t="s">
        <v>38</v>
      </c>
      <c r="C3199">
        <v>33</v>
      </c>
      <c r="D3199">
        <v>22</v>
      </c>
      <c r="E3199" s="1">
        <f t="shared" si="49"/>
        <v>0.66666666666666663</v>
      </c>
      <c r="F3199">
        <v>111.8</v>
      </c>
      <c r="G3199">
        <v>97.4</v>
      </c>
      <c r="H3199">
        <v>0.82979999999999998</v>
      </c>
      <c r="I3199">
        <v>51.2</v>
      </c>
      <c r="J3199">
        <v>45.4</v>
      </c>
      <c r="K3199">
        <v>18.100000000000001</v>
      </c>
      <c r="L3199">
        <v>17.899999999999999</v>
      </c>
      <c r="M3199">
        <v>28.8</v>
      </c>
      <c r="N3199">
        <v>32.700000000000003</v>
      </c>
      <c r="O3199">
        <v>33.200000000000003</v>
      </c>
      <c r="P3199">
        <v>30.2</v>
      </c>
      <c r="Q3199">
        <v>51</v>
      </c>
      <c r="R3199">
        <v>42.7</v>
      </c>
      <c r="S3199">
        <v>34.5</v>
      </c>
      <c r="T3199">
        <v>33.4</v>
      </c>
      <c r="U3199">
        <v>68</v>
      </c>
      <c r="V3199">
        <v>2.1</v>
      </c>
      <c r="W3199" cm="1">
        <f t="array" ref="W3199">_xlfn.IFS(OR(X3199="N/A",X3199="NA"),0,OR(X3199="R64",X3199="R68"),1,X3199="R32",2,X3199="S16",3,X3199="E8",4,X3199="F4",5,X3199="2ND",6,X3199="Champions",7)</f>
        <v>1</v>
      </c>
      <c r="X3199" t="s">
        <v>422</v>
      </c>
      <c r="Y3199">
        <v>10</v>
      </c>
      <c r="Z3199">
        <v>2023</v>
      </c>
    </row>
    <row r="3200" spans="1:26" x14ac:dyDescent="0.3">
      <c r="A3200" t="s">
        <v>291</v>
      </c>
      <c r="B3200" t="s">
        <v>55</v>
      </c>
      <c r="C3200">
        <v>33</v>
      </c>
      <c r="D3200">
        <v>24</v>
      </c>
      <c r="E3200" s="1">
        <f t="shared" si="49"/>
        <v>0.72727272727272729</v>
      </c>
      <c r="F3200">
        <v>110.1</v>
      </c>
      <c r="G3200">
        <v>95.6</v>
      </c>
      <c r="H3200">
        <v>0.83609999999999995</v>
      </c>
      <c r="I3200">
        <v>51.6</v>
      </c>
      <c r="J3200">
        <v>47.5</v>
      </c>
      <c r="K3200">
        <v>16.600000000000001</v>
      </c>
      <c r="L3200">
        <v>17.5</v>
      </c>
      <c r="M3200">
        <v>27.2</v>
      </c>
      <c r="N3200">
        <v>24</v>
      </c>
      <c r="O3200">
        <v>30.3</v>
      </c>
      <c r="P3200">
        <v>27.6</v>
      </c>
      <c r="Q3200">
        <v>50.6</v>
      </c>
      <c r="R3200">
        <v>48</v>
      </c>
      <c r="S3200">
        <v>35.6</v>
      </c>
      <c r="T3200">
        <v>31.2</v>
      </c>
      <c r="U3200">
        <v>66.3</v>
      </c>
      <c r="V3200">
        <v>2.1</v>
      </c>
      <c r="W3200" cm="1">
        <f t="array" ref="W3200">_xlfn.IFS(OR(X3200="N/A",X3200="NA"),0,OR(X3200="R64",X3200="R68"),1,X3200="R32",2,X3200="S16",3,X3200="E8",4,X3200="F4",5,X3200="2ND",6,X3200="Champions",7)</f>
        <v>1</v>
      </c>
      <c r="X3200" t="s">
        <v>422</v>
      </c>
      <c r="Y3200">
        <v>10</v>
      </c>
      <c r="Z3200">
        <v>2023</v>
      </c>
    </row>
    <row r="3201" spans="1:26" x14ac:dyDescent="0.3">
      <c r="A3201" t="s">
        <v>290</v>
      </c>
      <c r="B3201" t="s">
        <v>55</v>
      </c>
      <c r="C3201">
        <v>34</v>
      </c>
      <c r="D3201">
        <v>26</v>
      </c>
      <c r="E3201" s="1">
        <f t="shared" si="49"/>
        <v>0.76470588235294112</v>
      </c>
      <c r="F3201">
        <v>115.4</v>
      </c>
      <c r="G3201">
        <v>98</v>
      </c>
      <c r="H3201">
        <v>0.86699999999999999</v>
      </c>
      <c r="I3201">
        <v>55.5</v>
      </c>
      <c r="J3201">
        <v>48.1</v>
      </c>
      <c r="K3201">
        <v>17.600000000000001</v>
      </c>
      <c r="L3201">
        <v>15.8</v>
      </c>
      <c r="M3201">
        <v>27.4</v>
      </c>
      <c r="N3201">
        <v>24.5</v>
      </c>
      <c r="O3201">
        <v>34.9</v>
      </c>
      <c r="P3201">
        <v>30.3</v>
      </c>
      <c r="Q3201">
        <v>54.5</v>
      </c>
      <c r="R3201">
        <v>46.2</v>
      </c>
      <c r="S3201">
        <v>37.9</v>
      </c>
      <c r="T3201">
        <v>34.5</v>
      </c>
      <c r="U3201">
        <v>68.599999999999994</v>
      </c>
      <c r="V3201">
        <v>2.9</v>
      </c>
      <c r="W3201" cm="1">
        <f t="array" ref="W3201">_xlfn.IFS(OR(X3201="N/A",X3201="NA"),0,OR(X3201="R64",X3201="R68"),1,X3201="R32",2,X3201="S16",3,X3201="E8",4,X3201="F4",5,X3201="2ND",6,X3201="Champions",7)</f>
        <v>1</v>
      </c>
      <c r="X3201" t="s">
        <v>422</v>
      </c>
      <c r="Y3201">
        <v>10</v>
      </c>
      <c r="Z3201">
        <v>2023</v>
      </c>
    </row>
    <row r="3202" spans="1:26" x14ac:dyDescent="0.3">
      <c r="A3202" t="s">
        <v>107</v>
      </c>
      <c r="B3202" t="s">
        <v>26</v>
      </c>
      <c r="C3202">
        <v>36</v>
      </c>
      <c r="D3202">
        <v>24</v>
      </c>
      <c r="E3202" s="1">
        <f t="shared" si="49"/>
        <v>0.66666666666666663</v>
      </c>
      <c r="F3202">
        <v>113.1</v>
      </c>
      <c r="G3202">
        <v>101.6</v>
      </c>
      <c r="H3202">
        <v>0.77429999999999999</v>
      </c>
      <c r="I3202">
        <v>52.5</v>
      </c>
      <c r="J3202">
        <v>48.5</v>
      </c>
      <c r="K3202">
        <v>16.3</v>
      </c>
      <c r="L3202">
        <v>16.600000000000001</v>
      </c>
      <c r="M3202">
        <v>29.5</v>
      </c>
      <c r="N3202">
        <v>28.6</v>
      </c>
      <c r="O3202">
        <v>32.9</v>
      </c>
      <c r="P3202">
        <v>30.4</v>
      </c>
      <c r="Q3202">
        <v>51.4</v>
      </c>
      <c r="R3202">
        <v>48.2</v>
      </c>
      <c r="S3202">
        <v>36</v>
      </c>
      <c r="T3202">
        <v>32.6</v>
      </c>
      <c r="U3202">
        <v>67.2</v>
      </c>
      <c r="V3202">
        <v>-0.3</v>
      </c>
      <c r="W3202" cm="1">
        <f t="array" ref="W3202">_xlfn.IFS(OR(X3202="N/A",X3202="NA"),0,OR(X3202="R64",X3202="R68"),1,X3202="R32",2,X3202="S16",3,X3202="E8",4,X3202="F4",5,X3202="2ND",6,X3202="Champions",7)</f>
        <v>2</v>
      </c>
      <c r="X3202" t="s">
        <v>420</v>
      </c>
      <c r="Y3202">
        <v>11</v>
      </c>
      <c r="Z3202">
        <v>2023</v>
      </c>
    </row>
    <row r="3203" spans="1:26" x14ac:dyDescent="0.3">
      <c r="A3203" t="s">
        <v>162</v>
      </c>
      <c r="B3203" t="s">
        <v>33</v>
      </c>
      <c r="C3203">
        <v>33</v>
      </c>
      <c r="D3203">
        <v>21</v>
      </c>
      <c r="E3203" s="1">
        <f t="shared" ref="E3203:E3266" si="50">D3203/C3203</f>
        <v>0.63636363636363635</v>
      </c>
      <c r="F3203">
        <v>114.9</v>
      </c>
      <c r="G3203">
        <v>101.2</v>
      </c>
      <c r="H3203">
        <v>0.81279999999999997</v>
      </c>
      <c r="I3203">
        <v>51.1</v>
      </c>
      <c r="J3203">
        <v>49.7</v>
      </c>
      <c r="K3203">
        <v>16.8</v>
      </c>
      <c r="L3203">
        <v>16.899999999999999</v>
      </c>
      <c r="M3203">
        <v>34.700000000000003</v>
      </c>
      <c r="N3203">
        <v>27.3</v>
      </c>
      <c r="O3203">
        <v>36.299999999999997</v>
      </c>
      <c r="P3203">
        <v>25.4</v>
      </c>
      <c r="Q3203">
        <v>50.8</v>
      </c>
      <c r="R3203">
        <v>49.2</v>
      </c>
      <c r="S3203">
        <v>34.6</v>
      </c>
      <c r="T3203">
        <v>33.799999999999997</v>
      </c>
      <c r="U3203">
        <v>66.8</v>
      </c>
      <c r="V3203">
        <v>1.3</v>
      </c>
      <c r="W3203" cm="1">
        <f t="array" ref="W3203">_xlfn.IFS(OR(X3203="N/A",X3203="NA"),0,OR(X3203="R64",X3203="R68"),1,X3203="R32",2,X3203="S16",3,X3203="E8",4,X3203="F4",5,X3203="2ND",6,X3203="Champions",7)</f>
        <v>1</v>
      </c>
      <c r="X3203" t="s">
        <v>422</v>
      </c>
      <c r="Y3203">
        <v>11</v>
      </c>
      <c r="Z3203">
        <v>2023</v>
      </c>
    </row>
    <row r="3204" spans="1:26" x14ac:dyDescent="0.3">
      <c r="A3204" t="s">
        <v>110</v>
      </c>
      <c r="B3204" t="s">
        <v>26</v>
      </c>
      <c r="C3204">
        <v>34</v>
      </c>
      <c r="D3204">
        <v>23</v>
      </c>
      <c r="E3204" s="1">
        <f t="shared" si="50"/>
        <v>0.67647058823529416</v>
      </c>
      <c r="F3204">
        <v>113.6</v>
      </c>
      <c r="G3204">
        <v>99.2</v>
      </c>
      <c r="H3204">
        <v>0.82720000000000005</v>
      </c>
      <c r="I3204">
        <v>51.5</v>
      </c>
      <c r="J3204">
        <v>49.8</v>
      </c>
      <c r="K3204">
        <v>13.5</v>
      </c>
      <c r="L3204">
        <v>18.8</v>
      </c>
      <c r="M3204">
        <v>30.4</v>
      </c>
      <c r="N3204">
        <v>26.2</v>
      </c>
      <c r="O3204">
        <v>25.3</v>
      </c>
      <c r="P3204">
        <v>34</v>
      </c>
      <c r="Q3204">
        <v>51.1</v>
      </c>
      <c r="R3204">
        <v>50.9</v>
      </c>
      <c r="S3204">
        <v>34.700000000000003</v>
      </c>
      <c r="T3204">
        <v>31.6</v>
      </c>
      <c r="U3204">
        <v>69.2</v>
      </c>
      <c r="V3204">
        <v>1.1000000000000001</v>
      </c>
      <c r="W3204" cm="1">
        <f t="array" ref="W3204">_xlfn.IFS(OR(X3204="N/A",X3204="NA"),0,OR(X3204="R64",X3204="R68"),1,X3204="R32",2,X3204="S16",3,X3204="E8",4,X3204="F4",5,X3204="2ND",6,X3204="Champions",7)</f>
        <v>1</v>
      </c>
      <c r="X3204" t="s">
        <v>422</v>
      </c>
      <c r="Y3204">
        <v>11</v>
      </c>
      <c r="Z3204">
        <v>2023</v>
      </c>
    </row>
    <row r="3205" spans="1:26" x14ac:dyDescent="0.3">
      <c r="A3205" t="s">
        <v>316</v>
      </c>
      <c r="B3205" t="s">
        <v>38</v>
      </c>
      <c r="C3205">
        <v>36</v>
      </c>
      <c r="D3205">
        <v>23</v>
      </c>
      <c r="E3205" s="1">
        <f t="shared" si="50"/>
        <v>0.63888888888888884</v>
      </c>
      <c r="F3205">
        <v>108.4</v>
      </c>
      <c r="G3205">
        <v>95</v>
      </c>
      <c r="H3205">
        <v>0.82069999999999999</v>
      </c>
      <c r="I3205">
        <v>48.4</v>
      </c>
      <c r="J3205">
        <v>46.5</v>
      </c>
      <c r="K3205">
        <v>16.8</v>
      </c>
      <c r="L3205">
        <v>20.100000000000001</v>
      </c>
      <c r="M3205">
        <v>29.2</v>
      </c>
      <c r="N3205">
        <v>31.5</v>
      </c>
      <c r="O3205">
        <v>31.2</v>
      </c>
      <c r="P3205">
        <v>33.5</v>
      </c>
      <c r="Q3205">
        <v>48.5</v>
      </c>
      <c r="R3205">
        <v>43.6</v>
      </c>
      <c r="S3205">
        <v>32.200000000000003</v>
      </c>
      <c r="T3205">
        <v>34.1</v>
      </c>
      <c r="U3205">
        <v>68.099999999999994</v>
      </c>
      <c r="V3205">
        <v>1.2</v>
      </c>
      <c r="W3205" cm="1">
        <f t="array" ref="W3205">_xlfn.IFS(OR(X3205="N/A",X3205="NA"),0,OR(X3205="R64",X3205="R68"),1,X3205="R32",2,X3205="S16",3,X3205="E8",4,X3205="F4",5,X3205="2ND",6,X3205="Champions",7)</f>
        <v>1</v>
      </c>
      <c r="X3205" t="s">
        <v>422</v>
      </c>
      <c r="Y3205">
        <v>11</v>
      </c>
      <c r="Z3205">
        <v>2023</v>
      </c>
    </row>
    <row r="3206" spans="1:26" x14ac:dyDescent="0.3">
      <c r="A3206" t="s">
        <v>359</v>
      </c>
      <c r="B3206" t="s">
        <v>29</v>
      </c>
      <c r="C3206">
        <v>34</v>
      </c>
      <c r="D3206">
        <v>21</v>
      </c>
      <c r="E3206" s="1">
        <f t="shared" si="50"/>
        <v>0.61764705882352944</v>
      </c>
      <c r="F3206">
        <v>103.4</v>
      </c>
      <c r="G3206">
        <v>91.8</v>
      </c>
      <c r="H3206">
        <v>0.79849999999999999</v>
      </c>
      <c r="I3206">
        <v>46.7</v>
      </c>
      <c r="J3206">
        <v>46.2</v>
      </c>
      <c r="K3206">
        <v>19.399999999999999</v>
      </c>
      <c r="L3206">
        <v>21.7</v>
      </c>
      <c r="M3206">
        <v>35.5</v>
      </c>
      <c r="N3206">
        <v>28.6</v>
      </c>
      <c r="O3206">
        <v>33.799999999999997</v>
      </c>
      <c r="P3206">
        <v>27.6</v>
      </c>
      <c r="Q3206">
        <v>50.4</v>
      </c>
      <c r="R3206">
        <v>45.8</v>
      </c>
      <c r="S3206">
        <v>26.6</v>
      </c>
      <c r="T3206">
        <v>31.1</v>
      </c>
      <c r="U3206">
        <v>63.6</v>
      </c>
      <c r="V3206">
        <v>0.4</v>
      </c>
      <c r="W3206" cm="1">
        <f t="array" ref="W3206">_xlfn.IFS(OR(X3206="N/A",X3206="NA"),0,OR(X3206="R64",X3206="R68"),1,X3206="R32",2,X3206="S16",3,X3206="E8",4,X3206="F4",5,X3206="2ND",6,X3206="Champions",7)</f>
        <v>1</v>
      </c>
      <c r="X3206" t="s">
        <v>423</v>
      </c>
      <c r="Y3206">
        <v>11</v>
      </c>
      <c r="Z3206">
        <v>2023</v>
      </c>
    </row>
    <row r="3207" spans="1:26" x14ac:dyDescent="0.3">
      <c r="A3207" t="s">
        <v>286</v>
      </c>
      <c r="B3207" t="s">
        <v>55</v>
      </c>
      <c r="C3207">
        <v>32</v>
      </c>
      <c r="D3207">
        <v>22</v>
      </c>
      <c r="E3207" s="1">
        <f t="shared" si="50"/>
        <v>0.6875</v>
      </c>
      <c r="F3207">
        <v>109.7</v>
      </c>
      <c r="G3207">
        <v>99.5</v>
      </c>
      <c r="H3207">
        <v>0.75419999999999998</v>
      </c>
      <c r="I3207">
        <v>50.7</v>
      </c>
      <c r="J3207">
        <v>49.8</v>
      </c>
      <c r="K3207">
        <v>15.3</v>
      </c>
      <c r="L3207">
        <v>18.5</v>
      </c>
      <c r="M3207">
        <v>22.8</v>
      </c>
      <c r="N3207">
        <v>24.9</v>
      </c>
      <c r="O3207">
        <v>39.1</v>
      </c>
      <c r="P3207">
        <v>31.8</v>
      </c>
      <c r="Q3207">
        <v>50.2</v>
      </c>
      <c r="R3207">
        <v>50</v>
      </c>
      <c r="S3207">
        <v>34.4</v>
      </c>
      <c r="T3207">
        <v>33</v>
      </c>
      <c r="U3207">
        <v>65.900000000000006</v>
      </c>
      <c r="V3207">
        <v>0.7</v>
      </c>
      <c r="W3207" cm="1">
        <f t="array" ref="W3207">_xlfn.IFS(OR(X3207="N/A",X3207="NA"),0,OR(X3207="R64",X3207="R68"),1,X3207="R32",2,X3207="S16",3,X3207="E8",4,X3207="F4",5,X3207="2ND",6,X3207="Champions",7)</f>
        <v>1</v>
      </c>
      <c r="X3207" t="s">
        <v>423</v>
      </c>
      <c r="Y3207">
        <v>11</v>
      </c>
      <c r="Z3207">
        <v>2023</v>
      </c>
    </row>
    <row r="3208" spans="1:26" x14ac:dyDescent="0.3">
      <c r="A3208" t="s">
        <v>276</v>
      </c>
      <c r="B3208" t="s">
        <v>47</v>
      </c>
      <c r="C3208">
        <v>34</v>
      </c>
      <c r="D3208">
        <v>27</v>
      </c>
      <c r="E3208" s="1">
        <f t="shared" si="50"/>
        <v>0.79411764705882348</v>
      </c>
      <c r="F3208">
        <v>108.8</v>
      </c>
      <c r="G3208">
        <v>95.6</v>
      </c>
      <c r="H3208">
        <v>0.8155</v>
      </c>
      <c r="I3208">
        <v>52.9</v>
      </c>
      <c r="J3208">
        <v>46.9</v>
      </c>
      <c r="K3208">
        <v>15.5</v>
      </c>
      <c r="L3208">
        <v>17.5</v>
      </c>
      <c r="M3208">
        <v>23.8</v>
      </c>
      <c r="N3208">
        <v>22.4</v>
      </c>
      <c r="O3208">
        <v>28.4</v>
      </c>
      <c r="P3208">
        <v>27.4</v>
      </c>
      <c r="Q3208">
        <v>51.9</v>
      </c>
      <c r="R3208">
        <v>46.9</v>
      </c>
      <c r="S3208">
        <v>36.4</v>
      </c>
      <c r="T3208">
        <v>31.3</v>
      </c>
      <c r="U3208">
        <v>66.3</v>
      </c>
      <c r="V3208">
        <v>-0.7</v>
      </c>
      <c r="W3208" cm="1">
        <f t="array" ref="W3208">_xlfn.IFS(OR(X3208="N/A",X3208="NA"),0,OR(X3208="R64",X3208="R68"),1,X3208="R32",2,X3208="S16",3,X3208="E8",4,X3208="F4",5,X3208="2ND",6,X3208="Champions",7)</f>
        <v>1</v>
      </c>
      <c r="X3208" t="s">
        <v>422</v>
      </c>
      <c r="Y3208">
        <v>12</v>
      </c>
      <c r="Z3208">
        <v>2023</v>
      </c>
    </row>
    <row r="3209" spans="1:26" x14ac:dyDescent="0.3">
      <c r="A3209" t="s">
        <v>102</v>
      </c>
      <c r="B3209" t="s">
        <v>45</v>
      </c>
      <c r="C3209">
        <v>35</v>
      </c>
      <c r="D3209">
        <v>27</v>
      </c>
      <c r="E3209" s="1">
        <f t="shared" si="50"/>
        <v>0.77142857142857146</v>
      </c>
      <c r="F3209">
        <v>105.5</v>
      </c>
      <c r="G3209">
        <v>93.4</v>
      </c>
      <c r="H3209">
        <v>0.80259999999999998</v>
      </c>
      <c r="I3209">
        <v>52</v>
      </c>
      <c r="J3209">
        <v>46.9</v>
      </c>
      <c r="K3209">
        <v>19.600000000000001</v>
      </c>
      <c r="L3209">
        <v>23.9</v>
      </c>
      <c r="M3209">
        <v>28.9</v>
      </c>
      <c r="N3209">
        <v>30</v>
      </c>
      <c r="O3209">
        <v>41.6</v>
      </c>
      <c r="P3209">
        <v>31.1</v>
      </c>
      <c r="Q3209">
        <v>51.9</v>
      </c>
      <c r="R3209">
        <v>46.4</v>
      </c>
      <c r="S3209">
        <v>34.799999999999997</v>
      </c>
      <c r="T3209">
        <v>31.9</v>
      </c>
      <c r="U3209">
        <v>67.900000000000006</v>
      </c>
      <c r="V3209">
        <v>1</v>
      </c>
      <c r="W3209" cm="1">
        <f t="array" ref="W3209">_xlfn.IFS(OR(X3209="N/A",X3209="NA"),0,OR(X3209="R64",X3209="R68"),1,X3209="R32",2,X3209="S16",3,X3209="E8",4,X3209="F4",5,X3209="2ND",6,X3209="Champions",7)</f>
        <v>1</v>
      </c>
      <c r="X3209" t="s">
        <v>422</v>
      </c>
      <c r="Y3209">
        <v>12</v>
      </c>
      <c r="Z3209">
        <v>2023</v>
      </c>
    </row>
    <row r="3210" spans="1:26" x14ac:dyDescent="0.3">
      <c r="A3210" t="s">
        <v>384</v>
      </c>
      <c r="B3210" t="s">
        <v>72</v>
      </c>
      <c r="C3210">
        <v>31</v>
      </c>
      <c r="D3210">
        <v>30</v>
      </c>
      <c r="E3210" s="1">
        <f t="shared" si="50"/>
        <v>0.967741935483871</v>
      </c>
      <c r="F3210">
        <v>111.8</v>
      </c>
      <c r="G3210">
        <v>101.6</v>
      </c>
      <c r="H3210">
        <v>0.74870000000000003</v>
      </c>
      <c r="I3210">
        <v>55.4</v>
      </c>
      <c r="J3210">
        <v>48.6</v>
      </c>
      <c r="K3210">
        <v>13.3</v>
      </c>
      <c r="L3210">
        <v>17.399999999999999</v>
      </c>
      <c r="M3210">
        <v>24.5</v>
      </c>
      <c r="N3210">
        <v>27.7</v>
      </c>
      <c r="O3210">
        <v>24.2</v>
      </c>
      <c r="P3210">
        <v>21.7</v>
      </c>
      <c r="Q3210">
        <v>55.9</v>
      </c>
      <c r="R3210">
        <v>46.8</v>
      </c>
      <c r="S3210">
        <v>36.5</v>
      </c>
      <c r="T3210">
        <v>34.299999999999997</v>
      </c>
      <c r="U3210">
        <v>70.2</v>
      </c>
      <c r="V3210">
        <v>1.6</v>
      </c>
      <c r="W3210" cm="1">
        <f t="array" ref="W3210">_xlfn.IFS(OR(X3210="N/A",X3210="NA"),0,OR(X3210="R64",X3210="R68"),1,X3210="R32",2,X3210="S16",3,X3210="E8",4,X3210="F4",5,X3210="2ND",6,X3210="Champions",7)</f>
        <v>1</v>
      </c>
      <c r="X3210" t="s">
        <v>422</v>
      </c>
      <c r="Y3210">
        <v>12</v>
      </c>
      <c r="Z3210">
        <v>2023</v>
      </c>
    </row>
    <row r="3211" spans="1:26" x14ac:dyDescent="0.3">
      <c r="A3211" t="s">
        <v>197</v>
      </c>
      <c r="B3211" t="s">
        <v>53</v>
      </c>
      <c r="C3211">
        <v>34</v>
      </c>
      <c r="D3211">
        <v>31</v>
      </c>
      <c r="E3211" s="1">
        <f t="shared" si="50"/>
        <v>0.91176470588235292</v>
      </c>
      <c r="F3211">
        <v>109.4</v>
      </c>
      <c r="G3211">
        <v>97.7</v>
      </c>
      <c r="H3211">
        <v>0.78649999999999998</v>
      </c>
      <c r="I3211">
        <v>51.1</v>
      </c>
      <c r="J3211">
        <v>47.9</v>
      </c>
      <c r="K3211">
        <v>16.7</v>
      </c>
      <c r="L3211">
        <v>19.3</v>
      </c>
      <c r="M3211">
        <v>34.6</v>
      </c>
      <c r="N3211">
        <v>25.4</v>
      </c>
      <c r="O3211">
        <v>32.700000000000003</v>
      </c>
      <c r="P3211">
        <v>24.9</v>
      </c>
      <c r="Q3211">
        <v>52.5</v>
      </c>
      <c r="R3211">
        <v>49.1</v>
      </c>
      <c r="S3211">
        <v>33</v>
      </c>
      <c r="T3211">
        <v>30.1</v>
      </c>
      <c r="U3211">
        <v>71</v>
      </c>
      <c r="V3211">
        <v>1.7</v>
      </c>
      <c r="W3211" cm="1">
        <f t="array" ref="W3211">_xlfn.IFS(OR(X3211="N/A",X3211="NA"),0,OR(X3211="R64",X3211="R68"),1,X3211="R32",2,X3211="S16",3,X3211="E8",4,X3211="F4",5,X3211="2ND",6,X3211="Champions",7)</f>
        <v>1</v>
      </c>
      <c r="X3211" t="s">
        <v>422</v>
      </c>
      <c r="Y3211">
        <v>12</v>
      </c>
      <c r="Z3211">
        <v>2023</v>
      </c>
    </row>
    <row r="3212" spans="1:26" x14ac:dyDescent="0.3">
      <c r="A3212" t="s">
        <v>350</v>
      </c>
      <c r="B3212" t="s">
        <v>62</v>
      </c>
      <c r="C3212">
        <v>33</v>
      </c>
      <c r="D3212">
        <v>28</v>
      </c>
      <c r="E3212" s="1">
        <f t="shared" si="50"/>
        <v>0.84848484848484851</v>
      </c>
      <c r="F3212">
        <v>112.7</v>
      </c>
      <c r="G3212">
        <v>104.8</v>
      </c>
      <c r="H3212">
        <v>0.69840000000000002</v>
      </c>
      <c r="I3212">
        <v>55</v>
      </c>
      <c r="J3212">
        <v>50.7</v>
      </c>
      <c r="K3212">
        <v>15.7</v>
      </c>
      <c r="L3212">
        <v>18.2</v>
      </c>
      <c r="M3212">
        <v>28.9</v>
      </c>
      <c r="N3212">
        <v>27.3</v>
      </c>
      <c r="O3212">
        <v>34.799999999999997</v>
      </c>
      <c r="P3212">
        <v>31.9</v>
      </c>
      <c r="Q3212">
        <v>58.3</v>
      </c>
      <c r="R3212">
        <v>51.5</v>
      </c>
      <c r="S3212">
        <v>34.1</v>
      </c>
      <c r="T3212">
        <v>32.700000000000003</v>
      </c>
      <c r="U3212">
        <v>68.2</v>
      </c>
      <c r="V3212">
        <v>-2</v>
      </c>
      <c r="W3212" cm="1">
        <f t="array" ref="W3212">_xlfn.IFS(OR(X3212="N/A",X3212="NA"),0,OR(X3212="R64",X3212="R68"),1,X3212="R32",2,X3212="S16",3,X3212="E8",4,X3212="F4",5,X3212="2ND",6,X3212="Champions",7)</f>
        <v>2</v>
      </c>
      <c r="X3212" t="s">
        <v>420</v>
      </c>
      <c r="Y3212">
        <v>13</v>
      </c>
      <c r="Z3212">
        <v>2023</v>
      </c>
    </row>
    <row r="3213" spans="1:26" x14ac:dyDescent="0.3">
      <c r="A3213" t="s">
        <v>340</v>
      </c>
      <c r="B3213" t="s">
        <v>58</v>
      </c>
      <c r="C3213">
        <v>31</v>
      </c>
      <c r="D3213">
        <v>26</v>
      </c>
      <c r="E3213" s="1">
        <f t="shared" si="50"/>
        <v>0.83870967741935487</v>
      </c>
      <c r="F3213">
        <v>110.8</v>
      </c>
      <c r="G3213">
        <v>101.6</v>
      </c>
      <c r="H3213">
        <v>0.72989999999999999</v>
      </c>
      <c r="I3213">
        <v>52.8</v>
      </c>
      <c r="J3213">
        <v>50.5</v>
      </c>
      <c r="K3213">
        <v>17.7</v>
      </c>
      <c r="L3213">
        <v>18.399999999999999</v>
      </c>
      <c r="M3213">
        <v>33.299999999999997</v>
      </c>
      <c r="N3213">
        <v>26.3</v>
      </c>
      <c r="O3213">
        <v>37</v>
      </c>
      <c r="P3213">
        <v>34.200000000000003</v>
      </c>
      <c r="Q3213">
        <v>51.9</v>
      </c>
      <c r="R3213">
        <v>49.3</v>
      </c>
      <c r="S3213">
        <v>36.5</v>
      </c>
      <c r="T3213">
        <v>35.6</v>
      </c>
      <c r="U3213">
        <v>68.400000000000006</v>
      </c>
      <c r="V3213">
        <v>-0.5</v>
      </c>
      <c r="W3213" cm="1">
        <f t="array" ref="W3213">_xlfn.IFS(OR(X3213="N/A",X3213="NA"),0,OR(X3213="R64",X3213="R68"),1,X3213="R32",2,X3213="S16",3,X3213="E8",4,X3213="F4",5,X3213="2ND",6,X3213="Champions",7)</f>
        <v>1</v>
      </c>
      <c r="X3213" t="s">
        <v>422</v>
      </c>
      <c r="Y3213">
        <v>13</v>
      </c>
      <c r="Z3213">
        <v>2023</v>
      </c>
    </row>
    <row r="3214" spans="1:26" x14ac:dyDescent="0.3">
      <c r="A3214" t="s">
        <v>242</v>
      </c>
      <c r="B3214" t="s">
        <v>69</v>
      </c>
      <c r="C3214">
        <v>35</v>
      </c>
      <c r="D3214">
        <v>27</v>
      </c>
      <c r="E3214" s="1">
        <f t="shared" si="50"/>
        <v>0.77142857142857146</v>
      </c>
      <c r="F3214">
        <v>110.3</v>
      </c>
      <c r="G3214">
        <v>98.3</v>
      </c>
      <c r="H3214">
        <v>0.79090000000000005</v>
      </c>
      <c r="I3214">
        <v>51.6</v>
      </c>
      <c r="J3214">
        <v>46.3</v>
      </c>
      <c r="K3214">
        <v>15.1</v>
      </c>
      <c r="L3214">
        <v>20.7</v>
      </c>
      <c r="M3214">
        <v>31.6</v>
      </c>
      <c r="N3214">
        <v>30.8</v>
      </c>
      <c r="O3214">
        <v>29</v>
      </c>
      <c r="P3214">
        <v>30.9</v>
      </c>
      <c r="Q3214">
        <v>50.4</v>
      </c>
      <c r="R3214">
        <v>47.1</v>
      </c>
      <c r="S3214">
        <v>36.200000000000003</v>
      </c>
      <c r="T3214">
        <v>29.7</v>
      </c>
      <c r="U3214">
        <v>68.5</v>
      </c>
      <c r="V3214">
        <v>-1.7</v>
      </c>
      <c r="W3214" cm="1">
        <f t="array" ref="W3214">_xlfn.IFS(OR(X3214="N/A",X3214="NA"),0,OR(X3214="R64",X3214="R68"),1,X3214="R32",2,X3214="S16",3,X3214="E8",4,X3214="F4",5,X3214="2ND",6,X3214="Champions",7)</f>
        <v>1</v>
      </c>
      <c r="X3214" t="s">
        <v>422</v>
      </c>
      <c r="Y3214">
        <v>13</v>
      </c>
      <c r="Z3214">
        <v>2023</v>
      </c>
    </row>
    <row r="3215" spans="1:26" x14ac:dyDescent="0.3">
      <c r="A3215" t="s">
        <v>256</v>
      </c>
      <c r="B3215" t="s">
        <v>57</v>
      </c>
      <c r="C3215">
        <v>33</v>
      </c>
      <c r="D3215">
        <v>28</v>
      </c>
      <c r="E3215" s="1">
        <f t="shared" si="50"/>
        <v>0.84848484848484851</v>
      </c>
      <c r="F3215">
        <v>107</v>
      </c>
      <c r="G3215">
        <v>97</v>
      </c>
      <c r="H3215">
        <v>0.75600000000000001</v>
      </c>
      <c r="I3215">
        <v>50.8</v>
      </c>
      <c r="J3215">
        <v>47.3</v>
      </c>
      <c r="K3215">
        <v>16.3</v>
      </c>
      <c r="L3215">
        <v>22.3</v>
      </c>
      <c r="M3215">
        <v>31.3</v>
      </c>
      <c r="N3215">
        <v>30.2</v>
      </c>
      <c r="O3215">
        <v>31.5</v>
      </c>
      <c r="P3215">
        <v>38.1</v>
      </c>
      <c r="Q3215">
        <v>51.4</v>
      </c>
      <c r="R3215">
        <v>47.9</v>
      </c>
      <c r="S3215">
        <v>33.200000000000003</v>
      </c>
      <c r="T3215">
        <v>31</v>
      </c>
      <c r="U3215">
        <v>67.8</v>
      </c>
      <c r="V3215">
        <v>0.8</v>
      </c>
      <c r="W3215" cm="1">
        <f t="array" ref="W3215">_xlfn.IFS(OR(X3215="N/A",X3215="NA"),0,OR(X3215="R64",X3215="R68"),1,X3215="R32",2,X3215="S16",3,X3215="E8",4,X3215="F4",5,X3215="2ND",6,X3215="Champions",7)</f>
        <v>1</v>
      </c>
      <c r="X3215" t="s">
        <v>422</v>
      </c>
      <c r="Y3215">
        <v>13</v>
      </c>
      <c r="Z3215">
        <v>2023</v>
      </c>
    </row>
    <row r="3216" spans="1:26" x14ac:dyDescent="0.3">
      <c r="A3216" t="s">
        <v>402</v>
      </c>
      <c r="B3216" t="s">
        <v>51</v>
      </c>
      <c r="C3216">
        <v>33</v>
      </c>
      <c r="D3216">
        <v>24</v>
      </c>
      <c r="E3216" s="1">
        <f t="shared" si="50"/>
        <v>0.72727272727272729</v>
      </c>
      <c r="F3216">
        <v>111.3</v>
      </c>
      <c r="G3216">
        <v>106</v>
      </c>
      <c r="H3216">
        <v>0.63880000000000003</v>
      </c>
      <c r="I3216">
        <v>52.8</v>
      </c>
      <c r="J3216">
        <v>47.5</v>
      </c>
      <c r="K3216">
        <v>18.100000000000001</v>
      </c>
      <c r="L3216">
        <v>15.1</v>
      </c>
      <c r="M3216">
        <v>30.2</v>
      </c>
      <c r="N3216">
        <v>30.4</v>
      </c>
      <c r="O3216">
        <v>36.9</v>
      </c>
      <c r="P3216">
        <v>33.200000000000003</v>
      </c>
      <c r="Q3216">
        <v>50.4</v>
      </c>
      <c r="R3216">
        <v>47.1</v>
      </c>
      <c r="S3216">
        <v>37.6</v>
      </c>
      <c r="T3216">
        <v>32.299999999999997</v>
      </c>
      <c r="U3216">
        <v>64.900000000000006</v>
      </c>
      <c r="V3216">
        <v>-3.8</v>
      </c>
      <c r="W3216" cm="1">
        <f t="array" ref="W3216">_xlfn.IFS(OR(X3216="N/A",X3216="NA"),0,OR(X3216="R64",X3216="R68"),1,X3216="R32",2,X3216="S16",3,X3216="E8",4,X3216="F4",5,X3216="2ND",6,X3216="Champions",7)</f>
        <v>1</v>
      </c>
      <c r="X3216" t="s">
        <v>422</v>
      </c>
      <c r="Y3216">
        <v>14</v>
      </c>
      <c r="Z3216">
        <v>2023</v>
      </c>
    </row>
    <row r="3217" spans="1:26" x14ac:dyDescent="0.3">
      <c r="A3217" t="s">
        <v>167</v>
      </c>
      <c r="B3217" t="s">
        <v>164</v>
      </c>
      <c r="C3217">
        <v>33</v>
      </c>
      <c r="D3217">
        <v>25</v>
      </c>
      <c r="E3217" s="1">
        <f t="shared" si="50"/>
        <v>0.75757575757575757</v>
      </c>
      <c r="F3217">
        <v>105.1</v>
      </c>
      <c r="G3217">
        <v>98.2</v>
      </c>
      <c r="H3217">
        <v>0.68710000000000004</v>
      </c>
      <c r="I3217">
        <v>51</v>
      </c>
      <c r="J3217">
        <v>49.8</v>
      </c>
      <c r="K3217">
        <v>17.8</v>
      </c>
      <c r="L3217">
        <v>20.100000000000001</v>
      </c>
      <c r="M3217">
        <v>25.7</v>
      </c>
      <c r="N3217">
        <v>25.4</v>
      </c>
      <c r="O3217">
        <v>44</v>
      </c>
      <c r="P3217">
        <v>35.1</v>
      </c>
      <c r="Q3217">
        <v>52.6</v>
      </c>
      <c r="R3217">
        <v>48.8</v>
      </c>
      <c r="S3217">
        <v>31.8</v>
      </c>
      <c r="T3217">
        <v>34.6</v>
      </c>
      <c r="U3217">
        <v>66.3</v>
      </c>
      <c r="V3217">
        <v>-2.7</v>
      </c>
      <c r="W3217" cm="1">
        <f t="array" ref="W3217">_xlfn.IFS(OR(X3217="N/A",X3217="NA"),0,OR(X3217="R64",X3217="R68"),1,X3217="R32",2,X3217="S16",3,X3217="E8",4,X3217="F4",5,X3217="2ND",6,X3217="Champions",7)</f>
        <v>1</v>
      </c>
      <c r="X3217" t="s">
        <v>422</v>
      </c>
      <c r="Y3217">
        <v>14</v>
      </c>
      <c r="Z3217">
        <v>2023</v>
      </c>
    </row>
    <row r="3218" spans="1:26" x14ac:dyDescent="0.3">
      <c r="A3218" t="s">
        <v>133</v>
      </c>
      <c r="B3218" t="s">
        <v>131</v>
      </c>
      <c r="C3218">
        <v>32</v>
      </c>
      <c r="D3218">
        <v>26</v>
      </c>
      <c r="E3218" s="1">
        <f t="shared" si="50"/>
        <v>0.8125</v>
      </c>
      <c r="F3218">
        <v>105.6</v>
      </c>
      <c r="G3218">
        <v>100.3</v>
      </c>
      <c r="H3218">
        <v>0.64280000000000004</v>
      </c>
      <c r="I3218">
        <v>52.7</v>
      </c>
      <c r="J3218">
        <v>51.1</v>
      </c>
      <c r="K3218">
        <v>17.8</v>
      </c>
      <c r="L3218">
        <v>19.5</v>
      </c>
      <c r="M3218">
        <v>27.3</v>
      </c>
      <c r="N3218">
        <v>25.4</v>
      </c>
      <c r="O3218">
        <v>35.9</v>
      </c>
      <c r="P3218">
        <v>36.799999999999997</v>
      </c>
      <c r="Q3218">
        <v>51.2</v>
      </c>
      <c r="R3218">
        <v>50.6</v>
      </c>
      <c r="S3218">
        <v>36.799999999999997</v>
      </c>
      <c r="T3218">
        <v>34.5</v>
      </c>
      <c r="U3218">
        <v>68.400000000000006</v>
      </c>
      <c r="V3218">
        <v>-1.4</v>
      </c>
      <c r="W3218" cm="1">
        <f t="array" ref="W3218">_xlfn.IFS(OR(X3218="N/A",X3218="NA"),0,OR(X3218="R64",X3218="R68"),1,X3218="R32",2,X3218="S16",3,X3218="E8",4,X3218="F4",5,X3218="2ND",6,X3218="Champions",7)</f>
        <v>1</v>
      </c>
      <c r="X3218" t="s">
        <v>422</v>
      </c>
      <c r="Y3218">
        <v>14</v>
      </c>
      <c r="Z3218">
        <v>2023</v>
      </c>
    </row>
    <row r="3219" spans="1:26" x14ac:dyDescent="0.3">
      <c r="A3219" t="s">
        <v>195</v>
      </c>
      <c r="B3219" t="s">
        <v>48</v>
      </c>
      <c r="C3219">
        <v>33</v>
      </c>
      <c r="D3219">
        <v>27</v>
      </c>
      <c r="E3219" s="1">
        <f t="shared" si="50"/>
        <v>0.81818181818181823</v>
      </c>
      <c r="F3219">
        <v>110</v>
      </c>
      <c r="G3219">
        <v>105.7</v>
      </c>
      <c r="H3219">
        <v>0.61260000000000003</v>
      </c>
      <c r="I3219">
        <v>54.1</v>
      </c>
      <c r="J3219">
        <v>50.1</v>
      </c>
      <c r="K3219">
        <v>17</v>
      </c>
      <c r="L3219">
        <v>18.5</v>
      </c>
      <c r="M3219">
        <v>26.3</v>
      </c>
      <c r="N3219">
        <v>26.1</v>
      </c>
      <c r="O3219">
        <v>34.4</v>
      </c>
      <c r="P3219">
        <v>29.2</v>
      </c>
      <c r="Q3219">
        <v>54.8</v>
      </c>
      <c r="R3219">
        <v>49.3</v>
      </c>
      <c r="S3219">
        <v>34.799999999999997</v>
      </c>
      <c r="T3219">
        <v>34.6</v>
      </c>
      <c r="U3219">
        <v>64.400000000000006</v>
      </c>
      <c r="V3219">
        <v>-1.5</v>
      </c>
      <c r="W3219" cm="1">
        <f t="array" ref="W3219">_xlfn.IFS(OR(X3219="N/A",X3219="NA"),0,OR(X3219="R64",X3219="R68"),1,X3219="R32",2,X3219="S16",3,X3219="E8",4,X3219="F4",5,X3219="2ND",6,X3219="Champions",7)</f>
        <v>1</v>
      </c>
      <c r="X3219" t="s">
        <v>422</v>
      </c>
      <c r="Y3219">
        <v>14</v>
      </c>
      <c r="Z3219">
        <v>2023</v>
      </c>
    </row>
    <row r="3220" spans="1:26" x14ac:dyDescent="0.3">
      <c r="A3220" t="s">
        <v>119</v>
      </c>
      <c r="B3220" t="s">
        <v>112</v>
      </c>
      <c r="C3220">
        <v>33</v>
      </c>
      <c r="D3220">
        <v>23</v>
      </c>
      <c r="E3220" s="1">
        <f t="shared" si="50"/>
        <v>0.69696969696969702</v>
      </c>
      <c r="F3220">
        <v>109.7</v>
      </c>
      <c r="G3220">
        <v>102.5</v>
      </c>
      <c r="H3220">
        <v>0.68730000000000002</v>
      </c>
      <c r="I3220">
        <v>54.8</v>
      </c>
      <c r="J3220">
        <v>51</v>
      </c>
      <c r="K3220">
        <v>14.3</v>
      </c>
      <c r="L3220">
        <v>16.600000000000001</v>
      </c>
      <c r="M3220">
        <v>19.2</v>
      </c>
      <c r="N3220">
        <v>22.3</v>
      </c>
      <c r="O3220">
        <v>28.1</v>
      </c>
      <c r="P3220">
        <v>26.9</v>
      </c>
      <c r="Q3220">
        <v>55.4</v>
      </c>
      <c r="R3220">
        <v>50.1</v>
      </c>
      <c r="S3220">
        <v>36</v>
      </c>
      <c r="T3220">
        <v>35.1</v>
      </c>
      <c r="U3220">
        <v>64.5</v>
      </c>
      <c r="V3220">
        <v>-3.8</v>
      </c>
      <c r="W3220" cm="1">
        <f t="array" ref="W3220">_xlfn.IFS(OR(X3220="N/A",X3220="NA"),0,OR(X3220="R64",X3220="R68"),1,X3220="R32",2,X3220="S16",3,X3220="E8",4,X3220="F4",5,X3220="2ND",6,X3220="Champions",7)</f>
        <v>1</v>
      </c>
      <c r="X3220" t="s">
        <v>422</v>
      </c>
      <c r="Y3220">
        <v>15</v>
      </c>
      <c r="Z3220">
        <v>2023</v>
      </c>
    </row>
    <row r="3221" spans="1:26" x14ac:dyDescent="0.3">
      <c r="A3221" t="s">
        <v>330</v>
      </c>
      <c r="B3221" t="s">
        <v>67</v>
      </c>
      <c r="C3221">
        <v>34</v>
      </c>
      <c r="D3221">
        <v>26</v>
      </c>
      <c r="E3221" s="1">
        <f t="shared" si="50"/>
        <v>0.76470588235294112</v>
      </c>
      <c r="F3221">
        <v>112.5</v>
      </c>
      <c r="G3221">
        <v>106.1</v>
      </c>
      <c r="H3221">
        <v>0.66069999999999995</v>
      </c>
      <c r="I3221">
        <v>58.2</v>
      </c>
      <c r="J3221">
        <v>52.2</v>
      </c>
      <c r="K3221">
        <v>15</v>
      </c>
      <c r="L3221">
        <v>17.600000000000001</v>
      </c>
      <c r="M3221">
        <v>25</v>
      </c>
      <c r="N3221">
        <v>24.5</v>
      </c>
      <c r="O3221">
        <v>27.3</v>
      </c>
      <c r="P3221">
        <v>20.2</v>
      </c>
      <c r="Q3221">
        <v>56.9</v>
      </c>
      <c r="R3221">
        <v>51.5</v>
      </c>
      <c r="S3221">
        <v>40.5</v>
      </c>
      <c r="T3221">
        <v>35.6</v>
      </c>
      <c r="U3221">
        <v>67.5</v>
      </c>
      <c r="V3221">
        <v>-3.7</v>
      </c>
      <c r="W3221" cm="1">
        <f t="array" ref="W3221">_xlfn.IFS(OR(X3221="N/A",X3221="NA"),0,OR(X3221="R64",X3221="R68"),1,X3221="R32",2,X3221="S16",3,X3221="E8",4,X3221="F4",5,X3221="2ND",6,X3221="Champions",7)</f>
        <v>1</v>
      </c>
      <c r="X3221" t="s">
        <v>422</v>
      </c>
      <c r="Y3221">
        <v>15</v>
      </c>
      <c r="Z3221">
        <v>2023</v>
      </c>
    </row>
    <row r="3222" spans="1:26" x14ac:dyDescent="0.3">
      <c r="A3222" t="s">
        <v>184</v>
      </c>
      <c r="B3222" t="s">
        <v>74</v>
      </c>
      <c r="C3222">
        <v>33</v>
      </c>
      <c r="D3222">
        <v>27</v>
      </c>
      <c r="E3222" s="1">
        <f t="shared" si="50"/>
        <v>0.81818181818181823</v>
      </c>
      <c r="F3222">
        <v>102.3</v>
      </c>
      <c r="G3222">
        <v>103.5</v>
      </c>
      <c r="H3222">
        <v>0.4657</v>
      </c>
      <c r="I3222">
        <v>53.6</v>
      </c>
      <c r="J3222">
        <v>48.3</v>
      </c>
      <c r="K3222">
        <v>20.100000000000001</v>
      </c>
      <c r="L3222">
        <v>17.8</v>
      </c>
      <c r="M3222">
        <v>25.7</v>
      </c>
      <c r="N3222">
        <v>29.1</v>
      </c>
      <c r="O3222">
        <v>40.9</v>
      </c>
      <c r="P3222">
        <v>26.8</v>
      </c>
      <c r="Q3222">
        <v>51.1</v>
      </c>
      <c r="R3222">
        <v>49.5</v>
      </c>
      <c r="S3222">
        <v>38.6</v>
      </c>
      <c r="T3222">
        <v>30.6</v>
      </c>
      <c r="U3222">
        <v>68.2</v>
      </c>
      <c r="V3222">
        <v>-1.9</v>
      </c>
      <c r="W3222" cm="1">
        <f t="array" ref="W3222">_xlfn.IFS(OR(X3222="N/A",X3222="NA"),0,OR(X3222="R64",X3222="R68"),1,X3222="R32",2,X3222="S16",3,X3222="E8",4,X3222="F4",5,X3222="2ND",6,X3222="Champions",7)</f>
        <v>1</v>
      </c>
      <c r="X3222" t="s">
        <v>422</v>
      </c>
      <c r="Y3222">
        <v>15</v>
      </c>
      <c r="Z3222">
        <v>2023</v>
      </c>
    </row>
    <row r="3223" spans="1:26" x14ac:dyDescent="0.3">
      <c r="A3223" t="s">
        <v>237</v>
      </c>
      <c r="B3223" t="s">
        <v>59</v>
      </c>
      <c r="C3223">
        <v>30</v>
      </c>
      <c r="D3223">
        <v>23</v>
      </c>
      <c r="E3223" s="1">
        <f t="shared" si="50"/>
        <v>0.76666666666666672</v>
      </c>
      <c r="F3223">
        <v>109.1</v>
      </c>
      <c r="G3223">
        <v>101</v>
      </c>
      <c r="H3223">
        <v>0.70830000000000004</v>
      </c>
      <c r="I3223">
        <v>52.2</v>
      </c>
      <c r="J3223">
        <v>48.4</v>
      </c>
      <c r="K3223">
        <v>16.5</v>
      </c>
      <c r="L3223">
        <v>14.7</v>
      </c>
      <c r="M3223">
        <v>28.1</v>
      </c>
      <c r="N3223">
        <v>22.6</v>
      </c>
      <c r="O3223">
        <v>30.4</v>
      </c>
      <c r="P3223">
        <v>28.1</v>
      </c>
      <c r="Q3223">
        <v>53.3</v>
      </c>
      <c r="R3223">
        <v>48.1</v>
      </c>
      <c r="S3223">
        <v>33.700000000000003</v>
      </c>
      <c r="T3223">
        <v>32.700000000000003</v>
      </c>
      <c r="U3223">
        <v>67</v>
      </c>
      <c r="V3223">
        <v>-3.2</v>
      </c>
      <c r="W3223" cm="1">
        <f t="array" ref="W3223">_xlfn.IFS(OR(X3223="N/A",X3223="NA"),0,OR(X3223="R64",X3223="R68"),1,X3223="R32",2,X3223="S16",3,X3223="E8",4,X3223="F4",5,X3223="2ND",6,X3223="Champions",7)</f>
        <v>3</v>
      </c>
      <c r="X3223" t="s">
        <v>424</v>
      </c>
      <c r="Y3223">
        <v>15</v>
      </c>
      <c r="Z3223">
        <v>2023</v>
      </c>
    </row>
    <row r="3224" spans="1:26" x14ac:dyDescent="0.3">
      <c r="A3224" t="s">
        <v>296</v>
      </c>
      <c r="B3224" t="s">
        <v>77</v>
      </c>
      <c r="C3224">
        <v>35</v>
      </c>
      <c r="D3224">
        <v>21</v>
      </c>
      <c r="E3224" s="1">
        <f t="shared" si="50"/>
        <v>0.6</v>
      </c>
      <c r="F3224">
        <v>106.1</v>
      </c>
      <c r="G3224">
        <v>114.7</v>
      </c>
      <c r="H3224">
        <v>0.29089999999999999</v>
      </c>
      <c r="I3224">
        <v>51.3</v>
      </c>
      <c r="J3224">
        <v>54.7</v>
      </c>
      <c r="K3224">
        <v>16.3</v>
      </c>
      <c r="L3224">
        <v>21.1</v>
      </c>
      <c r="M3224">
        <v>30.9</v>
      </c>
      <c r="N3224">
        <v>29.3</v>
      </c>
      <c r="O3224">
        <v>28</v>
      </c>
      <c r="P3224">
        <v>33.9</v>
      </c>
      <c r="Q3224">
        <v>51.1</v>
      </c>
      <c r="R3224">
        <v>55.8</v>
      </c>
      <c r="S3224">
        <v>34.299999999999997</v>
      </c>
      <c r="T3224">
        <v>35.299999999999997</v>
      </c>
      <c r="U3224">
        <v>68.599999999999994</v>
      </c>
      <c r="V3224">
        <v>-12.2</v>
      </c>
      <c r="W3224" cm="1">
        <f t="array" ref="W3224">_xlfn.IFS(OR(X3224="N/A",X3224="NA"),0,OR(X3224="R64",X3224="R68"),1,X3224="R32",2,X3224="S16",3,X3224="E8",4,X3224="F4",5,X3224="2ND",6,X3224="Champions",7)</f>
        <v>2</v>
      </c>
      <c r="X3224" t="s">
        <v>420</v>
      </c>
      <c r="Y3224">
        <v>16</v>
      </c>
      <c r="Z3224">
        <v>2023</v>
      </c>
    </row>
    <row r="3225" spans="1:26" x14ac:dyDescent="0.3">
      <c r="A3225" t="s">
        <v>135</v>
      </c>
      <c r="B3225" t="s">
        <v>43</v>
      </c>
      <c r="C3225">
        <v>33</v>
      </c>
      <c r="D3225">
        <v>22</v>
      </c>
      <c r="E3225" s="1">
        <f t="shared" si="50"/>
        <v>0.66666666666666663</v>
      </c>
      <c r="F3225">
        <v>102.6</v>
      </c>
      <c r="G3225">
        <v>101.4</v>
      </c>
      <c r="H3225">
        <v>0.53490000000000004</v>
      </c>
      <c r="I3225">
        <v>49.1</v>
      </c>
      <c r="J3225">
        <v>51.3</v>
      </c>
      <c r="K3225">
        <v>17.3</v>
      </c>
      <c r="L3225">
        <v>23.3</v>
      </c>
      <c r="M3225">
        <v>31.6</v>
      </c>
      <c r="N3225">
        <v>33</v>
      </c>
      <c r="O3225">
        <v>26.9</v>
      </c>
      <c r="P3225">
        <v>30.5</v>
      </c>
      <c r="Q3225">
        <v>47.4</v>
      </c>
      <c r="R3225">
        <v>49.3</v>
      </c>
      <c r="S3225">
        <v>34.299999999999997</v>
      </c>
      <c r="T3225">
        <v>36.4</v>
      </c>
      <c r="U3225">
        <v>61.9</v>
      </c>
      <c r="V3225">
        <v>-6.7</v>
      </c>
      <c r="W3225" cm="1">
        <f t="array" ref="W3225">_xlfn.IFS(OR(X3225="N/A",X3225="NA"),0,OR(X3225="R64",X3225="R68"),1,X3225="R32",2,X3225="S16",3,X3225="E8",4,X3225="F4",5,X3225="2ND",6,X3225="Champions",7)</f>
        <v>1</v>
      </c>
      <c r="X3225" t="s">
        <v>422</v>
      </c>
      <c r="Y3225">
        <v>16</v>
      </c>
      <c r="Z3225">
        <v>2023</v>
      </c>
    </row>
    <row r="3226" spans="1:26" x14ac:dyDescent="0.3">
      <c r="A3226" t="s">
        <v>267</v>
      </c>
      <c r="B3226" t="s">
        <v>66</v>
      </c>
      <c r="C3226">
        <v>32</v>
      </c>
      <c r="D3226">
        <v>22</v>
      </c>
      <c r="E3226" s="1">
        <f t="shared" si="50"/>
        <v>0.6875</v>
      </c>
      <c r="F3226">
        <v>102.7</v>
      </c>
      <c r="G3226">
        <v>106.3</v>
      </c>
      <c r="H3226">
        <v>0.40310000000000001</v>
      </c>
      <c r="I3226">
        <v>51.8</v>
      </c>
      <c r="J3226">
        <v>50.9</v>
      </c>
      <c r="K3226">
        <v>22.8</v>
      </c>
      <c r="L3226">
        <v>20.6</v>
      </c>
      <c r="M3226">
        <v>33.700000000000003</v>
      </c>
      <c r="N3226">
        <v>31.9</v>
      </c>
      <c r="O3226">
        <v>32.200000000000003</v>
      </c>
      <c r="P3226">
        <v>33.9</v>
      </c>
      <c r="Q3226">
        <v>49.8</v>
      </c>
      <c r="R3226">
        <v>51.1</v>
      </c>
      <c r="S3226">
        <v>36.9</v>
      </c>
      <c r="T3226">
        <v>33.799999999999997</v>
      </c>
      <c r="U3226">
        <v>69</v>
      </c>
      <c r="V3226">
        <v>-7.3</v>
      </c>
      <c r="W3226" cm="1">
        <f t="array" ref="W3226">_xlfn.IFS(OR(X3226="N/A",X3226="NA"),0,OR(X3226="R64",X3226="R68"),1,X3226="R32",2,X3226="S16",3,X3226="E8",4,X3226="F4",5,X3226="2ND",6,X3226="Champions",7)</f>
        <v>1</v>
      </c>
      <c r="X3226" t="s">
        <v>422</v>
      </c>
      <c r="Y3226">
        <v>16</v>
      </c>
      <c r="Z3226">
        <v>2023</v>
      </c>
    </row>
    <row r="3227" spans="1:26" x14ac:dyDescent="0.3">
      <c r="A3227" t="s">
        <v>379</v>
      </c>
      <c r="B3227" t="s">
        <v>61</v>
      </c>
      <c r="C3227">
        <v>31</v>
      </c>
      <c r="D3227">
        <v>24</v>
      </c>
      <c r="E3227" s="1">
        <f t="shared" si="50"/>
        <v>0.77419354838709675</v>
      </c>
      <c r="F3227">
        <v>105.8</v>
      </c>
      <c r="G3227">
        <v>107.4</v>
      </c>
      <c r="H3227">
        <v>0.45660000000000001</v>
      </c>
      <c r="I3227">
        <v>50.5</v>
      </c>
      <c r="J3227">
        <v>52.6</v>
      </c>
      <c r="K3227">
        <v>17.7</v>
      </c>
      <c r="L3227">
        <v>20.399999999999999</v>
      </c>
      <c r="M3227">
        <v>32.799999999999997</v>
      </c>
      <c r="N3227">
        <v>27.8</v>
      </c>
      <c r="O3227">
        <v>34.799999999999997</v>
      </c>
      <c r="P3227">
        <v>38.200000000000003</v>
      </c>
      <c r="Q3227">
        <v>48.3</v>
      </c>
      <c r="R3227">
        <v>54.1</v>
      </c>
      <c r="S3227">
        <v>36.4</v>
      </c>
      <c r="T3227">
        <v>33.799999999999997</v>
      </c>
      <c r="U3227">
        <v>68.900000000000006</v>
      </c>
      <c r="V3227">
        <v>-6</v>
      </c>
      <c r="W3227" cm="1">
        <f t="array" ref="W3227">_xlfn.IFS(OR(X3227="N/A",X3227="NA"),0,OR(X3227="R64",X3227="R68"),1,X3227="R32",2,X3227="S16",3,X3227="E8",4,X3227="F4",5,X3227="2ND",6,X3227="Champions",7)</f>
        <v>1</v>
      </c>
      <c r="X3227" t="s">
        <v>422</v>
      </c>
      <c r="Y3227">
        <v>16</v>
      </c>
      <c r="Z3227">
        <v>2023</v>
      </c>
    </row>
    <row r="3228" spans="1:26" x14ac:dyDescent="0.3">
      <c r="A3228" t="s">
        <v>399</v>
      </c>
      <c r="B3228" t="s">
        <v>76</v>
      </c>
      <c r="C3228">
        <v>33</v>
      </c>
      <c r="D3228">
        <v>14</v>
      </c>
      <c r="E3228" s="1">
        <f t="shared" si="50"/>
        <v>0.42424242424242425</v>
      </c>
      <c r="F3228">
        <v>95.4</v>
      </c>
      <c r="G3228">
        <v>105.4</v>
      </c>
      <c r="H3228">
        <v>0.2394</v>
      </c>
      <c r="I3228">
        <v>46.1</v>
      </c>
      <c r="J3228">
        <v>49.6</v>
      </c>
      <c r="K3228">
        <v>20.3</v>
      </c>
      <c r="L3228">
        <v>18.5</v>
      </c>
      <c r="M3228">
        <v>29.2</v>
      </c>
      <c r="N3228">
        <v>27.5</v>
      </c>
      <c r="O3228">
        <v>34.299999999999997</v>
      </c>
      <c r="P3228">
        <v>38.799999999999997</v>
      </c>
      <c r="Q3228">
        <v>47.7</v>
      </c>
      <c r="R3228">
        <v>48.9</v>
      </c>
      <c r="S3228">
        <v>28</v>
      </c>
      <c r="T3228">
        <v>33.9</v>
      </c>
      <c r="U3228">
        <v>69.2</v>
      </c>
      <c r="V3228">
        <v>-13.5</v>
      </c>
      <c r="W3228" cm="1">
        <f t="array" ref="W3228">_xlfn.IFS(OR(X3228="N/A",X3228="NA"),0,OR(X3228="R64",X3228="R68"),1,X3228="R32",2,X3228="S16",3,X3228="E8",4,X3228="F4",5,X3228="2ND",6,X3228="Champions",7)</f>
        <v>1</v>
      </c>
      <c r="X3228" t="s">
        <v>423</v>
      </c>
      <c r="Y3228">
        <v>16</v>
      </c>
      <c r="Z3228">
        <v>2023</v>
      </c>
    </row>
    <row r="3229" spans="1:26" x14ac:dyDescent="0.3">
      <c r="A3229" t="s">
        <v>311</v>
      </c>
      <c r="B3229" t="s">
        <v>64</v>
      </c>
      <c r="C3229">
        <v>34</v>
      </c>
      <c r="D3229">
        <v>19</v>
      </c>
      <c r="E3229" s="1">
        <f t="shared" si="50"/>
        <v>0.55882352941176472</v>
      </c>
      <c r="F3229">
        <v>99.4</v>
      </c>
      <c r="G3229">
        <v>107.8</v>
      </c>
      <c r="H3229">
        <v>0.2823</v>
      </c>
      <c r="I3229">
        <v>50.1</v>
      </c>
      <c r="J3229">
        <v>51.3</v>
      </c>
      <c r="K3229">
        <v>17.3</v>
      </c>
      <c r="L3229">
        <v>19</v>
      </c>
      <c r="M3229">
        <v>25</v>
      </c>
      <c r="N3229">
        <v>28.3</v>
      </c>
      <c r="O3229">
        <v>38.200000000000003</v>
      </c>
      <c r="P3229">
        <v>44.1</v>
      </c>
      <c r="Q3229">
        <v>50.3</v>
      </c>
      <c r="R3229">
        <v>50.7</v>
      </c>
      <c r="S3229">
        <v>33.200000000000003</v>
      </c>
      <c r="T3229">
        <v>35</v>
      </c>
      <c r="U3229">
        <v>72</v>
      </c>
      <c r="V3229">
        <v>-11.7</v>
      </c>
      <c r="W3229" cm="1">
        <f t="array" ref="W3229">_xlfn.IFS(OR(X3229="N/A",X3229="NA"),0,OR(X3229="R64",X3229="R68"),1,X3229="R32",2,X3229="S16",3,X3229="E8",4,X3229="F4",5,X3229="2ND",6,X3229="Champions",7)</f>
        <v>1</v>
      </c>
      <c r="X3229" t="s">
        <v>423</v>
      </c>
      <c r="Y3229">
        <v>16</v>
      </c>
      <c r="Z3229">
        <v>2023</v>
      </c>
    </row>
    <row r="3230" spans="1:26" x14ac:dyDescent="0.3">
      <c r="A3230" t="s">
        <v>297</v>
      </c>
      <c r="B3230" t="s">
        <v>77</v>
      </c>
      <c r="C3230">
        <v>27</v>
      </c>
      <c r="D3230">
        <v>3</v>
      </c>
      <c r="E3230" s="1">
        <f t="shared" si="50"/>
        <v>0.1111111111111111</v>
      </c>
      <c r="F3230">
        <v>86.9</v>
      </c>
      <c r="G3230">
        <v>116.7</v>
      </c>
      <c r="H3230">
        <v>3.2800000000000003E-2</v>
      </c>
      <c r="I3230">
        <v>45.6</v>
      </c>
      <c r="J3230">
        <v>55.1</v>
      </c>
      <c r="K3230">
        <v>22.7</v>
      </c>
      <c r="L3230">
        <v>16.7</v>
      </c>
      <c r="M3230">
        <v>24.7</v>
      </c>
      <c r="N3230">
        <v>30.3</v>
      </c>
      <c r="O3230">
        <v>31.7</v>
      </c>
      <c r="P3230">
        <v>32.1</v>
      </c>
      <c r="Q3230">
        <v>44.8</v>
      </c>
      <c r="R3230">
        <v>54.6</v>
      </c>
      <c r="S3230">
        <v>32</v>
      </c>
      <c r="T3230">
        <v>37.4</v>
      </c>
      <c r="U3230">
        <v>72.5</v>
      </c>
      <c r="V3230">
        <v>-21.3</v>
      </c>
      <c r="W3230" cm="1">
        <f t="array" ref="W3230">_xlfn.IFS(OR(X3230="N/A",X3230="NA"),0,OR(X3230="R64",X3230="R68"),1,X3230="R32",2,X3230="S16",3,X3230="E8",4,X3230="F4",5,X3230="2ND",6,X3230="Champions",7)</f>
        <v>0</v>
      </c>
      <c r="X3230" t="s">
        <v>425</v>
      </c>
      <c r="Y3230" t="s">
        <v>425</v>
      </c>
      <c r="Z3230">
        <v>2023</v>
      </c>
    </row>
    <row r="3231" spans="1:26" x14ac:dyDescent="0.3">
      <c r="A3231" t="s">
        <v>317</v>
      </c>
      <c r="B3231" t="s">
        <v>38</v>
      </c>
      <c r="C3231">
        <v>32</v>
      </c>
      <c r="D3231">
        <v>3</v>
      </c>
      <c r="E3231" s="1">
        <f t="shared" si="50"/>
        <v>9.375E-2</v>
      </c>
      <c r="F3231">
        <v>95.8</v>
      </c>
      <c r="G3231">
        <v>103.6</v>
      </c>
      <c r="H3231">
        <v>0.28970000000000001</v>
      </c>
      <c r="I3231">
        <v>43.7</v>
      </c>
      <c r="J3231">
        <v>51.6</v>
      </c>
      <c r="K3231">
        <v>20.100000000000001</v>
      </c>
      <c r="L3231">
        <v>16</v>
      </c>
      <c r="M3231">
        <v>25.3</v>
      </c>
      <c r="N3231">
        <v>30.4</v>
      </c>
      <c r="O3231">
        <v>31.5</v>
      </c>
      <c r="P3231">
        <v>32.6</v>
      </c>
      <c r="Q3231">
        <v>43.2</v>
      </c>
      <c r="R3231">
        <v>52.5</v>
      </c>
      <c r="S3231">
        <v>29.8</v>
      </c>
      <c r="T3231">
        <v>33.4</v>
      </c>
      <c r="U3231">
        <v>63.3</v>
      </c>
      <c r="V3231">
        <v>-16.7</v>
      </c>
      <c r="W3231" cm="1">
        <f t="array" ref="W3231">_xlfn.IFS(OR(X3231="N/A",X3231="NA"),0,OR(X3231="R64",X3231="R68"),1,X3231="R32",2,X3231="S16",3,X3231="E8",4,X3231="F4",5,X3231="2ND",6,X3231="Champions",7)</f>
        <v>0</v>
      </c>
      <c r="X3231" t="s">
        <v>425</v>
      </c>
      <c r="Y3231" t="s">
        <v>425</v>
      </c>
      <c r="Z3231">
        <v>2023</v>
      </c>
    </row>
    <row r="3232" spans="1:26" x14ac:dyDescent="0.3">
      <c r="A3232" t="s">
        <v>223</v>
      </c>
      <c r="B3232" t="s">
        <v>43</v>
      </c>
      <c r="C3232">
        <v>32</v>
      </c>
      <c r="D3232">
        <v>3</v>
      </c>
      <c r="E3232" s="1">
        <f t="shared" si="50"/>
        <v>9.375E-2</v>
      </c>
      <c r="F3232">
        <v>90.8</v>
      </c>
      <c r="G3232">
        <v>114.2</v>
      </c>
      <c r="H3232">
        <v>6.6900000000000001E-2</v>
      </c>
      <c r="I3232">
        <v>46</v>
      </c>
      <c r="J3232">
        <v>54.8</v>
      </c>
      <c r="K3232">
        <v>21.1</v>
      </c>
      <c r="L3232">
        <v>16.100000000000001</v>
      </c>
      <c r="M3232">
        <v>21.7</v>
      </c>
      <c r="N3232">
        <v>32.4</v>
      </c>
      <c r="O3232">
        <v>31.5</v>
      </c>
      <c r="P3232">
        <v>31.6</v>
      </c>
      <c r="Q3232">
        <v>46.6</v>
      </c>
      <c r="R3232">
        <v>56.1</v>
      </c>
      <c r="S3232">
        <v>30.1</v>
      </c>
      <c r="T3232">
        <v>35</v>
      </c>
      <c r="U3232">
        <v>65.099999999999994</v>
      </c>
      <c r="V3232">
        <v>-23.1</v>
      </c>
      <c r="W3232" cm="1">
        <f t="array" ref="W3232">_xlfn.IFS(OR(X3232="N/A",X3232="NA"),0,OR(X3232="R64",X3232="R68"),1,X3232="R32",2,X3232="S16",3,X3232="E8",4,X3232="F4",5,X3232="2ND",6,X3232="Champions",7)</f>
        <v>0</v>
      </c>
      <c r="X3232" t="s">
        <v>425</v>
      </c>
      <c r="Y3232" t="s">
        <v>425</v>
      </c>
      <c r="Z3232">
        <v>2023</v>
      </c>
    </row>
    <row r="3233" spans="1:26" x14ac:dyDescent="0.3">
      <c r="A3233" t="s">
        <v>52</v>
      </c>
      <c r="B3233" t="s">
        <v>26</v>
      </c>
      <c r="C3233">
        <v>32</v>
      </c>
      <c r="D3233">
        <v>4</v>
      </c>
      <c r="E3233" s="1">
        <f t="shared" si="50"/>
        <v>0.125</v>
      </c>
      <c r="F3233">
        <v>101.2</v>
      </c>
      <c r="G3233">
        <v>109.4</v>
      </c>
      <c r="H3233">
        <v>0.29149999999999998</v>
      </c>
      <c r="I3233">
        <v>48</v>
      </c>
      <c r="J3233">
        <v>54.1</v>
      </c>
      <c r="K3233">
        <v>22.3</v>
      </c>
      <c r="L3233">
        <v>15.2</v>
      </c>
      <c r="M3233">
        <v>28.2</v>
      </c>
      <c r="N3233">
        <v>30.1</v>
      </c>
      <c r="O3233">
        <v>32.9</v>
      </c>
      <c r="P3233">
        <v>30.6</v>
      </c>
      <c r="Q3233">
        <v>47.3</v>
      </c>
      <c r="R3233">
        <v>54.9</v>
      </c>
      <c r="S3233">
        <v>32.9</v>
      </c>
      <c r="T3233">
        <v>35.200000000000003</v>
      </c>
      <c r="U3233">
        <v>66.5</v>
      </c>
      <c r="V3233">
        <v>-16.8</v>
      </c>
      <c r="W3233" cm="1">
        <f t="array" ref="W3233">_xlfn.IFS(OR(X3233="N/A",X3233="NA"),0,OR(X3233="R64",X3233="R68"),1,X3233="R32",2,X3233="S16",3,X3233="E8",4,X3233="F4",5,X3233="2ND",6,X3233="Champions",7)</f>
        <v>0</v>
      </c>
      <c r="X3233" t="s">
        <v>425</v>
      </c>
      <c r="Y3233" t="s">
        <v>425</v>
      </c>
      <c r="Z3233">
        <v>2023</v>
      </c>
    </row>
    <row r="3234" spans="1:26" x14ac:dyDescent="0.3">
      <c r="A3234" t="s">
        <v>113</v>
      </c>
      <c r="B3234" t="s">
        <v>418</v>
      </c>
      <c r="C3234">
        <v>25</v>
      </c>
      <c r="D3234">
        <v>5</v>
      </c>
      <c r="E3234" s="1">
        <f t="shared" si="50"/>
        <v>0.2</v>
      </c>
      <c r="F3234">
        <v>89.5</v>
      </c>
      <c r="G3234">
        <v>117.5</v>
      </c>
      <c r="H3234">
        <v>4.1799999999999997E-2</v>
      </c>
      <c r="I3234">
        <v>47.7</v>
      </c>
      <c r="J3234">
        <v>55.4</v>
      </c>
      <c r="K3234">
        <v>22.7</v>
      </c>
      <c r="L3234">
        <v>17.600000000000001</v>
      </c>
      <c r="M3234">
        <v>25.2</v>
      </c>
      <c r="N3234">
        <v>33.5</v>
      </c>
      <c r="O3234">
        <v>24.1</v>
      </c>
      <c r="P3234">
        <v>27.7</v>
      </c>
      <c r="Q3234">
        <v>47.4</v>
      </c>
      <c r="R3234">
        <v>53.8</v>
      </c>
      <c r="S3234">
        <v>32</v>
      </c>
      <c r="T3234">
        <v>38.700000000000003</v>
      </c>
      <c r="U3234">
        <v>65.400000000000006</v>
      </c>
      <c r="V3234">
        <v>-20</v>
      </c>
      <c r="W3234" cm="1">
        <f t="array" ref="W3234">_xlfn.IFS(OR(X3234="N/A",X3234="NA"),0,OR(X3234="R64",X3234="R68"),1,X3234="R32",2,X3234="S16",3,X3234="E8",4,X3234="F4",5,X3234="2ND",6,X3234="Champions",7)</f>
        <v>0</v>
      </c>
      <c r="X3234" t="s">
        <v>425</v>
      </c>
      <c r="Y3234" t="s">
        <v>425</v>
      </c>
      <c r="Z3234">
        <v>2023</v>
      </c>
    </row>
    <row r="3235" spans="1:26" x14ac:dyDescent="0.3">
      <c r="A3235" t="s">
        <v>127</v>
      </c>
      <c r="B3235" t="s">
        <v>50</v>
      </c>
      <c r="C3235">
        <v>30</v>
      </c>
      <c r="D3235">
        <v>5</v>
      </c>
      <c r="E3235" s="1">
        <f t="shared" si="50"/>
        <v>0.16666666666666666</v>
      </c>
      <c r="F3235">
        <v>98.5</v>
      </c>
      <c r="G3235">
        <v>109.3</v>
      </c>
      <c r="H3235">
        <v>0.2321</v>
      </c>
      <c r="I3235">
        <v>47.9</v>
      </c>
      <c r="J3235">
        <v>53.6</v>
      </c>
      <c r="K3235">
        <v>19.100000000000001</v>
      </c>
      <c r="L3235">
        <v>17</v>
      </c>
      <c r="M3235">
        <v>24.9</v>
      </c>
      <c r="N3235">
        <v>33</v>
      </c>
      <c r="O3235">
        <v>26.7</v>
      </c>
      <c r="P3235">
        <v>27.8</v>
      </c>
      <c r="Q3235">
        <v>48.6</v>
      </c>
      <c r="R3235">
        <v>57.9</v>
      </c>
      <c r="S3235">
        <v>31.3</v>
      </c>
      <c r="T3235">
        <v>31.3</v>
      </c>
      <c r="U3235">
        <v>68</v>
      </c>
      <c r="V3235">
        <v>-15.8</v>
      </c>
      <c r="W3235" cm="1">
        <f t="array" ref="W3235">_xlfn.IFS(OR(X3235="N/A",X3235="NA"),0,OR(X3235="R64",X3235="R68"),1,X3235="R32",2,X3235="S16",3,X3235="E8",4,X3235="F4",5,X3235="2ND",6,X3235="Champions",7)</f>
        <v>0</v>
      </c>
      <c r="X3235" t="s">
        <v>425</v>
      </c>
      <c r="Y3235" t="s">
        <v>425</v>
      </c>
      <c r="Z3235">
        <v>2023</v>
      </c>
    </row>
    <row r="3236" spans="1:26" x14ac:dyDescent="0.3">
      <c r="A3236" t="s">
        <v>274</v>
      </c>
      <c r="B3236" t="s">
        <v>66</v>
      </c>
      <c r="C3236">
        <v>30</v>
      </c>
      <c r="D3236">
        <v>5</v>
      </c>
      <c r="E3236" s="1">
        <f t="shared" si="50"/>
        <v>0.16666666666666666</v>
      </c>
      <c r="F3236">
        <v>97.7</v>
      </c>
      <c r="G3236">
        <v>114.7</v>
      </c>
      <c r="H3236">
        <v>0.13600000000000001</v>
      </c>
      <c r="I3236">
        <v>46.9</v>
      </c>
      <c r="J3236">
        <v>57.7</v>
      </c>
      <c r="K3236">
        <v>20.9</v>
      </c>
      <c r="L3236">
        <v>21</v>
      </c>
      <c r="M3236">
        <v>34.200000000000003</v>
      </c>
      <c r="N3236">
        <v>34.5</v>
      </c>
      <c r="O3236">
        <v>29.2</v>
      </c>
      <c r="P3236">
        <v>43.5</v>
      </c>
      <c r="Q3236">
        <v>47.3</v>
      </c>
      <c r="R3236">
        <v>56.8</v>
      </c>
      <c r="S3236">
        <v>30.8</v>
      </c>
      <c r="T3236">
        <v>39.5</v>
      </c>
      <c r="U3236">
        <v>71.7</v>
      </c>
      <c r="V3236">
        <v>-20.100000000000001</v>
      </c>
      <c r="W3236" cm="1">
        <f t="array" ref="W3236">_xlfn.IFS(OR(X3236="N/A",X3236="NA"),0,OR(X3236="R64",X3236="R68"),1,X3236="R32",2,X3236="S16",3,X3236="E8",4,X3236="F4",5,X3236="2ND",6,X3236="Champions",7)</f>
        <v>0</v>
      </c>
      <c r="X3236" t="s">
        <v>425</v>
      </c>
      <c r="Y3236" t="s">
        <v>425</v>
      </c>
      <c r="Z3236">
        <v>2023</v>
      </c>
    </row>
    <row r="3237" spans="1:26" x14ac:dyDescent="0.3">
      <c r="A3237" t="s">
        <v>182</v>
      </c>
      <c r="B3237" t="s">
        <v>74</v>
      </c>
      <c r="C3237">
        <v>30</v>
      </c>
      <c r="D3237">
        <v>5</v>
      </c>
      <c r="E3237" s="1">
        <f t="shared" si="50"/>
        <v>0.16666666666666666</v>
      </c>
      <c r="F3237">
        <v>93</v>
      </c>
      <c r="G3237">
        <v>108.9</v>
      </c>
      <c r="H3237">
        <v>0.14030000000000001</v>
      </c>
      <c r="I3237">
        <v>47.3</v>
      </c>
      <c r="J3237">
        <v>54</v>
      </c>
      <c r="K3237">
        <v>20.8</v>
      </c>
      <c r="L3237">
        <v>18.399999999999999</v>
      </c>
      <c r="M3237">
        <v>29.9</v>
      </c>
      <c r="N3237">
        <v>29.5</v>
      </c>
      <c r="O3237">
        <v>36.5</v>
      </c>
      <c r="P3237">
        <v>39.1</v>
      </c>
      <c r="Q3237">
        <v>47.3</v>
      </c>
      <c r="R3237">
        <v>52</v>
      </c>
      <c r="S3237">
        <v>31.5</v>
      </c>
      <c r="T3237">
        <v>38.5</v>
      </c>
      <c r="U3237">
        <v>64.400000000000006</v>
      </c>
      <c r="V3237">
        <v>-22.4</v>
      </c>
      <c r="W3237" cm="1">
        <f t="array" ref="W3237">_xlfn.IFS(OR(X3237="N/A",X3237="NA"),0,OR(X3237="R64",X3237="R68"),1,X3237="R32",2,X3237="S16",3,X3237="E8",4,X3237="F4",5,X3237="2ND",6,X3237="Champions",7)</f>
        <v>0</v>
      </c>
      <c r="X3237" t="s">
        <v>425</v>
      </c>
      <c r="Y3237" t="s">
        <v>425</v>
      </c>
      <c r="Z3237">
        <v>2023</v>
      </c>
    </row>
    <row r="3238" spans="1:26" x14ac:dyDescent="0.3">
      <c r="A3238" t="s">
        <v>277</v>
      </c>
      <c r="B3238" t="s">
        <v>47</v>
      </c>
      <c r="C3238">
        <v>32</v>
      </c>
      <c r="D3238">
        <v>5</v>
      </c>
      <c r="E3238" s="1">
        <f t="shared" si="50"/>
        <v>0.15625</v>
      </c>
      <c r="F3238">
        <v>90.7</v>
      </c>
      <c r="G3238">
        <v>108.6</v>
      </c>
      <c r="H3238">
        <v>0.1124</v>
      </c>
      <c r="I3238">
        <v>45.1</v>
      </c>
      <c r="J3238">
        <v>55.8</v>
      </c>
      <c r="K3238">
        <v>17.600000000000001</v>
      </c>
      <c r="L3238">
        <v>18.899999999999999</v>
      </c>
      <c r="M3238">
        <v>20.7</v>
      </c>
      <c r="N3238">
        <v>25.5</v>
      </c>
      <c r="O3238">
        <v>29.4</v>
      </c>
      <c r="P3238">
        <v>30.1</v>
      </c>
      <c r="Q3238">
        <v>43.4</v>
      </c>
      <c r="R3238">
        <v>54.8</v>
      </c>
      <c r="S3238">
        <v>32.200000000000003</v>
      </c>
      <c r="T3238">
        <v>38.1</v>
      </c>
      <c r="U3238">
        <v>69.5</v>
      </c>
      <c r="V3238">
        <v>-20.5</v>
      </c>
      <c r="W3238" cm="1">
        <f t="array" ref="W3238">_xlfn.IFS(OR(X3238="N/A",X3238="NA"),0,OR(X3238="R64",X3238="R68"),1,X3238="R32",2,X3238="S16",3,X3238="E8",4,X3238="F4",5,X3238="2ND",6,X3238="Champions",7)</f>
        <v>0</v>
      </c>
      <c r="X3238" t="s">
        <v>425</v>
      </c>
      <c r="Y3238" t="s">
        <v>425</v>
      </c>
      <c r="Z3238">
        <v>2023</v>
      </c>
    </row>
    <row r="3239" spans="1:26" x14ac:dyDescent="0.3">
      <c r="A3239" t="s">
        <v>396</v>
      </c>
      <c r="B3239" t="s">
        <v>76</v>
      </c>
      <c r="C3239">
        <v>32</v>
      </c>
      <c r="D3239">
        <v>5</v>
      </c>
      <c r="E3239" s="1">
        <f t="shared" si="50"/>
        <v>0.15625</v>
      </c>
      <c r="F3239">
        <v>91.8</v>
      </c>
      <c r="G3239">
        <v>111.7</v>
      </c>
      <c r="H3239">
        <v>9.5100000000000004E-2</v>
      </c>
      <c r="I3239">
        <v>45.4</v>
      </c>
      <c r="J3239">
        <v>53.3</v>
      </c>
      <c r="K3239">
        <v>23.4</v>
      </c>
      <c r="L3239">
        <v>19.5</v>
      </c>
      <c r="M3239">
        <v>28.7</v>
      </c>
      <c r="N3239">
        <v>32.4</v>
      </c>
      <c r="O3239">
        <v>38</v>
      </c>
      <c r="P3239">
        <v>39.799999999999997</v>
      </c>
      <c r="Q3239">
        <v>42.8</v>
      </c>
      <c r="R3239">
        <v>53</v>
      </c>
      <c r="S3239">
        <v>34.9</v>
      </c>
      <c r="T3239">
        <v>35.799999999999997</v>
      </c>
      <c r="U3239">
        <v>67.099999999999994</v>
      </c>
      <c r="V3239">
        <v>-20.399999999999999</v>
      </c>
      <c r="W3239" cm="1">
        <f t="array" ref="W3239">_xlfn.IFS(OR(X3239="N/A",X3239="NA"),0,OR(X3239="R64",X3239="R68"),1,X3239="R32",2,X3239="S16",3,X3239="E8",4,X3239="F4",5,X3239="2ND",6,X3239="Champions",7)</f>
        <v>0</v>
      </c>
      <c r="X3239" t="s">
        <v>425</v>
      </c>
      <c r="Y3239" t="s">
        <v>425</v>
      </c>
      <c r="Z3239">
        <v>2023</v>
      </c>
    </row>
    <row r="3240" spans="1:26" x14ac:dyDescent="0.3">
      <c r="A3240" t="s">
        <v>230</v>
      </c>
      <c r="B3240" t="s">
        <v>43</v>
      </c>
      <c r="C3240">
        <v>30</v>
      </c>
      <c r="D3240">
        <v>5</v>
      </c>
      <c r="E3240" s="1">
        <f t="shared" si="50"/>
        <v>0.16666666666666666</v>
      </c>
      <c r="F3240">
        <v>95.7</v>
      </c>
      <c r="G3240">
        <v>118</v>
      </c>
      <c r="H3240">
        <v>8.2600000000000007E-2</v>
      </c>
      <c r="I3240">
        <v>49.7</v>
      </c>
      <c r="J3240">
        <v>55</v>
      </c>
      <c r="K3240">
        <v>23.2</v>
      </c>
      <c r="L3240">
        <v>16.7</v>
      </c>
      <c r="M3240">
        <v>29</v>
      </c>
      <c r="N3240">
        <v>31.9</v>
      </c>
      <c r="O3240">
        <v>32.200000000000003</v>
      </c>
      <c r="P3240">
        <v>36</v>
      </c>
      <c r="Q3240">
        <v>51.7</v>
      </c>
      <c r="R3240">
        <v>54.6</v>
      </c>
      <c r="S3240">
        <v>29.8</v>
      </c>
      <c r="T3240">
        <v>37.200000000000003</v>
      </c>
      <c r="U3240">
        <v>67</v>
      </c>
      <c r="V3240">
        <v>-22.5</v>
      </c>
      <c r="W3240" cm="1">
        <f t="array" ref="W3240">_xlfn.IFS(OR(X3240="N/A",X3240="NA"),0,OR(X3240="R64",X3240="R68"),1,X3240="R32",2,X3240="S16",3,X3240="E8",4,X3240="F4",5,X3240="2ND",6,X3240="Champions",7)</f>
        <v>0</v>
      </c>
      <c r="X3240" t="s">
        <v>425</v>
      </c>
      <c r="Y3240" t="s">
        <v>425</v>
      </c>
      <c r="Z3240">
        <v>2023</v>
      </c>
    </row>
    <row r="3241" spans="1:26" x14ac:dyDescent="0.3">
      <c r="A3241" t="s">
        <v>265</v>
      </c>
      <c r="B3241" t="s">
        <v>66</v>
      </c>
      <c r="C3241">
        <v>27</v>
      </c>
      <c r="D3241">
        <v>6</v>
      </c>
      <c r="E3241" s="1">
        <f t="shared" si="50"/>
        <v>0.22222222222222221</v>
      </c>
      <c r="F3241">
        <v>91</v>
      </c>
      <c r="G3241">
        <v>111.2</v>
      </c>
      <c r="H3241">
        <v>9.1300000000000006E-2</v>
      </c>
      <c r="I3241">
        <v>45.7</v>
      </c>
      <c r="J3241">
        <v>54.4</v>
      </c>
      <c r="K3241">
        <v>23.5</v>
      </c>
      <c r="L3241">
        <v>19</v>
      </c>
      <c r="M3241">
        <v>30.1</v>
      </c>
      <c r="N3241">
        <v>29.4</v>
      </c>
      <c r="O3241">
        <v>29.3</v>
      </c>
      <c r="P3241">
        <v>37</v>
      </c>
      <c r="Q3241">
        <v>45.1</v>
      </c>
      <c r="R3241">
        <v>50.6</v>
      </c>
      <c r="S3241">
        <v>31.4</v>
      </c>
      <c r="T3241">
        <v>39.5</v>
      </c>
      <c r="U3241">
        <v>67.5</v>
      </c>
      <c r="V3241">
        <v>-17.5</v>
      </c>
      <c r="W3241" cm="1">
        <f t="array" ref="W3241">_xlfn.IFS(OR(X3241="N/A",X3241="NA"),0,OR(X3241="R64",X3241="R68"),1,X3241="R32",2,X3241="S16",3,X3241="E8",4,X3241="F4",5,X3241="2ND",6,X3241="Champions",7)</f>
        <v>0</v>
      </c>
      <c r="X3241" t="s">
        <v>425</v>
      </c>
      <c r="Y3241" t="s">
        <v>425</v>
      </c>
      <c r="Z3241">
        <v>2023</v>
      </c>
    </row>
    <row r="3242" spans="1:26" x14ac:dyDescent="0.3">
      <c r="A3242" t="s">
        <v>233</v>
      </c>
      <c r="B3242" t="s">
        <v>59</v>
      </c>
      <c r="C3242">
        <v>27</v>
      </c>
      <c r="D3242">
        <v>7</v>
      </c>
      <c r="E3242" s="1">
        <f t="shared" si="50"/>
        <v>0.25925925925925924</v>
      </c>
      <c r="F3242">
        <v>94.3</v>
      </c>
      <c r="G3242">
        <v>110</v>
      </c>
      <c r="H3242">
        <v>0.1444</v>
      </c>
      <c r="I3242">
        <v>45.5</v>
      </c>
      <c r="J3242">
        <v>52</v>
      </c>
      <c r="K3242">
        <v>19.899999999999999</v>
      </c>
      <c r="L3242">
        <v>17.600000000000001</v>
      </c>
      <c r="M3242">
        <v>25.3</v>
      </c>
      <c r="N3242">
        <v>30.9</v>
      </c>
      <c r="O3242">
        <v>28.1</v>
      </c>
      <c r="P3242">
        <v>28.8</v>
      </c>
      <c r="Q3242">
        <v>45.4</v>
      </c>
      <c r="R3242">
        <v>53.2</v>
      </c>
      <c r="S3242">
        <v>30.4</v>
      </c>
      <c r="T3242">
        <v>33.1</v>
      </c>
      <c r="U3242">
        <v>69.7</v>
      </c>
      <c r="V3242">
        <v>-16.5</v>
      </c>
      <c r="W3242" cm="1">
        <f t="array" ref="W3242">_xlfn.IFS(OR(X3242="N/A",X3242="NA"),0,OR(X3242="R64",X3242="R68"),1,X3242="R32",2,X3242="S16",3,X3242="E8",4,X3242="F4",5,X3242="2ND",6,X3242="Champions",7)</f>
        <v>0</v>
      </c>
      <c r="X3242" t="s">
        <v>425</v>
      </c>
      <c r="Y3242" t="s">
        <v>425</v>
      </c>
      <c r="Z3242">
        <v>2023</v>
      </c>
    </row>
    <row r="3243" spans="1:26" x14ac:dyDescent="0.3">
      <c r="A3243" t="s">
        <v>266</v>
      </c>
      <c r="B3243" t="s">
        <v>76</v>
      </c>
      <c r="C3243">
        <v>27</v>
      </c>
      <c r="D3243">
        <v>7</v>
      </c>
      <c r="E3243" s="1">
        <f t="shared" si="50"/>
        <v>0.25925925925925924</v>
      </c>
      <c r="F3243">
        <v>89.3</v>
      </c>
      <c r="G3243">
        <v>108.8</v>
      </c>
      <c r="H3243">
        <v>9.3100000000000002E-2</v>
      </c>
      <c r="I3243">
        <v>45</v>
      </c>
      <c r="J3243">
        <v>51.1</v>
      </c>
      <c r="K3243">
        <v>24</v>
      </c>
      <c r="L3243">
        <v>18</v>
      </c>
      <c r="M3243">
        <v>27.6</v>
      </c>
      <c r="N3243">
        <v>33.6</v>
      </c>
      <c r="O3243">
        <v>31.4</v>
      </c>
      <c r="P3243">
        <v>44.6</v>
      </c>
      <c r="Q3243">
        <v>43.2</v>
      </c>
      <c r="R3243">
        <v>51.8</v>
      </c>
      <c r="S3243">
        <v>32.1</v>
      </c>
      <c r="T3243">
        <v>33.200000000000003</v>
      </c>
      <c r="U3243">
        <v>64.900000000000006</v>
      </c>
      <c r="V3243">
        <v>-16.3</v>
      </c>
      <c r="W3243" cm="1">
        <f t="array" ref="W3243">_xlfn.IFS(OR(X3243="N/A",X3243="NA"),0,OR(X3243="R64",X3243="R68"),1,X3243="R32",2,X3243="S16",3,X3243="E8",4,X3243="F4",5,X3243="2ND",6,X3243="Champions",7)</f>
        <v>0</v>
      </c>
      <c r="X3243" t="s">
        <v>425</v>
      </c>
      <c r="Y3243" t="s">
        <v>425</v>
      </c>
      <c r="Z3243">
        <v>2023</v>
      </c>
    </row>
    <row r="3244" spans="1:26" x14ac:dyDescent="0.3">
      <c r="A3244" t="s">
        <v>138</v>
      </c>
      <c r="B3244" t="s">
        <v>112</v>
      </c>
      <c r="C3244">
        <v>29</v>
      </c>
      <c r="D3244">
        <v>7</v>
      </c>
      <c r="E3244" s="1">
        <f t="shared" si="50"/>
        <v>0.2413793103448276</v>
      </c>
      <c r="F3244">
        <v>97.4</v>
      </c>
      <c r="G3244">
        <v>110.7</v>
      </c>
      <c r="H3244">
        <v>0.1867</v>
      </c>
      <c r="I3244">
        <v>48.3</v>
      </c>
      <c r="J3244">
        <v>52.3</v>
      </c>
      <c r="K3244">
        <v>16</v>
      </c>
      <c r="L3244">
        <v>14.9</v>
      </c>
      <c r="M3244">
        <v>23.4</v>
      </c>
      <c r="N3244">
        <v>29.1</v>
      </c>
      <c r="O3244">
        <v>28.2</v>
      </c>
      <c r="P3244">
        <v>27.9</v>
      </c>
      <c r="Q3244">
        <v>46.1</v>
      </c>
      <c r="R3244">
        <v>53.2</v>
      </c>
      <c r="S3244">
        <v>35.200000000000003</v>
      </c>
      <c r="T3244">
        <v>34</v>
      </c>
      <c r="U3244">
        <v>66.2</v>
      </c>
      <c r="V3244">
        <v>-18.399999999999999</v>
      </c>
      <c r="W3244" cm="1">
        <f t="array" ref="W3244">_xlfn.IFS(OR(X3244="N/A",X3244="NA"),0,OR(X3244="R64",X3244="R68"),1,X3244="R32",2,X3244="S16",3,X3244="E8",4,X3244="F4",5,X3244="2ND",6,X3244="Champions",7)</f>
        <v>0</v>
      </c>
      <c r="X3244" t="s">
        <v>425</v>
      </c>
      <c r="Y3244" t="s">
        <v>425</v>
      </c>
      <c r="Z3244">
        <v>2023</v>
      </c>
    </row>
    <row r="3245" spans="1:26" x14ac:dyDescent="0.3">
      <c r="A3245" t="s">
        <v>159</v>
      </c>
      <c r="B3245" t="s">
        <v>33</v>
      </c>
      <c r="C3245">
        <v>32</v>
      </c>
      <c r="D3245">
        <v>7</v>
      </c>
      <c r="E3245" s="1">
        <f t="shared" si="50"/>
        <v>0.21875</v>
      </c>
      <c r="F3245">
        <v>103.5</v>
      </c>
      <c r="G3245">
        <v>106</v>
      </c>
      <c r="H3245">
        <v>0.43269999999999997</v>
      </c>
      <c r="I3245">
        <v>47.1</v>
      </c>
      <c r="J3245">
        <v>53.6</v>
      </c>
      <c r="K3245">
        <v>17.5</v>
      </c>
      <c r="L3245">
        <v>15.9</v>
      </c>
      <c r="M3245">
        <v>28.9</v>
      </c>
      <c r="N3245">
        <v>30</v>
      </c>
      <c r="O3245">
        <v>29.1</v>
      </c>
      <c r="P3245">
        <v>24.5</v>
      </c>
      <c r="Q3245">
        <v>47.5</v>
      </c>
      <c r="R3245">
        <v>50.5</v>
      </c>
      <c r="S3245">
        <v>30.9</v>
      </c>
      <c r="T3245">
        <v>38.9</v>
      </c>
      <c r="U3245">
        <v>68.7</v>
      </c>
      <c r="V3245">
        <v>-12.4</v>
      </c>
      <c r="W3245" cm="1">
        <f t="array" ref="W3245">_xlfn.IFS(OR(X3245="N/A",X3245="NA"),0,OR(X3245="R64",X3245="R68"),1,X3245="R32",2,X3245="S16",3,X3245="E8",4,X3245="F4",5,X3245="2ND",6,X3245="Champions",7)</f>
        <v>0</v>
      </c>
      <c r="X3245" t="s">
        <v>425</v>
      </c>
      <c r="Y3245" t="s">
        <v>425</v>
      </c>
      <c r="Z3245">
        <v>2023</v>
      </c>
    </row>
    <row r="3246" spans="1:26" x14ac:dyDescent="0.3">
      <c r="A3246" t="s">
        <v>190</v>
      </c>
      <c r="B3246" t="s">
        <v>48</v>
      </c>
      <c r="C3246">
        <v>30</v>
      </c>
      <c r="D3246">
        <v>7</v>
      </c>
      <c r="E3246" s="1">
        <f t="shared" si="50"/>
        <v>0.23333333333333334</v>
      </c>
      <c r="F3246">
        <v>94.7</v>
      </c>
      <c r="G3246">
        <v>108.8</v>
      </c>
      <c r="H3246">
        <v>0.1686</v>
      </c>
      <c r="I3246">
        <v>44.1</v>
      </c>
      <c r="J3246">
        <v>50.4</v>
      </c>
      <c r="K3246">
        <v>19.600000000000001</v>
      </c>
      <c r="L3246">
        <v>18</v>
      </c>
      <c r="M3246">
        <v>27.3</v>
      </c>
      <c r="N3246">
        <v>30.5</v>
      </c>
      <c r="O3246">
        <v>36.6</v>
      </c>
      <c r="P3246">
        <v>39</v>
      </c>
      <c r="Q3246">
        <v>42.8</v>
      </c>
      <c r="R3246">
        <v>49.6</v>
      </c>
      <c r="S3246">
        <v>31.2</v>
      </c>
      <c r="T3246">
        <v>34.6</v>
      </c>
      <c r="U3246">
        <v>65.099999999999994</v>
      </c>
      <c r="V3246">
        <v>-19.2</v>
      </c>
      <c r="W3246" cm="1">
        <f t="array" ref="W3246">_xlfn.IFS(OR(X3246="N/A",X3246="NA"),0,OR(X3246="R64",X3246="R68"),1,X3246="R32",2,X3246="S16",3,X3246="E8",4,X3246="F4",5,X3246="2ND",6,X3246="Champions",7)</f>
        <v>0</v>
      </c>
      <c r="X3246" t="s">
        <v>425</v>
      </c>
      <c r="Y3246" t="s">
        <v>425</v>
      </c>
      <c r="Z3246">
        <v>2023</v>
      </c>
    </row>
    <row r="3247" spans="1:26" x14ac:dyDescent="0.3">
      <c r="A3247" t="s">
        <v>355</v>
      </c>
      <c r="B3247" t="s">
        <v>62</v>
      </c>
      <c r="C3247">
        <v>29</v>
      </c>
      <c r="D3247">
        <v>7</v>
      </c>
      <c r="E3247" s="1">
        <f t="shared" si="50"/>
        <v>0.2413793103448276</v>
      </c>
      <c r="F3247">
        <v>97.2</v>
      </c>
      <c r="G3247">
        <v>117.4</v>
      </c>
      <c r="H3247">
        <v>0.1017</v>
      </c>
      <c r="I3247">
        <v>47.8</v>
      </c>
      <c r="J3247">
        <v>56.9</v>
      </c>
      <c r="K3247">
        <v>19.3</v>
      </c>
      <c r="L3247">
        <v>14.6</v>
      </c>
      <c r="M3247">
        <v>28.9</v>
      </c>
      <c r="N3247">
        <v>27.3</v>
      </c>
      <c r="O3247">
        <v>21</v>
      </c>
      <c r="P3247">
        <v>28.1</v>
      </c>
      <c r="Q3247">
        <v>45</v>
      </c>
      <c r="R3247">
        <v>57.7</v>
      </c>
      <c r="S3247">
        <v>34.200000000000003</v>
      </c>
      <c r="T3247">
        <v>37.4</v>
      </c>
      <c r="U3247">
        <v>66.7</v>
      </c>
      <c r="V3247">
        <v>-20.100000000000001</v>
      </c>
      <c r="W3247" cm="1">
        <f t="array" ref="W3247">_xlfn.IFS(OR(X3247="N/A",X3247="NA"),0,OR(X3247="R64",X3247="R68"),1,X3247="R32",2,X3247="S16",3,X3247="E8",4,X3247="F4",5,X3247="2ND",6,X3247="Champions",7)</f>
        <v>0</v>
      </c>
      <c r="X3247" t="s">
        <v>425</v>
      </c>
      <c r="Y3247" t="s">
        <v>425</v>
      </c>
      <c r="Z3247">
        <v>2023</v>
      </c>
    </row>
    <row r="3248" spans="1:26" x14ac:dyDescent="0.3">
      <c r="A3248" t="s">
        <v>244</v>
      </c>
      <c r="B3248" t="s">
        <v>53</v>
      </c>
      <c r="C3248">
        <v>33</v>
      </c>
      <c r="D3248">
        <v>7</v>
      </c>
      <c r="E3248" s="1">
        <f t="shared" si="50"/>
        <v>0.21212121212121213</v>
      </c>
      <c r="F3248">
        <v>91.7</v>
      </c>
      <c r="G3248">
        <v>109.5</v>
      </c>
      <c r="H3248">
        <v>0.115</v>
      </c>
      <c r="I3248">
        <v>43.8</v>
      </c>
      <c r="J3248">
        <v>54.4</v>
      </c>
      <c r="K3248">
        <v>21.1</v>
      </c>
      <c r="L3248">
        <v>21</v>
      </c>
      <c r="M3248">
        <v>30.3</v>
      </c>
      <c r="N3248">
        <v>32.9</v>
      </c>
      <c r="O3248">
        <v>33.1</v>
      </c>
      <c r="P3248">
        <v>38.799999999999997</v>
      </c>
      <c r="Q3248">
        <v>44</v>
      </c>
      <c r="R3248">
        <v>53.4</v>
      </c>
      <c r="S3248">
        <v>28.8</v>
      </c>
      <c r="T3248">
        <v>37</v>
      </c>
      <c r="U3248">
        <v>68.3</v>
      </c>
      <c r="V3248">
        <v>-19</v>
      </c>
      <c r="W3248" cm="1">
        <f t="array" ref="W3248">_xlfn.IFS(OR(X3248="N/A",X3248="NA"),0,OR(X3248="R64",X3248="R68"),1,X3248="R32",2,X3248="S16",3,X3248="E8",4,X3248="F4",5,X3248="2ND",6,X3248="Champions",7)</f>
        <v>0</v>
      </c>
      <c r="X3248" t="s">
        <v>425</v>
      </c>
      <c r="Y3248" t="s">
        <v>425</v>
      </c>
      <c r="Z3248">
        <v>2023</v>
      </c>
    </row>
    <row r="3249" spans="1:26" x14ac:dyDescent="0.3">
      <c r="A3249" t="s">
        <v>255</v>
      </c>
      <c r="B3249" t="s">
        <v>57</v>
      </c>
      <c r="C3249">
        <v>30</v>
      </c>
      <c r="D3249">
        <v>8</v>
      </c>
      <c r="E3249" s="1">
        <f t="shared" si="50"/>
        <v>0.26666666666666666</v>
      </c>
      <c r="F3249">
        <v>100.4</v>
      </c>
      <c r="G3249">
        <v>113.4</v>
      </c>
      <c r="H3249">
        <v>0.1976</v>
      </c>
      <c r="I3249">
        <v>49.2</v>
      </c>
      <c r="J3249">
        <v>55.6</v>
      </c>
      <c r="K3249">
        <v>16.899999999999999</v>
      </c>
      <c r="L3249">
        <v>17.100000000000001</v>
      </c>
      <c r="M3249">
        <v>25.1</v>
      </c>
      <c r="N3249">
        <v>32.799999999999997</v>
      </c>
      <c r="O3249">
        <v>32.200000000000003</v>
      </c>
      <c r="P3249">
        <v>35</v>
      </c>
      <c r="Q3249">
        <v>50.3</v>
      </c>
      <c r="R3249">
        <v>58.7</v>
      </c>
      <c r="S3249">
        <v>31.4</v>
      </c>
      <c r="T3249">
        <v>34.1</v>
      </c>
      <c r="U3249">
        <v>69.2</v>
      </c>
      <c r="V3249">
        <v>-17</v>
      </c>
      <c r="W3249" cm="1">
        <f t="array" ref="W3249">_xlfn.IFS(OR(X3249="N/A",X3249="NA"),0,OR(X3249="R64",X3249="R68"),1,X3249="R32",2,X3249="S16",3,X3249="E8",4,X3249="F4",5,X3249="2ND",6,X3249="Champions",7)</f>
        <v>0</v>
      </c>
      <c r="X3249" t="s">
        <v>425</v>
      </c>
      <c r="Y3249" t="s">
        <v>425</v>
      </c>
      <c r="Z3249">
        <v>2023</v>
      </c>
    </row>
    <row r="3250" spans="1:26" x14ac:dyDescent="0.3">
      <c r="A3250" t="s">
        <v>261</v>
      </c>
      <c r="B3250" t="s">
        <v>57</v>
      </c>
      <c r="C3250">
        <v>28</v>
      </c>
      <c r="D3250">
        <v>8</v>
      </c>
      <c r="E3250" s="1">
        <f t="shared" si="50"/>
        <v>0.2857142857142857</v>
      </c>
      <c r="F3250">
        <v>100.5</v>
      </c>
      <c r="G3250">
        <v>116</v>
      </c>
      <c r="H3250">
        <v>0.16109999999999999</v>
      </c>
      <c r="I3250">
        <v>48.8</v>
      </c>
      <c r="J3250">
        <v>54.8</v>
      </c>
      <c r="K3250">
        <v>19.100000000000001</v>
      </c>
      <c r="L3250">
        <v>14.4</v>
      </c>
      <c r="M3250">
        <v>33</v>
      </c>
      <c r="N3250">
        <v>27.6</v>
      </c>
      <c r="O3250">
        <v>27.8</v>
      </c>
      <c r="P3250">
        <v>33.1</v>
      </c>
      <c r="Q3250">
        <v>49.3</v>
      </c>
      <c r="R3250">
        <v>54.4</v>
      </c>
      <c r="S3250">
        <v>32.1</v>
      </c>
      <c r="T3250">
        <v>37</v>
      </c>
      <c r="U3250">
        <v>65.5</v>
      </c>
      <c r="V3250">
        <v>-17</v>
      </c>
      <c r="W3250" cm="1">
        <f t="array" ref="W3250">_xlfn.IFS(OR(X3250="N/A",X3250="NA"),0,OR(X3250="R64",X3250="R68"),1,X3250="R32",2,X3250="S16",3,X3250="E8",4,X3250="F4",5,X3250="2ND",6,X3250="Champions",7)</f>
        <v>0</v>
      </c>
      <c r="X3250" t="s">
        <v>425</v>
      </c>
      <c r="Y3250" t="s">
        <v>425</v>
      </c>
      <c r="Z3250">
        <v>2023</v>
      </c>
    </row>
    <row r="3251" spans="1:26" x14ac:dyDescent="0.3">
      <c r="A3251" t="s">
        <v>120</v>
      </c>
      <c r="B3251" t="s">
        <v>112</v>
      </c>
      <c r="C3251">
        <v>29</v>
      </c>
      <c r="D3251">
        <v>8</v>
      </c>
      <c r="E3251" s="1">
        <f t="shared" si="50"/>
        <v>0.27586206896551724</v>
      </c>
      <c r="F3251">
        <v>97.4</v>
      </c>
      <c r="G3251">
        <v>115.6</v>
      </c>
      <c r="H3251">
        <v>0.1226</v>
      </c>
      <c r="I3251">
        <v>47.3</v>
      </c>
      <c r="J3251">
        <v>55.3</v>
      </c>
      <c r="K3251">
        <v>19.2</v>
      </c>
      <c r="L3251">
        <v>16.600000000000001</v>
      </c>
      <c r="M3251">
        <v>27.8</v>
      </c>
      <c r="N3251">
        <v>26.7</v>
      </c>
      <c r="O3251">
        <v>31</v>
      </c>
      <c r="P3251">
        <v>36.799999999999997</v>
      </c>
      <c r="Q3251">
        <v>46.6</v>
      </c>
      <c r="R3251">
        <v>56.5</v>
      </c>
      <c r="S3251">
        <v>32.200000000000003</v>
      </c>
      <c r="T3251">
        <v>35.299999999999997</v>
      </c>
      <c r="U3251">
        <v>67.3</v>
      </c>
      <c r="V3251">
        <v>-17.5</v>
      </c>
      <c r="W3251" cm="1">
        <f t="array" ref="W3251">_xlfn.IFS(OR(X3251="N/A",X3251="NA"),0,OR(X3251="R64",X3251="R68"),1,X3251="R32",2,X3251="S16",3,X3251="E8",4,X3251="F4",5,X3251="2ND",6,X3251="Champions",7)</f>
        <v>0</v>
      </c>
      <c r="X3251" t="s">
        <v>425</v>
      </c>
      <c r="Y3251" t="s">
        <v>425</v>
      </c>
      <c r="Z3251">
        <v>2023</v>
      </c>
    </row>
    <row r="3252" spans="1:26" x14ac:dyDescent="0.3">
      <c r="A3252" t="s">
        <v>391</v>
      </c>
      <c r="B3252" t="s">
        <v>76</v>
      </c>
      <c r="C3252">
        <v>30</v>
      </c>
      <c r="D3252">
        <v>8</v>
      </c>
      <c r="E3252" s="1">
        <f t="shared" si="50"/>
        <v>0.26666666666666666</v>
      </c>
      <c r="F3252">
        <v>91.5</v>
      </c>
      <c r="G3252">
        <v>110.8</v>
      </c>
      <c r="H3252">
        <v>9.9900000000000003E-2</v>
      </c>
      <c r="I3252">
        <v>42.3</v>
      </c>
      <c r="J3252">
        <v>49.7</v>
      </c>
      <c r="K3252">
        <v>18.7</v>
      </c>
      <c r="L3252">
        <v>17.7</v>
      </c>
      <c r="M3252">
        <v>31.7</v>
      </c>
      <c r="N3252">
        <v>34.4</v>
      </c>
      <c r="O3252">
        <v>31.2</v>
      </c>
      <c r="P3252">
        <v>34.6</v>
      </c>
      <c r="Q3252">
        <v>40.4</v>
      </c>
      <c r="R3252">
        <v>48.9</v>
      </c>
      <c r="S3252">
        <v>30.8</v>
      </c>
      <c r="T3252">
        <v>34.200000000000003</v>
      </c>
      <c r="U3252">
        <v>66.3</v>
      </c>
      <c r="V3252">
        <v>-17.2</v>
      </c>
      <c r="W3252" cm="1">
        <f t="array" ref="W3252">_xlfn.IFS(OR(X3252="N/A",X3252="NA"),0,OR(X3252="R64",X3252="R68"),1,X3252="R32",2,X3252="S16",3,X3252="E8",4,X3252="F4",5,X3252="2ND",6,X3252="Champions",7)</f>
        <v>0</v>
      </c>
      <c r="X3252" t="s">
        <v>425</v>
      </c>
      <c r="Y3252" t="s">
        <v>425</v>
      </c>
      <c r="Z3252">
        <v>2023</v>
      </c>
    </row>
    <row r="3253" spans="1:26" x14ac:dyDescent="0.3">
      <c r="A3253" t="s">
        <v>200</v>
      </c>
      <c r="B3253" t="s">
        <v>53</v>
      </c>
      <c r="C3253">
        <v>30</v>
      </c>
      <c r="D3253">
        <v>8</v>
      </c>
      <c r="E3253" s="1">
        <f t="shared" si="50"/>
        <v>0.26666666666666666</v>
      </c>
      <c r="F3253">
        <v>97.6</v>
      </c>
      <c r="G3253">
        <v>110.3</v>
      </c>
      <c r="H3253">
        <v>0.19620000000000001</v>
      </c>
      <c r="I3253">
        <v>47.8</v>
      </c>
      <c r="J3253">
        <v>52.1</v>
      </c>
      <c r="K3253">
        <v>18.399999999999999</v>
      </c>
      <c r="L3253">
        <v>17.100000000000001</v>
      </c>
      <c r="M3253">
        <v>24.9</v>
      </c>
      <c r="N3253">
        <v>30.6</v>
      </c>
      <c r="O3253">
        <v>27.5</v>
      </c>
      <c r="P3253">
        <v>29</v>
      </c>
      <c r="Q3253">
        <v>50.5</v>
      </c>
      <c r="R3253">
        <v>51.4</v>
      </c>
      <c r="S3253">
        <v>29.2</v>
      </c>
      <c r="T3253">
        <v>35.200000000000003</v>
      </c>
      <c r="U3253">
        <v>66</v>
      </c>
      <c r="V3253">
        <v>-19</v>
      </c>
      <c r="W3253" cm="1">
        <f t="array" ref="W3253">_xlfn.IFS(OR(X3253="N/A",X3253="NA"),0,OR(X3253="R64",X3253="R68"),1,X3253="R32",2,X3253="S16",3,X3253="E8",4,X3253="F4",5,X3253="2ND",6,X3253="Champions",7)</f>
        <v>0</v>
      </c>
      <c r="X3253" t="s">
        <v>425</v>
      </c>
      <c r="Y3253" t="s">
        <v>425</v>
      </c>
      <c r="Z3253">
        <v>2023</v>
      </c>
    </row>
    <row r="3254" spans="1:26" x14ac:dyDescent="0.3">
      <c r="A3254" t="s">
        <v>187</v>
      </c>
      <c r="B3254" t="s">
        <v>53</v>
      </c>
      <c r="C3254">
        <v>31</v>
      </c>
      <c r="D3254">
        <v>8</v>
      </c>
      <c r="E3254" s="1">
        <f t="shared" si="50"/>
        <v>0.25806451612903225</v>
      </c>
      <c r="F3254">
        <v>96.8</v>
      </c>
      <c r="G3254">
        <v>115.4</v>
      </c>
      <c r="H3254">
        <v>0.1179</v>
      </c>
      <c r="I3254">
        <v>45.1</v>
      </c>
      <c r="J3254">
        <v>53.9</v>
      </c>
      <c r="K3254">
        <v>16</v>
      </c>
      <c r="L3254">
        <v>15.7</v>
      </c>
      <c r="M3254">
        <v>26.5</v>
      </c>
      <c r="N3254">
        <v>30.3</v>
      </c>
      <c r="O3254">
        <v>32.1</v>
      </c>
      <c r="P3254">
        <v>35.299999999999997</v>
      </c>
      <c r="Q3254">
        <v>43.4</v>
      </c>
      <c r="R3254">
        <v>52.2</v>
      </c>
      <c r="S3254">
        <v>32.1</v>
      </c>
      <c r="T3254">
        <v>37.9</v>
      </c>
      <c r="U3254">
        <v>68.7</v>
      </c>
      <c r="V3254">
        <v>-18.600000000000001</v>
      </c>
      <c r="W3254" cm="1">
        <f t="array" ref="W3254">_xlfn.IFS(OR(X3254="N/A",X3254="NA"),0,OR(X3254="R64",X3254="R68"),1,X3254="R32",2,X3254="S16",3,X3254="E8",4,X3254="F4",5,X3254="2ND",6,X3254="Champions",7)</f>
        <v>0</v>
      </c>
      <c r="X3254" t="s">
        <v>425</v>
      </c>
      <c r="Y3254" t="s">
        <v>425</v>
      </c>
      <c r="Z3254">
        <v>2023</v>
      </c>
    </row>
    <row r="3255" spans="1:26" x14ac:dyDescent="0.3">
      <c r="A3255" t="s">
        <v>188</v>
      </c>
      <c r="B3255" t="s">
        <v>48</v>
      </c>
      <c r="C3255">
        <v>31</v>
      </c>
      <c r="D3255">
        <v>8</v>
      </c>
      <c r="E3255" s="1">
        <f t="shared" si="50"/>
        <v>0.25806451612903225</v>
      </c>
      <c r="F3255">
        <v>93.2</v>
      </c>
      <c r="G3255">
        <v>103.1</v>
      </c>
      <c r="H3255">
        <v>0.24</v>
      </c>
      <c r="I3255">
        <v>45.8</v>
      </c>
      <c r="J3255">
        <v>50.4</v>
      </c>
      <c r="K3255">
        <v>20.9</v>
      </c>
      <c r="L3255">
        <v>18.600000000000001</v>
      </c>
      <c r="M3255">
        <v>24.5</v>
      </c>
      <c r="N3255">
        <v>24.5</v>
      </c>
      <c r="O3255">
        <v>31</v>
      </c>
      <c r="P3255">
        <v>42.3</v>
      </c>
      <c r="Q3255">
        <v>46.7</v>
      </c>
      <c r="R3255">
        <v>49.3</v>
      </c>
      <c r="S3255">
        <v>29.3</v>
      </c>
      <c r="T3255">
        <v>34.9</v>
      </c>
      <c r="U3255">
        <v>63.9</v>
      </c>
      <c r="V3255">
        <v>-18.5</v>
      </c>
      <c r="W3255" cm="1">
        <f t="array" ref="W3255">_xlfn.IFS(OR(X3255="N/A",X3255="NA"),0,OR(X3255="R64",X3255="R68"),1,X3255="R32",2,X3255="S16",3,X3255="E8",4,X3255="F4",5,X3255="2ND",6,X3255="Champions",7)</f>
        <v>0</v>
      </c>
      <c r="X3255" t="s">
        <v>425</v>
      </c>
      <c r="Y3255" t="s">
        <v>425</v>
      </c>
      <c r="Z3255">
        <v>2023</v>
      </c>
    </row>
    <row r="3256" spans="1:26" x14ac:dyDescent="0.3">
      <c r="A3256" t="s">
        <v>407</v>
      </c>
      <c r="B3256" t="s">
        <v>51</v>
      </c>
      <c r="C3256">
        <v>21</v>
      </c>
      <c r="D3256">
        <v>9</v>
      </c>
      <c r="E3256" s="1">
        <f t="shared" si="50"/>
        <v>0.42857142857142855</v>
      </c>
      <c r="F3256">
        <v>103.7</v>
      </c>
      <c r="G3256">
        <v>106.4</v>
      </c>
      <c r="H3256">
        <v>0.4264</v>
      </c>
      <c r="I3256">
        <v>50.2</v>
      </c>
      <c r="J3256">
        <v>53.7</v>
      </c>
      <c r="K3256">
        <v>18.3</v>
      </c>
      <c r="L3256">
        <v>19.100000000000001</v>
      </c>
      <c r="M3256">
        <v>27</v>
      </c>
      <c r="N3256">
        <v>26.5</v>
      </c>
      <c r="O3256">
        <v>34.700000000000003</v>
      </c>
      <c r="P3256">
        <v>37</v>
      </c>
      <c r="Q3256">
        <v>48.8</v>
      </c>
      <c r="R3256">
        <v>52.5</v>
      </c>
      <c r="S3256">
        <v>35.1</v>
      </c>
      <c r="T3256">
        <v>36.799999999999997</v>
      </c>
      <c r="U3256">
        <v>69</v>
      </c>
      <c r="V3256">
        <v>-8.9</v>
      </c>
      <c r="W3256" cm="1">
        <f t="array" ref="W3256">_xlfn.IFS(OR(X3256="N/A",X3256="NA"),0,OR(X3256="R64",X3256="R68"),1,X3256="R32",2,X3256="S16",3,X3256="E8",4,X3256="F4",5,X3256="2ND",6,X3256="Champions",7)</f>
        <v>0</v>
      </c>
      <c r="X3256" t="s">
        <v>425</v>
      </c>
      <c r="Y3256" t="s">
        <v>425</v>
      </c>
      <c r="Z3256">
        <v>2023</v>
      </c>
    </row>
    <row r="3257" spans="1:26" x14ac:dyDescent="0.3">
      <c r="A3257" t="s">
        <v>293</v>
      </c>
      <c r="B3257" t="s">
        <v>55</v>
      </c>
      <c r="C3257">
        <v>30</v>
      </c>
      <c r="D3257">
        <v>9</v>
      </c>
      <c r="E3257" s="1">
        <f t="shared" si="50"/>
        <v>0.3</v>
      </c>
      <c r="F3257">
        <v>106.7</v>
      </c>
      <c r="G3257">
        <v>105.3</v>
      </c>
      <c r="H3257">
        <v>0.53600000000000003</v>
      </c>
      <c r="I3257">
        <v>51.6</v>
      </c>
      <c r="J3257">
        <v>53.4</v>
      </c>
      <c r="K3257">
        <v>18.2</v>
      </c>
      <c r="L3257">
        <v>16.399999999999999</v>
      </c>
      <c r="M3257">
        <v>24.2</v>
      </c>
      <c r="N3257">
        <v>25.3</v>
      </c>
      <c r="O3257">
        <v>33.4</v>
      </c>
      <c r="P3257">
        <v>28.9</v>
      </c>
      <c r="Q3257">
        <v>51.3</v>
      </c>
      <c r="R3257">
        <v>52.6</v>
      </c>
      <c r="S3257">
        <v>34.700000000000003</v>
      </c>
      <c r="T3257">
        <v>36.4</v>
      </c>
      <c r="U3257">
        <v>65.5</v>
      </c>
      <c r="V3257">
        <v>-11.7</v>
      </c>
      <c r="W3257" cm="1">
        <f t="array" ref="W3257">_xlfn.IFS(OR(X3257="N/A",X3257="NA"),0,OR(X3257="R64",X3257="R68"),1,X3257="R32",2,X3257="S16",3,X3257="E8",4,X3257="F4",5,X3257="2ND",6,X3257="Champions",7)</f>
        <v>0</v>
      </c>
      <c r="X3257" t="s">
        <v>425</v>
      </c>
      <c r="Y3257" t="s">
        <v>425</v>
      </c>
      <c r="Z3257">
        <v>2023</v>
      </c>
    </row>
    <row r="3258" spans="1:26" x14ac:dyDescent="0.3">
      <c r="A3258" t="s">
        <v>411</v>
      </c>
      <c r="B3258" t="s">
        <v>37</v>
      </c>
      <c r="C3258">
        <v>29</v>
      </c>
      <c r="D3258">
        <v>9</v>
      </c>
      <c r="E3258" s="1">
        <f t="shared" si="50"/>
        <v>0.31034482758620691</v>
      </c>
      <c r="F3258">
        <v>104.1</v>
      </c>
      <c r="G3258">
        <v>105.8</v>
      </c>
      <c r="H3258">
        <v>0.45550000000000002</v>
      </c>
      <c r="I3258">
        <v>52</v>
      </c>
      <c r="J3258">
        <v>52.5</v>
      </c>
      <c r="K3258">
        <v>18.3</v>
      </c>
      <c r="L3258">
        <v>16.600000000000001</v>
      </c>
      <c r="M3258">
        <v>25.9</v>
      </c>
      <c r="N3258">
        <v>30.5</v>
      </c>
      <c r="O3258">
        <v>26.8</v>
      </c>
      <c r="P3258">
        <v>32.6</v>
      </c>
      <c r="Q3258">
        <v>51.6</v>
      </c>
      <c r="R3258">
        <v>51.6</v>
      </c>
      <c r="S3258">
        <v>35.1</v>
      </c>
      <c r="T3258">
        <v>36.200000000000003</v>
      </c>
      <c r="U3258">
        <v>72.099999999999994</v>
      </c>
      <c r="V3258">
        <v>-13</v>
      </c>
      <c r="W3258" cm="1">
        <f t="array" ref="W3258">_xlfn.IFS(OR(X3258="N/A",X3258="NA"),0,OR(X3258="R64",X3258="R68"),1,X3258="R32",2,X3258="S16",3,X3258="E8",4,X3258="F4",5,X3258="2ND",6,X3258="Champions",7)</f>
        <v>0</v>
      </c>
      <c r="X3258" t="s">
        <v>425</v>
      </c>
      <c r="Y3258" t="s">
        <v>425</v>
      </c>
      <c r="Z3258">
        <v>2023</v>
      </c>
    </row>
    <row r="3259" spans="1:26" x14ac:dyDescent="0.3">
      <c r="A3259" t="s">
        <v>142</v>
      </c>
      <c r="B3259" t="s">
        <v>31</v>
      </c>
      <c r="C3259">
        <v>31</v>
      </c>
      <c r="D3259">
        <v>9</v>
      </c>
      <c r="E3259" s="1">
        <f t="shared" si="50"/>
        <v>0.29032258064516131</v>
      </c>
      <c r="F3259">
        <v>102.3</v>
      </c>
      <c r="G3259">
        <v>104.9</v>
      </c>
      <c r="H3259">
        <v>0.42599999999999999</v>
      </c>
      <c r="I3259">
        <v>49</v>
      </c>
      <c r="J3259">
        <v>50.5</v>
      </c>
      <c r="K3259">
        <v>19.600000000000001</v>
      </c>
      <c r="L3259">
        <v>14.8</v>
      </c>
      <c r="M3259">
        <v>25</v>
      </c>
      <c r="N3259">
        <v>30.8</v>
      </c>
      <c r="O3259">
        <v>30.8</v>
      </c>
      <c r="P3259">
        <v>24.8</v>
      </c>
      <c r="Q3259">
        <v>49.2</v>
      </c>
      <c r="R3259">
        <v>49.1</v>
      </c>
      <c r="S3259">
        <v>32.5</v>
      </c>
      <c r="T3259">
        <v>35.9</v>
      </c>
      <c r="U3259">
        <v>65.599999999999994</v>
      </c>
      <c r="V3259">
        <v>-9.8000000000000007</v>
      </c>
      <c r="W3259" cm="1">
        <f t="array" ref="W3259">_xlfn.IFS(OR(X3259="N/A",X3259="NA"),0,OR(X3259="R64",X3259="R68"),1,X3259="R32",2,X3259="S16",3,X3259="E8",4,X3259="F4",5,X3259="2ND",6,X3259="Champions",7)</f>
        <v>0</v>
      </c>
      <c r="X3259" t="s">
        <v>425</v>
      </c>
      <c r="Y3259" t="s">
        <v>425</v>
      </c>
      <c r="Z3259">
        <v>2023</v>
      </c>
    </row>
    <row r="3260" spans="1:26" x14ac:dyDescent="0.3">
      <c r="A3260" t="s">
        <v>96</v>
      </c>
      <c r="B3260" t="s">
        <v>45</v>
      </c>
      <c r="C3260">
        <v>31</v>
      </c>
      <c r="D3260">
        <v>9</v>
      </c>
      <c r="E3260" s="1">
        <f t="shared" si="50"/>
        <v>0.29032258064516131</v>
      </c>
      <c r="F3260">
        <v>97.1</v>
      </c>
      <c r="G3260">
        <v>102.7</v>
      </c>
      <c r="H3260">
        <v>0.34210000000000002</v>
      </c>
      <c r="I3260">
        <v>44.2</v>
      </c>
      <c r="J3260">
        <v>49.1</v>
      </c>
      <c r="K3260">
        <v>20.399999999999999</v>
      </c>
      <c r="L3260">
        <v>17.2</v>
      </c>
      <c r="M3260">
        <v>31.6</v>
      </c>
      <c r="N3260">
        <v>29.5</v>
      </c>
      <c r="O3260">
        <v>37</v>
      </c>
      <c r="P3260">
        <v>31.7</v>
      </c>
      <c r="Q3260">
        <v>43.6</v>
      </c>
      <c r="R3260">
        <v>49.6</v>
      </c>
      <c r="S3260">
        <v>30.4</v>
      </c>
      <c r="T3260">
        <v>32.1</v>
      </c>
      <c r="U3260">
        <v>67.099999999999994</v>
      </c>
      <c r="V3260">
        <v>-15.9</v>
      </c>
      <c r="W3260" cm="1">
        <f t="array" ref="W3260">_xlfn.IFS(OR(X3260="N/A",X3260="NA"),0,OR(X3260="R64",X3260="R68"),1,X3260="R32",2,X3260="S16",3,X3260="E8",4,X3260="F4",5,X3260="2ND",6,X3260="Champions",7)</f>
        <v>0</v>
      </c>
      <c r="X3260" t="s">
        <v>425</v>
      </c>
      <c r="Y3260" t="s">
        <v>425</v>
      </c>
      <c r="Z3260">
        <v>2023</v>
      </c>
    </row>
    <row r="3261" spans="1:26" x14ac:dyDescent="0.3">
      <c r="A3261" t="s">
        <v>369</v>
      </c>
      <c r="B3261" t="s">
        <v>131</v>
      </c>
      <c r="C3261">
        <v>30</v>
      </c>
      <c r="D3261">
        <v>9</v>
      </c>
      <c r="E3261" s="1">
        <f t="shared" si="50"/>
        <v>0.3</v>
      </c>
      <c r="F3261">
        <v>97.7</v>
      </c>
      <c r="G3261">
        <v>112</v>
      </c>
      <c r="H3261">
        <v>0.1716</v>
      </c>
      <c r="I3261">
        <v>47.1</v>
      </c>
      <c r="J3261">
        <v>54.7</v>
      </c>
      <c r="K3261">
        <v>18.100000000000001</v>
      </c>
      <c r="L3261">
        <v>16.7</v>
      </c>
      <c r="M3261">
        <v>27.9</v>
      </c>
      <c r="N3261">
        <v>30.5</v>
      </c>
      <c r="O3261">
        <v>24.3</v>
      </c>
      <c r="P3261">
        <v>28.9</v>
      </c>
      <c r="Q3261">
        <v>46.8</v>
      </c>
      <c r="R3261">
        <v>54.8</v>
      </c>
      <c r="S3261">
        <v>31.6</v>
      </c>
      <c r="T3261">
        <v>36.299999999999997</v>
      </c>
      <c r="U3261">
        <v>72.2</v>
      </c>
      <c r="V3261">
        <v>-15.9</v>
      </c>
      <c r="W3261" cm="1">
        <f t="array" ref="W3261">_xlfn.IFS(OR(X3261="N/A",X3261="NA"),0,OR(X3261="R64",X3261="R68"),1,X3261="R32",2,X3261="S16",3,X3261="E8",4,X3261="F4",5,X3261="2ND",6,X3261="Champions",7)</f>
        <v>0</v>
      </c>
      <c r="X3261" t="s">
        <v>425</v>
      </c>
      <c r="Y3261" t="s">
        <v>425</v>
      </c>
      <c r="Z3261">
        <v>2023</v>
      </c>
    </row>
    <row r="3262" spans="1:26" x14ac:dyDescent="0.3">
      <c r="A3262" t="s">
        <v>304</v>
      </c>
      <c r="B3262" t="s">
        <v>131</v>
      </c>
      <c r="C3262">
        <v>28</v>
      </c>
      <c r="D3262">
        <v>9</v>
      </c>
      <c r="E3262" s="1">
        <f t="shared" si="50"/>
        <v>0.32142857142857145</v>
      </c>
      <c r="F3262">
        <v>95.7</v>
      </c>
      <c r="G3262">
        <v>110.5</v>
      </c>
      <c r="H3262">
        <v>0.16139999999999999</v>
      </c>
      <c r="I3262">
        <v>46.3</v>
      </c>
      <c r="J3262">
        <v>54.7</v>
      </c>
      <c r="K3262">
        <v>17.399999999999999</v>
      </c>
      <c r="L3262">
        <v>19.5</v>
      </c>
      <c r="M3262">
        <v>26</v>
      </c>
      <c r="N3262">
        <v>31.9</v>
      </c>
      <c r="O3262">
        <v>26.1</v>
      </c>
      <c r="P3262">
        <v>37</v>
      </c>
      <c r="Q3262">
        <v>46</v>
      </c>
      <c r="R3262">
        <v>56.4</v>
      </c>
      <c r="S3262">
        <v>31.2</v>
      </c>
      <c r="T3262">
        <v>34.4</v>
      </c>
      <c r="U3262">
        <v>64.7</v>
      </c>
      <c r="V3262">
        <v>-16</v>
      </c>
      <c r="W3262" cm="1">
        <f t="array" ref="W3262">_xlfn.IFS(OR(X3262="N/A",X3262="NA"),0,OR(X3262="R64",X3262="R68"),1,X3262="R32",2,X3262="S16",3,X3262="E8",4,X3262="F4",5,X3262="2ND",6,X3262="Champions",7)</f>
        <v>0</v>
      </c>
      <c r="X3262" t="s">
        <v>425</v>
      </c>
      <c r="Y3262" t="s">
        <v>425</v>
      </c>
      <c r="Z3262">
        <v>2023</v>
      </c>
    </row>
    <row r="3263" spans="1:26" x14ac:dyDescent="0.3">
      <c r="A3263" t="s">
        <v>305</v>
      </c>
      <c r="B3263" t="s">
        <v>64</v>
      </c>
      <c r="C3263">
        <v>29</v>
      </c>
      <c r="D3263">
        <v>9</v>
      </c>
      <c r="E3263" s="1">
        <f t="shared" si="50"/>
        <v>0.31034482758620691</v>
      </c>
      <c r="F3263">
        <v>92.9</v>
      </c>
      <c r="G3263">
        <v>111.2</v>
      </c>
      <c r="H3263">
        <v>0.11310000000000001</v>
      </c>
      <c r="I3263">
        <v>48</v>
      </c>
      <c r="J3263">
        <v>52.2</v>
      </c>
      <c r="K3263">
        <v>19.2</v>
      </c>
      <c r="L3263">
        <v>19.7</v>
      </c>
      <c r="M3263">
        <v>25.3</v>
      </c>
      <c r="N3263">
        <v>32.200000000000003</v>
      </c>
      <c r="O3263">
        <v>32.4</v>
      </c>
      <c r="P3263">
        <v>32.5</v>
      </c>
      <c r="Q3263">
        <v>47.7</v>
      </c>
      <c r="R3263">
        <v>52.4</v>
      </c>
      <c r="S3263">
        <v>32.6</v>
      </c>
      <c r="T3263">
        <v>34.6</v>
      </c>
      <c r="U3263">
        <v>67.900000000000006</v>
      </c>
      <c r="V3263">
        <v>-18</v>
      </c>
      <c r="W3263" cm="1">
        <f t="array" ref="W3263">_xlfn.IFS(OR(X3263="N/A",X3263="NA"),0,OR(X3263="R64",X3263="R68"),1,X3263="R32",2,X3263="S16",3,X3263="E8",4,X3263="F4",5,X3263="2ND",6,X3263="Champions",7)</f>
        <v>0</v>
      </c>
      <c r="X3263" t="s">
        <v>425</v>
      </c>
      <c r="Y3263" t="s">
        <v>425</v>
      </c>
      <c r="Z3263">
        <v>2023</v>
      </c>
    </row>
    <row r="3264" spans="1:26" x14ac:dyDescent="0.3">
      <c r="A3264" t="s">
        <v>372</v>
      </c>
      <c r="B3264" t="s">
        <v>61</v>
      </c>
      <c r="C3264">
        <v>28</v>
      </c>
      <c r="D3264">
        <v>9</v>
      </c>
      <c r="E3264" s="1">
        <f t="shared" si="50"/>
        <v>0.32142857142857145</v>
      </c>
      <c r="F3264">
        <v>94.1</v>
      </c>
      <c r="G3264">
        <v>114.5</v>
      </c>
      <c r="H3264">
        <v>9.5500000000000002E-2</v>
      </c>
      <c r="I3264">
        <v>47.6</v>
      </c>
      <c r="J3264">
        <v>53</v>
      </c>
      <c r="K3264">
        <v>21.2</v>
      </c>
      <c r="L3264">
        <v>17.100000000000001</v>
      </c>
      <c r="M3264">
        <v>31.9</v>
      </c>
      <c r="N3264">
        <v>33.5</v>
      </c>
      <c r="O3264">
        <v>32.200000000000003</v>
      </c>
      <c r="P3264">
        <v>30.8</v>
      </c>
      <c r="Q3264">
        <v>47.5</v>
      </c>
      <c r="R3264">
        <v>54.5</v>
      </c>
      <c r="S3264">
        <v>31.9</v>
      </c>
      <c r="T3264">
        <v>34.1</v>
      </c>
      <c r="U3264">
        <v>65.7</v>
      </c>
      <c r="V3264">
        <v>-18.5</v>
      </c>
      <c r="W3264" cm="1">
        <f t="array" ref="W3264">_xlfn.IFS(OR(X3264="N/A",X3264="NA"),0,OR(X3264="R64",X3264="R68"),1,X3264="R32",2,X3264="S16",3,X3264="E8",4,X3264="F4",5,X3264="2ND",6,X3264="Champions",7)</f>
        <v>0</v>
      </c>
      <c r="X3264" t="s">
        <v>425</v>
      </c>
      <c r="Y3264" t="s">
        <v>425</v>
      </c>
      <c r="Z3264">
        <v>2023</v>
      </c>
    </row>
    <row r="3265" spans="1:26" x14ac:dyDescent="0.3">
      <c r="A3265" t="s">
        <v>60</v>
      </c>
      <c r="B3265" t="s">
        <v>26</v>
      </c>
      <c r="C3265">
        <v>32</v>
      </c>
      <c r="D3265">
        <v>9</v>
      </c>
      <c r="E3265" s="1">
        <f t="shared" si="50"/>
        <v>0.28125</v>
      </c>
      <c r="F3265">
        <v>104</v>
      </c>
      <c r="G3265">
        <v>106.6</v>
      </c>
      <c r="H3265">
        <v>0.4299</v>
      </c>
      <c r="I3265">
        <v>49.3</v>
      </c>
      <c r="J3265">
        <v>53.1</v>
      </c>
      <c r="K3265">
        <v>17.600000000000001</v>
      </c>
      <c r="L3265">
        <v>17.100000000000001</v>
      </c>
      <c r="M3265">
        <v>25.9</v>
      </c>
      <c r="N3265">
        <v>31.5</v>
      </c>
      <c r="O3265">
        <v>30.4</v>
      </c>
      <c r="P3265">
        <v>30.9</v>
      </c>
      <c r="Q3265">
        <v>49.2</v>
      </c>
      <c r="R3265">
        <v>50.8</v>
      </c>
      <c r="S3265">
        <v>33</v>
      </c>
      <c r="T3265">
        <v>37.6</v>
      </c>
      <c r="U3265">
        <v>68.7</v>
      </c>
      <c r="V3265">
        <v>-11.9</v>
      </c>
      <c r="W3265" cm="1">
        <f t="array" ref="W3265">_xlfn.IFS(OR(X3265="N/A",X3265="NA"),0,OR(X3265="R64",X3265="R68"),1,X3265="R32",2,X3265="S16",3,X3265="E8",4,X3265="F4",5,X3265="2ND",6,X3265="Champions",7)</f>
        <v>0</v>
      </c>
      <c r="X3265" t="s">
        <v>425</v>
      </c>
      <c r="Y3265" t="s">
        <v>425</v>
      </c>
      <c r="Z3265">
        <v>2023</v>
      </c>
    </row>
    <row r="3266" spans="1:26" x14ac:dyDescent="0.3">
      <c r="A3266" t="s">
        <v>383</v>
      </c>
      <c r="B3266" t="s">
        <v>72</v>
      </c>
      <c r="C3266">
        <v>31</v>
      </c>
      <c r="D3266">
        <v>9</v>
      </c>
      <c r="E3266" s="1">
        <f t="shared" si="50"/>
        <v>0.29032258064516131</v>
      </c>
      <c r="F3266">
        <v>98.6</v>
      </c>
      <c r="G3266">
        <v>112.2</v>
      </c>
      <c r="H3266">
        <v>0.1847</v>
      </c>
      <c r="I3266">
        <v>48.5</v>
      </c>
      <c r="J3266">
        <v>53.2</v>
      </c>
      <c r="K3266">
        <v>18.5</v>
      </c>
      <c r="L3266">
        <v>15.8</v>
      </c>
      <c r="M3266">
        <v>24.2</v>
      </c>
      <c r="N3266">
        <v>28.9</v>
      </c>
      <c r="O3266">
        <v>29.6</v>
      </c>
      <c r="P3266">
        <v>33.4</v>
      </c>
      <c r="Q3266">
        <v>47.7</v>
      </c>
      <c r="R3266">
        <v>52</v>
      </c>
      <c r="S3266">
        <v>33.700000000000003</v>
      </c>
      <c r="T3266">
        <v>36.5</v>
      </c>
      <c r="U3266">
        <v>67.8</v>
      </c>
      <c r="V3266">
        <v>-16</v>
      </c>
      <c r="W3266" cm="1">
        <f t="array" ref="W3266">_xlfn.IFS(OR(X3266="N/A",X3266="NA"),0,OR(X3266="R64",X3266="R68"),1,X3266="R32",2,X3266="S16",3,X3266="E8",4,X3266="F4",5,X3266="2ND",6,X3266="Champions",7)</f>
        <v>0</v>
      </c>
      <c r="X3266" t="s">
        <v>425</v>
      </c>
      <c r="Y3266" t="s">
        <v>425</v>
      </c>
      <c r="Z3266">
        <v>2023</v>
      </c>
    </row>
    <row r="3267" spans="1:26" x14ac:dyDescent="0.3">
      <c r="A3267" t="s">
        <v>264</v>
      </c>
      <c r="B3267" t="s">
        <v>66</v>
      </c>
      <c r="C3267">
        <v>32</v>
      </c>
      <c r="D3267">
        <v>9</v>
      </c>
      <c r="E3267" s="1">
        <f t="shared" ref="E3267:E3330" si="51">D3267/C3267</f>
        <v>0.28125</v>
      </c>
      <c r="F3267">
        <v>97.8</v>
      </c>
      <c r="G3267">
        <v>114.7</v>
      </c>
      <c r="H3267">
        <v>0.13769999999999999</v>
      </c>
      <c r="I3267">
        <v>51</v>
      </c>
      <c r="J3267">
        <v>53.2</v>
      </c>
      <c r="K3267">
        <v>20.100000000000001</v>
      </c>
      <c r="L3267">
        <v>18.5</v>
      </c>
      <c r="M3267">
        <v>18.600000000000001</v>
      </c>
      <c r="N3267">
        <v>35.700000000000003</v>
      </c>
      <c r="O3267">
        <v>37.200000000000003</v>
      </c>
      <c r="P3267">
        <v>34.200000000000003</v>
      </c>
      <c r="Q3267">
        <v>51.4</v>
      </c>
      <c r="R3267">
        <v>55</v>
      </c>
      <c r="S3267">
        <v>33.700000000000003</v>
      </c>
      <c r="T3267">
        <v>33.799999999999997</v>
      </c>
      <c r="U3267">
        <v>71.8</v>
      </c>
      <c r="V3267">
        <v>-16.399999999999999</v>
      </c>
      <c r="W3267" cm="1">
        <f t="array" ref="W3267">_xlfn.IFS(OR(X3267="N/A",X3267="NA"),0,OR(X3267="R64",X3267="R68"),1,X3267="R32",2,X3267="S16",3,X3267="E8",4,X3267="F4",5,X3267="2ND",6,X3267="Champions",7)</f>
        <v>0</v>
      </c>
      <c r="X3267" t="s">
        <v>425</v>
      </c>
      <c r="Y3267" t="s">
        <v>425</v>
      </c>
      <c r="Z3267">
        <v>2023</v>
      </c>
    </row>
    <row r="3268" spans="1:26" x14ac:dyDescent="0.3">
      <c r="A3268" t="s">
        <v>235</v>
      </c>
      <c r="B3268" t="s">
        <v>59</v>
      </c>
      <c r="C3268">
        <v>26</v>
      </c>
      <c r="D3268">
        <v>10</v>
      </c>
      <c r="E3268" s="1">
        <f t="shared" si="51"/>
        <v>0.38461538461538464</v>
      </c>
      <c r="F3268">
        <v>99.3</v>
      </c>
      <c r="G3268">
        <v>106.8</v>
      </c>
      <c r="H3268">
        <v>0.30109999999999998</v>
      </c>
      <c r="I3268">
        <v>50</v>
      </c>
      <c r="J3268">
        <v>51.3</v>
      </c>
      <c r="K3268">
        <v>20.2</v>
      </c>
      <c r="L3268">
        <v>16.5</v>
      </c>
      <c r="M3268">
        <v>23.5</v>
      </c>
      <c r="N3268">
        <v>26.2</v>
      </c>
      <c r="O3268">
        <v>29.1</v>
      </c>
      <c r="P3268">
        <v>31.7</v>
      </c>
      <c r="Q3268">
        <v>50.8</v>
      </c>
      <c r="R3268">
        <v>51.6</v>
      </c>
      <c r="S3268">
        <v>32.6</v>
      </c>
      <c r="T3268">
        <v>34</v>
      </c>
      <c r="U3268">
        <v>68.599999999999994</v>
      </c>
      <c r="V3268">
        <v>-12.9</v>
      </c>
      <c r="W3268" cm="1">
        <f t="array" ref="W3268">_xlfn.IFS(OR(X3268="N/A",X3268="NA"),0,OR(X3268="R64",X3268="R68"),1,X3268="R32",2,X3268="S16",3,X3268="E8",4,X3268="F4",5,X3268="2ND",6,X3268="Champions",7)</f>
        <v>0</v>
      </c>
      <c r="X3268" t="s">
        <v>425</v>
      </c>
      <c r="Y3268" t="s">
        <v>425</v>
      </c>
      <c r="Z3268">
        <v>2023</v>
      </c>
    </row>
    <row r="3269" spans="1:26" x14ac:dyDescent="0.3">
      <c r="A3269" t="s">
        <v>426</v>
      </c>
      <c r="B3269" t="s">
        <v>48</v>
      </c>
      <c r="C3269">
        <v>28</v>
      </c>
      <c r="D3269">
        <v>10</v>
      </c>
      <c r="E3269" s="1">
        <f t="shared" si="51"/>
        <v>0.35714285714285715</v>
      </c>
      <c r="F3269">
        <v>102.9</v>
      </c>
      <c r="G3269">
        <v>108.1</v>
      </c>
      <c r="H3269">
        <v>0.36149999999999999</v>
      </c>
      <c r="I3269">
        <v>49.6</v>
      </c>
      <c r="J3269">
        <v>51.8</v>
      </c>
      <c r="K3269">
        <v>17.899999999999999</v>
      </c>
      <c r="L3269">
        <v>16.5</v>
      </c>
      <c r="M3269">
        <v>23.2</v>
      </c>
      <c r="N3269">
        <v>29.3</v>
      </c>
      <c r="O3269">
        <v>26.1</v>
      </c>
      <c r="P3269">
        <v>27.9</v>
      </c>
      <c r="Q3269">
        <v>49.6</v>
      </c>
      <c r="R3269">
        <v>49.7</v>
      </c>
      <c r="S3269">
        <v>33</v>
      </c>
      <c r="T3269">
        <v>37.1</v>
      </c>
      <c r="U3269">
        <v>65.900000000000006</v>
      </c>
      <c r="V3269">
        <v>-14.3</v>
      </c>
      <c r="W3269" cm="1">
        <f t="array" ref="W3269">_xlfn.IFS(OR(X3269="N/A",X3269="NA"),0,OR(X3269="R64",X3269="R68"),1,X3269="R32",2,X3269="S16",3,X3269="E8",4,X3269="F4",5,X3269="2ND",6,X3269="Champions",7)</f>
        <v>0</v>
      </c>
      <c r="X3269" t="s">
        <v>425</v>
      </c>
      <c r="Y3269" t="s">
        <v>425</v>
      </c>
      <c r="Z3269">
        <v>2023</v>
      </c>
    </row>
    <row r="3270" spans="1:26" x14ac:dyDescent="0.3">
      <c r="A3270" t="s">
        <v>240</v>
      </c>
      <c r="B3270" t="s">
        <v>69</v>
      </c>
      <c r="C3270">
        <v>29</v>
      </c>
      <c r="D3270">
        <v>10</v>
      </c>
      <c r="E3270" s="1">
        <f t="shared" si="51"/>
        <v>0.34482758620689657</v>
      </c>
      <c r="F3270">
        <v>101.1</v>
      </c>
      <c r="G3270">
        <v>107.4</v>
      </c>
      <c r="H3270">
        <v>0.33479999999999999</v>
      </c>
      <c r="I3270">
        <v>48.6</v>
      </c>
      <c r="J3270">
        <v>52.8</v>
      </c>
      <c r="K3270">
        <v>17.5</v>
      </c>
      <c r="L3270">
        <v>18.7</v>
      </c>
      <c r="M3270">
        <v>28.4</v>
      </c>
      <c r="N3270">
        <v>29.9</v>
      </c>
      <c r="O3270">
        <v>24.9</v>
      </c>
      <c r="P3270">
        <v>27.7</v>
      </c>
      <c r="Q3270">
        <v>47.4</v>
      </c>
      <c r="R3270">
        <v>52</v>
      </c>
      <c r="S3270">
        <v>33.6</v>
      </c>
      <c r="T3270">
        <v>36.4</v>
      </c>
      <c r="U3270">
        <v>67.5</v>
      </c>
      <c r="V3270">
        <v>-15</v>
      </c>
      <c r="W3270" cm="1">
        <f t="array" ref="W3270">_xlfn.IFS(OR(X3270="N/A",X3270="NA"),0,OR(X3270="R64",X3270="R68"),1,X3270="R32",2,X3270="S16",3,X3270="E8",4,X3270="F4",5,X3270="2ND",6,X3270="Champions",7)</f>
        <v>0</v>
      </c>
      <c r="X3270" t="s">
        <v>425</v>
      </c>
      <c r="Y3270" t="s">
        <v>425</v>
      </c>
      <c r="Z3270">
        <v>2023</v>
      </c>
    </row>
    <row r="3271" spans="1:26" x14ac:dyDescent="0.3">
      <c r="A3271" t="s">
        <v>206</v>
      </c>
      <c r="B3271" t="s">
        <v>53</v>
      </c>
      <c r="C3271">
        <v>30</v>
      </c>
      <c r="D3271">
        <v>10</v>
      </c>
      <c r="E3271" s="1">
        <f t="shared" si="51"/>
        <v>0.33333333333333331</v>
      </c>
      <c r="F3271">
        <v>97</v>
      </c>
      <c r="G3271">
        <v>107.9</v>
      </c>
      <c r="H3271">
        <v>0.2281</v>
      </c>
      <c r="I3271">
        <v>47.9</v>
      </c>
      <c r="J3271">
        <v>50.1</v>
      </c>
      <c r="K3271">
        <v>21.3</v>
      </c>
      <c r="L3271">
        <v>14.5</v>
      </c>
      <c r="M3271">
        <v>31.7</v>
      </c>
      <c r="N3271">
        <v>26.9</v>
      </c>
      <c r="O3271">
        <v>27.7</v>
      </c>
      <c r="P3271">
        <v>31.7</v>
      </c>
      <c r="Q3271">
        <v>46.8</v>
      </c>
      <c r="R3271">
        <v>49.2</v>
      </c>
      <c r="S3271">
        <v>33.200000000000003</v>
      </c>
      <c r="T3271">
        <v>34.9</v>
      </c>
      <c r="U3271">
        <v>66.8</v>
      </c>
      <c r="V3271">
        <v>-14.4</v>
      </c>
      <c r="W3271" cm="1">
        <f t="array" ref="W3271">_xlfn.IFS(OR(X3271="N/A",X3271="NA"),0,OR(X3271="R64",X3271="R68"),1,X3271="R32",2,X3271="S16",3,X3271="E8",4,X3271="F4",5,X3271="2ND",6,X3271="Champions",7)</f>
        <v>0</v>
      </c>
      <c r="X3271" t="s">
        <v>425</v>
      </c>
      <c r="Y3271" t="s">
        <v>425</v>
      </c>
      <c r="Z3271">
        <v>2023</v>
      </c>
    </row>
    <row r="3272" spans="1:26" x14ac:dyDescent="0.3">
      <c r="A3272" t="s">
        <v>85</v>
      </c>
      <c r="B3272" t="s">
        <v>45</v>
      </c>
      <c r="C3272">
        <v>31</v>
      </c>
      <c r="D3272">
        <v>10</v>
      </c>
      <c r="E3272" s="1">
        <f t="shared" si="51"/>
        <v>0.32258064516129031</v>
      </c>
      <c r="F3272">
        <v>101.7</v>
      </c>
      <c r="G3272">
        <v>106.3</v>
      </c>
      <c r="H3272">
        <v>0.3745</v>
      </c>
      <c r="I3272">
        <v>52.9</v>
      </c>
      <c r="J3272">
        <v>51.6</v>
      </c>
      <c r="K3272">
        <v>22.1</v>
      </c>
      <c r="L3272">
        <v>17.899999999999999</v>
      </c>
      <c r="M3272">
        <v>24.5</v>
      </c>
      <c r="N3272">
        <v>28.5</v>
      </c>
      <c r="O3272">
        <v>31.1</v>
      </c>
      <c r="P3272">
        <v>37.5</v>
      </c>
      <c r="Q3272">
        <v>54.8</v>
      </c>
      <c r="R3272">
        <v>51.7</v>
      </c>
      <c r="S3272">
        <v>33.4</v>
      </c>
      <c r="T3272">
        <v>34.4</v>
      </c>
      <c r="U3272">
        <v>66</v>
      </c>
      <c r="V3272">
        <v>-13.9</v>
      </c>
      <c r="W3272" cm="1">
        <f t="array" ref="W3272">_xlfn.IFS(OR(X3272="N/A",X3272="NA"),0,OR(X3272="R64",X3272="R68"),1,X3272="R32",2,X3272="S16",3,X3272="E8",4,X3272="F4",5,X3272="2ND",6,X3272="Champions",7)</f>
        <v>0</v>
      </c>
      <c r="X3272" t="s">
        <v>425</v>
      </c>
      <c r="Y3272" t="s">
        <v>425</v>
      </c>
      <c r="Z3272">
        <v>2023</v>
      </c>
    </row>
    <row r="3273" spans="1:26" x14ac:dyDescent="0.3">
      <c r="A3273" t="s">
        <v>346</v>
      </c>
      <c r="B3273" t="s">
        <v>58</v>
      </c>
      <c r="C3273">
        <v>28</v>
      </c>
      <c r="D3273">
        <v>10</v>
      </c>
      <c r="E3273" s="1">
        <f t="shared" si="51"/>
        <v>0.35714285714285715</v>
      </c>
      <c r="F3273">
        <v>97.1</v>
      </c>
      <c r="G3273">
        <v>107.4</v>
      </c>
      <c r="H3273">
        <v>0.23760000000000001</v>
      </c>
      <c r="I3273">
        <v>45.6</v>
      </c>
      <c r="J3273">
        <v>50.7</v>
      </c>
      <c r="K3273">
        <v>19.5</v>
      </c>
      <c r="L3273">
        <v>17.5</v>
      </c>
      <c r="M3273">
        <v>30.1</v>
      </c>
      <c r="N3273">
        <v>29.5</v>
      </c>
      <c r="O3273">
        <v>33.5</v>
      </c>
      <c r="P3273">
        <v>35.4</v>
      </c>
      <c r="Q3273">
        <v>46.5</v>
      </c>
      <c r="R3273">
        <v>48.6</v>
      </c>
      <c r="S3273">
        <v>29</v>
      </c>
      <c r="T3273">
        <v>36.5</v>
      </c>
      <c r="U3273">
        <v>66.8</v>
      </c>
      <c r="V3273">
        <v>-15.7</v>
      </c>
      <c r="W3273" cm="1">
        <f t="array" ref="W3273">_xlfn.IFS(OR(X3273="N/A",X3273="NA"),0,OR(X3273="R64",X3273="R68"),1,X3273="R32",2,X3273="S16",3,X3273="E8",4,X3273="F4",5,X3273="2ND",6,X3273="Champions",7)</f>
        <v>0</v>
      </c>
      <c r="X3273" t="s">
        <v>425</v>
      </c>
      <c r="Y3273" t="s">
        <v>425</v>
      </c>
      <c r="Z3273">
        <v>2023</v>
      </c>
    </row>
    <row r="3274" spans="1:26" x14ac:dyDescent="0.3">
      <c r="A3274" t="s">
        <v>177</v>
      </c>
      <c r="B3274" t="s">
        <v>74</v>
      </c>
      <c r="C3274">
        <v>29</v>
      </c>
      <c r="D3274">
        <v>10</v>
      </c>
      <c r="E3274" s="1">
        <f t="shared" si="51"/>
        <v>0.34482758620689657</v>
      </c>
      <c r="F3274">
        <v>103.7</v>
      </c>
      <c r="G3274">
        <v>115.2</v>
      </c>
      <c r="H3274">
        <v>0.23</v>
      </c>
      <c r="I3274">
        <v>50.3</v>
      </c>
      <c r="J3274">
        <v>54.3</v>
      </c>
      <c r="K3274">
        <v>18.100000000000001</v>
      </c>
      <c r="L3274">
        <v>16.7</v>
      </c>
      <c r="M3274">
        <v>32.200000000000003</v>
      </c>
      <c r="N3274">
        <v>31</v>
      </c>
      <c r="O3274">
        <v>27.4</v>
      </c>
      <c r="P3274">
        <v>36.6</v>
      </c>
      <c r="Q3274">
        <v>49.7</v>
      </c>
      <c r="R3274">
        <v>54.3</v>
      </c>
      <c r="S3274">
        <v>34.1</v>
      </c>
      <c r="T3274">
        <v>36.200000000000003</v>
      </c>
      <c r="U3274">
        <v>65.5</v>
      </c>
      <c r="V3274">
        <v>-16.100000000000001</v>
      </c>
      <c r="W3274" cm="1">
        <f t="array" ref="W3274">_xlfn.IFS(OR(X3274="N/A",X3274="NA"),0,OR(X3274="R64",X3274="R68"),1,X3274="R32",2,X3274="S16",3,X3274="E8",4,X3274="F4",5,X3274="2ND",6,X3274="Champions",7)</f>
        <v>0</v>
      </c>
      <c r="X3274" t="s">
        <v>425</v>
      </c>
      <c r="Y3274" t="s">
        <v>425</v>
      </c>
      <c r="Z3274">
        <v>2023</v>
      </c>
    </row>
    <row r="3275" spans="1:26" x14ac:dyDescent="0.3">
      <c r="A3275" t="s">
        <v>393</v>
      </c>
      <c r="B3275" t="s">
        <v>76</v>
      </c>
      <c r="C3275">
        <v>27</v>
      </c>
      <c r="D3275">
        <v>10</v>
      </c>
      <c r="E3275" s="1">
        <f t="shared" si="51"/>
        <v>0.37037037037037035</v>
      </c>
      <c r="F3275">
        <v>94.1</v>
      </c>
      <c r="G3275">
        <v>107</v>
      </c>
      <c r="H3275">
        <v>0.18579999999999999</v>
      </c>
      <c r="I3275">
        <v>45.2</v>
      </c>
      <c r="J3275">
        <v>51.4</v>
      </c>
      <c r="K3275">
        <v>21.6</v>
      </c>
      <c r="L3275">
        <v>21.4</v>
      </c>
      <c r="M3275">
        <v>26.6</v>
      </c>
      <c r="N3275">
        <v>29</v>
      </c>
      <c r="O3275">
        <v>33.799999999999997</v>
      </c>
      <c r="P3275">
        <v>43.2</v>
      </c>
      <c r="Q3275">
        <v>44</v>
      </c>
      <c r="R3275">
        <v>51.1</v>
      </c>
      <c r="S3275">
        <v>31.1</v>
      </c>
      <c r="T3275">
        <v>34.5</v>
      </c>
      <c r="U3275">
        <v>69.599999999999994</v>
      </c>
      <c r="V3275">
        <v>-15.4</v>
      </c>
      <c r="W3275" cm="1">
        <f t="array" ref="W3275">_xlfn.IFS(OR(X3275="N/A",X3275="NA"),0,OR(X3275="R64",X3275="R68"),1,X3275="R32",2,X3275="S16",3,X3275="E8",4,X3275="F4",5,X3275="2ND",6,X3275="Champions",7)</f>
        <v>0</v>
      </c>
      <c r="X3275" t="s">
        <v>425</v>
      </c>
      <c r="Y3275" t="s">
        <v>425</v>
      </c>
      <c r="Z3275">
        <v>2023</v>
      </c>
    </row>
    <row r="3276" spans="1:26" x14ac:dyDescent="0.3">
      <c r="A3276" t="s">
        <v>347</v>
      </c>
      <c r="B3276" t="s">
        <v>64</v>
      </c>
      <c r="C3276">
        <v>29</v>
      </c>
      <c r="D3276">
        <v>10</v>
      </c>
      <c r="E3276" s="1">
        <f t="shared" si="51"/>
        <v>0.34482758620689657</v>
      </c>
      <c r="F3276">
        <v>100.7</v>
      </c>
      <c r="G3276">
        <v>115.4</v>
      </c>
      <c r="H3276">
        <v>0.17280000000000001</v>
      </c>
      <c r="I3276">
        <v>49.2</v>
      </c>
      <c r="J3276">
        <v>56.1</v>
      </c>
      <c r="K3276">
        <v>18</v>
      </c>
      <c r="L3276">
        <v>19.2</v>
      </c>
      <c r="M3276">
        <v>29.3</v>
      </c>
      <c r="N3276">
        <v>30.4</v>
      </c>
      <c r="O3276">
        <v>31.9</v>
      </c>
      <c r="P3276">
        <v>37</v>
      </c>
      <c r="Q3276">
        <v>49.4</v>
      </c>
      <c r="R3276">
        <v>54.1</v>
      </c>
      <c r="S3276">
        <v>32.5</v>
      </c>
      <c r="T3276">
        <v>39.5</v>
      </c>
      <c r="U3276">
        <v>70.8</v>
      </c>
      <c r="V3276">
        <v>-16.7</v>
      </c>
      <c r="W3276" cm="1">
        <f t="array" ref="W3276">_xlfn.IFS(OR(X3276="N/A",X3276="NA"),0,OR(X3276="R64",X3276="R68"),1,X3276="R32",2,X3276="S16",3,X3276="E8",4,X3276="F4",5,X3276="2ND",6,X3276="Champions",7)</f>
        <v>0</v>
      </c>
      <c r="X3276" t="s">
        <v>425</v>
      </c>
      <c r="Y3276" t="s">
        <v>425</v>
      </c>
      <c r="Z3276">
        <v>2023</v>
      </c>
    </row>
    <row r="3277" spans="1:26" x14ac:dyDescent="0.3">
      <c r="A3277" t="s">
        <v>254</v>
      </c>
      <c r="B3277" t="s">
        <v>57</v>
      </c>
      <c r="C3277">
        <v>29</v>
      </c>
      <c r="D3277">
        <v>10</v>
      </c>
      <c r="E3277" s="1">
        <f t="shared" si="51"/>
        <v>0.34482758620689657</v>
      </c>
      <c r="F3277">
        <v>92</v>
      </c>
      <c r="G3277">
        <v>108.1</v>
      </c>
      <c r="H3277">
        <v>0.13550000000000001</v>
      </c>
      <c r="I3277">
        <v>46.5</v>
      </c>
      <c r="J3277">
        <v>51.9</v>
      </c>
      <c r="K3277">
        <v>22.9</v>
      </c>
      <c r="L3277">
        <v>19.2</v>
      </c>
      <c r="M3277">
        <v>30.5</v>
      </c>
      <c r="N3277">
        <v>32.5</v>
      </c>
      <c r="O3277">
        <v>36.9</v>
      </c>
      <c r="P3277">
        <v>41</v>
      </c>
      <c r="Q3277">
        <v>47.4</v>
      </c>
      <c r="R3277">
        <v>50.9</v>
      </c>
      <c r="S3277">
        <v>30</v>
      </c>
      <c r="T3277">
        <v>35.6</v>
      </c>
      <c r="U3277">
        <v>67.2</v>
      </c>
      <c r="V3277">
        <v>-15.3</v>
      </c>
      <c r="W3277" cm="1">
        <f t="array" ref="W3277">_xlfn.IFS(OR(X3277="N/A",X3277="NA"),0,OR(X3277="R64",X3277="R68"),1,X3277="R32",2,X3277="S16",3,X3277="E8",4,X3277="F4",5,X3277="2ND",6,X3277="Champions",7)</f>
        <v>0</v>
      </c>
      <c r="X3277" t="s">
        <v>425</v>
      </c>
      <c r="Y3277" t="s">
        <v>425</v>
      </c>
      <c r="Z3277">
        <v>2023</v>
      </c>
    </row>
    <row r="3278" spans="1:26" x14ac:dyDescent="0.3">
      <c r="A3278" t="s">
        <v>129</v>
      </c>
      <c r="B3278" t="s">
        <v>50</v>
      </c>
      <c r="C3278">
        <v>32</v>
      </c>
      <c r="D3278">
        <v>10</v>
      </c>
      <c r="E3278" s="1">
        <f t="shared" si="51"/>
        <v>0.3125</v>
      </c>
      <c r="F3278">
        <v>103.2</v>
      </c>
      <c r="G3278">
        <v>102.5</v>
      </c>
      <c r="H3278">
        <v>0.52059999999999995</v>
      </c>
      <c r="I3278">
        <v>47.4</v>
      </c>
      <c r="J3278">
        <v>51.8</v>
      </c>
      <c r="K3278">
        <v>18</v>
      </c>
      <c r="L3278">
        <v>18.7</v>
      </c>
      <c r="M3278">
        <v>28.1</v>
      </c>
      <c r="N3278">
        <v>30.5</v>
      </c>
      <c r="O3278">
        <v>33</v>
      </c>
      <c r="P3278">
        <v>32.799999999999997</v>
      </c>
      <c r="Q3278">
        <v>47.8</v>
      </c>
      <c r="R3278">
        <v>51.4</v>
      </c>
      <c r="S3278">
        <v>31.1</v>
      </c>
      <c r="T3278">
        <v>34.9</v>
      </c>
      <c r="U3278">
        <v>69.3</v>
      </c>
      <c r="V3278">
        <v>-10.5</v>
      </c>
      <c r="W3278" cm="1">
        <f t="array" ref="W3278">_xlfn.IFS(OR(X3278="N/A",X3278="NA"),0,OR(X3278="R64",X3278="R68"),1,X3278="R32",2,X3278="S16",3,X3278="E8",4,X3278="F4",5,X3278="2ND",6,X3278="Champions",7)</f>
        <v>0</v>
      </c>
      <c r="X3278" t="s">
        <v>425</v>
      </c>
      <c r="Y3278" t="s">
        <v>425</v>
      </c>
      <c r="Z3278">
        <v>2023</v>
      </c>
    </row>
    <row r="3279" spans="1:26" x14ac:dyDescent="0.3">
      <c r="A3279" t="s">
        <v>218</v>
      </c>
      <c r="B3279" t="s">
        <v>40</v>
      </c>
      <c r="C3279">
        <v>30</v>
      </c>
      <c r="D3279">
        <v>10</v>
      </c>
      <c r="E3279" s="1">
        <f t="shared" si="51"/>
        <v>0.33333333333333331</v>
      </c>
      <c r="F3279">
        <v>102.1</v>
      </c>
      <c r="G3279">
        <v>109.5</v>
      </c>
      <c r="H3279">
        <v>0.3075</v>
      </c>
      <c r="I3279">
        <v>47.4</v>
      </c>
      <c r="J3279">
        <v>52.5</v>
      </c>
      <c r="K3279">
        <v>19.5</v>
      </c>
      <c r="L3279">
        <v>15.4</v>
      </c>
      <c r="M3279">
        <v>28.5</v>
      </c>
      <c r="N3279">
        <v>31.2</v>
      </c>
      <c r="O3279">
        <v>37.4</v>
      </c>
      <c r="P3279">
        <v>30.6</v>
      </c>
      <c r="Q3279">
        <v>45.3</v>
      </c>
      <c r="R3279">
        <v>51.9</v>
      </c>
      <c r="S3279">
        <v>33.799999999999997</v>
      </c>
      <c r="T3279">
        <v>35.6</v>
      </c>
      <c r="U3279">
        <v>69</v>
      </c>
      <c r="V3279">
        <v>-14</v>
      </c>
      <c r="W3279" cm="1">
        <f t="array" ref="W3279">_xlfn.IFS(OR(X3279="N/A",X3279="NA"),0,OR(X3279="R64",X3279="R68"),1,X3279="R32",2,X3279="S16",3,X3279="E8",4,X3279="F4",5,X3279="2ND",6,X3279="Champions",7)</f>
        <v>0</v>
      </c>
      <c r="X3279" t="s">
        <v>425</v>
      </c>
      <c r="Y3279" t="s">
        <v>425</v>
      </c>
      <c r="Z3279">
        <v>2023</v>
      </c>
    </row>
    <row r="3280" spans="1:26" x14ac:dyDescent="0.3">
      <c r="A3280" t="s">
        <v>163</v>
      </c>
      <c r="B3280" t="s">
        <v>164</v>
      </c>
      <c r="C3280">
        <v>30</v>
      </c>
      <c r="D3280">
        <v>10</v>
      </c>
      <c r="E3280" s="1">
        <f t="shared" si="51"/>
        <v>0.33333333333333331</v>
      </c>
      <c r="F3280">
        <v>100.6</v>
      </c>
      <c r="G3280">
        <v>112.7</v>
      </c>
      <c r="H3280">
        <v>0.21429999999999999</v>
      </c>
      <c r="I3280">
        <v>52</v>
      </c>
      <c r="J3280">
        <v>54.3</v>
      </c>
      <c r="K3280">
        <v>17.2</v>
      </c>
      <c r="L3280">
        <v>16.100000000000001</v>
      </c>
      <c r="M3280">
        <v>19.600000000000001</v>
      </c>
      <c r="N3280">
        <v>27.8</v>
      </c>
      <c r="O3280">
        <v>35.799999999999997</v>
      </c>
      <c r="P3280">
        <v>31.6</v>
      </c>
      <c r="Q3280">
        <v>54.2</v>
      </c>
      <c r="R3280">
        <v>52.6</v>
      </c>
      <c r="S3280">
        <v>32</v>
      </c>
      <c r="T3280">
        <v>38.700000000000003</v>
      </c>
      <c r="U3280">
        <v>65.8</v>
      </c>
      <c r="V3280">
        <v>-17.600000000000001</v>
      </c>
      <c r="W3280" cm="1">
        <f t="array" ref="W3280">_xlfn.IFS(OR(X3280="N/A",X3280="NA"),0,OR(X3280="R64",X3280="R68"),1,X3280="R32",2,X3280="S16",3,X3280="E8",4,X3280="F4",5,X3280="2ND",6,X3280="Champions",7)</f>
        <v>0</v>
      </c>
      <c r="X3280" t="s">
        <v>425</v>
      </c>
      <c r="Y3280" t="s">
        <v>425</v>
      </c>
      <c r="Z3280">
        <v>2023</v>
      </c>
    </row>
    <row r="3281" spans="1:26" x14ac:dyDescent="0.3">
      <c r="A3281" t="s">
        <v>353</v>
      </c>
      <c r="B3281" t="s">
        <v>62</v>
      </c>
      <c r="C3281">
        <v>31</v>
      </c>
      <c r="D3281">
        <v>10</v>
      </c>
      <c r="E3281" s="1">
        <f t="shared" si="51"/>
        <v>0.32258064516129031</v>
      </c>
      <c r="F3281">
        <v>96.4</v>
      </c>
      <c r="G3281">
        <v>111.7</v>
      </c>
      <c r="H3281">
        <v>0.15440000000000001</v>
      </c>
      <c r="I3281">
        <v>49.3</v>
      </c>
      <c r="J3281">
        <v>52.4</v>
      </c>
      <c r="K3281">
        <v>18.2</v>
      </c>
      <c r="L3281">
        <v>16.899999999999999</v>
      </c>
      <c r="M3281">
        <v>20.8</v>
      </c>
      <c r="N3281">
        <v>31.7</v>
      </c>
      <c r="O3281">
        <v>28.9</v>
      </c>
      <c r="P3281">
        <v>33.9</v>
      </c>
      <c r="Q3281">
        <v>49.6</v>
      </c>
      <c r="R3281">
        <v>53.5</v>
      </c>
      <c r="S3281">
        <v>32.5</v>
      </c>
      <c r="T3281">
        <v>33.9</v>
      </c>
      <c r="U3281">
        <v>67.099999999999994</v>
      </c>
      <c r="V3281">
        <v>-16.2</v>
      </c>
      <c r="W3281" cm="1">
        <f t="array" ref="W3281">_xlfn.IFS(OR(X3281="N/A",X3281="NA"),0,OR(X3281="R64",X3281="R68"),1,X3281="R32",2,X3281="S16",3,X3281="E8",4,X3281="F4",5,X3281="2ND",6,X3281="Champions",7)</f>
        <v>0</v>
      </c>
      <c r="X3281" t="s">
        <v>425</v>
      </c>
      <c r="Y3281" t="s">
        <v>425</v>
      </c>
      <c r="Z3281">
        <v>2023</v>
      </c>
    </row>
    <row r="3282" spans="1:26" x14ac:dyDescent="0.3">
      <c r="A3282" t="s">
        <v>331</v>
      </c>
      <c r="B3282" t="s">
        <v>67</v>
      </c>
      <c r="C3282">
        <v>30</v>
      </c>
      <c r="D3282">
        <v>10</v>
      </c>
      <c r="E3282" s="1">
        <f t="shared" si="51"/>
        <v>0.33333333333333331</v>
      </c>
      <c r="F3282">
        <v>93.5</v>
      </c>
      <c r="G3282">
        <v>110</v>
      </c>
      <c r="H3282">
        <v>0.13300000000000001</v>
      </c>
      <c r="I3282">
        <v>48.5</v>
      </c>
      <c r="J3282">
        <v>51.8</v>
      </c>
      <c r="K3282">
        <v>17.5</v>
      </c>
      <c r="L3282">
        <v>17.399999999999999</v>
      </c>
      <c r="M3282">
        <v>21.5</v>
      </c>
      <c r="N3282">
        <v>30.1</v>
      </c>
      <c r="O3282">
        <v>25.5</v>
      </c>
      <c r="P3282">
        <v>27.8</v>
      </c>
      <c r="Q3282">
        <v>46.5</v>
      </c>
      <c r="R3282">
        <v>53.9</v>
      </c>
      <c r="S3282">
        <v>35.299999999999997</v>
      </c>
      <c r="T3282">
        <v>31.9</v>
      </c>
      <c r="U3282">
        <v>68.900000000000006</v>
      </c>
      <c r="V3282">
        <v>-18.2</v>
      </c>
      <c r="W3282" cm="1">
        <f t="array" ref="W3282">_xlfn.IFS(OR(X3282="N/A",X3282="NA"),0,OR(X3282="R64",X3282="R68"),1,X3282="R32",2,X3282="S16",3,X3282="E8",4,X3282="F4",5,X3282="2ND",6,X3282="Champions",7)</f>
        <v>0</v>
      </c>
      <c r="X3282" t="s">
        <v>425</v>
      </c>
      <c r="Y3282" t="s">
        <v>425</v>
      </c>
      <c r="Z3282">
        <v>2023</v>
      </c>
    </row>
    <row r="3283" spans="1:26" x14ac:dyDescent="0.3">
      <c r="A3283" t="s">
        <v>295</v>
      </c>
      <c r="B3283" t="s">
        <v>77</v>
      </c>
      <c r="C3283">
        <v>32</v>
      </c>
      <c r="D3283">
        <v>10</v>
      </c>
      <c r="E3283" s="1">
        <f t="shared" si="51"/>
        <v>0.3125</v>
      </c>
      <c r="F3283">
        <v>96.4</v>
      </c>
      <c r="G3283">
        <v>113.5</v>
      </c>
      <c r="H3283">
        <v>0.13220000000000001</v>
      </c>
      <c r="I3283">
        <v>48.1</v>
      </c>
      <c r="J3283">
        <v>51.3</v>
      </c>
      <c r="K3283">
        <v>17.899999999999999</v>
      </c>
      <c r="L3283">
        <v>16.399999999999999</v>
      </c>
      <c r="M3283">
        <v>28.5</v>
      </c>
      <c r="N3283">
        <v>28.2</v>
      </c>
      <c r="O3283">
        <v>23.3</v>
      </c>
      <c r="P3283">
        <v>26.5</v>
      </c>
      <c r="Q3283">
        <v>47.5</v>
      </c>
      <c r="R3283">
        <v>50.2</v>
      </c>
      <c r="S3283">
        <v>32.700000000000003</v>
      </c>
      <c r="T3283">
        <v>35.4</v>
      </c>
      <c r="U3283">
        <v>64.3</v>
      </c>
      <c r="V3283">
        <v>-18.5</v>
      </c>
      <c r="W3283" cm="1">
        <f t="array" ref="W3283">_xlfn.IFS(OR(X3283="N/A",X3283="NA"),0,OR(X3283="R64",X3283="R68"),1,X3283="R32",2,X3283="S16",3,X3283="E8",4,X3283="F4",5,X3283="2ND",6,X3283="Champions",7)</f>
        <v>0</v>
      </c>
      <c r="X3283" t="s">
        <v>425</v>
      </c>
      <c r="Y3283" t="s">
        <v>425</v>
      </c>
      <c r="Z3283">
        <v>2023</v>
      </c>
    </row>
    <row r="3284" spans="1:26" x14ac:dyDescent="0.3">
      <c r="A3284" t="s">
        <v>433</v>
      </c>
      <c r="B3284" t="s">
        <v>61</v>
      </c>
      <c r="C3284">
        <v>29</v>
      </c>
      <c r="D3284">
        <v>10</v>
      </c>
      <c r="E3284" s="1">
        <f t="shared" si="51"/>
        <v>0.34482758620689657</v>
      </c>
      <c r="F3284">
        <v>100.5</v>
      </c>
      <c r="G3284">
        <v>120.2</v>
      </c>
      <c r="H3284">
        <v>0.1142</v>
      </c>
      <c r="I3284">
        <v>51.4</v>
      </c>
      <c r="J3284">
        <v>57.5</v>
      </c>
      <c r="K3284">
        <v>21.1</v>
      </c>
      <c r="L3284">
        <v>16.7</v>
      </c>
      <c r="M3284">
        <v>28</v>
      </c>
      <c r="N3284">
        <v>31.6</v>
      </c>
      <c r="O3284">
        <v>40.6</v>
      </c>
      <c r="P3284">
        <v>33.299999999999997</v>
      </c>
      <c r="Q3284">
        <v>49.5</v>
      </c>
      <c r="R3284">
        <v>57.9</v>
      </c>
      <c r="S3284">
        <v>36.1</v>
      </c>
      <c r="T3284">
        <v>37.799999999999997</v>
      </c>
      <c r="U3284">
        <v>70.599999999999994</v>
      </c>
      <c r="V3284">
        <v>-17.899999999999999</v>
      </c>
      <c r="W3284" cm="1">
        <f t="array" ref="W3284">_xlfn.IFS(OR(X3284="N/A",X3284="NA"),0,OR(X3284="R64",X3284="R68"),1,X3284="R32",2,X3284="S16",3,X3284="E8",4,X3284="F4",5,X3284="2ND",6,X3284="Champions",7)</f>
        <v>0</v>
      </c>
      <c r="X3284" t="s">
        <v>425</v>
      </c>
      <c r="Y3284" t="s">
        <v>425</v>
      </c>
      <c r="Z3284">
        <v>2023</v>
      </c>
    </row>
    <row r="3285" spans="1:26" x14ac:dyDescent="0.3">
      <c r="A3285" t="s">
        <v>157</v>
      </c>
      <c r="B3285" t="s">
        <v>33</v>
      </c>
      <c r="C3285">
        <v>33</v>
      </c>
      <c r="D3285">
        <v>10</v>
      </c>
      <c r="E3285" s="1">
        <f t="shared" si="51"/>
        <v>0.30303030303030304</v>
      </c>
      <c r="F3285">
        <v>106.7</v>
      </c>
      <c r="G3285">
        <v>104.3</v>
      </c>
      <c r="H3285">
        <v>0.56579999999999997</v>
      </c>
      <c r="I3285">
        <v>49.7</v>
      </c>
      <c r="J3285">
        <v>51.6</v>
      </c>
      <c r="K3285">
        <v>18.2</v>
      </c>
      <c r="L3285">
        <v>17.7</v>
      </c>
      <c r="M3285">
        <v>25.8</v>
      </c>
      <c r="N3285">
        <v>34.1</v>
      </c>
      <c r="O3285">
        <v>27.6</v>
      </c>
      <c r="P3285">
        <v>35.700000000000003</v>
      </c>
      <c r="Q3285">
        <v>46.3</v>
      </c>
      <c r="R3285">
        <v>51.1</v>
      </c>
      <c r="S3285">
        <v>36.799999999999997</v>
      </c>
      <c r="T3285">
        <v>35</v>
      </c>
      <c r="U3285">
        <v>68.7</v>
      </c>
      <c r="V3285">
        <v>-8.8000000000000007</v>
      </c>
      <c r="W3285" cm="1">
        <f t="array" ref="W3285">_xlfn.IFS(OR(X3285="N/A",X3285="NA"),0,OR(X3285="R64",X3285="R68"),1,X3285="R32",2,X3285="S16",3,X3285="E8",4,X3285="F4",5,X3285="2ND",6,X3285="Champions",7)</f>
        <v>0</v>
      </c>
      <c r="X3285" t="s">
        <v>425</v>
      </c>
      <c r="Y3285" t="s">
        <v>425</v>
      </c>
      <c r="Z3285">
        <v>2023</v>
      </c>
    </row>
    <row r="3286" spans="1:26" x14ac:dyDescent="0.3">
      <c r="A3286" t="s">
        <v>285</v>
      </c>
      <c r="B3286" t="s">
        <v>55</v>
      </c>
      <c r="C3286">
        <v>30</v>
      </c>
      <c r="D3286">
        <v>11</v>
      </c>
      <c r="E3286" s="1">
        <f t="shared" si="51"/>
        <v>0.36666666666666664</v>
      </c>
      <c r="F3286">
        <v>103.2</v>
      </c>
      <c r="G3286">
        <v>100.2</v>
      </c>
      <c r="H3286">
        <v>0.5827</v>
      </c>
      <c r="I3286">
        <v>49.3</v>
      </c>
      <c r="J3286">
        <v>51.2</v>
      </c>
      <c r="K3286">
        <v>18.100000000000001</v>
      </c>
      <c r="L3286">
        <v>19.7</v>
      </c>
      <c r="M3286">
        <v>24.9</v>
      </c>
      <c r="N3286">
        <v>28.2</v>
      </c>
      <c r="O3286">
        <v>24.3</v>
      </c>
      <c r="P3286">
        <v>32.1</v>
      </c>
      <c r="Q3286">
        <v>51.1</v>
      </c>
      <c r="R3286">
        <v>48.3</v>
      </c>
      <c r="S3286">
        <v>31.1</v>
      </c>
      <c r="T3286">
        <v>37.299999999999997</v>
      </c>
      <c r="U3286">
        <v>64</v>
      </c>
      <c r="V3286">
        <v>-10.199999999999999</v>
      </c>
      <c r="W3286" cm="1">
        <f t="array" ref="W3286">_xlfn.IFS(OR(X3286="N/A",X3286="NA"),0,OR(X3286="R64",X3286="R68"),1,X3286="R32",2,X3286="S16",3,X3286="E8",4,X3286="F4",5,X3286="2ND",6,X3286="Champions",7)</f>
        <v>0</v>
      </c>
      <c r="X3286" t="s">
        <v>425</v>
      </c>
      <c r="Y3286" t="s">
        <v>425</v>
      </c>
      <c r="Z3286">
        <v>2023</v>
      </c>
    </row>
    <row r="3287" spans="1:26" x14ac:dyDescent="0.3">
      <c r="A3287" t="s">
        <v>414</v>
      </c>
      <c r="B3287" t="s">
        <v>37</v>
      </c>
      <c r="C3287">
        <v>29</v>
      </c>
      <c r="D3287">
        <v>11</v>
      </c>
      <c r="E3287" s="1">
        <f t="shared" si="51"/>
        <v>0.37931034482758619</v>
      </c>
      <c r="F3287">
        <v>108.9</v>
      </c>
      <c r="G3287">
        <v>112.7</v>
      </c>
      <c r="H3287">
        <v>0.4022</v>
      </c>
      <c r="I3287">
        <v>51.1</v>
      </c>
      <c r="J3287">
        <v>58.2</v>
      </c>
      <c r="K3287">
        <v>16</v>
      </c>
      <c r="L3287">
        <v>17.3</v>
      </c>
      <c r="M3287">
        <v>27.9</v>
      </c>
      <c r="N3287">
        <v>29.7</v>
      </c>
      <c r="O3287">
        <v>30.9</v>
      </c>
      <c r="P3287">
        <v>33.4</v>
      </c>
      <c r="Q3287">
        <v>50.4</v>
      </c>
      <c r="R3287">
        <v>55.9</v>
      </c>
      <c r="S3287">
        <v>34.799999999999997</v>
      </c>
      <c r="T3287">
        <v>41</v>
      </c>
      <c r="U3287">
        <v>68.599999999999994</v>
      </c>
      <c r="V3287">
        <v>-12.1</v>
      </c>
      <c r="W3287" cm="1">
        <f t="array" ref="W3287">_xlfn.IFS(OR(X3287="N/A",X3287="NA"),0,OR(X3287="R64",X3287="R68"),1,X3287="R32",2,X3287="S16",3,X3287="E8",4,X3287="F4",5,X3287="2ND",6,X3287="Champions",7)</f>
        <v>0</v>
      </c>
      <c r="X3287" t="s">
        <v>425</v>
      </c>
      <c r="Y3287" t="s">
        <v>425</v>
      </c>
      <c r="Z3287">
        <v>2023</v>
      </c>
    </row>
    <row r="3288" spans="1:26" x14ac:dyDescent="0.3">
      <c r="A3288" t="s">
        <v>253</v>
      </c>
      <c r="B3288" t="s">
        <v>57</v>
      </c>
      <c r="C3288">
        <v>29</v>
      </c>
      <c r="D3288">
        <v>11</v>
      </c>
      <c r="E3288" s="1">
        <f t="shared" si="51"/>
        <v>0.37931034482758619</v>
      </c>
      <c r="F3288">
        <v>102.3</v>
      </c>
      <c r="G3288">
        <v>111.7</v>
      </c>
      <c r="H3288">
        <v>0.26600000000000001</v>
      </c>
      <c r="I3288">
        <v>50.5</v>
      </c>
      <c r="J3288">
        <v>54.1</v>
      </c>
      <c r="K3288">
        <v>17.5</v>
      </c>
      <c r="L3288">
        <v>16.3</v>
      </c>
      <c r="M3288">
        <v>29.8</v>
      </c>
      <c r="N3288">
        <v>28</v>
      </c>
      <c r="O3288">
        <v>32.5</v>
      </c>
      <c r="P3288">
        <v>33.6</v>
      </c>
      <c r="Q3288">
        <v>50.4</v>
      </c>
      <c r="R3288">
        <v>53.8</v>
      </c>
      <c r="S3288">
        <v>33.799999999999997</v>
      </c>
      <c r="T3288">
        <v>36.4</v>
      </c>
      <c r="U3288">
        <v>69.5</v>
      </c>
      <c r="V3288">
        <v>-15.3</v>
      </c>
      <c r="W3288" cm="1">
        <f t="array" ref="W3288">_xlfn.IFS(OR(X3288="N/A",X3288="NA"),0,OR(X3288="R64",X3288="R68"),1,X3288="R32",2,X3288="S16",3,X3288="E8",4,X3288="F4",5,X3288="2ND",6,X3288="Champions",7)</f>
        <v>0</v>
      </c>
      <c r="X3288" t="s">
        <v>425</v>
      </c>
      <c r="Y3288" t="s">
        <v>425</v>
      </c>
      <c r="Z3288">
        <v>2023</v>
      </c>
    </row>
    <row r="3289" spans="1:26" x14ac:dyDescent="0.3">
      <c r="A3289" t="s">
        <v>186</v>
      </c>
      <c r="B3289" t="s">
        <v>58</v>
      </c>
      <c r="C3289">
        <v>28</v>
      </c>
      <c r="D3289">
        <v>11</v>
      </c>
      <c r="E3289" s="1">
        <f t="shared" si="51"/>
        <v>0.39285714285714285</v>
      </c>
      <c r="F3289">
        <v>103.2</v>
      </c>
      <c r="G3289">
        <v>114</v>
      </c>
      <c r="H3289">
        <v>0.24110000000000001</v>
      </c>
      <c r="I3289">
        <v>47.5</v>
      </c>
      <c r="J3289">
        <v>53.1</v>
      </c>
      <c r="K3289">
        <v>17.8</v>
      </c>
      <c r="L3289">
        <v>15.5</v>
      </c>
      <c r="M3289">
        <v>30.3</v>
      </c>
      <c r="N3289">
        <v>30.7</v>
      </c>
      <c r="O3289">
        <v>28.9</v>
      </c>
      <c r="P3289">
        <v>29.3</v>
      </c>
      <c r="Q3289">
        <v>48.4</v>
      </c>
      <c r="R3289">
        <v>51.3</v>
      </c>
      <c r="S3289">
        <v>30.6</v>
      </c>
      <c r="T3289">
        <v>36.700000000000003</v>
      </c>
      <c r="U3289">
        <v>67.900000000000006</v>
      </c>
      <c r="V3289">
        <v>-14.8</v>
      </c>
      <c r="W3289" cm="1">
        <f t="array" ref="W3289">_xlfn.IFS(OR(X3289="N/A",X3289="NA"),0,OR(X3289="R64",X3289="R68"),1,X3289="R32",2,X3289="S16",3,X3289="E8",4,X3289="F4",5,X3289="2ND",6,X3289="Champions",7)</f>
        <v>0</v>
      </c>
      <c r="X3289" t="s">
        <v>425</v>
      </c>
      <c r="Y3289" t="s">
        <v>425</v>
      </c>
      <c r="Z3289">
        <v>2023</v>
      </c>
    </row>
    <row r="3290" spans="1:26" x14ac:dyDescent="0.3">
      <c r="A3290" t="s">
        <v>401</v>
      </c>
      <c r="B3290" t="s">
        <v>418</v>
      </c>
      <c r="C3290">
        <v>27</v>
      </c>
      <c r="D3290">
        <v>11</v>
      </c>
      <c r="E3290" s="1">
        <f t="shared" si="51"/>
        <v>0.40740740740740738</v>
      </c>
      <c r="F3290">
        <v>101.3</v>
      </c>
      <c r="G3290">
        <v>113.1</v>
      </c>
      <c r="H3290">
        <v>0.2198</v>
      </c>
      <c r="I3290">
        <v>48.8</v>
      </c>
      <c r="J3290">
        <v>53.3</v>
      </c>
      <c r="K3290">
        <v>21.3</v>
      </c>
      <c r="L3290">
        <v>16.7</v>
      </c>
      <c r="M3290">
        <v>33.5</v>
      </c>
      <c r="N3290">
        <v>33.200000000000003</v>
      </c>
      <c r="O3290">
        <v>31.9</v>
      </c>
      <c r="P3290">
        <v>35.9</v>
      </c>
      <c r="Q3290">
        <v>48.4</v>
      </c>
      <c r="R3290">
        <v>53.1</v>
      </c>
      <c r="S3290">
        <v>32.9</v>
      </c>
      <c r="T3290">
        <v>35.700000000000003</v>
      </c>
      <c r="U3290">
        <v>64.8</v>
      </c>
      <c r="V3290">
        <v>-12.9</v>
      </c>
      <c r="W3290" cm="1">
        <f t="array" ref="W3290">_xlfn.IFS(OR(X3290="N/A",X3290="NA"),0,OR(X3290="R64",X3290="R68"),1,X3290="R32",2,X3290="S16",3,X3290="E8",4,X3290="F4",5,X3290="2ND",6,X3290="Champions",7)</f>
        <v>0</v>
      </c>
      <c r="X3290" t="s">
        <v>425</v>
      </c>
      <c r="Y3290" t="s">
        <v>425</v>
      </c>
      <c r="Z3290">
        <v>2023</v>
      </c>
    </row>
    <row r="3291" spans="1:26" x14ac:dyDescent="0.3">
      <c r="A3291" t="s">
        <v>56</v>
      </c>
      <c r="B3291" t="s">
        <v>26</v>
      </c>
      <c r="C3291">
        <v>32</v>
      </c>
      <c r="D3291">
        <v>11</v>
      </c>
      <c r="E3291" s="1">
        <f t="shared" si="51"/>
        <v>0.34375</v>
      </c>
      <c r="F3291">
        <v>108.5</v>
      </c>
      <c r="G3291">
        <v>105.8</v>
      </c>
      <c r="H3291">
        <v>0.57430000000000003</v>
      </c>
      <c r="I3291">
        <v>52</v>
      </c>
      <c r="J3291">
        <v>52.1</v>
      </c>
      <c r="K3291">
        <v>13.4</v>
      </c>
      <c r="L3291">
        <v>13.6</v>
      </c>
      <c r="M3291">
        <v>19.600000000000001</v>
      </c>
      <c r="N3291">
        <v>26.5</v>
      </c>
      <c r="O3291">
        <v>23.3</v>
      </c>
      <c r="P3291">
        <v>26.5</v>
      </c>
      <c r="Q3291">
        <v>50.6</v>
      </c>
      <c r="R3291">
        <v>52.4</v>
      </c>
      <c r="S3291">
        <v>35.799999999999997</v>
      </c>
      <c r="T3291">
        <v>34.299999999999997</v>
      </c>
      <c r="U3291">
        <v>64.7</v>
      </c>
      <c r="V3291">
        <v>-11.6</v>
      </c>
      <c r="W3291" cm="1">
        <f t="array" ref="W3291">_xlfn.IFS(OR(X3291="N/A",X3291="NA"),0,OR(X3291="R64",X3291="R68"),1,X3291="R32",2,X3291="S16",3,X3291="E8",4,X3291="F4",5,X3291="2ND",6,X3291="Champions",7)</f>
        <v>0</v>
      </c>
      <c r="X3291" t="s">
        <v>425</v>
      </c>
      <c r="Y3291" t="s">
        <v>425</v>
      </c>
      <c r="Z3291">
        <v>2023</v>
      </c>
    </row>
    <row r="3292" spans="1:26" x14ac:dyDescent="0.3">
      <c r="A3292" t="s">
        <v>86</v>
      </c>
      <c r="B3292" t="s">
        <v>29</v>
      </c>
      <c r="C3292">
        <v>32</v>
      </c>
      <c r="D3292">
        <v>11</v>
      </c>
      <c r="E3292" s="1">
        <f t="shared" si="51"/>
        <v>0.34375</v>
      </c>
      <c r="F3292">
        <v>102.9</v>
      </c>
      <c r="G3292">
        <v>106.2</v>
      </c>
      <c r="H3292">
        <v>0.40860000000000002</v>
      </c>
      <c r="I3292">
        <v>46.9</v>
      </c>
      <c r="J3292">
        <v>52.6</v>
      </c>
      <c r="K3292">
        <v>19.899999999999999</v>
      </c>
      <c r="L3292">
        <v>15.9</v>
      </c>
      <c r="M3292">
        <v>32.700000000000003</v>
      </c>
      <c r="N3292">
        <v>32.5</v>
      </c>
      <c r="O3292">
        <v>26.8</v>
      </c>
      <c r="P3292">
        <v>29.4</v>
      </c>
      <c r="Q3292">
        <v>45.8</v>
      </c>
      <c r="R3292">
        <v>53.7</v>
      </c>
      <c r="S3292">
        <v>32.299999999999997</v>
      </c>
      <c r="T3292">
        <v>33.799999999999997</v>
      </c>
      <c r="U3292">
        <v>64.2</v>
      </c>
      <c r="V3292">
        <v>-9.6999999999999993</v>
      </c>
      <c r="W3292" cm="1">
        <f t="array" ref="W3292">_xlfn.IFS(OR(X3292="N/A",X3292="NA"),0,OR(X3292="R64",X3292="R68"),1,X3292="R32",2,X3292="S16",3,X3292="E8",4,X3292="F4",5,X3292="2ND",6,X3292="Champions",7)</f>
        <v>0</v>
      </c>
      <c r="X3292" t="s">
        <v>425</v>
      </c>
      <c r="Y3292" t="s">
        <v>425</v>
      </c>
      <c r="Z3292">
        <v>2023</v>
      </c>
    </row>
    <row r="3293" spans="1:26" x14ac:dyDescent="0.3">
      <c r="A3293" t="s">
        <v>319</v>
      </c>
      <c r="B3293" t="s">
        <v>38</v>
      </c>
      <c r="C3293">
        <v>31</v>
      </c>
      <c r="D3293">
        <v>11</v>
      </c>
      <c r="E3293" s="1">
        <f t="shared" si="51"/>
        <v>0.35483870967741937</v>
      </c>
      <c r="F3293">
        <v>98.5</v>
      </c>
      <c r="G3293">
        <v>101.9</v>
      </c>
      <c r="H3293">
        <v>0.40379999999999999</v>
      </c>
      <c r="I3293">
        <v>46.5</v>
      </c>
      <c r="J3293">
        <v>49.6</v>
      </c>
      <c r="K3293">
        <v>20.8</v>
      </c>
      <c r="L3293">
        <v>18.2</v>
      </c>
      <c r="M3293">
        <v>25.3</v>
      </c>
      <c r="N3293">
        <v>30.6</v>
      </c>
      <c r="O3293">
        <v>33.9</v>
      </c>
      <c r="P3293">
        <v>33.9</v>
      </c>
      <c r="Q3293">
        <v>45.7</v>
      </c>
      <c r="R3293">
        <v>49.1</v>
      </c>
      <c r="S3293">
        <v>31.9</v>
      </c>
      <c r="T3293">
        <v>33.700000000000003</v>
      </c>
      <c r="U3293">
        <v>63.5</v>
      </c>
      <c r="V3293">
        <v>-9.3000000000000007</v>
      </c>
      <c r="W3293" cm="1">
        <f t="array" ref="W3293">_xlfn.IFS(OR(X3293="N/A",X3293="NA"),0,OR(X3293="R64",X3293="R68"),1,X3293="R32",2,X3293="S16",3,X3293="E8",4,X3293="F4",5,X3293="2ND",6,X3293="Champions",7)</f>
        <v>0</v>
      </c>
      <c r="X3293" t="s">
        <v>425</v>
      </c>
      <c r="Y3293" t="s">
        <v>425</v>
      </c>
      <c r="Z3293">
        <v>2023</v>
      </c>
    </row>
    <row r="3294" spans="1:26" x14ac:dyDescent="0.3">
      <c r="A3294" t="s">
        <v>345</v>
      </c>
      <c r="B3294" t="s">
        <v>51</v>
      </c>
      <c r="C3294">
        <v>29</v>
      </c>
      <c r="D3294">
        <v>11</v>
      </c>
      <c r="E3294" s="1">
        <f t="shared" si="51"/>
        <v>0.37931034482758619</v>
      </c>
      <c r="F3294">
        <v>99.4</v>
      </c>
      <c r="G3294">
        <v>104.2</v>
      </c>
      <c r="H3294">
        <v>0.36830000000000002</v>
      </c>
      <c r="I3294">
        <v>45.9</v>
      </c>
      <c r="J3294">
        <v>51.9</v>
      </c>
      <c r="K3294">
        <v>21.1</v>
      </c>
      <c r="L3294">
        <v>20.100000000000001</v>
      </c>
      <c r="M3294">
        <v>32.700000000000003</v>
      </c>
      <c r="N3294">
        <v>30.8</v>
      </c>
      <c r="O3294">
        <v>29.7</v>
      </c>
      <c r="P3294">
        <v>39.5</v>
      </c>
      <c r="Q3294">
        <v>44.9</v>
      </c>
      <c r="R3294">
        <v>49.6</v>
      </c>
      <c r="S3294">
        <v>31.9</v>
      </c>
      <c r="T3294">
        <v>37.1</v>
      </c>
      <c r="U3294">
        <v>65.7</v>
      </c>
      <c r="V3294">
        <v>-13.4</v>
      </c>
      <c r="W3294" cm="1">
        <f t="array" ref="W3294">_xlfn.IFS(OR(X3294="N/A",X3294="NA"),0,OR(X3294="R64",X3294="R68"),1,X3294="R32",2,X3294="S16",3,X3294="E8",4,X3294="F4",5,X3294="2ND",6,X3294="Champions",7)</f>
        <v>0</v>
      </c>
      <c r="X3294" t="s">
        <v>425</v>
      </c>
      <c r="Y3294" t="s">
        <v>425</v>
      </c>
      <c r="Z3294">
        <v>2023</v>
      </c>
    </row>
    <row r="3295" spans="1:26" x14ac:dyDescent="0.3">
      <c r="A3295" t="s">
        <v>165</v>
      </c>
      <c r="B3295" t="s">
        <v>164</v>
      </c>
      <c r="C3295">
        <v>30</v>
      </c>
      <c r="D3295">
        <v>11</v>
      </c>
      <c r="E3295" s="1">
        <f t="shared" si="51"/>
        <v>0.36666666666666664</v>
      </c>
      <c r="F3295">
        <v>101.1</v>
      </c>
      <c r="G3295">
        <v>107.6</v>
      </c>
      <c r="H3295">
        <v>0.32979999999999998</v>
      </c>
      <c r="I3295">
        <v>50.8</v>
      </c>
      <c r="J3295">
        <v>51.4</v>
      </c>
      <c r="K3295">
        <v>17.2</v>
      </c>
      <c r="L3295">
        <v>17.8</v>
      </c>
      <c r="M3295">
        <v>24.6</v>
      </c>
      <c r="N3295">
        <v>27.2</v>
      </c>
      <c r="O3295">
        <v>28.9</v>
      </c>
      <c r="P3295">
        <v>35.5</v>
      </c>
      <c r="Q3295">
        <v>51.3</v>
      </c>
      <c r="R3295">
        <v>52.6</v>
      </c>
      <c r="S3295">
        <v>33.299999999999997</v>
      </c>
      <c r="T3295">
        <v>32.5</v>
      </c>
      <c r="U3295">
        <v>65.099999999999994</v>
      </c>
      <c r="V3295">
        <v>-15.5</v>
      </c>
      <c r="W3295" cm="1">
        <f t="array" ref="W3295">_xlfn.IFS(OR(X3295="N/A",X3295="NA"),0,OR(X3295="R64",X3295="R68"),1,X3295="R32",2,X3295="S16",3,X3295="E8",4,X3295="F4",5,X3295="2ND",6,X3295="Champions",7)</f>
        <v>0</v>
      </c>
      <c r="X3295" t="s">
        <v>425</v>
      </c>
      <c r="Y3295" t="s">
        <v>425</v>
      </c>
      <c r="Z3295">
        <v>2023</v>
      </c>
    </row>
    <row r="3296" spans="1:26" x14ac:dyDescent="0.3">
      <c r="A3296" t="s">
        <v>341</v>
      </c>
      <c r="B3296" t="s">
        <v>58</v>
      </c>
      <c r="C3296">
        <v>29</v>
      </c>
      <c r="D3296">
        <v>11</v>
      </c>
      <c r="E3296" s="1">
        <f t="shared" si="51"/>
        <v>0.37931034482758619</v>
      </c>
      <c r="F3296">
        <v>96.9</v>
      </c>
      <c r="G3296">
        <v>105.5</v>
      </c>
      <c r="H3296">
        <v>0.27410000000000001</v>
      </c>
      <c r="I3296">
        <v>45.2</v>
      </c>
      <c r="J3296">
        <v>51.7</v>
      </c>
      <c r="K3296">
        <v>18.7</v>
      </c>
      <c r="L3296">
        <v>17.600000000000001</v>
      </c>
      <c r="M3296">
        <v>27.3</v>
      </c>
      <c r="N3296">
        <v>29.9</v>
      </c>
      <c r="O3296">
        <v>30</v>
      </c>
      <c r="P3296">
        <v>28.6</v>
      </c>
      <c r="Q3296">
        <v>41.6</v>
      </c>
      <c r="R3296">
        <v>50.3</v>
      </c>
      <c r="S3296">
        <v>34.200000000000003</v>
      </c>
      <c r="T3296">
        <v>36</v>
      </c>
      <c r="U3296">
        <v>66</v>
      </c>
      <c r="V3296">
        <v>-13.8</v>
      </c>
      <c r="W3296" cm="1">
        <f t="array" ref="W3296">_xlfn.IFS(OR(X3296="N/A",X3296="NA"),0,OR(X3296="R64",X3296="R68"),1,X3296="R32",2,X3296="S16",3,X3296="E8",4,X3296="F4",5,X3296="2ND",6,X3296="Champions",7)</f>
        <v>0</v>
      </c>
      <c r="X3296" t="s">
        <v>425</v>
      </c>
      <c r="Y3296" t="s">
        <v>425</v>
      </c>
      <c r="Z3296">
        <v>2023</v>
      </c>
    </row>
    <row r="3297" spans="1:26" x14ac:dyDescent="0.3">
      <c r="A3297" t="s">
        <v>229</v>
      </c>
      <c r="B3297" t="s">
        <v>47</v>
      </c>
      <c r="C3297">
        <v>31</v>
      </c>
      <c r="D3297">
        <v>11</v>
      </c>
      <c r="E3297" s="1">
        <f t="shared" si="51"/>
        <v>0.35483870967741937</v>
      </c>
      <c r="F3297">
        <v>97</v>
      </c>
      <c r="G3297">
        <v>107</v>
      </c>
      <c r="H3297">
        <v>0.24360000000000001</v>
      </c>
      <c r="I3297">
        <v>49</v>
      </c>
      <c r="J3297">
        <v>51.5</v>
      </c>
      <c r="K3297">
        <v>18.100000000000001</v>
      </c>
      <c r="L3297">
        <v>15.6</v>
      </c>
      <c r="M3297">
        <v>22.5</v>
      </c>
      <c r="N3297">
        <v>24.5</v>
      </c>
      <c r="O3297">
        <v>27.9</v>
      </c>
      <c r="P3297">
        <v>31.8</v>
      </c>
      <c r="Q3297">
        <v>51.9</v>
      </c>
      <c r="R3297">
        <v>51.6</v>
      </c>
      <c r="S3297">
        <v>29.2</v>
      </c>
      <c r="T3297">
        <v>34.299999999999997</v>
      </c>
      <c r="U3297">
        <v>67.900000000000006</v>
      </c>
      <c r="V3297">
        <v>-15</v>
      </c>
      <c r="W3297" cm="1">
        <f t="array" ref="W3297">_xlfn.IFS(OR(X3297="N/A",X3297="NA"),0,OR(X3297="R64",X3297="R68"),1,X3297="R32",2,X3297="S16",3,X3297="E8",4,X3297="F4",5,X3297="2ND",6,X3297="Champions",7)</f>
        <v>0</v>
      </c>
      <c r="X3297" t="s">
        <v>425</v>
      </c>
      <c r="Y3297" t="s">
        <v>425</v>
      </c>
      <c r="Z3297">
        <v>2023</v>
      </c>
    </row>
    <row r="3298" spans="1:26" x14ac:dyDescent="0.3">
      <c r="A3298" t="s">
        <v>278</v>
      </c>
      <c r="B3298" t="s">
        <v>47</v>
      </c>
      <c r="C3298">
        <v>32</v>
      </c>
      <c r="D3298">
        <v>11</v>
      </c>
      <c r="E3298" s="1">
        <f t="shared" si="51"/>
        <v>0.34375</v>
      </c>
      <c r="F3298">
        <v>98.9</v>
      </c>
      <c r="G3298">
        <v>109.5</v>
      </c>
      <c r="H3298">
        <v>0.23710000000000001</v>
      </c>
      <c r="I3298">
        <v>50.2</v>
      </c>
      <c r="J3298">
        <v>51.8</v>
      </c>
      <c r="K3298">
        <v>21.8</v>
      </c>
      <c r="L3298">
        <v>16.7</v>
      </c>
      <c r="M3298">
        <v>28.2</v>
      </c>
      <c r="N3298">
        <v>26.7</v>
      </c>
      <c r="O3298">
        <v>31.3</v>
      </c>
      <c r="P3298">
        <v>34</v>
      </c>
      <c r="Q3298">
        <v>50</v>
      </c>
      <c r="R3298">
        <v>52.6</v>
      </c>
      <c r="S3298">
        <v>33.6</v>
      </c>
      <c r="T3298">
        <v>33.700000000000003</v>
      </c>
      <c r="U3298">
        <v>64.900000000000006</v>
      </c>
      <c r="V3298">
        <v>-16</v>
      </c>
      <c r="W3298" cm="1">
        <f t="array" ref="W3298">_xlfn.IFS(OR(X3298="N/A",X3298="NA"),0,OR(X3298="R64",X3298="R68"),1,X3298="R32",2,X3298="S16",3,X3298="E8",4,X3298="F4",5,X3298="2ND",6,X3298="Champions",7)</f>
        <v>0</v>
      </c>
      <c r="X3298" t="s">
        <v>425</v>
      </c>
      <c r="Y3298" t="s">
        <v>425</v>
      </c>
      <c r="Z3298">
        <v>2023</v>
      </c>
    </row>
    <row r="3299" spans="1:26" x14ac:dyDescent="0.3">
      <c r="A3299" t="s">
        <v>404</v>
      </c>
      <c r="B3299" t="s">
        <v>72</v>
      </c>
      <c r="C3299">
        <v>30</v>
      </c>
      <c r="D3299">
        <v>11</v>
      </c>
      <c r="E3299" s="1">
        <f t="shared" si="51"/>
        <v>0.36666666666666664</v>
      </c>
      <c r="F3299">
        <v>93.9</v>
      </c>
      <c r="G3299">
        <v>108.4</v>
      </c>
      <c r="H3299">
        <v>0.16120000000000001</v>
      </c>
      <c r="I3299">
        <v>43.4</v>
      </c>
      <c r="J3299">
        <v>50.1</v>
      </c>
      <c r="K3299">
        <v>19.899999999999999</v>
      </c>
      <c r="L3299">
        <v>17.3</v>
      </c>
      <c r="M3299">
        <v>35.9</v>
      </c>
      <c r="N3299">
        <v>29.4</v>
      </c>
      <c r="O3299">
        <v>33.299999999999997</v>
      </c>
      <c r="P3299">
        <v>39.4</v>
      </c>
      <c r="Q3299">
        <v>44.7</v>
      </c>
      <c r="R3299">
        <v>48.9</v>
      </c>
      <c r="S3299">
        <v>27.3</v>
      </c>
      <c r="T3299">
        <v>34.6</v>
      </c>
      <c r="U3299">
        <v>63.8</v>
      </c>
      <c r="V3299">
        <v>-15.4</v>
      </c>
      <c r="W3299" cm="1">
        <f t="array" ref="W3299">_xlfn.IFS(OR(X3299="N/A",X3299="NA"),0,OR(X3299="R64",X3299="R68"),1,X3299="R32",2,X3299="S16",3,X3299="E8",4,X3299="F4",5,X3299="2ND",6,X3299="Champions",7)</f>
        <v>0</v>
      </c>
      <c r="X3299" t="s">
        <v>425</v>
      </c>
      <c r="Y3299" t="s">
        <v>425</v>
      </c>
      <c r="Z3299">
        <v>2023</v>
      </c>
    </row>
    <row r="3300" spans="1:26" x14ac:dyDescent="0.3">
      <c r="A3300" t="s">
        <v>434</v>
      </c>
      <c r="B3300" t="s">
        <v>64</v>
      </c>
      <c r="C3300">
        <v>29</v>
      </c>
      <c r="D3300">
        <v>11</v>
      </c>
      <c r="E3300" s="1">
        <f t="shared" si="51"/>
        <v>0.37931034482758619</v>
      </c>
      <c r="F3300">
        <v>95.2</v>
      </c>
      <c r="G3300">
        <v>112.3</v>
      </c>
      <c r="H3300">
        <v>0.13</v>
      </c>
      <c r="I3300">
        <v>48.8</v>
      </c>
      <c r="J3300">
        <v>52.4</v>
      </c>
      <c r="K3300">
        <v>19.5</v>
      </c>
      <c r="L3300">
        <v>17.8</v>
      </c>
      <c r="M3300">
        <v>23</v>
      </c>
      <c r="N3300">
        <v>31</v>
      </c>
      <c r="O3300">
        <v>28.3</v>
      </c>
      <c r="P3300">
        <v>31.1</v>
      </c>
      <c r="Q3300">
        <v>45.7</v>
      </c>
      <c r="R3300">
        <v>52</v>
      </c>
      <c r="S3300">
        <v>36.200000000000003</v>
      </c>
      <c r="T3300">
        <v>35.200000000000003</v>
      </c>
      <c r="U3300">
        <v>67</v>
      </c>
      <c r="V3300">
        <v>-16.600000000000001</v>
      </c>
      <c r="W3300" cm="1">
        <f t="array" ref="W3300">_xlfn.IFS(OR(X3300="N/A",X3300="NA"),0,OR(X3300="R64",X3300="R68"),1,X3300="R32",2,X3300="S16",3,X3300="E8",4,X3300="F4",5,X3300="2ND",6,X3300="Champions",7)</f>
        <v>0</v>
      </c>
      <c r="X3300" t="s">
        <v>425</v>
      </c>
      <c r="Y3300" t="s">
        <v>425</v>
      </c>
      <c r="Z3300">
        <v>2023</v>
      </c>
    </row>
    <row r="3301" spans="1:26" x14ac:dyDescent="0.3">
      <c r="A3301" t="s">
        <v>400</v>
      </c>
      <c r="B3301" t="s">
        <v>48</v>
      </c>
      <c r="C3301">
        <v>31</v>
      </c>
      <c r="D3301">
        <v>11</v>
      </c>
      <c r="E3301" s="1">
        <f t="shared" si="51"/>
        <v>0.35483870967741937</v>
      </c>
      <c r="F3301">
        <v>94.1</v>
      </c>
      <c r="G3301">
        <v>104.3</v>
      </c>
      <c r="H3301">
        <v>0.2331</v>
      </c>
      <c r="I3301">
        <v>44.6</v>
      </c>
      <c r="J3301">
        <v>51.1</v>
      </c>
      <c r="K3301">
        <v>19.8</v>
      </c>
      <c r="L3301">
        <v>20.5</v>
      </c>
      <c r="M3301">
        <v>27.2</v>
      </c>
      <c r="N3301">
        <v>28.4</v>
      </c>
      <c r="O3301">
        <v>29.4</v>
      </c>
      <c r="P3301">
        <v>43.6</v>
      </c>
      <c r="Q3301">
        <v>43.7</v>
      </c>
      <c r="R3301">
        <v>50.2</v>
      </c>
      <c r="S3301">
        <v>31.5</v>
      </c>
      <c r="T3301">
        <v>34.9</v>
      </c>
      <c r="U3301">
        <v>62.9</v>
      </c>
      <c r="V3301">
        <v>-15.9</v>
      </c>
      <c r="W3301" cm="1">
        <f t="array" ref="W3301">_xlfn.IFS(OR(X3301="N/A",X3301="NA"),0,OR(X3301="R64",X3301="R68"),1,X3301="R32",2,X3301="S16",3,X3301="E8",4,X3301="F4",5,X3301="2ND",6,X3301="Champions",7)</f>
        <v>0</v>
      </c>
      <c r="X3301" t="s">
        <v>425</v>
      </c>
      <c r="Y3301" t="s">
        <v>425</v>
      </c>
      <c r="Z3301">
        <v>2023</v>
      </c>
    </row>
    <row r="3302" spans="1:26" x14ac:dyDescent="0.3">
      <c r="A3302" t="s">
        <v>116</v>
      </c>
      <c r="B3302" t="s">
        <v>53</v>
      </c>
      <c r="C3302">
        <v>31</v>
      </c>
      <c r="D3302">
        <v>11</v>
      </c>
      <c r="E3302" s="1">
        <f t="shared" si="51"/>
        <v>0.35483870967741937</v>
      </c>
      <c r="F3302">
        <v>94.6</v>
      </c>
      <c r="G3302">
        <v>109.9</v>
      </c>
      <c r="H3302">
        <v>0.1525</v>
      </c>
      <c r="I3302">
        <v>47.5</v>
      </c>
      <c r="J3302">
        <v>50.3</v>
      </c>
      <c r="K3302">
        <v>19.600000000000001</v>
      </c>
      <c r="L3302">
        <v>14</v>
      </c>
      <c r="M3302">
        <v>21.9</v>
      </c>
      <c r="N3302">
        <v>27.4</v>
      </c>
      <c r="O3302">
        <v>29.4</v>
      </c>
      <c r="P3302">
        <v>26.2</v>
      </c>
      <c r="Q3302">
        <v>48.1</v>
      </c>
      <c r="R3302">
        <v>50</v>
      </c>
      <c r="S3302">
        <v>31.1</v>
      </c>
      <c r="T3302">
        <v>33.799999999999997</v>
      </c>
      <c r="U3302">
        <v>63.8</v>
      </c>
      <c r="V3302">
        <v>-16.100000000000001</v>
      </c>
      <c r="W3302" cm="1">
        <f t="array" ref="W3302">_xlfn.IFS(OR(X3302="N/A",X3302="NA"),0,OR(X3302="R64",X3302="R68"),1,X3302="R32",2,X3302="S16",3,X3302="E8",4,X3302="F4",5,X3302="2ND",6,X3302="Champions",7)</f>
        <v>0</v>
      </c>
      <c r="X3302" t="s">
        <v>425</v>
      </c>
      <c r="Y3302" t="s">
        <v>425</v>
      </c>
      <c r="Z3302">
        <v>2023</v>
      </c>
    </row>
    <row r="3303" spans="1:26" x14ac:dyDescent="0.3">
      <c r="A3303" t="s">
        <v>335</v>
      </c>
      <c r="B3303" t="s">
        <v>67</v>
      </c>
      <c r="C3303">
        <v>34</v>
      </c>
      <c r="D3303">
        <v>11</v>
      </c>
      <c r="E3303" s="1">
        <f t="shared" si="51"/>
        <v>0.3235294117647059</v>
      </c>
      <c r="F3303">
        <v>94.7</v>
      </c>
      <c r="G3303">
        <v>102.4</v>
      </c>
      <c r="H3303">
        <v>0.28789999999999999</v>
      </c>
      <c r="I3303">
        <v>48.7</v>
      </c>
      <c r="J3303">
        <v>50.8</v>
      </c>
      <c r="K3303">
        <v>17.899999999999999</v>
      </c>
      <c r="L3303">
        <v>18.2</v>
      </c>
      <c r="M3303">
        <v>23.8</v>
      </c>
      <c r="N3303">
        <v>25.3</v>
      </c>
      <c r="O3303">
        <v>24.5</v>
      </c>
      <c r="P3303">
        <v>29.4</v>
      </c>
      <c r="Q3303">
        <v>48.4</v>
      </c>
      <c r="R3303">
        <v>50.6</v>
      </c>
      <c r="S3303">
        <v>32.700000000000003</v>
      </c>
      <c r="T3303">
        <v>34.1</v>
      </c>
      <c r="U3303">
        <v>62.9</v>
      </c>
      <c r="V3303">
        <v>-16.600000000000001</v>
      </c>
      <c r="W3303" cm="1">
        <f t="array" ref="W3303">_xlfn.IFS(OR(X3303="N/A",X3303="NA"),0,OR(X3303="R64",X3303="R68"),1,X3303="R32",2,X3303="S16",3,X3303="E8",4,X3303="F4",5,X3303="2ND",6,X3303="Champions",7)</f>
        <v>0</v>
      </c>
      <c r="X3303" t="s">
        <v>425</v>
      </c>
      <c r="Y3303" t="s">
        <v>425</v>
      </c>
      <c r="Z3303">
        <v>2023</v>
      </c>
    </row>
    <row r="3304" spans="1:26" x14ac:dyDescent="0.3">
      <c r="A3304" t="s">
        <v>373</v>
      </c>
      <c r="B3304" t="s">
        <v>61</v>
      </c>
      <c r="C3304">
        <v>33</v>
      </c>
      <c r="D3304">
        <v>11</v>
      </c>
      <c r="E3304" s="1">
        <f t="shared" si="51"/>
        <v>0.33333333333333331</v>
      </c>
      <c r="F3304">
        <v>98.3</v>
      </c>
      <c r="G3304">
        <v>113</v>
      </c>
      <c r="H3304">
        <v>0.16739999999999999</v>
      </c>
      <c r="I3304">
        <v>49</v>
      </c>
      <c r="J3304">
        <v>55</v>
      </c>
      <c r="K3304">
        <v>21.6</v>
      </c>
      <c r="L3304">
        <v>18.399999999999999</v>
      </c>
      <c r="M3304">
        <v>33.299999999999997</v>
      </c>
      <c r="N3304">
        <v>30.9</v>
      </c>
      <c r="O3304">
        <v>29.2</v>
      </c>
      <c r="P3304">
        <v>34.9</v>
      </c>
      <c r="Q3304">
        <v>49.2</v>
      </c>
      <c r="R3304">
        <v>52.1</v>
      </c>
      <c r="S3304">
        <v>32.4</v>
      </c>
      <c r="T3304">
        <v>39.700000000000003</v>
      </c>
      <c r="U3304">
        <v>66.099999999999994</v>
      </c>
      <c r="V3304">
        <v>-16.7</v>
      </c>
      <c r="W3304" cm="1">
        <f t="array" ref="W3304">_xlfn.IFS(OR(X3304="N/A",X3304="NA"),0,OR(X3304="R64",X3304="R68"),1,X3304="R32",2,X3304="S16",3,X3304="E8",4,X3304="F4",5,X3304="2ND",6,X3304="Champions",7)</f>
        <v>0</v>
      </c>
      <c r="X3304" t="s">
        <v>425</v>
      </c>
      <c r="Y3304" t="s">
        <v>425</v>
      </c>
      <c r="Z3304">
        <v>2023</v>
      </c>
    </row>
    <row r="3305" spans="1:26" x14ac:dyDescent="0.3">
      <c r="A3305" t="s">
        <v>250</v>
      </c>
      <c r="B3305" t="s">
        <v>69</v>
      </c>
      <c r="C3305">
        <v>29</v>
      </c>
      <c r="D3305">
        <v>12</v>
      </c>
      <c r="E3305" s="1">
        <f t="shared" si="51"/>
        <v>0.41379310344827586</v>
      </c>
      <c r="F3305">
        <v>96.4</v>
      </c>
      <c r="G3305">
        <v>108.7</v>
      </c>
      <c r="H3305">
        <v>0.20130000000000001</v>
      </c>
      <c r="I3305">
        <v>49.2</v>
      </c>
      <c r="J3305">
        <v>51.3</v>
      </c>
      <c r="K3305">
        <v>19.8</v>
      </c>
      <c r="L3305">
        <v>20.5</v>
      </c>
      <c r="M3305">
        <v>26.6</v>
      </c>
      <c r="N3305">
        <v>34.200000000000003</v>
      </c>
      <c r="O3305">
        <v>31.5</v>
      </c>
      <c r="P3305">
        <v>30.5</v>
      </c>
      <c r="Q3305">
        <v>49.1</v>
      </c>
      <c r="R3305">
        <v>49.1</v>
      </c>
      <c r="S3305">
        <v>32.9</v>
      </c>
      <c r="T3305">
        <v>36.799999999999997</v>
      </c>
      <c r="U3305">
        <v>66.900000000000006</v>
      </c>
      <c r="V3305">
        <v>-13.6</v>
      </c>
      <c r="W3305" cm="1">
        <f t="array" ref="W3305">_xlfn.IFS(OR(X3305="N/A",X3305="NA"),0,OR(X3305="R64",X3305="R68"),1,X3305="R32",2,X3305="S16",3,X3305="E8",4,X3305="F4",5,X3305="2ND",6,X3305="Champions",7)</f>
        <v>0</v>
      </c>
      <c r="X3305" t="s">
        <v>425</v>
      </c>
      <c r="Y3305" t="s">
        <v>425</v>
      </c>
      <c r="Z3305">
        <v>2023</v>
      </c>
    </row>
    <row r="3306" spans="1:26" x14ac:dyDescent="0.3">
      <c r="A3306" t="s">
        <v>171</v>
      </c>
      <c r="B3306" t="s">
        <v>164</v>
      </c>
      <c r="C3306">
        <v>29</v>
      </c>
      <c r="D3306">
        <v>12</v>
      </c>
      <c r="E3306" s="1">
        <f t="shared" si="51"/>
        <v>0.41379310344827586</v>
      </c>
      <c r="F3306">
        <v>102.4</v>
      </c>
      <c r="G3306">
        <v>107.5</v>
      </c>
      <c r="H3306">
        <v>0.36380000000000001</v>
      </c>
      <c r="I3306">
        <v>49.6</v>
      </c>
      <c r="J3306">
        <v>55</v>
      </c>
      <c r="K3306">
        <v>16.8</v>
      </c>
      <c r="L3306">
        <v>21.3</v>
      </c>
      <c r="M3306">
        <v>24</v>
      </c>
      <c r="N3306">
        <v>31.4</v>
      </c>
      <c r="O3306">
        <v>34.799999999999997</v>
      </c>
      <c r="P3306">
        <v>46.6</v>
      </c>
      <c r="Q3306">
        <v>49.7</v>
      </c>
      <c r="R3306">
        <v>55</v>
      </c>
      <c r="S3306">
        <v>33</v>
      </c>
      <c r="T3306">
        <v>36.799999999999997</v>
      </c>
      <c r="U3306">
        <v>72.3</v>
      </c>
      <c r="V3306">
        <v>-12.9</v>
      </c>
      <c r="W3306" cm="1">
        <f t="array" ref="W3306">_xlfn.IFS(OR(X3306="N/A",X3306="NA"),0,OR(X3306="R64",X3306="R68"),1,X3306="R32",2,X3306="S16",3,X3306="E8",4,X3306="F4",5,X3306="2ND",6,X3306="Champions",7)</f>
        <v>0</v>
      </c>
      <c r="X3306" t="s">
        <v>425</v>
      </c>
      <c r="Y3306" t="s">
        <v>425</v>
      </c>
      <c r="Z3306">
        <v>2023</v>
      </c>
    </row>
    <row r="3307" spans="1:26" x14ac:dyDescent="0.3">
      <c r="A3307" t="s">
        <v>385</v>
      </c>
      <c r="B3307" t="s">
        <v>72</v>
      </c>
      <c r="C3307">
        <v>29</v>
      </c>
      <c r="D3307">
        <v>12</v>
      </c>
      <c r="E3307" s="1">
        <f t="shared" si="51"/>
        <v>0.41379310344827586</v>
      </c>
      <c r="F3307">
        <v>101.6</v>
      </c>
      <c r="G3307">
        <v>113.3</v>
      </c>
      <c r="H3307">
        <v>0.22259999999999999</v>
      </c>
      <c r="I3307">
        <v>50.1</v>
      </c>
      <c r="J3307">
        <v>52.7</v>
      </c>
      <c r="K3307">
        <v>17.3</v>
      </c>
      <c r="L3307">
        <v>14.4</v>
      </c>
      <c r="M3307">
        <v>24.9</v>
      </c>
      <c r="N3307">
        <v>27.1</v>
      </c>
      <c r="O3307">
        <v>28.1</v>
      </c>
      <c r="P3307">
        <v>31.8</v>
      </c>
      <c r="Q3307">
        <v>45.5</v>
      </c>
      <c r="R3307">
        <v>51.8</v>
      </c>
      <c r="S3307">
        <v>37.9</v>
      </c>
      <c r="T3307">
        <v>36.1</v>
      </c>
      <c r="U3307">
        <v>65.8</v>
      </c>
      <c r="V3307">
        <v>-13.9</v>
      </c>
      <c r="W3307" cm="1">
        <f t="array" ref="W3307">_xlfn.IFS(OR(X3307="N/A",X3307="NA"),0,OR(X3307="R64",X3307="R68"),1,X3307="R32",2,X3307="S16",3,X3307="E8",4,X3307="F4",5,X3307="2ND",6,X3307="Champions",7)</f>
        <v>0</v>
      </c>
      <c r="X3307" t="s">
        <v>425</v>
      </c>
      <c r="Y3307" t="s">
        <v>425</v>
      </c>
      <c r="Z3307">
        <v>2023</v>
      </c>
    </row>
    <row r="3308" spans="1:26" x14ac:dyDescent="0.3">
      <c r="A3308" t="s">
        <v>371</v>
      </c>
      <c r="B3308" t="s">
        <v>61</v>
      </c>
      <c r="C3308">
        <v>28</v>
      </c>
      <c r="D3308">
        <v>12</v>
      </c>
      <c r="E3308" s="1">
        <f t="shared" si="51"/>
        <v>0.42857142857142855</v>
      </c>
      <c r="F3308">
        <v>96.1</v>
      </c>
      <c r="G3308">
        <v>111.2</v>
      </c>
      <c r="H3308">
        <v>0.158</v>
      </c>
      <c r="I3308">
        <v>48.5</v>
      </c>
      <c r="J3308">
        <v>54.4</v>
      </c>
      <c r="K3308">
        <v>20</v>
      </c>
      <c r="L3308">
        <v>20.5</v>
      </c>
      <c r="M3308">
        <v>26.3</v>
      </c>
      <c r="N3308">
        <v>33.200000000000003</v>
      </c>
      <c r="O3308">
        <v>33.299999999999997</v>
      </c>
      <c r="P3308">
        <v>32.700000000000003</v>
      </c>
      <c r="Q3308">
        <v>47.3</v>
      </c>
      <c r="R3308">
        <v>53.9</v>
      </c>
      <c r="S3308">
        <v>34.1</v>
      </c>
      <c r="T3308">
        <v>36.799999999999997</v>
      </c>
      <c r="U3308">
        <v>66.8</v>
      </c>
      <c r="V3308">
        <v>-15.5</v>
      </c>
      <c r="W3308" cm="1">
        <f t="array" ref="W3308">_xlfn.IFS(OR(X3308="N/A",X3308="NA"),0,OR(X3308="R64",X3308="R68"),1,X3308="R32",2,X3308="S16",3,X3308="E8",4,X3308="F4",5,X3308="2ND",6,X3308="Champions",7)</f>
        <v>0</v>
      </c>
      <c r="X3308" t="s">
        <v>425</v>
      </c>
      <c r="Y3308" t="s">
        <v>425</v>
      </c>
      <c r="Z3308">
        <v>2023</v>
      </c>
    </row>
    <row r="3309" spans="1:26" x14ac:dyDescent="0.3">
      <c r="A3309" t="s">
        <v>170</v>
      </c>
      <c r="B3309" t="s">
        <v>164</v>
      </c>
      <c r="C3309">
        <v>31</v>
      </c>
      <c r="D3309">
        <v>12</v>
      </c>
      <c r="E3309" s="1">
        <f t="shared" si="51"/>
        <v>0.38709677419354838</v>
      </c>
      <c r="F3309">
        <v>105.8</v>
      </c>
      <c r="G3309">
        <v>110.9</v>
      </c>
      <c r="H3309">
        <v>0.36930000000000002</v>
      </c>
      <c r="I3309">
        <v>52.4</v>
      </c>
      <c r="J3309">
        <v>53.1</v>
      </c>
      <c r="K3309">
        <v>17.5</v>
      </c>
      <c r="L3309">
        <v>14</v>
      </c>
      <c r="M3309">
        <v>24.3</v>
      </c>
      <c r="N3309">
        <v>27</v>
      </c>
      <c r="O3309">
        <v>31.4</v>
      </c>
      <c r="P3309">
        <v>31.7</v>
      </c>
      <c r="Q3309">
        <v>51</v>
      </c>
      <c r="R3309">
        <v>54.5</v>
      </c>
      <c r="S3309">
        <v>36.4</v>
      </c>
      <c r="T3309">
        <v>33.4</v>
      </c>
      <c r="U3309">
        <v>69.5</v>
      </c>
      <c r="V3309">
        <v>-12.9</v>
      </c>
      <c r="W3309" cm="1">
        <f t="array" ref="W3309">_xlfn.IFS(OR(X3309="N/A",X3309="NA"),0,OR(X3309="R64",X3309="R68"),1,X3309="R32",2,X3309="S16",3,X3309="E8",4,X3309="F4",5,X3309="2ND",6,X3309="Champions",7)</f>
        <v>0</v>
      </c>
      <c r="X3309" t="s">
        <v>425</v>
      </c>
      <c r="Y3309" t="s">
        <v>425</v>
      </c>
      <c r="Z3309">
        <v>2023</v>
      </c>
    </row>
    <row r="3310" spans="1:26" x14ac:dyDescent="0.3">
      <c r="A3310" t="s">
        <v>349</v>
      </c>
      <c r="B3310" t="s">
        <v>62</v>
      </c>
      <c r="C3310">
        <v>30</v>
      </c>
      <c r="D3310">
        <v>12</v>
      </c>
      <c r="E3310" s="1">
        <f t="shared" si="51"/>
        <v>0.4</v>
      </c>
      <c r="F3310">
        <v>100.2</v>
      </c>
      <c r="G3310">
        <v>107</v>
      </c>
      <c r="H3310">
        <v>0.31969999999999998</v>
      </c>
      <c r="I3310">
        <v>50.5</v>
      </c>
      <c r="J3310">
        <v>50.8</v>
      </c>
      <c r="K3310">
        <v>19.5</v>
      </c>
      <c r="L3310">
        <v>17.5</v>
      </c>
      <c r="M3310">
        <v>29.9</v>
      </c>
      <c r="N3310">
        <v>28.9</v>
      </c>
      <c r="O3310">
        <v>31.2</v>
      </c>
      <c r="P3310">
        <v>26.9</v>
      </c>
      <c r="Q3310">
        <v>51.8</v>
      </c>
      <c r="R3310">
        <v>51.8</v>
      </c>
      <c r="S3310">
        <v>32.1</v>
      </c>
      <c r="T3310">
        <v>32.9</v>
      </c>
      <c r="U3310">
        <v>65.8</v>
      </c>
      <c r="V3310">
        <v>-15.3</v>
      </c>
      <c r="W3310" cm="1">
        <f t="array" ref="W3310">_xlfn.IFS(OR(X3310="N/A",X3310="NA"),0,OR(X3310="R64",X3310="R68"),1,X3310="R32",2,X3310="S16",3,X3310="E8",4,X3310="F4",5,X3310="2ND",6,X3310="Champions",7)</f>
        <v>0</v>
      </c>
      <c r="X3310" t="s">
        <v>425</v>
      </c>
      <c r="Y3310" t="s">
        <v>425</v>
      </c>
      <c r="Z3310">
        <v>2023</v>
      </c>
    </row>
    <row r="3311" spans="1:26" x14ac:dyDescent="0.3">
      <c r="A3311" t="s">
        <v>257</v>
      </c>
      <c r="B3311" t="s">
        <v>57</v>
      </c>
      <c r="C3311">
        <v>29</v>
      </c>
      <c r="D3311">
        <v>12</v>
      </c>
      <c r="E3311" s="1">
        <f t="shared" si="51"/>
        <v>0.41379310344827586</v>
      </c>
      <c r="F3311">
        <v>102.2</v>
      </c>
      <c r="G3311">
        <v>110.9</v>
      </c>
      <c r="H3311">
        <v>0.28010000000000002</v>
      </c>
      <c r="I3311">
        <v>52</v>
      </c>
      <c r="J3311">
        <v>53.8</v>
      </c>
      <c r="K3311">
        <v>19.600000000000001</v>
      </c>
      <c r="L3311">
        <v>17.8</v>
      </c>
      <c r="M3311">
        <v>26.6</v>
      </c>
      <c r="N3311">
        <v>32.6</v>
      </c>
      <c r="O3311">
        <v>32.1</v>
      </c>
      <c r="P3311">
        <v>37.1</v>
      </c>
      <c r="Q3311">
        <v>53.8</v>
      </c>
      <c r="R3311">
        <v>54.1</v>
      </c>
      <c r="S3311">
        <v>32.9</v>
      </c>
      <c r="T3311">
        <v>35.4</v>
      </c>
      <c r="U3311">
        <v>66.7</v>
      </c>
      <c r="V3311">
        <v>-14.4</v>
      </c>
      <c r="W3311" cm="1">
        <f t="array" ref="W3311">_xlfn.IFS(OR(X3311="N/A",X3311="NA"),0,OR(X3311="R64",X3311="R68"),1,X3311="R32",2,X3311="S16",3,X3311="E8",4,X3311="F4",5,X3311="2ND",6,X3311="Champions",7)</f>
        <v>0</v>
      </c>
      <c r="X3311" t="s">
        <v>425</v>
      </c>
      <c r="Y3311" t="s">
        <v>425</v>
      </c>
      <c r="Z3311">
        <v>2023</v>
      </c>
    </row>
    <row r="3312" spans="1:26" x14ac:dyDescent="0.3">
      <c r="A3312" t="s">
        <v>224</v>
      </c>
      <c r="B3312" t="s">
        <v>47</v>
      </c>
      <c r="C3312">
        <v>31</v>
      </c>
      <c r="D3312">
        <v>12</v>
      </c>
      <c r="E3312" s="1">
        <f t="shared" si="51"/>
        <v>0.38709677419354838</v>
      </c>
      <c r="F3312">
        <v>98</v>
      </c>
      <c r="G3312">
        <v>107.4</v>
      </c>
      <c r="H3312">
        <v>0.25779999999999997</v>
      </c>
      <c r="I3312">
        <v>48.7</v>
      </c>
      <c r="J3312">
        <v>51.2</v>
      </c>
      <c r="K3312">
        <v>18.3</v>
      </c>
      <c r="L3312">
        <v>19.600000000000001</v>
      </c>
      <c r="M3312">
        <v>22.7</v>
      </c>
      <c r="N3312">
        <v>30.3</v>
      </c>
      <c r="O3312">
        <v>34.1</v>
      </c>
      <c r="P3312">
        <v>33</v>
      </c>
      <c r="Q3312">
        <v>47.9</v>
      </c>
      <c r="R3312">
        <v>51.1</v>
      </c>
      <c r="S3312">
        <v>33.200000000000003</v>
      </c>
      <c r="T3312">
        <v>34.299999999999997</v>
      </c>
      <c r="U3312">
        <v>68.900000000000006</v>
      </c>
      <c r="V3312">
        <v>-14.2</v>
      </c>
      <c r="W3312" cm="1">
        <f t="array" ref="W3312">_xlfn.IFS(OR(X3312="N/A",X3312="NA"),0,OR(X3312="R64",X3312="R68"),1,X3312="R32",2,X3312="S16",3,X3312="E8",4,X3312="F4",5,X3312="2ND",6,X3312="Champions",7)</f>
        <v>0</v>
      </c>
      <c r="X3312" t="s">
        <v>425</v>
      </c>
      <c r="Y3312" t="s">
        <v>425</v>
      </c>
      <c r="Z3312">
        <v>2023</v>
      </c>
    </row>
    <row r="3313" spans="1:26" x14ac:dyDescent="0.3">
      <c r="A3313" t="s">
        <v>329</v>
      </c>
      <c r="B3313" t="s">
        <v>67</v>
      </c>
      <c r="C3313">
        <v>31</v>
      </c>
      <c r="D3313">
        <v>12</v>
      </c>
      <c r="E3313" s="1">
        <f t="shared" si="51"/>
        <v>0.38709677419354838</v>
      </c>
      <c r="F3313">
        <v>98.7</v>
      </c>
      <c r="G3313">
        <v>108.8</v>
      </c>
      <c r="H3313">
        <v>0.24579999999999999</v>
      </c>
      <c r="I3313">
        <v>51.3</v>
      </c>
      <c r="J3313">
        <v>51.2</v>
      </c>
      <c r="K3313">
        <v>20.2</v>
      </c>
      <c r="L3313">
        <v>15.4</v>
      </c>
      <c r="M3313">
        <v>25.4</v>
      </c>
      <c r="N3313">
        <v>25</v>
      </c>
      <c r="O3313">
        <v>26.9</v>
      </c>
      <c r="P3313">
        <v>27.7</v>
      </c>
      <c r="Q3313">
        <v>51.1</v>
      </c>
      <c r="R3313">
        <v>49.4</v>
      </c>
      <c r="S3313">
        <v>34.5</v>
      </c>
      <c r="T3313">
        <v>36.4</v>
      </c>
      <c r="U3313">
        <v>66.599999999999994</v>
      </c>
      <c r="V3313">
        <v>-16.100000000000001</v>
      </c>
      <c r="W3313" cm="1">
        <f t="array" ref="W3313">_xlfn.IFS(OR(X3313="N/A",X3313="NA"),0,OR(X3313="R64",X3313="R68"),1,X3313="R32",2,X3313="S16",3,X3313="E8",4,X3313="F4",5,X3313="2ND",6,X3313="Champions",7)</f>
        <v>0</v>
      </c>
      <c r="X3313" t="s">
        <v>425</v>
      </c>
      <c r="Y3313" t="s">
        <v>425</v>
      </c>
      <c r="Z3313">
        <v>2023</v>
      </c>
    </row>
    <row r="3314" spans="1:26" x14ac:dyDescent="0.3">
      <c r="A3314" t="s">
        <v>374</v>
      </c>
      <c r="B3314" t="s">
        <v>61</v>
      </c>
      <c r="C3314">
        <v>30</v>
      </c>
      <c r="D3314">
        <v>12</v>
      </c>
      <c r="E3314" s="1">
        <f t="shared" si="51"/>
        <v>0.4</v>
      </c>
      <c r="F3314">
        <v>97.9</v>
      </c>
      <c r="G3314">
        <v>111.8</v>
      </c>
      <c r="H3314">
        <v>0.17829999999999999</v>
      </c>
      <c r="I3314">
        <v>52.7</v>
      </c>
      <c r="J3314">
        <v>54.1</v>
      </c>
      <c r="K3314">
        <v>23.6</v>
      </c>
      <c r="L3314">
        <v>20.2</v>
      </c>
      <c r="M3314">
        <v>29.8</v>
      </c>
      <c r="N3314">
        <v>32.700000000000003</v>
      </c>
      <c r="O3314">
        <v>36.5</v>
      </c>
      <c r="P3314">
        <v>39.9</v>
      </c>
      <c r="Q3314">
        <v>51.1</v>
      </c>
      <c r="R3314">
        <v>54.1</v>
      </c>
      <c r="S3314">
        <v>37.9</v>
      </c>
      <c r="T3314">
        <v>36.200000000000003</v>
      </c>
      <c r="U3314">
        <v>71</v>
      </c>
      <c r="V3314">
        <v>-15.7</v>
      </c>
      <c r="W3314" cm="1">
        <f t="array" ref="W3314">_xlfn.IFS(OR(X3314="N/A",X3314="NA"),0,OR(X3314="R64",X3314="R68"),1,X3314="R32",2,X3314="S16",3,X3314="E8",4,X3314="F4",5,X3314="2ND",6,X3314="Champions",7)</f>
        <v>0</v>
      </c>
      <c r="X3314" t="s">
        <v>425</v>
      </c>
      <c r="Y3314" t="s">
        <v>425</v>
      </c>
      <c r="Z3314">
        <v>2023</v>
      </c>
    </row>
    <row r="3315" spans="1:26" x14ac:dyDescent="0.3">
      <c r="A3315" t="s">
        <v>263</v>
      </c>
      <c r="B3315" t="s">
        <v>76</v>
      </c>
      <c r="C3315">
        <v>30</v>
      </c>
      <c r="D3315">
        <v>12</v>
      </c>
      <c r="E3315" s="1">
        <f t="shared" si="51"/>
        <v>0.4</v>
      </c>
      <c r="F3315">
        <v>96.1</v>
      </c>
      <c r="G3315">
        <v>114.5</v>
      </c>
      <c r="H3315">
        <v>0.11799999999999999</v>
      </c>
      <c r="I3315">
        <v>46.6</v>
      </c>
      <c r="J3315">
        <v>52.7</v>
      </c>
      <c r="K3315">
        <v>18.3</v>
      </c>
      <c r="L3315">
        <v>19.3</v>
      </c>
      <c r="M3315">
        <v>26.9</v>
      </c>
      <c r="N3315">
        <v>34.700000000000003</v>
      </c>
      <c r="O3315">
        <v>32.1</v>
      </c>
      <c r="P3315">
        <v>35.200000000000003</v>
      </c>
      <c r="Q3315">
        <v>43.1</v>
      </c>
      <c r="R3315">
        <v>52.1</v>
      </c>
      <c r="S3315">
        <v>35.799999999999997</v>
      </c>
      <c r="T3315">
        <v>35.799999999999997</v>
      </c>
      <c r="U3315">
        <v>68.7</v>
      </c>
      <c r="V3315">
        <v>-15.8</v>
      </c>
      <c r="W3315" cm="1">
        <f t="array" ref="W3315">_xlfn.IFS(OR(X3315="N/A",X3315="NA"),0,OR(X3315="R64",X3315="R68"),1,X3315="R32",2,X3315="S16",3,X3315="E8",4,X3315="F4",5,X3315="2ND",6,X3315="Champions",7)</f>
        <v>0</v>
      </c>
      <c r="X3315" t="s">
        <v>425</v>
      </c>
      <c r="Y3315" t="s">
        <v>425</v>
      </c>
      <c r="Z3315">
        <v>2023</v>
      </c>
    </row>
    <row r="3316" spans="1:26" x14ac:dyDescent="0.3">
      <c r="A3316" t="s">
        <v>367</v>
      </c>
      <c r="B3316" t="s">
        <v>29</v>
      </c>
      <c r="C3316">
        <v>33</v>
      </c>
      <c r="D3316">
        <v>12</v>
      </c>
      <c r="E3316" s="1">
        <f t="shared" si="51"/>
        <v>0.36363636363636365</v>
      </c>
      <c r="F3316">
        <v>106.2</v>
      </c>
      <c r="G3316">
        <v>100.8</v>
      </c>
      <c r="H3316">
        <v>0.64590000000000003</v>
      </c>
      <c r="I3316">
        <v>47.5</v>
      </c>
      <c r="J3316">
        <v>49.5</v>
      </c>
      <c r="K3316">
        <v>18.3</v>
      </c>
      <c r="L3316">
        <v>18</v>
      </c>
      <c r="M3316">
        <v>33.299999999999997</v>
      </c>
      <c r="N3316">
        <v>29.9</v>
      </c>
      <c r="O3316">
        <v>29.2</v>
      </c>
      <c r="P3316">
        <v>30.3</v>
      </c>
      <c r="Q3316">
        <v>48.6</v>
      </c>
      <c r="R3316">
        <v>48.9</v>
      </c>
      <c r="S3316">
        <v>30.3</v>
      </c>
      <c r="T3316">
        <v>33.799999999999997</v>
      </c>
      <c r="U3316">
        <v>66</v>
      </c>
      <c r="V3316">
        <v>-8.5</v>
      </c>
      <c r="W3316" cm="1">
        <f t="array" ref="W3316">_xlfn.IFS(OR(X3316="N/A",X3316="NA"),0,OR(X3316="R64",X3316="R68"),1,X3316="R32",2,X3316="S16",3,X3316="E8",4,X3316="F4",5,X3316="2ND",6,X3316="Champions",7)</f>
        <v>0</v>
      </c>
      <c r="X3316" t="s">
        <v>425</v>
      </c>
      <c r="Y3316" t="s">
        <v>425</v>
      </c>
      <c r="Z3316">
        <v>2023</v>
      </c>
    </row>
    <row r="3317" spans="1:26" x14ac:dyDescent="0.3">
      <c r="A3317" t="s">
        <v>169</v>
      </c>
      <c r="B3317" t="s">
        <v>164</v>
      </c>
      <c r="C3317">
        <v>33</v>
      </c>
      <c r="D3317">
        <v>12</v>
      </c>
      <c r="E3317" s="1">
        <f t="shared" si="51"/>
        <v>0.36363636363636365</v>
      </c>
      <c r="F3317">
        <v>106.8</v>
      </c>
      <c r="G3317">
        <v>110.3</v>
      </c>
      <c r="H3317">
        <v>0.4093</v>
      </c>
      <c r="I3317">
        <v>50.5</v>
      </c>
      <c r="J3317">
        <v>55.3</v>
      </c>
      <c r="K3317">
        <v>15.9</v>
      </c>
      <c r="L3317">
        <v>17.2</v>
      </c>
      <c r="M3317">
        <v>26.9</v>
      </c>
      <c r="N3317">
        <v>25.7</v>
      </c>
      <c r="O3317">
        <v>27.4</v>
      </c>
      <c r="P3317">
        <v>38.700000000000003</v>
      </c>
      <c r="Q3317">
        <v>48.6</v>
      </c>
      <c r="R3317">
        <v>55.7</v>
      </c>
      <c r="S3317">
        <v>35.700000000000003</v>
      </c>
      <c r="T3317">
        <v>36.5</v>
      </c>
      <c r="U3317">
        <v>66.7</v>
      </c>
      <c r="V3317">
        <v>-15.1</v>
      </c>
      <c r="W3317" cm="1">
        <f t="array" ref="W3317">_xlfn.IFS(OR(X3317="N/A",X3317="NA"),0,OR(X3317="R64",X3317="R68"),1,X3317="R32",2,X3317="S16",3,X3317="E8",4,X3317="F4",5,X3317="2ND",6,X3317="Champions",7)</f>
        <v>0</v>
      </c>
      <c r="X3317" t="s">
        <v>425</v>
      </c>
      <c r="Y3317" t="s">
        <v>425</v>
      </c>
      <c r="Z3317">
        <v>2023</v>
      </c>
    </row>
    <row r="3318" spans="1:26" x14ac:dyDescent="0.3">
      <c r="A3318" t="s">
        <v>132</v>
      </c>
      <c r="B3318" t="s">
        <v>131</v>
      </c>
      <c r="C3318">
        <v>26</v>
      </c>
      <c r="D3318">
        <v>13</v>
      </c>
      <c r="E3318" s="1">
        <f t="shared" si="51"/>
        <v>0.5</v>
      </c>
      <c r="F3318">
        <v>99.9</v>
      </c>
      <c r="G3318">
        <v>104.2</v>
      </c>
      <c r="H3318">
        <v>0.38190000000000002</v>
      </c>
      <c r="I3318">
        <v>50.6</v>
      </c>
      <c r="J3318">
        <v>49.8</v>
      </c>
      <c r="K3318">
        <v>19.100000000000001</v>
      </c>
      <c r="L3318">
        <v>14.3</v>
      </c>
      <c r="M3318">
        <v>23.9</v>
      </c>
      <c r="N3318">
        <v>25.7</v>
      </c>
      <c r="O3318">
        <v>22.8</v>
      </c>
      <c r="P3318">
        <v>27</v>
      </c>
      <c r="Q3318">
        <v>51</v>
      </c>
      <c r="R3318">
        <v>51.4</v>
      </c>
      <c r="S3318">
        <v>33.299999999999997</v>
      </c>
      <c r="T3318">
        <v>32.1</v>
      </c>
      <c r="U3318">
        <v>60.9</v>
      </c>
      <c r="V3318">
        <v>-10.199999999999999</v>
      </c>
      <c r="W3318" cm="1">
        <f t="array" ref="W3318">_xlfn.IFS(OR(X3318="N/A",X3318="NA"),0,OR(X3318="R64",X3318="R68"),1,X3318="R32",2,X3318="S16",3,X3318="E8",4,X3318="F4",5,X3318="2ND",6,X3318="Champions",7)</f>
        <v>0</v>
      </c>
      <c r="X3318" t="s">
        <v>425</v>
      </c>
      <c r="Y3318" t="s">
        <v>425</v>
      </c>
      <c r="Z3318">
        <v>2023</v>
      </c>
    </row>
    <row r="3319" spans="1:26" x14ac:dyDescent="0.3">
      <c r="A3319" t="s">
        <v>368</v>
      </c>
      <c r="B3319" t="s">
        <v>51</v>
      </c>
      <c r="C3319">
        <v>26</v>
      </c>
      <c r="D3319">
        <v>13</v>
      </c>
      <c r="E3319" s="1">
        <f t="shared" si="51"/>
        <v>0.5</v>
      </c>
      <c r="F3319">
        <v>104.5</v>
      </c>
      <c r="G3319">
        <v>106.5</v>
      </c>
      <c r="H3319">
        <v>0.44350000000000001</v>
      </c>
      <c r="I3319">
        <v>49.2</v>
      </c>
      <c r="J3319">
        <v>56.5</v>
      </c>
      <c r="K3319">
        <v>17.3</v>
      </c>
      <c r="L3319">
        <v>23.3</v>
      </c>
      <c r="M3319">
        <v>25.5</v>
      </c>
      <c r="N3319">
        <v>28.6</v>
      </c>
      <c r="O3319">
        <v>32.299999999999997</v>
      </c>
      <c r="P3319">
        <v>45.6</v>
      </c>
      <c r="Q3319">
        <v>48.1</v>
      </c>
      <c r="R3319">
        <v>56.2</v>
      </c>
      <c r="S3319">
        <v>34.299999999999997</v>
      </c>
      <c r="T3319">
        <v>38.1</v>
      </c>
      <c r="U3319">
        <v>69</v>
      </c>
      <c r="V3319">
        <v>-10.199999999999999</v>
      </c>
      <c r="W3319" cm="1">
        <f t="array" ref="W3319">_xlfn.IFS(OR(X3319="N/A",X3319="NA"),0,OR(X3319="R64",X3319="R68"),1,X3319="R32",2,X3319="S16",3,X3319="E8",4,X3319="F4",5,X3319="2ND",6,X3319="Champions",7)</f>
        <v>0</v>
      </c>
      <c r="X3319" t="s">
        <v>425</v>
      </c>
      <c r="Y3319" t="s">
        <v>425</v>
      </c>
      <c r="Z3319">
        <v>2023</v>
      </c>
    </row>
    <row r="3320" spans="1:26" x14ac:dyDescent="0.3">
      <c r="A3320" t="s">
        <v>114</v>
      </c>
      <c r="B3320" t="s">
        <v>112</v>
      </c>
      <c r="C3320">
        <v>28</v>
      </c>
      <c r="D3320">
        <v>13</v>
      </c>
      <c r="E3320" s="1">
        <f t="shared" si="51"/>
        <v>0.4642857142857143</v>
      </c>
      <c r="F3320">
        <v>97.8</v>
      </c>
      <c r="G3320">
        <v>107.4</v>
      </c>
      <c r="H3320">
        <v>0.25340000000000001</v>
      </c>
      <c r="I3320">
        <v>51.1</v>
      </c>
      <c r="J3320">
        <v>53.4</v>
      </c>
      <c r="K3320">
        <v>18.7</v>
      </c>
      <c r="L3320">
        <v>20.3</v>
      </c>
      <c r="M3320">
        <v>22.9</v>
      </c>
      <c r="N3320">
        <v>30</v>
      </c>
      <c r="O3320">
        <v>23</v>
      </c>
      <c r="P3320">
        <v>28.7</v>
      </c>
      <c r="Q3320">
        <v>51.5</v>
      </c>
      <c r="R3320">
        <v>54.4</v>
      </c>
      <c r="S3320">
        <v>33.5</v>
      </c>
      <c r="T3320">
        <v>34.6</v>
      </c>
      <c r="U3320">
        <v>65.599999999999994</v>
      </c>
      <c r="V3320">
        <v>-11.8</v>
      </c>
      <c r="W3320" cm="1">
        <f t="array" ref="W3320">_xlfn.IFS(OR(X3320="N/A",X3320="NA"),0,OR(X3320="R64",X3320="R68"),1,X3320="R32",2,X3320="S16",3,X3320="E8",4,X3320="F4",5,X3320="2ND",6,X3320="Champions",7)</f>
        <v>0</v>
      </c>
      <c r="X3320" t="s">
        <v>425</v>
      </c>
      <c r="Y3320" t="s">
        <v>425</v>
      </c>
      <c r="Z3320">
        <v>2023</v>
      </c>
    </row>
    <row r="3321" spans="1:26" x14ac:dyDescent="0.3">
      <c r="A3321" t="s">
        <v>307</v>
      </c>
      <c r="B3321" t="s">
        <v>131</v>
      </c>
      <c r="C3321">
        <v>28</v>
      </c>
      <c r="D3321">
        <v>13</v>
      </c>
      <c r="E3321" s="1">
        <f t="shared" si="51"/>
        <v>0.4642857142857143</v>
      </c>
      <c r="F3321">
        <v>101.5</v>
      </c>
      <c r="G3321">
        <v>106.2</v>
      </c>
      <c r="H3321">
        <v>0.37159999999999999</v>
      </c>
      <c r="I3321">
        <v>50.5</v>
      </c>
      <c r="J3321">
        <v>52.5</v>
      </c>
      <c r="K3321">
        <v>20.2</v>
      </c>
      <c r="L3321">
        <v>16.5</v>
      </c>
      <c r="M3321">
        <v>29.4</v>
      </c>
      <c r="N3321">
        <v>24.1</v>
      </c>
      <c r="O3321">
        <v>31.8</v>
      </c>
      <c r="P3321">
        <v>29.5</v>
      </c>
      <c r="Q3321">
        <v>47.9</v>
      </c>
      <c r="R3321">
        <v>52.7</v>
      </c>
      <c r="S3321">
        <v>36</v>
      </c>
      <c r="T3321">
        <v>34.9</v>
      </c>
      <c r="U3321">
        <v>65.3</v>
      </c>
      <c r="V3321">
        <v>-11.6</v>
      </c>
      <c r="W3321" cm="1">
        <f t="array" ref="W3321">_xlfn.IFS(OR(X3321="N/A",X3321="NA"),0,OR(X3321="R64",X3321="R68"),1,X3321="R32",2,X3321="S16",3,X3321="E8",4,X3321="F4",5,X3321="2ND",6,X3321="Champions",7)</f>
        <v>0</v>
      </c>
      <c r="X3321" t="s">
        <v>425</v>
      </c>
      <c r="Y3321" t="s">
        <v>425</v>
      </c>
      <c r="Z3321">
        <v>2023</v>
      </c>
    </row>
    <row r="3322" spans="1:26" x14ac:dyDescent="0.3">
      <c r="A3322" t="s">
        <v>241</v>
      </c>
      <c r="B3322" t="s">
        <v>69</v>
      </c>
      <c r="C3322">
        <v>30</v>
      </c>
      <c r="D3322">
        <v>13</v>
      </c>
      <c r="E3322" s="1">
        <f t="shared" si="51"/>
        <v>0.43333333333333335</v>
      </c>
      <c r="F3322">
        <v>98</v>
      </c>
      <c r="G3322">
        <v>106.2</v>
      </c>
      <c r="H3322">
        <v>0.28520000000000001</v>
      </c>
      <c r="I3322">
        <v>46</v>
      </c>
      <c r="J3322">
        <v>49.3</v>
      </c>
      <c r="K3322">
        <v>18.2</v>
      </c>
      <c r="L3322">
        <v>17.8</v>
      </c>
      <c r="M3322">
        <v>28.6</v>
      </c>
      <c r="N3322">
        <v>29.5</v>
      </c>
      <c r="O3322">
        <v>37.9</v>
      </c>
      <c r="P3322">
        <v>28.1</v>
      </c>
      <c r="Q3322">
        <v>47.8</v>
      </c>
      <c r="R3322">
        <v>51.7</v>
      </c>
      <c r="S3322">
        <v>28.6</v>
      </c>
      <c r="T3322">
        <v>29.3</v>
      </c>
      <c r="U3322">
        <v>64.900000000000006</v>
      </c>
      <c r="V3322">
        <v>-13.1</v>
      </c>
      <c r="W3322" cm="1">
        <f t="array" ref="W3322">_xlfn.IFS(OR(X3322="N/A",X3322="NA"),0,OR(X3322="R64",X3322="R68"),1,X3322="R32",2,X3322="S16",3,X3322="E8",4,X3322="F4",5,X3322="2ND",6,X3322="Champions",7)</f>
        <v>0</v>
      </c>
      <c r="X3322" t="s">
        <v>425</v>
      </c>
      <c r="Y3322" t="s">
        <v>425</v>
      </c>
      <c r="Z3322">
        <v>2023</v>
      </c>
    </row>
    <row r="3323" spans="1:26" x14ac:dyDescent="0.3">
      <c r="A3323" t="s">
        <v>111</v>
      </c>
      <c r="B3323" t="s">
        <v>112</v>
      </c>
      <c r="C3323">
        <v>29</v>
      </c>
      <c r="D3323">
        <v>13</v>
      </c>
      <c r="E3323" s="1">
        <f t="shared" si="51"/>
        <v>0.44827586206896552</v>
      </c>
      <c r="F3323">
        <v>98.1</v>
      </c>
      <c r="G3323">
        <v>109.5</v>
      </c>
      <c r="H3323">
        <v>0.22090000000000001</v>
      </c>
      <c r="I3323">
        <v>49.5</v>
      </c>
      <c r="J3323">
        <v>50.5</v>
      </c>
      <c r="K3323">
        <v>19.399999999999999</v>
      </c>
      <c r="L3323">
        <v>15.1</v>
      </c>
      <c r="M3323">
        <v>28.7</v>
      </c>
      <c r="N3323">
        <v>27.3</v>
      </c>
      <c r="O3323">
        <v>28.2</v>
      </c>
      <c r="P3323">
        <v>35.4</v>
      </c>
      <c r="Q3323">
        <v>50</v>
      </c>
      <c r="R3323">
        <v>50.8</v>
      </c>
      <c r="S3323">
        <v>32.4</v>
      </c>
      <c r="T3323">
        <v>33.200000000000003</v>
      </c>
      <c r="U3323">
        <v>65.900000000000006</v>
      </c>
      <c r="V3323">
        <v>-13.3</v>
      </c>
      <c r="W3323" cm="1">
        <f t="array" ref="W3323">_xlfn.IFS(OR(X3323="N/A",X3323="NA"),0,OR(X3323="R64",X3323="R68"),1,X3323="R32",2,X3323="S16",3,X3323="E8",4,X3323="F4",5,X3323="2ND",6,X3323="Champions",7)</f>
        <v>0</v>
      </c>
      <c r="X3323" t="s">
        <v>425</v>
      </c>
      <c r="Y3323" t="s">
        <v>425</v>
      </c>
      <c r="Z3323">
        <v>2023</v>
      </c>
    </row>
    <row r="3324" spans="1:26" x14ac:dyDescent="0.3">
      <c r="A3324" t="s">
        <v>301</v>
      </c>
      <c r="B3324" t="s">
        <v>77</v>
      </c>
      <c r="C3324">
        <v>29</v>
      </c>
      <c r="D3324">
        <v>13</v>
      </c>
      <c r="E3324" s="1">
        <f t="shared" si="51"/>
        <v>0.44827586206896552</v>
      </c>
      <c r="F3324">
        <v>100.7</v>
      </c>
      <c r="G3324">
        <v>115.1</v>
      </c>
      <c r="H3324">
        <v>0.17749999999999999</v>
      </c>
      <c r="I3324">
        <v>51.9</v>
      </c>
      <c r="J3324">
        <v>51.9</v>
      </c>
      <c r="K3324">
        <v>18.3</v>
      </c>
      <c r="L3324">
        <v>14.7</v>
      </c>
      <c r="M3324">
        <v>25.3</v>
      </c>
      <c r="N3324">
        <v>28.9</v>
      </c>
      <c r="O3324">
        <v>32.799999999999997</v>
      </c>
      <c r="P3324">
        <v>29.9</v>
      </c>
      <c r="Q3324">
        <v>50.4</v>
      </c>
      <c r="R3324">
        <v>52.7</v>
      </c>
      <c r="S3324">
        <v>36.4</v>
      </c>
      <c r="T3324">
        <v>33.700000000000003</v>
      </c>
      <c r="U3324">
        <v>68.3</v>
      </c>
      <c r="V3324">
        <v>-14.3</v>
      </c>
      <c r="W3324" cm="1">
        <f t="array" ref="W3324">_xlfn.IFS(OR(X3324="N/A",X3324="NA"),0,OR(X3324="R64",X3324="R68"),1,X3324="R32",2,X3324="S16",3,X3324="E8",4,X3324="F4",5,X3324="2ND",6,X3324="Champions",7)</f>
        <v>0</v>
      </c>
      <c r="X3324" t="s">
        <v>425</v>
      </c>
      <c r="Y3324" t="s">
        <v>425</v>
      </c>
      <c r="Z3324">
        <v>2023</v>
      </c>
    </row>
    <row r="3325" spans="1:26" x14ac:dyDescent="0.3">
      <c r="A3325" t="s">
        <v>258</v>
      </c>
      <c r="B3325" t="s">
        <v>57</v>
      </c>
      <c r="C3325">
        <v>30</v>
      </c>
      <c r="D3325">
        <v>13</v>
      </c>
      <c r="E3325" s="1">
        <f t="shared" si="51"/>
        <v>0.43333333333333335</v>
      </c>
      <c r="F3325">
        <v>99.7</v>
      </c>
      <c r="G3325">
        <v>106</v>
      </c>
      <c r="H3325">
        <v>0.33069999999999999</v>
      </c>
      <c r="I3325">
        <v>52.2</v>
      </c>
      <c r="J3325">
        <v>50.7</v>
      </c>
      <c r="K3325">
        <v>20.3</v>
      </c>
      <c r="L3325">
        <v>18.600000000000001</v>
      </c>
      <c r="M3325">
        <v>25</v>
      </c>
      <c r="N3325">
        <v>32.799999999999997</v>
      </c>
      <c r="O3325">
        <v>34.299999999999997</v>
      </c>
      <c r="P3325">
        <v>35.799999999999997</v>
      </c>
      <c r="Q3325">
        <v>52.1</v>
      </c>
      <c r="R3325">
        <v>51.7</v>
      </c>
      <c r="S3325">
        <v>34.9</v>
      </c>
      <c r="T3325">
        <v>32.700000000000003</v>
      </c>
      <c r="U3325">
        <v>68.900000000000006</v>
      </c>
      <c r="V3325">
        <v>-12.4</v>
      </c>
      <c r="W3325" cm="1">
        <f t="array" ref="W3325">_xlfn.IFS(OR(X3325="N/A",X3325="NA"),0,OR(X3325="R64",X3325="R68"),1,X3325="R32",2,X3325="S16",3,X3325="E8",4,X3325="F4",5,X3325="2ND",6,X3325="Champions",7)</f>
        <v>0</v>
      </c>
      <c r="X3325" t="s">
        <v>425</v>
      </c>
      <c r="Y3325" t="s">
        <v>425</v>
      </c>
      <c r="Z3325">
        <v>2023</v>
      </c>
    </row>
    <row r="3326" spans="1:26" x14ac:dyDescent="0.3">
      <c r="A3326" t="s">
        <v>397</v>
      </c>
      <c r="B3326" t="s">
        <v>76</v>
      </c>
      <c r="C3326">
        <v>30</v>
      </c>
      <c r="D3326">
        <v>13</v>
      </c>
      <c r="E3326" s="1">
        <f t="shared" si="51"/>
        <v>0.43333333333333335</v>
      </c>
      <c r="F3326">
        <v>93.7</v>
      </c>
      <c r="G3326">
        <v>102</v>
      </c>
      <c r="H3326">
        <v>0.27389999999999998</v>
      </c>
      <c r="I3326">
        <v>44.8</v>
      </c>
      <c r="J3326">
        <v>48.2</v>
      </c>
      <c r="K3326">
        <v>19.600000000000001</v>
      </c>
      <c r="L3326">
        <v>21.2</v>
      </c>
      <c r="M3326">
        <v>31.7</v>
      </c>
      <c r="N3326">
        <v>28.7</v>
      </c>
      <c r="O3326">
        <v>33</v>
      </c>
      <c r="P3326">
        <v>41.8</v>
      </c>
      <c r="Q3326">
        <v>44</v>
      </c>
      <c r="R3326">
        <v>47.3</v>
      </c>
      <c r="S3326">
        <v>30.9</v>
      </c>
      <c r="T3326">
        <v>33.299999999999997</v>
      </c>
      <c r="U3326">
        <v>67.5</v>
      </c>
      <c r="V3326">
        <v>-13.9</v>
      </c>
      <c r="W3326" cm="1">
        <f t="array" ref="W3326">_xlfn.IFS(OR(X3326="N/A",X3326="NA"),0,OR(X3326="R64",X3326="R68"),1,X3326="R32",2,X3326="S16",3,X3326="E8",4,X3326="F4",5,X3326="2ND",6,X3326="Champions",7)</f>
        <v>0</v>
      </c>
      <c r="X3326" t="s">
        <v>425</v>
      </c>
      <c r="Y3326" t="s">
        <v>425</v>
      </c>
      <c r="Z3326">
        <v>2023</v>
      </c>
    </row>
    <row r="3327" spans="1:26" x14ac:dyDescent="0.3">
      <c r="A3327" t="s">
        <v>226</v>
      </c>
      <c r="B3327" t="s">
        <v>43</v>
      </c>
      <c r="C3327">
        <v>31</v>
      </c>
      <c r="D3327">
        <v>13</v>
      </c>
      <c r="E3327" s="1">
        <f t="shared" si="51"/>
        <v>0.41935483870967744</v>
      </c>
      <c r="F3327">
        <v>102.2</v>
      </c>
      <c r="G3327">
        <v>111.8</v>
      </c>
      <c r="H3327">
        <v>0.2621</v>
      </c>
      <c r="I3327">
        <v>49.2</v>
      </c>
      <c r="J3327">
        <v>54.8</v>
      </c>
      <c r="K3327">
        <v>15.1</v>
      </c>
      <c r="L3327">
        <v>18.7</v>
      </c>
      <c r="M3327">
        <v>24.2</v>
      </c>
      <c r="N3327">
        <v>32.700000000000003</v>
      </c>
      <c r="O3327">
        <v>31.6</v>
      </c>
      <c r="P3327">
        <v>22.5</v>
      </c>
      <c r="Q3327">
        <v>51.3</v>
      </c>
      <c r="R3327">
        <v>53.9</v>
      </c>
      <c r="S3327">
        <v>30.6</v>
      </c>
      <c r="T3327">
        <v>37.5</v>
      </c>
      <c r="U3327">
        <v>68.400000000000006</v>
      </c>
      <c r="V3327">
        <v>-12.9</v>
      </c>
      <c r="W3327" cm="1">
        <f t="array" ref="W3327">_xlfn.IFS(OR(X3327="N/A",X3327="NA"),0,OR(X3327="R64",X3327="R68"),1,X3327="R32",2,X3327="S16",3,X3327="E8",4,X3327="F4",5,X3327="2ND",6,X3327="Champions",7)</f>
        <v>0</v>
      </c>
      <c r="X3327" t="s">
        <v>425</v>
      </c>
      <c r="Y3327" t="s">
        <v>425</v>
      </c>
      <c r="Z3327">
        <v>2023</v>
      </c>
    </row>
    <row r="3328" spans="1:26" x14ac:dyDescent="0.3">
      <c r="A3328" t="s">
        <v>271</v>
      </c>
      <c r="B3328" t="s">
        <v>53</v>
      </c>
      <c r="C3328">
        <v>29</v>
      </c>
      <c r="D3328">
        <v>13</v>
      </c>
      <c r="E3328" s="1">
        <f t="shared" si="51"/>
        <v>0.44827586206896552</v>
      </c>
      <c r="F3328">
        <v>96.9</v>
      </c>
      <c r="G3328">
        <v>110.5</v>
      </c>
      <c r="H3328">
        <v>0.18</v>
      </c>
      <c r="I3328">
        <v>47.4</v>
      </c>
      <c r="J3328">
        <v>50.6</v>
      </c>
      <c r="K3328">
        <v>17.5</v>
      </c>
      <c r="L3328">
        <v>15.7</v>
      </c>
      <c r="M3328">
        <v>24.6</v>
      </c>
      <c r="N3328">
        <v>30.2</v>
      </c>
      <c r="O3328">
        <v>30</v>
      </c>
      <c r="P3328">
        <v>28.5</v>
      </c>
      <c r="Q3328">
        <v>46.2</v>
      </c>
      <c r="R3328">
        <v>51</v>
      </c>
      <c r="S3328">
        <v>32.9</v>
      </c>
      <c r="T3328">
        <v>33.200000000000003</v>
      </c>
      <c r="U3328">
        <v>69.900000000000006</v>
      </c>
      <c r="V3328">
        <v>-13.3</v>
      </c>
      <c r="W3328" cm="1">
        <f t="array" ref="W3328">_xlfn.IFS(OR(X3328="N/A",X3328="NA"),0,OR(X3328="R64",X3328="R68"),1,X3328="R32",2,X3328="S16",3,X3328="E8",4,X3328="F4",5,X3328="2ND",6,X3328="Champions",7)</f>
        <v>0</v>
      </c>
      <c r="X3328" t="s">
        <v>425</v>
      </c>
      <c r="Y3328" t="s">
        <v>425</v>
      </c>
      <c r="Z3328">
        <v>2023</v>
      </c>
    </row>
    <row r="3329" spans="1:26" x14ac:dyDescent="0.3">
      <c r="A3329" t="s">
        <v>298</v>
      </c>
      <c r="B3329" t="s">
        <v>69</v>
      </c>
      <c r="C3329">
        <v>32</v>
      </c>
      <c r="D3329">
        <v>13</v>
      </c>
      <c r="E3329" s="1">
        <f t="shared" si="51"/>
        <v>0.40625</v>
      </c>
      <c r="F3329">
        <v>97.5</v>
      </c>
      <c r="G3329">
        <v>104.5</v>
      </c>
      <c r="H3329">
        <v>0.31159999999999999</v>
      </c>
      <c r="I3329">
        <v>48.6</v>
      </c>
      <c r="J3329">
        <v>48.9</v>
      </c>
      <c r="K3329">
        <v>20.8</v>
      </c>
      <c r="L3329">
        <v>17.899999999999999</v>
      </c>
      <c r="M3329">
        <v>27.8</v>
      </c>
      <c r="N3329">
        <v>29.9</v>
      </c>
      <c r="O3329">
        <v>26</v>
      </c>
      <c r="P3329">
        <v>29.2</v>
      </c>
      <c r="Q3329">
        <v>45.8</v>
      </c>
      <c r="R3329">
        <v>48</v>
      </c>
      <c r="S3329">
        <v>36</v>
      </c>
      <c r="T3329">
        <v>33.700000000000003</v>
      </c>
      <c r="U3329">
        <v>65.7</v>
      </c>
      <c r="V3329">
        <v>-14.4</v>
      </c>
      <c r="W3329" cm="1">
        <f t="array" ref="W3329">_xlfn.IFS(OR(X3329="N/A",X3329="NA"),0,OR(X3329="R64",X3329="R68"),1,X3329="R32",2,X3329="S16",3,X3329="E8",4,X3329="F4",5,X3329="2ND",6,X3329="Champions",7)</f>
        <v>0</v>
      </c>
      <c r="X3329" t="s">
        <v>425</v>
      </c>
      <c r="Y3329" t="s">
        <v>425</v>
      </c>
      <c r="Z3329">
        <v>2023</v>
      </c>
    </row>
    <row r="3330" spans="1:26" x14ac:dyDescent="0.3">
      <c r="A3330" t="s">
        <v>168</v>
      </c>
      <c r="B3330" t="s">
        <v>72</v>
      </c>
      <c r="C3330">
        <v>31</v>
      </c>
      <c r="D3330">
        <v>13</v>
      </c>
      <c r="E3330" s="1">
        <f t="shared" si="51"/>
        <v>0.41935483870967744</v>
      </c>
      <c r="F3330">
        <v>102.8</v>
      </c>
      <c r="G3330">
        <v>111.8</v>
      </c>
      <c r="H3330">
        <v>0.2762</v>
      </c>
      <c r="I3330">
        <v>51</v>
      </c>
      <c r="J3330">
        <v>53.5</v>
      </c>
      <c r="K3330">
        <v>16.7</v>
      </c>
      <c r="L3330">
        <v>15.5</v>
      </c>
      <c r="M3330">
        <v>25.7</v>
      </c>
      <c r="N3330">
        <v>27.4</v>
      </c>
      <c r="O3330">
        <v>27.3</v>
      </c>
      <c r="P3330">
        <v>28</v>
      </c>
      <c r="Q3330">
        <v>50.6</v>
      </c>
      <c r="R3330">
        <v>53</v>
      </c>
      <c r="S3330">
        <v>34.4</v>
      </c>
      <c r="T3330">
        <v>36.4</v>
      </c>
      <c r="U3330">
        <v>66.900000000000006</v>
      </c>
      <c r="V3330">
        <v>-14.6</v>
      </c>
      <c r="W3330" cm="1">
        <f t="array" ref="W3330">_xlfn.IFS(OR(X3330="N/A",X3330="NA"),0,OR(X3330="R64",X3330="R68"),1,X3330="R32",2,X3330="S16",3,X3330="E8",4,X3330="F4",5,X3330="2ND",6,X3330="Champions",7)</f>
        <v>0</v>
      </c>
      <c r="X3330" t="s">
        <v>425</v>
      </c>
      <c r="Y3330" t="s">
        <v>425</v>
      </c>
      <c r="Z3330">
        <v>2023</v>
      </c>
    </row>
    <row r="3331" spans="1:26" x14ac:dyDescent="0.3">
      <c r="A3331" t="s">
        <v>243</v>
      </c>
      <c r="B3331" t="s">
        <v>69</v>
      </c>
      <c r="C3331">
        <v>33</v>
      </c>
      <c r="D3331">
        <v>13</v>
      </c>
      <c r="E3331" s="1">
        <f t="shared" ref="E3331:E3394" si="52">D3331/C3331</f>
        <v>0.39393939393939392</v>
      </c>
      <c r="F3331">
        <v>97.2</v>
      </c>
      <c r="G3331">
        <v>105.8</v>
      </c>
      <c r="H3331">
        <v>0.2752</v>
      </c>
      <c r="I3331">
        <v>47.9</v>
      </c>
      <c r="J3331">
        <v>47.9</v>
      </c>
      <c r="K3331">
        <v>18.100000000000001</v>
      </c>
      <c r="L3331">
        <v>16.8</v>
      </c>
      <c r="M3331">
        <v>25.9</v>
      </c>
      <c r="N3331">
        <v>28.9</v>
      </c>
      <c r="O3331">
        <v>28.9</v>
      </c>
      <c r="P3331">
        <v>28.4</v>
      </c>
      <c r="Q3331">
        <v>46.9</v>
      </c>
      <c r="R3331">
        <v>45.1</v>
      </c>
      <c r="S3331">
        <v>32.799999999999997</v>
      </c>
      <c r="T3331">
        <v>35</v>
      </c>
      <c r="U3331">
        <v>65.400000000000006</v>
      </c>
      <c r="V3331">
        <v>-15.9</v>
      </c>
      <c r="W3331" cm="1">
        <f t="array" ref="W3331">_xlfn.IFS(OR(X3331="N/A",X3331="NA"),0,OR(X3331="R64",X3331="R68"),1,X3331="R32",2,X3331="S16",3,X3331="E8",4,X3331="F4",5,X3331="2ND",6,X3331="Champions",7)</f>
        <v>0</v>
      </c>
      <c r="X3331" t="s">
        <v>425</v>
      </c>
      <c r="Y3331" t="s">
        <v>425</v>
      </c>
      <c r="Z3331">
        <v>2023</v>
      </c>
    </row>
    <row r="3332" spans="1:26" x14ac:dyDescent="0.3">
      <c r="A3332" t="s">
        <v>338</v>
      </c>
      <c r="B3332" t="s">
        <v>58</v>
      </c>
      <c r="C3332">
        <v>30</v>
      </c>
      <c r="D3332">
        <v>13</v>
      </c>
      <c r="E3332" s="1">
        <f t="shared" si="52"/>
        <v>0.43333333333333335</v>
      </c>
      <c r="F3332">
        <v>99.3</v>
      </c>
      <c r="G3332">
        <v>109</v>
      </c>
      <c r="H3332">
        <v>0.2535</v>
      </c>
      <c r="I3332">
        <v>47.6</v>
      </c>
      <c r="J3332">
        <v>50.3</v>
      </c>
      <c r="K3332">
        <v>18.100000000000001</v>
      </c>
      <c r="L3332">
        <v>16.600000000000001</v>
      </c>
      <c r="M3332">
        <v>28.8</v>
      </c>
      <c r="N3332">
        <v>28</v>
      </c>
      <c r="O3332">
        <v>35.1</v>
      </c>
      <c r="P3332">
        <v>34.799999999999997</v>
      </c>
      <c r="Q3332">
        <v>45.5</v>
      </c>
      <c r="R3332">
        <v>48</v>
      </c>
      <c r="S3332">
        <v>34.6</v>
      </c>
      <c r="T3332">
        <v>36.4</v>
      </c>
      <c r="U3332">
        <v>63.1</v>
      </c>
      <c r="V3332">
        <v>-14.6</v>
      </c>
      <c r="W3332" cm="1">
        <f t="array" ref="W3332">_xlfn.IFS(OR(X3332="N/A",X3332="NA"),0,OR(X3332="R64",X3332="R68"),1,X3332="R32",2,X3332="S16",3,X3332="E8",4,X3332="F4",5,X3332="2ND",6,X3332="Champions",7)</f>
        <v>0</v>
      </c>
      <c r="X3332" t="s">
        <v>425</v>
      </c>
      <c r="Y3332" t="s">
        <v>425</v>
      </c>
      <c r="Z3332">
        <v>2023</v>
      </c>
    </row>
    <row r="3333" spans="1:26" x14ac:dyDescent="0.3">
      <c r="A3333" t="s">
        <v>205</v>
      </c>
      <c r="B3333" t="s">
        <v>53</v>
      </c>
      <c r="C3333">
        <v>31</v>
      </c>
      <c r="D3333">
        <v>13</v>
      </c>
      <c r="E3333" s="1">
        <f t="shared" si="52"/>
        <v>0.41935483870967744</v>
      </c>
      <c r="F3333">
        <v>99</v>
      </c>
      <c r="G3333">
        <v>111.6</v>
      </c>
      <c r="H3333">
        <v>0.20019999999999999</v>
      </c>
      <c r="I3333">
        <v>49.4</v>
      </c>
      <c r="J3333">
        <v>53.9</v>
      </c>
      <c r="K3333">
        <v>18.8</v>
      </c>
      <c r="L3333">
        <v>17</v>
      </c>
      <c r="M3333">
        <v>27.4</v>
      </c>
      <c r="N3333">
        <v>29.9</v>
      </c>
      <c r="O3333">
        <v>29.2</v>
      </c>
      <c r="P3333">
        <v>27.4</v>
      </c>
      <c r="Q3333">
        <v>46.3</v>
      </c>
      <c r="R3333">
        <v>54.3</v>
      </c>
      <c r="S3333">
        <v>36.299999999999997</v>
      </c>
      <c r="T3333">
        <v>35.5</v>
      </c>
      <c r="U3333">
        <v>65</v>
      </c>
      <c r="V3333">
        <v>-14.4</v>
      </c>
      <c r="W3333" cm="1">
        <f t="array" ref="W3333">_xlfn.IFS(OR(X3333="N/A",X3333="NA"),0,OR(X3333="R64",X3333="R68"),1,X3333="R32",2,X3333="S16",3,X3333="E8",4,X3333="F4",5,X3333="2ND",6,X3333="Champions",7)</f>
        <v>0</v>
      </c>
      <c r="X3333" t="s">
        <v>425</v>
      </c>
      <c r="Y3333" t="s">
        <v>425</v>
      </c>
      <c r="Z3333">
        <v>2023</v>
      </c>
    </row>
    <row r="3334" spans="1:26" x14ac:dyDescent="0.3">
      <c r="A3334" t="s">
        <v>435</v>
      </c>
      <c r="B3334" t="s">
        <v>61</v>
      </c>
      <c r="C3334">
        <v>32</v>
      </c>
      <c r="D3334">
        <v>13</v>
      </c>
      <c r="E3334" s="1">
        <f t="shared" si="52"/>
        <v>0.40625</v>
      </c>
      <c r="F3334">
        <v>100</v>
      </c>
      <c r="G3334">
        <v>113</v>
      </c>
      <c r="H3334">
        <v>0.1968</v>
      </c>
      <c r="I3334">
        <v>52.4</v>
      </c>
      <c r="J3334">
        <v>52.8</v>
      </c>
      <c r="K3334">
        <v>18.899999999999999</v>
      </c>
      <c r="L3334">
        <v>17.7</v>
      </c>
      <c r="M3334">
        <v>26.5</v>
      </c>
      <c r="N3334">
        <v>29.9</v>
      </c>
      <c r="O3334">
        <v>28.3</v>
      </c>
      <c r="P3334">
        <v>37.9</v>
      </c>
      <c r="Q3334">
        <v>56.2</v>
      </c>
      <c r="R3334">
        <v>53.1</v>
      </c>
      <c r="S3334">
        <v>31.9</v>
      </c>
      <c r="T3334">
        <v>34.799999999999997</v>
      </c>
      <c r="U3334">
        <v>65.400000000000006</v>
      </c>
      <c r="V3334">
        <v>-15.4</v>
      </c>
      <c r="W3334" cm="1">
        <f t="array" ref="W3334">_xlfn.IFS(OR(X3334="N/A",X3334="NA"),0,OR(X3334="R64",X3334="R68"),1,X3334="R32",2,X3334="S16",3,X3334="E8",4,X3334="F4",5,X3334="2ND",6,X3334="Champions",7)</f>
        <v>0</v>
      </c>
      <c r="X3334" t="s">
        <v>425</v>
      </c>
      <c r="Y3334" t="s">
        <v>425</v>
      </c>
      <c r="Z3334">
        <v>2023</v>
      </c>
    </row>
    <row r="3335" spans="1:26" x14ac:dyDescent="0.3">
      <c r="A3335" t="s">
        <v>333</v>
      </c>
      <c r="B3335" t="s">
        <v>67</v>
      </c>
      <c r="C3335">
        <v>31</v>
      </c>
      <c r="D3335">
        <v>13</v>
      </c>
      <c r="E3335" s="1">
        <f t="shared" si="52"/>
        <v>0.41935483870967744</v>
      </c>
      <c r="F3335">
        <v>98.7</v>
      </c>
      <c r="G3335">
        <v>111.7</v>
      </c>
      <c r="H3335">
        <v>0.19520000000000001</v>
      </c>
      <c r="I3335">
        <v>51.3</v>
      </c>
      <c r="J3335">
        <v>55.5</v>
      </c>
      <c r="K3335">
        <v>20.399999999999999</v>
      </c>
      <c r="L3335">
        <v>20.2</v>
      </c>
      <c r="M3335">
        <v>26.6</v>
      </c>
      <c r="N3335">
        <v>28.7</v>
      </c>
      <c r="O3335">
        <v>28.2</v>
      </c>
      <c r="P3335">
        <v>29.8</v>
      </c>
      <c r="Q3335">
        <v>50</v>
      </c>
      <c r="R3335">
        <v>55.3</v>
      </c>
      <c r="S3335">
        <v>35.6</v>
      </c>
      <c r="T3335">
        <v>37.1</v>
      </c>
      <c r="U3335">
        <v>65.8</v>
      </c>
      <c r="V3335">
        <v>-15.4</v>
      </c>
      <c r="W3335" cm="1">
        <f t="array" ref="W3335">_xlfn.IFS(OR(X3335="N/A",X3335="NA"),0,OR(X3335="R64",X3335="R68"),1,X3335="R32",2,X3335="S16",3,X3335="E8",4,X3335="F4",5,X3335="2ND",6,X3335="Champions",7)</f>
        <v>0</v>
      </c>
      <c r="X3335" t="s">
        <v>425</v>
      </c>
      <c r="Y3335" t="s">
        <v>425</v>
      </c>
      <c r="Z3335">
        <v>2023</v>
      </c>
    </row>
    <row r="3336" spans="1:26" x14ac:dyDescent="0.3">
      <c r="A3336" t="s">
        <v>232</v>
      </c>
      <c r="B3336" t="s">
        <v>59</v>
      </c>
      <c r="C3336">
        <v>27</v>
      </c>
      <c r="D3336">
        <v>14</v>
      </c>
      <c r="E3336" s="1">
        <f t="shared" si="52"/>
        <v>0.51851851851851849</v>
      </c>
      <c r="F3336">
        <v>100.1</v>
      </c>
      <c r="G3336">
        <v>99.7</v>
      </c>
      <c r="H3336">
        <v>0.51290000000000002</v>
      </c>
      <c r="I3336">
        <v>50.7</v>
      </c>
      <c r="J3336">
        <v>51.2</v>
      </c>
      <c r="K3336">
        <v>19</v>
      </c>
      <c r="L3336">
        <v>19.7</v>
      </c>
      <c r="M3336">
        <v>23.4</v>
      </c>
      <c r="N3336">
        <v>23.7</v>
      </c>
      <c r="O3336">
        <v>29.8</v>
      </c>
      <c r="P3336">
        <v>26.9</v>
      </c>
      <c r="Q3336">
        <v>49.8</v>
      </c>
      <c r="R3336">
        <v>50.4</v>
      </c>
      <c r="S3336">
        <v>34.700000000000003</v>
      </c>
      <c r="T3336">
        <v>35</v>
      </c>
      <c r="U3336">
        <v>69.3</v>
      </c>
      <c r="V3336">
        <v>-7.2</v>
      </c>
      <c r="W3336" cm="1">
        <f t="array" ref="W3336">_xlfn.IFS(OR(X3336="N/A",X3336="NA"),0,OR(X3336="R64",X3336="R68"),1,X3336="R32",2,X3336="S16",3,X3336="E8",4,X3336="F4",5,X3336="2ND",6,X3336="Champions",7)</f>
        <v>0</v>
      </c>
      <c r="X3336" t="s">
        <v>425</v>
      </c>
      <c r="Y3336" t="s">
        <v>425</v>
      </c>
      <c r="Z3336">
        <v>2023</v>
      </c>
    </row>
    <row r="3337" spans="1:26" x14ac:dyDescent="0.3">
      <c r="A3337" t="s">
        <v>239</v>
      </c>
      <c r="B3337" t="s">
        <v>59</v>
      </c>
      <c r="C3337">
        <v>26</v>
      </c>
      <c r="D3337">
        <v>14</v>
      </c>
      <c r="E3337" s="1">
        <f t="shared" si="52"/>
        <v>0.53846153846153844</v>
      </c>
      <c r="F3337">
        <v>99.5</v>
      </c>
      <c r="G3337">
        <v>100.3</v>
      </c>
      <c r="H3337">
        <v>0.47699999999999998</v>
      </c>
      <c r="I3337">
        <v>49.5</v>
      </c>
      <c r="J3337">
        <v>48.8</v>
      </c>
      <c r="K3337">
        <v>19.8</v>
      </c>
      <c r="L3337">
        <v>18.399999999999999</v>
      </c>
      <c r="M3337">
        <v>30.3</v>
      </c>
      <c r="N3337">
        <v>24.3</v>
      </c>
      <c r="O3337">
        <v>31.2</v>
      </c>
      <c r="P3337">
        <v>25</v>
      </c>
      <c r="Q3337">
        <v>52.1</v>
      </c>
      <c r="R3337">
        <v>50</v>
      </c>
      <c r="S3337">
        <v>30</v>
      </c>
      <c r="T3337">
        <v>31.2</v>
      </c>
      <c r="U3337">
        <v>65.900000000000006</v>
      </c>
      <c r="V3337">
        <v>-8.5</v>
      </c>
      <c r="W3337" cm="1">
        <f t="array" ref="W3337">_xlfn.IFS(OR(X3337="N/A",X3337="NA"),0,OR(X3337="R64",X3337="R68"),1,X3337="R32",2,X3337="S16",3,X3337="E8",4,X3337="F4",5,X3337="2ND",6,X3337="Champions",7)</f>
        <v>0</v>
      </c>
      <c r="X3337" t="s">
        <v>425</v>
      </c>
      <c r="Y3337" t="s">
        <v>425</v>
      </c>
      <c r="Z3337">
        <v>2023</v>
      </c>
    </row>
    <row r="3338" spans="1:26" x14ac:dyDescent="0.3">
      <c r="A3338" t="s">
        <v>269</v>
      </c>
      <c r="B3338" t="s">
        <v>66</v>
      </c>
      <c r="C3338">
        <v>26</v>
      </c>
      <c r="D3338">
        <v>14</v>
      </c>
      <c r="E3338" s="1">
        <f t="shared" si="52"/>
        <v>0.53846153846153844</v>
      </c>
      <c r="F3338">
        <v>92.7</v>
      </c>
      <c r="G3338">
        <v>105.6</v>
      </c>
      <c r="H3338">
        <v>0.18140000000000001</v>
      </c>
      <c r="I3338">
        <v>47.1</v>
      </c>
      <c r="J3338">
        <v>50.8</v>
      </c>
      <c r="K3338">
        <v>22</v>
      </c>
      <c r="L3338">
        <v>23.8</v>
      </c>
      <c r="M3338">
        <v>30.2</v>
      </c>
      <c r="N3338">
        <v>37.299999999999997</v>
      </c>
      <c r="O3338">
        <v>30.9</v>
      </c>
      <c r="P3338">
        <v>42.9</v>
      </c>
      <c r="Q3338">
        <v>44.4</v>
      </c>
      <c r="R3338">
        <v>52.4</v>
      </c>
      <c r="S3338">
        <v>35.5</v>
      </c>
      <c r="T3338">
        <v>31.8</v>
      </c>
      <c r="U3338">
        <v>70.3</v>
      </c>
      <c r="V3338">
        <v>-10.9</v>
      </c>
      <c r="W3338" cm="1">
        <f t="array" ref="W3338">_xlfn.IFS(OR(X3338="N/A",X3338="NA"),0,OR(X3338="R64",X3338="R68"),1,X3338="R32",2,X3338="S16",3,X3338="E8",4,X3338="F4",5,X3338="2ND",6,X3338="Champions",7)</f>
        <v>0</v>
      </c>
      <c r="X3338" t="s">
        <v>425</v>
      </c>
      <c r="Y3338" t="s">
        <v>425</v>
      </c>
      <c r="Z3338">
        <v>2023</v>
      </c>
    </row>
    <row r="3339" spans="1:26" x14ac:dyDescent="0.3">
      <c r="A3339" t="s">
        <v>300</v>
      </c>
      <c r="B3339" t="s">
        <v>77</v>
      </c>
      <c r="C3339">
        <v>28</v>
      </c>
      <c r="D3339">
        <v>14</v>
      </c>
      <c r="E3339" s="1">
        <f t="shared" si="52"/>
        <v>0.5</v>
      </c>
      <c r="F3339">
        <v>91</v>
      </c>
      <c r="G3339">
        <v>109.3</v>
      </c>
      <c r="H3339">
        <v>0.1084</v>
      </c>
      <c r="I3339">
        <v>45.9</v>
      </c>
      <c r="J3339">
        <v>50.5</v>
      </c>
      <c r="K3339">
        <v>21.1</v>
      </c>
      <c r="L3339">
        <v>19.600000000000001</v>
      </c>
      <c r="M3339">
        <v>30.9</v>
      </c>
      <c r="N3339">
        <v>31.8</v>
      </c>
      <c r="O3339">
        <v>31.1</v>
      </c>
      <c r="P3339">
        <v>31.6</v>
      </c>
      <c r="Q3339">
        <v>41.6</v>
      </c>
      <c r="R3339">
        <v>47.1</v>
      </c>
      <c r="S3339">
        <v>36.5</v>
      </c>
      <c r="T3339">
        <v>39.700000000000003</v>
      </c>
      <c r="U3339">
        <v>65.7</v>
      </c>
      <c r="V3339">
        <v>-13</v>
      </c>
      <c r="W3339" cm="1">
        <f t="array" ref="W3339">_xlfn.IFS(OR(X3339="N/A",X3339="NA"),0,OR(X3339="R64",X3339="R68"),1,X3339="R32",2,X3339="S16",3,X3339="E8",4,X3339="F4",5,X3339="2ND",6,X3339="Champions",7)</f>
        <v>0</v>
      </c>
      <c r="X3339" t="s">
        <v>425</v>
      </c>
      <c r="Y3339" t="s">
        <v>425</v>
      </c>
      <c r="Z3339">
        <v>2023</v>
      </c>
    </row>
    <row r="3340" spans="1:26" x14ac:dyDescent="0.3">
      <c r="A3340" t="s">
        <v>139</v>
      </c>
      <c r="B3340" t="s">
        <v>131</v>
      </c>
      <c r="C3340">
        <v>29</v>
      </c>
      <c r="D3340">
        <v>14</v>
      </c>
      <c r="E3340" s="1">
        <f t="shared" si="52"/>
        <v>0.48275862068965519</v>
      </c>
      <c r="F3340">
        <v>108.3</v>
      </c>
      <c r="G3340">
        <v>113.1</v>
      </c>
      <c r="H3340">
        <v>0.3785</v>
      </c>
      <c r="I3340">
        <v>53.3</v>
      </c>
      <c r="J3340">
        <v>52.4</v>
      </c>
      <c r="K3340">
        <v>17.3</v>
      </c>
      <c r="L3340">
        <v>14</v>
      </c>
      <c r="M3340">
        <v>26.2</v>
      </c>
      <c r="N3340">
        <v>32.9</v>
      </c>
      <c r="O3340">
        <v>28.4</v>
      </c>
      <c r="P3340">
        <v>23.5</v>
      </c>
      <c r="Q3340">
        <v>52.1</v>
      </c>
      <c r="R3340">
        <v>52.1</v>
      </c>
      <c r="S3340">
        <v>36.4</v>
      </c>
      <c r="T3340">
        <v>35.5</v>
      </c>
      <c r="U3340">
        <v>67.900000000000006</v>
      </c>
      <c r="V3340">
        <v>-10.199999999999999</v>
      </c>
      <c r="W3340" cm="1">
        <f t="array" ref="W3340">_xlfn.IFS(OR(X3340="N/A",X3340="NA"),0,OR(X3340="R64",X3340="R68"),1,X3340="R32",2,X3340="S16",3,X3340="E8",4,X3340="F4",5,X3340="2ND",6,X3340="Champions",7)</f>
        <v>0</v>
      </c>
      <c r="X3340" t="s">
        <v>425</v>
      </c>
      <c r="Y3340" t="s">
        <v>425</v>
      </c>
      <c r="Z3340">
        <v>2023</v>
      </c>
    </row>
    <row r="3341" spans="1:26" x14ac:dyDescent="0.3">
      <c r="A3341" t="s">
        <v>179</v>
      </c>
      <c r="B3341" t="s">
        <v>74</v>
      </c>
      <c r="C3341">
        <v>29</v>
      </c>
      <c r="D3341">
        <v>14</v>
      </c>
      <c r="E3341" s="1">
        <f t="shared" si="52"/>
        <v>0.48275862068965519</v>
      </c>
      <c r="F3341">
        <v>99.6</v>
      </c>
      <c r="G3341">
        <v>110.3</v>
      </c>
      <c r="H3341">
        <v>0.2379</v>
      </c>
      <c r="I3341">
        <v>50.2</v>
      </c>
      <c r="J3341">
        <v>50.7</v>
      </c>
      <c r="K3341">
        <v>19.600000000000001</v>
      </c>
      <c r="L3341">
        <v>16.3</v>
      </c>
      <c r="M3341">
        <v>30.8</v>
      </c>
      <c r="N3341">
        <v>32</v>
      </c>
      <c r="O3341">
        <v>38.700000000000003</v>
      </c>
      <c r="P3341">
        <v>35.299999999999997</v>
      </c>
      <c r="Q3341">
        <v>51.4</v>
      </c>
      <c r="R3341">
        <v>52</v>
      </c>
      <c r="S3341">
        <v>32.299999999999997</v>
      </c>
      <c r="T3341">
        <v>32.5</v>
      </c>
      <c r="U3341">
        <v>71.400000000000006</v>
      </c>
      <c r="V3341">
        <v>-12.9</v>
      </c>
      <c r="W3341" cm="1">
        <f t="array" ref="W3341">_xlfn.IFS(OR(X3341="N/A",X3341="NA"),0,OR(X3341="R64",X3341="R68"),1,X3341="R32",2,X3341="S16",3,X3341="E8",4,X3341="F4",5,X3341="2ND",6,X3341="Champions",7)</f>
        <v>0</v>
      </c>
      <c r="X3341" t="s">
        <v>425</v>
      </c>
      <c r="Y3341" t="s">
        <v>425</v>
      </c>
      <c r="Z3341">
        <v>2023</v>
      </c>
    </row>
    <row r="3342" spans="1:26" x14ac:dyDescent="0.3">
      <c r="A3342" t="s">
        <v>436</v>
      </c>
      <c r="B3342" t="s">
        <v>77</v>
      </c>
      <c r="C3342">
        <v>30</v>
      </c>
      <c r="D3342">
        <v>14</v>
      </c>
      <c r="E3342" s="1">
        <f t="shared" si="52"/>
        <v>0.46666666666666667</v>
      </c>
      <c r="F3342">
        <v>94.4</v>
      </c>
      <c r="G3342">
        <v>107.6</v>
      </c>
      <c r="H3342">
        <v>0.18090000000000001</v>
      </c>
      <c r="I3342">
        <v>50.9</v>
      </c>
      <c r="J3342">
        <v>50.2</v>
      </c>
      <c r="K3342">
        <v>19.7</v>
      </c>
      <c r="L3342">
        <v>19.8</v>
      </c>
      <c r="M3342">
        <v>19.100000000000001</v>
      </c>
      <c r="N3342">
        <v>31.4</v>
      </c>
      <c r="O3342">
        <v>32.200000000000003</v>
      </c>
      <c r="P3342">
        <v>27.3</v>
      </c>
      <c r="Q3342">
        <v>49.9</v>
      </c>
      <c r="R3342">
        <v>49</v>
      </c>
      <c r="S3342">
        <v>34.799999999999997</v>
      </c>
      <c r="T3342">
        <v>34.6</v>
      </c>
      <c r="U3342">
        <v>66.599999999999994</v>
      </c>
      <c r="V3342">
        <v>-12.6</v>
      </c>
      <c r="W3342" cm="1">
        <f t="array" ref="W3342">_xlfn.IFS(OR(X3342="N/A",X3342="NA"),0,OR(X3342="R64",X3342="R68"),1,X3342="R32",2,X3342="S16",3,X3342="E8",4,X3342="F4",5,X3342="2ND",6,X3342="Champions",7)</f>
        <v>0</v>
      </c>
      <c r="X3342" t="s">
        <v>425</v>
      </c>
      <c r="Y3342" t="s">
        <v>425</v>
      </c>
      <c r="Z3342">
        <v>2023</v>
      </c>
    </row>
    <row r="3343" spans="1:26" x14ac:dyDescent="0.3">
      <c r="A3343" t="s">
        <v>161</v>
      </c>
      <c r="B3343" t="s">
        <v>33</v>
      </c>
      <c r="C3343">
        <v>32</v>
      </c>
      <c r="D3343">
        <v>14</v>
      </c>
      <c r="E3343" s="1">
        <f t="shared" si="52"/>
        <v>0.4375</v>
      </c>
      <c r="F3343">
        <v>100.6</v>
      </c>
      <c r="G3343">
        <v>96.7</v>
      </c>
      <c r="H3343">
        <v>0.61299999999999999</v>
      </c>
      <c r="I3343">
        <v>49.5</v>
      </c>
      <c r="J3343">
        <v>50.1</v>
      </c>
      <c r="K3343">
        <v>17.600000000000001</v>
      </c>
      <c r="L3343">
        <v>18.600000000000001</v>
      </c>
      <c r="M3343">
        <v>20</v>
      </c>
      <c r="N3343">
        <v>30.3</v>
      </c>
      <c r="O3343">
        <v>25.9</v>
      </c>
      <c r="P3343">
        <v>22.6</v>
      </c>
      <c r="Q3343">
        <v>49.7</v>
      </c>
      <c r="R3343">
        <v>51</v>
      </c>
      <c r="S3343">
        <v>32.700000000000003</v>
      </c>
      <c r="T3343">
        <v>32.1</v>
      </c>
      <c r="U3343">
        <v>65.599999999999994</v>
      </c>
      <c r="V3343">
        <v>-4.4000000000000004</v>
      </c>
      <c r="W3343" cm="1">
        <f t="array" ref="W3343">_xlfn.IFS(OR(X3343="N/A",X3343="NA"),0,OR(X3343="R64",X3343="R68"),1,X3343="R32",2,X3343="S16",3,X3343="E8",4,X3343="F4",5,X3343="2ND",6,X3343="Champions",7)</f>
        <v>0</v>
      </c>
      <c r="X3343" t="s">
        <v>425</v>
      </c>
      <c r="Y3343" t="s">
        <v>425</v>
      </c>
      <c r="Z3343">
        <v>2023</v>
      </c>
    </row>
    <row r="3344" spans="1:26" x14ac:dyDescent="0.3">
      <c r="A3344" t="s">
        <v>283</v>
      </c>
      <c r="B3344" t="s">
        <v>55</v>
      </c>
      <c r="C3344">
        <v>32</v>
      </c>
      <c r="D3344">
        <v>14</v>
      </c>
      <c r="E3344" s="1">
        <f t="shared" si="52"/>
        <v>0.4375</v>
      </c>
      <c r="F3344">
        <v>105.4</v>
      </c>
      <c r="G3344">
        <v>102.9</v>
      </c>
      <c r="H3344">
        <v>0.5665</v>
      </c>
      <c r="I3344">
        <v>54.2</v>
      </c>
      <c r="J3344">
        <v>49.3</v>
      </c>
      <c r="K3344">
        <v>19</v>
      </c>
      <c r="L3344">
        <v>17.100000000000001</v>
      </c>
      <c r="M3344">
        <v>22.3</v>
      </c>
      <c r="N3344">
        <v>28.6</v>
      </c>
      <c r="O3344">
        <v>31.2</v>
      </c>
      <c r="P3344">
        <v>35.200000000000003</v>
      </c>
      <c r="Q3344">
        <v>54.8</v>
      </c>
      <c r="R3344">
        <v>51.9</v>
      </c>
      <c r="S3344">
        <v>35.6</v>
      </c>
      <c r="T3344">
        <v>29.3</v>
      </c>
      <c r="U3344">
        <v>63</v>
      </c>
      <c r="V3344">
        <v>-9.4</v>
      </c>
      <c r="W3344" cm="1">
        <f t="array" ref="W3344">_xlfn.IFS(OR(X3344="N/A",X3344="NA"),0,OR(X3344="R64",X3344="R68"),1,X3344="R32",2,X3344="S16",3,X3344="E8",4,X3344="F4",5,X3344="2ND",6,X3344="Champions",7)</f>
        <v>0</v>
      </c>
      <c r="X3344" t="s">
        <v>425</v>
      </c>
      <c r="Y3344" t="s">
        <v>425</v>
      </c>
      <c r="Z3344">
        <v>2023</v>
      </c>
    </row>
    <row r="3345" spans="1:26" x14ac:dyDescent="0.3">
      <c r="A3345" t="s">
        <v>124</v>
      </c>
      <c r="B3345" t="s">
        <v>50</v>
      </c>
      <c r="C3345">
        <v>32</v>
      </c>
      <c r="D3345">
        <v>14</v>
      </c>
      <c r="E3345" s="1">
        <f t="shared" si="52"/>
        <v>0.4375</v>
      </c>
      <c r="F3345">
        <v>105.2</v>
      </c>
      <c r="G3345">
        <v>103</v>
      </c>
      <c r="H3345">
        <v>0.56079999999999997</v>
      </c>
      <c r="I3345">
        <v>50.8</v>
      </c>
      <c r="J3345">
        <v>49.8</v>
      </c>
      <c r="K3345">
        <v>19.600000000000001</v>
      </c>
      <c r="L3345">
        <v>18.7</v>
      </c>
      <c r="M3345">
        <v>33</v>
      </c>
      <c r="N3345">
        <v>27.8</v>
      </c>
      <c r="O3345">
        <v>30.7</v>
      </c>
      <c r="P3345">
        <v>37.1</v>
      </c>
      <c r="Q3345">
        <v>51</v>
      </c>
      <c r="R3345">
        <v>48.2</v>
      </c>
      <c r="S3345">
        <v>33.6</v>
      </c>
      <c r="T3345">
        <v>34.9</v>
      </c>
      <c r="U3345">
        <v>68.2</v>
      </c>
      <c r="V3345">
        <v>-9.1999999999999993</v>
      </c>
      <c r="W3345" cm="1">
        <f t="array" ref="W3345">_xlfn.IFS(OR(X3345="N/A",X3345="NA"),0,OR(X3345="R64",X3345="R68"),1,X3345="R32",2,X3345="S16",3,X3345="E8",4,X3345="F4",5,X3345="2ND",6,X3345="Champions",7)</f>
        <v>0</v>
      </c>
      <c r="X3345" t="s">
        <v>425</v>
      </c>
      <c r="Y3345" t="s">
        <v>425</v>
      </c>
      <c r="Z3345">
        <v>2023</v>
      </c>
    </row>
    <row r="3346" spans="1:26" x14ac:dyDescent="0.3">
      <c r="A3346" t="s">
        <v>217</v>
      </c>
      <c r="B3346" t="s">
        <v>40</v>
      </c>
      <c r="C3346">
        <v>30</v>
      </c>
      <c r="D3346">
        <v>14</v>
      </c>
      <c r="E3346" s="1">
        <f t="shared" si="52"/>
        <v>0.46666666666666667</v>
      </c>
      <c r="F3346">
        <v>99.7</v>
      </c>
      <c r="G3346">
        <v>99.3</v>
      </c>
      <c r="H3346">
        <v>0.5111</v>
      </c>
      <c r="I3346">
        <v>48.6</v>
      </c>
      <c r="J3346">
        <v>51.1</v>
      </c>
      <c r="K3346">
        <v>22.9</v>
      </c>
      <c r="L3346">
        <v>22.9</v>
      </c>
      <c r="M3346">
        <v>33.299999999999997</v>
      </c>
      <c r="N3346">
        <v>29.7</v>
      </c>
      <c r="O3346">
        <v>38.799999999999997</v>
      </c>
      <c r="P3346">
        <v>37.299999999999997</v>
      </c>
      <c r="Q3346">
        <v>50.7</v>
      </c>
      <c r="R3346">
        <v>51.8</v>
      </c>
      <c r="S3346">
        <v>29.1</v>
      </c>
      <c r="T3346">
        <v>33.200000000000003</v>
      </c>
      <c r="U3346">
        <v>66.7</v>
      </c>
      <c r="V3346">
        <v>-10</v>
      </c>
      <c r="W3346" cm="1">
        <f t="array" ref="W3346">_xlfn.IFS(OR(X3346="N/A",X3346="NA"),0,OR(X3346="R64",X3346="R68"),1,X3346="R32",2,X3346="S16",3,X3346="E8",4,X3346="F4",5,X3346="2ND",6,X3346="Champions",7)</f>
        <v>0</v>
      </c>
      <c r="X3346" t="s">
        <v>425</v>
      </c>
      <c r="Y3346" t="s">
        <v>425</v>
      </c>
      <c r="Z3346">
        <v>2023</v>
      </c>
    </row>
    <row r="3347" spans="1:26" x14ac:dyDescent="0.3">
      <c r="A3347" t="s">
        <v>100</v>
      </c>
      <c r="B3347" t="s">
        <v>45</v>
      </c>
      <c r="C3347">
        <v>32</v>
      </c>
      <c r="D3347">
        <v>14</v>
      </c>
      <c r="E3347" s="1">
        <f t="shared" si="52"/>
        <v>0.4375</v>
      </c>
      <c r="F3347">
        <v>100.1</v>
      </c>
      <c r="G3347">
        <v>101.6</v>
      </c>
      <c r="H3347">
        <v>0.45739999999999997</v>
      </c>
      <c r="I3347">
        <v>49.2</v>
      </c>
      <c r="J3347">
        <v>48.6</v>
      </c>
      <c r="K3347">
        <v>18.8</v>
      </c>
      <c r="L3347">
        <v>19.399999999999999</v>
      </c>
      <c r="M3347">
        <v>27.5</v>
      </c>
      <c r="N3347">
        <v>29.2</v>
      </c>
      <c r="O3347">
        <v>29.5</v>
      </c>
      <c r="P3347">
        <v>40.9</v>
      </c>
      <c r="Q3347">
        <v>47.5</v>
      </c>
      <c r="R3347">
        <v>52.1</v>
      </c>
      <c r="S3347">
        <v>34.799999999999997</v>
      </c>
      <c r="T3347">
        <v>28.7</v>
      </c>
      <c r="U3347">
        <v>65.5</v>
      </c>
      <c r="V3347">
        <v>-11.8</v>
      </c>
      <c r="W3347" cm="1">
        <f t="array" ref="W3347">_xlfn.IFS(OR(X3347="N/A",X3347="NA"),0,OR(X3347="R64",X3347="R68"),1,X3347="R32",2,X3347="S16",3,X3347="E8",4,X3347="F4",5,X3347="2ND",6,X3347="Champions",7)</f>
        <v>0</v>
      </c>
      <c r="X3347" t="s">
        <v>425</v>
      </c>
      <c r="Y3347" t="s">
        <v>425</v>
      </c>
      <c r="Z3347">
        <v>2023</v>
      </c>
    </row>
    <row r="3348" spans="1:26" x14ac:dyDescent="0.3">
      <c r="A3348" t="s">
        <v>208</v>
      </c>
      <c r="B3348" t="s">
        <v>40</v>
      </c>
      <c r="C3348">
        <v>30</v>
      </c>
      <c r="D3348">
        <v>14</v>
      </c>
      <c r="E3348" s="1">
        <f t="shared" si="52"/>
        <v>0.46666666666666667</v>
      </c>
      <c r="F3348">
        <v>102.8</v>
      </c>
      <c r="G3348">
        <v>104.9</v>
      </c>
      <c r="H3348">
        <v>0.44180000000000003</v>
      </c>
      <c r="I3348">
        <v>52.1</v>
      </c>
      <c r="J3348">
        <v>52.1</v>
      </c>
      <c r="K3348">
        <v>20.6</v>
      </c>
      <c r="L3348">
        <v>22.8</v>
      </c>
      <c r="M3348">
        <v>25.5</v>
      </c>
      <c r="N3348">
        <v>36.700000000000003</v>
      </c>
      <c r="O3348">
        <v>28.7</v>
      </c>
      <c r="P3348">
        <v>30.6</v>
      </c>
      <c r="Q3348">
        <v>53.8</v>
      </c>
      <c r="R3348">
        <v>50.4</v>
      </c>
      <c r="S3348">
        <v>32.799999999999997</v>
      </c>
      <c r="T3348">
        <v>36.5</v>
      </c>
      <c r="U3348">
        <v>69.900000000000006</v>
      </c>
      <c r="V3348">
        <v>-10.4</v>
      </c>
      <c r="W3348" cm="1">
        <f t="array" ref="W3348">_xlfn.IFS(OR(X3348="N/A",X3348="NA"),0,OR(X3348="R64",X3348="R68"),1,X3348="R32",2,X3348="S16",3,X3348="E8",4,X3348="F4",5,X3348="2ND",6,X3348="Champions",7)</f>
        <v>0</v>
      </c>
      <c r="X3348" t="s">
        <v>425</v>
      </c>
      <c r="Y3348" t="s">
        <v>425</v>
      </c>
      <c r="Z3348">
        <v>2023</v>
      </c>
    </row>
    <row r="3349" spans="1:26" x14ac:dyDescent="0.3">
      <c r="A3349" t="s">
        <v>282</v>
      </c>
      <c r="B3349" t="s">
        <v>47</v>
      </c>
      <c r="C3349">
        <v>31</v>
      </c>
      <c r="D3349">
        <v>14</v>
      </c>
      <c r="E3349" s="1">
        <f t="shared" si="52"/>
        <v>0.45161290322580644</v>
      </c>
      <c r="F3349">
        <v>102.5</v>
      </c>
      <c r="G3349">
        <v>106.4</v>
      </c>
      <c r="H3349">
        <v>0.3957</v>
      </c>
      <c r="I3349">
        <v>51.3</v>
      </c>
      <c r="J3349">
        <v>53.8</v>
      </c>
      <c r="K3349">
        <v>17.7</v>
      </c>
      <c r="L3349">
        <v>18.2</v>
      </c>
      <c r="M3349">
        <v>22.6</v>
      </c>
      <c r="N3349">
        <v>22.4</v>
      </c>
      <c r="O3349">
        <v>31.1</v>
      </c>
      <c r="P3349">
        <v>26.5</v>
      </c>
      <c r="Q3349">
        <v>51.7</v>
      </c>
      <c r="R3349">
        <v>53.6</v>
      </c>
      <c r="S3349">
        <v>33.700000000000003</v>
      </c>
      <c r="T3349">
        <v>36</v>
      </c>
      <c r="U3349">
        <v>67.3</v>
      </c>
      <c r="V3349">
        <v>-11.8</v>
      </c>
      <c r="W3349" cm="1">
        <f t="array" ref="W3349">_xlfn.IFS(OR(X3349="N/A",X3349="NA"),0,OR(X3349="R64",X3349="R68"),1,X3349="R32",2,X3349="S16",3,X3349="E8",4,X3349="F4",5,X3349="2ND",6,X3349="Champions",7)</f>
        <v>0</v>
      </c>
      <c r="X3349" t="s">
        <v>425</v>
      </c>
      <c r="Y3349" t="s">
        <v>425</v>
      </c>
      <c r="Z3349">
        <v>2023</v>
      </c>
    </row>
    <row r="3350" spans="1:26" x14ac:dyDescent="0.3">
      <c r="A3350" t="s">
        <v>172</v>
      </c>
      <c r="B3350" t="s">
        <v>164</v>
      </c>
      <c r="C3350">
        <v>30</v>
      </c>
      <c r="D3350">
        <v>14</v>
      </c>
      <c r="E3350" s="1">
        <f t="shared" si="52"/>
        <v>0.46666666666666667</v>
      </c>
      <c r="F3350">
        <v>101.4</v>
      </c>
      <c r="G3350">
        <v>108.7</v>
      </c>
      <c r="H3350">
        <v>0.30930000000000002</v>
      </c>
      <c r="I3350">
        <v>50.8</v>
      </c>
      <c r="J3350">
        <v>52.2</v>
      </c>
      <c r="K3350">
        <v>20.8</v>
      </c>
      <c r="L3350">
        <v>14.5</v>
      </c>
      <c r="M3350">
        <v>32.9</v>
      </c>
      <c r="N3350">
        <v>24</v>
      </c>
      <c r="O3350">
        <v>27.5</v>
      </c>
      <c r="P3350">
        <v>25.8</v>
      </c>
      <c r="Q3350">
        <v>50</v>
      </c>
      <c r="R3350">
        <v>51.6</v>
      </c>
      <c r="S3350">
        <v>34.9</v>
      </c>
      <c r="T3350">
        <v>35.700000000000003</v>
      </c>
      <c r="U3350">
        <v>62.2</v>
      </c>
      <c r="V3350">
        <v>-11.7</v>
      </c>
      <c r="W3350" cm="1">
        <f t="array" ref="W3350">_xlfn.IFS(OR(X3350="N/A",X3350="NA"),0,OR(X3350="R64",X3350="R68"),1,X3350="R32",2,X3350="S16",3,X3350="E8",4,X3350="F4",5,X3350="2ND",6,X3350="Champions",7)</f>
        <v>0</v>
      </c>
      <c r="X3350" t="s">
        <v>425</v>
      </c>
      <c r="Y3350" t="s">
        <v>425</v>
      </c>
      <c r="Z3350">
        <v>2023</v>
      </c>
    </row>
    <row r="3351" spans="1:26" x14ac:dyDescent="0.3">
      <c r="A3351" t="s">
        <v>248</v>
      </c>
      <c r="B3351" t="s">
        <v>69</v>
      </c>
      <c r="C3351">
        <v>31</v>
      </c>
      <c r="D3351">
        <v>14</v>
      </c>
      <c r="E3351" s="1">
        <f t="shared" si="52"/>
        <v>0.45161290322580644</v>
      </c>
      <c r="F3351">
        <v>96.1</v>
      </c>
      <c r="G3351">
        <v>107.8</v>
      </c>
      <c r="H3351">
        <v>0.2107</v>
      </c>
      <c r="I3351">
        <v>43.9</v>
      </c>
      <c r="J3351">
        <v>49.5</v>
      </c>
      <c r="K3351">
        <v>19.5</v>
      </c>
      <c r="L3351">
        <v>19.7</v>
      </c>
      <c r="M3351">
        <v>36.4</v>
      </c>
      <c r="N3351">
        <v>30.6</v>
      </c>
      <c r="O3351">
        <v>28.4</v>
      </c>
      <c r="P3351">
        <v>51.4</v>
      </c>
      <c r="Q3351">
        <v>44.1</v>
      </c>
      <c r="R3351">
        <v>48.4</v>
      </c>
      <c r="S3351">
        <v>29</v>
      </c>
      <c r="T3351">
        <v>34.299999999999997</v>
      </c>
      <c r="U3351">
        <v>63</v>
      </c>
      <c r="V3351">
        <v>-13.2</v>
      </c>
      <c r="W3351" cm="1">
        <f t="array" ref="W3351">_xlfn.IFS(OR(X3351="N/A",X3351="NA"),0,OR(X3351="R64",X3351="R68"),1,X3351="R32",2,X3351="S16",3,X3351="E8",4,X3351="F4",5,X3351="2ND",6,X3351="Champions",7)</f>
        <v>0</v>
      </c>
      <c r="X3351" t="s">
        <v>425</v>
      </c>
      <c r="Y3351" t="s">
        <v>425</v>
      </c>
      <c r="Z3351">
        <v>2023</v>
      </c>
    </row>
    <row r="3352" spans="1:26" x14ac:dyDescent="0.3">
      <c r="A3352" t="s">
        <v>351</v>
      </c>
      <c r="B3352" t="s">
        <v>62</v>
      </c>
      <c r="C3352">
        <v>31</v>
      </c>
      <c r="D3352">
        <v>14</v>
      </c>
      <c r="E3352" s="1">
        <f t="shared" si="52"/>
        <v>0.45161290322580644</v>
      </c>
      <c r="F3352">
        <v>98.8</v>
      </c>
      <c r="G3352">
        <v>102.2</v>
      </c>
      <c r="H3352">
        <v>0.40300000000000002</v>
      </c>
      <c r="I3352">
        <v>48.9</v>
      </c>
      <c r="J3352">
        <v>48.8</v>
      </c>
      <c r="K3352">
        <v>18.2</v>
      </c>
      <c r="L3352">
        <v>17.399999999999999</v>
      </c>
      <c r="M3352">
        <v>30.4</v>
      </c>
      <c r="N3352">
        <v>27.6</v>
      </c>
      <c r="O3352">
        <v>28.6</v>
      </c>
      <c r="P3352">
        <v>35.9</v>
      </c>
      <c r="Q3352">
        <v>48.8</v>
      </c>
      <c r="R3352">
        <v>48.4</v>
      </c>
      <c r="S3352">
        <v>32.700000000000003</v>
      </c>
      <c r="T3352">
        <v>33</v>
      </c>
      <c r="U3352">
        <v>64.400000000000006</v>
      </c>
      <c r="V3352">
        <v>-14</v>
      </c>
      <c r="W3352" cm="1">
        <f t="array" ref="W3352">_xlfn.IFS(OR(X3352="N/A",X3352="NA"),0,OR(X3352="R64",X3352="R68"),1,X3352="R32",2,X3352="S16",3,X3352="E8",4,X3352="F4",5,X3352="2ND",6,X3352="Champions",7)</f>
        <v>0</v>
      </c>
      <c r="X3352" t="s">
        <v>425</v>
      </c>
      <c r="Y3352" t="s">
        <v>425</v>
      </c>
      <c r="Z3352">
        <v>2023</v>
      </c>
    </row>
    <row r="3353" spans="1:26" x14ac:dyDescent="0.3">
      <c r="A3353" t="s">
        <v>320</v>
      </c>
      <c r="B3353" t="s">
        <v>38</v>
      </c>
      <c r="C3353">
        <v>33</v>
      </c>
      <c r="D3353">
        <v>14</v>
      </c>
      <c r="E3353" s="1">
        <f t="shared" si="52"/>
        <v>0.42424242424242425</v>
      </c>
      <c r="F3353">
        <v>114.4</v>
      </c>
      <c r="G3353">
        <v>102.9</v>
      </c>
      <c r="H3353">
        <v>0.7722</v>
      </c>
      <c r="I3353">
        <v>52.4</v>
      </c>
      <c r="J3353">
        <v>51.5</v>
      </c>
      <c r="K3353">
        <v>18.899999999999999</v>
      </c>
      <c r="L3353">
        <v>18.3</v>
      </c>
      <c r="M3353">
        <v>31.2</v>
      </c>
      <c r="N3353">
        <v>26.4</v>
      </c>
      <c r="O3353">
        <v>29.4</v>
      </c>
      <c r="P3353">
        <v>28.6</v>
      </c>
      <c r="Q3353">
        <v>51.1</v>
      </c>
      <c r="R3353">
        <v>50.4</v>
      </c>
      <c r="S3353">
        <v>36.299999999999997</v>
      </c>
      <c r="T3353">
        <v>35.4</v>
      </c>
      <c r="U3353">
        <v>65.7</v>
      </c>
      <c r="V3353">
        <v>-6.2</v>
      </c>
      <c r="W3353" cm="1">
        <f t="array" ref="W3353">_xlfn.IFS(OR(X3353="N/A",X3353="NA"),0,OR(X3353="R64",X3353="R68"),1,X3353="R32",2,X3353="S16",3,X3353="E8",4,X3353="F4",5,X3353="2ND",6,X3353="Champions",7)</f>
        <v>0</v>
      </c>
      <c r="X3353" t="s">
        <v>425</v>
      </c>
      <c r="Y3353" t="s">
        <v>425</v>
      </c>
      <c r="Z3353">
        <v>2023</v>
      </c>
    </row>
    <row r="3354" spans="1:26" x14ac:dyDescent="0.3">
      <c r="A3354" t="s">
        <v>431</v>
      </c>
      <c r="B3354" t="s">
        <v>51</v>
      </c>
      <c r="C3354">
        <v>30</v>
      </c>
      <c r="D3354">
        <v>14</v>
      </c>
      <c r="E3354" s="1">
        <f t="shared" si="52"/>
        <v>0.46666666666666667</v>
      </c>
      <c r="F3354">
        <v>107.7</v>
      </c>
      <c r="G3354">
        <v>104.9</v>
      </c>
      <c r="H3354">
        <v>0.57479999999999998</v>
      </c>
      <c r="I3354">
        <v>53.2</v>
      </c>
      <c r="J3354">
        <v>53.8</v>
      </c>
      <c r="K3354">
        <v>21.4</v>
      </c>
      <c r="L3354">
        <v>20</v>
      </c>
      <c r="M3354">
        <v>28.7</v>
      </c>
      <c r="N3354">
        <v>26.8</v>
      </c>
      <c r="O3354">
        <v>44.8</v>
      </c>
      <c r="P3354">
        <v>35</v>
      </c>
      <c r="Q3354">
        <v>50.9</v>
      </c>
      <c r="R3354">
        <v>53.3</v>
      </c>
      <c r="S3354">
        <v>37.6</v>
      </c>
      <c r="T3354">
        <v>36.5</v>
      </c>
      <c r="U3354">
        <v>68.599999999999994</v>
      </c>
      <c r="V3354">
        <v>-11</v>
      </c>
      <c r="W3354" cm="1">
        <f t="array" ref="W3354">_xlfn.IFS(OR(X3354="N/A",X3354="NA"),0,OR(X3354="R64",X3354="R68"),1,X3354="R32",2,X3354="S16",3,X3354="E8",4,X3354="F4",5,X3354="2ND",6,X3354="Champions",7)</f>
        <v>0</v>
      </c>
      <c r="X3354" t="s">
        <v>425</v>
      </c>
      <c r="Y3354" t="s">
        <v>425</v>
      </c>
      <c r="Z3354">
        <v>2023</v>
      </c>
    </row>
    <row r="3355" spans="1:26" x14ac:dyDescent="0.3">
      <c r="A3355" t="s">
        <v>366</v>
      </c>
      <c r="B3355" t="s">
        <v>29</v>
      </c>
      <c r="C3355">
        <v>33</v>
      </c>
      <c r="D3355">
        <v>14</v>
      </c>
      <c r="E3355" s="1">
        <f t="shared" si="52"/>
        <v>0.42424242424242425</v>
      </c>
      <c r="F3355">
        <v>105.9</v>
      </c>
      <c r="G3355">
        <v>104.2</v>
      </c>
      <c r="H3355">
        <v>0.54590000000000005</v>
      </c>
      <c r="I3355">
        <v>47.3</v>
      </c>
      <c r="J3355">
        <v>51.8</v>
      </c>
      <c r="K3355">
        <v>18.399999999999999</v>
      </c>
      <c r="L3355">
        <v>17.5</v>
      </c>
      <c r="M3355">
        <v>31.7</v>
      </c>
      <c r="N3355">
        <v>28.8</v>
      </c>
      <c r="O3355">
        <v>33.700000000000003</v>
      </c>
      <c r="P3355">
        <v>30.3</v>
      </c>
      <c r="Q3355">
        <v>46.2</v>
      </c>
      <c r="R3355">
        <v>52.1</v>
      </c>
      <c r="S3355">
        <v>32.700000000000003</v>
      </c>
      <c r="T3355">
        <v>34.299999999999997</v>
      </c>
      <c r="U3355">
        <v>65.8</v>
      </c>
      <c r="V3355">
        <v>-7.3</v>
      </c>
      <c r="W3355" cm="1">
        <f t="array" ref="W3355">_xlfn.IFS(OR(X3355="N/A",X3355="NA"),0,OR(X3355="R64",X3355="R68"),1,X3355="R32",2,X3355="S16",3,X3355="E8",4,X3355="F4",5,X3355="2ND",6,X3355="Champions",7)</f>
        <v>0</v>
      </c>
      <c r="X3355" t="s">
        <v>425</v>
      </c>
      <c r="Y3355" t="s">
        <v>425</v>
      </c>
      <c r="Z3355">
        <v>2023</v>
      </c>
    </row>
    <row r="3356" spans="1:26" x14ac:dyDescent="0.3">
      <c r="A3356" t="s">
        <v>412</v>
      </c>
      <c r="B3356" t="s">
        <v>37</v>
      </c>
      <c r="C3356">
        <v>31</v>
      </c>
      <c r="D3356">
        <v>14</v>
      </c>
      <c r="E3356" s="1">
        <f t="shared" si="52"/>
        <v>0.45161290322580644</v>
      </c>
      <c r="F3356">
        <v>109.7</v>
      </c>
      <c r="G3356">
        <v>108.2</v>
      </c>
      <c r="H3356">
        <v>0.53979999999999995</v>
      </c>
      <c r="I3356">
        <v>53.8</v>
      </c>
      <c r="J3356">
        <v>54.5</v>
      </c>
      <c r="K3356">
        <v>18</v>
      </c>
      <c r="L3356">
        <v>16.899999999999999</v>
      </c>
      <c r="M3356">
        <v>24.1</v>
      </c>
      <c r="N3356">
        <v>30.2</v>
      </c>
      <c r="O3356">
        <v>43.3</v>
      </c>
      <c r="P3356">
        <v>27.7</v>
      </c>
      <c r="Q3356">
        <v>51.8</v>
      </c>
      <c r="R3356">
        <v>53.2</v>
      </c>
      <c r="S3356">
        <v>37.4</v>
      </c>
      <c r="T3356">
        <v>37.4</v>
      </c>
      <c r="U3356">
        <v>69.2</v>
      </c>
      <c r="V3356">
        <v>-9.3000000000000007</v>
      </c>
      <c r="W3356" cm="1">
        <f t="array" ref="W3356">_xlfn.IFS(OR(X3356="N/A",X3356="NA"),0,OR(X3356="R64",X3356="R68"),1,X3356="R32",2,X3356="S16",3,X3356="E8",4,X3356="F4",5,X3356="2ND",6,X3356="Champions",7)</f>
        <v>0</v>
      </c>
      <c r="X3356" t="s">
        <v>425</v>
      </c>
      <c r="Y3356" t="s">
        <v>425</v>
      </c>
      <c r="Z3356">
        <v>2023</v>
      </c>
    </row>
    <row r="3357" spans="1:26" x14ac:dyDescent="0.3">
      <c r="A3357" t="s">
        <v>222</v>
      </c>
      <c r="B3357" t="s">
        <v>43</v>
      </c>
      <c r="C3357">
        <v>32</v>
      </c>
      <c r="D3357">
        <v>14</v>
      </c>
      <c r="E3357" s="1">
        <f t="shared" si="52"/>
        <v>0.4375</v>
      </c>
      <c r="F3357">
        <v>109.2</v>
      </c>
      <c r="G3357">
        <v>113.2</v>
      </c>
      <c r="H3357">
        <v>0.39639999999999997</v>
      </c>
      <c r="I3357">
        <v>51.4</v>
      </c>
      <c r="J3357">
        <v>53.6</v>
      </c>
      <c r="K3357">
        <v>17.600000000000001</v>
      </c>
      <c r="L3357">
        <v>17.100000000000001</v>
      </c>
      <c r="M3357">
        <v>35.799999999999997</v>
      </c>
      <c r="N3357">
        <v>29.7</v>
      </c>
      <c r="O3357">
        <v>27.2</v>
      </c>
      <c r="P3357">
        <v>28.9</v>
      </c>
      <c r="Q3357">
        <v>46.4</v>
      </c>
      <c r="R3357">
        <v>52.6</v>
      </c>
      <c r="S3357">
        <v>38.700000000000003</v>
      </c>
      <c r="T3357">
        <v>36.799999999999997</v>
      </c>
      <c r="U3357">
        <v>67</v>
      </c>
      <c r="V3357">
        <v>-13</v>
      </c>
      <c r="W3357" cm="1">
        <f t="array" ref="W3357">_xlfn.IFS(OR(X3357="N/A",X3357="NA"),0,OR(X3357="R64",X3357="R68"),1,X3357="R32",2,X3357="S16",3,X3357="E8",4,X3357="F4",5,X3357="2ND",6,X3357="Champions",7)</f>
        <v>0</v>
      </c>
      <c r="X3357" t="s">
        <v>425</v>
      </c>
      <c r="Y3357" t="s">
        <v>425</v>
      </c>
      <c r="Z3357">
        <v>2023</v>
      </c>
    </row>
    <row r="3358" spans="1:26" x14ac:dyDescent="0.3">
      <c r="A3358" t="s">
        <v>395</v>
      </c>
      <c r="B3358" t="s">
        <v>76</v>
      </c>
      <c r="C3358">
        <v>33</v>
      </c>
      <c r="D3358">
        <v>14</v>
      </c>
      <c r="E3358" s="1">
        <f t="shared" si="52"/>
        <v>0.42424242424242425</v>
      </c>
      <c r="F3358">
        <v>98.1</v>
      </c>
      <c r="G3358">
        <v>109.8</v>
      </c>
      <c r="H3358">
        <v>0.21390000000000001</v>
      </c>
      <c r="I3358">
        <v>47.5</v>
      </c>
      <c r="J3358">
        <v>52.5</v>
      </c>
      <c r="K3358">
        <v>22</v>
      </c>
      <c r="L3358">
        <v>19.100000000000001</v>
      </c>
      <c r="M3358">
        <v>32.9</v>
      </c>
      <c r="N3358">
        <v>29.1</v>
      </c>
      <c r="O3358">
        <v>32.9</v>
      </c>
      <c r="P3358">
        <v>34</v>
      </c>
      <c r="Q3358">
        <v>47.1</v>
      </c>
      <c r="R3358">
        <v>52.1</v>
      </c>
      <c r="S3358">
        <v>32.1</v>
      </c>
      <c r="T3358">
        <v>35.4</v>
      </c>
      <c r="U3358">
        <v>68</v>
      </c>
      <c r="V3358">
        <v>-12.2</v>
      </c>
      <c r="W3358" cm="1">
        <f t="array" ref="W3358">_xlfn.IFS(OR(X3358="N/A",X3358="NA"),0,OR(X3358="R64",X3358="R68"),1,X3358="R32",2,X3358="S16",3,X3358="E8",4,X3358="F4",5,X3358="2ND",6,X3358="Champions",7)</f>
        <v>0</v>
      </c>
      <c r="X3358" t="s">
        <v>425</v>
      </c>
      <c r="Y3358" t="s">
        <v>425</v>
      </c>
      <c r="Z3358">
        <v>2023</v>
      </c>
    </row>
    <row r="3359" spans="1:26" x14ac:dyDescent="0.3">
      <c r="A3359" t="s">
        <v>302</v>
      </c>
      <c r="B3359" t="s">
        <v>77</v>
      </c>
      <c r="C3359">
        <v>26</v>
      </c>
      <c r="D3359">
        <v>15</v>
      </c>
      <c r="E3359" s="1">
        <f t="shared" si="52"/>
        <v>0.57692307692307687</v>
      </c>
      <c r="F3359">
        <v>93</v>
      </c>
      <c r="G3359">
        <v>104.3</v>
      </c>
      <c r="H3359">
        <v>0.2117</v>
      </c>
      <c r="I3359">
        <v>44.9</v>
      </c>
      <c r="J3359">
        <v>49.1</v>
      </c>
      <c r="K3359">
        <v>19.100000000000001</v>
      </c>
      <c r="L3359">
        <v>20.9</v>
      </c>
      <c r="M3359">
        <v>34.4</v>
      </c>
      <c r="N3359">
        <v>24.8</v>
      </c>
      <c r="O3359">
        <v>25.2</v>
      </c>
      <c r="P3359">
        <v>47</v>
      </c>
      <c r="Q3359">
        <v>44.7</v>
      </c>
      <c r="R3359">
        <v>50.2</v>
      </c>
      <c r="S3359">
        <v>30.2</v>
      </c>
      <c r="T3359">
        <v>31.5</v>
      </c>
      <c r="U3359">
        <v>62.1</v>
      </c>
      <c r="V3359">
        <v>-10.3</v>
      </c>
      <c r="W3359" cm="1">
        <f t="array" ref="W3359">_xlfn.IFS(OR(X3359="N/A",X3359="NA"),0,OR(X3359="R64",X3359="R68"),1,X3359="R32",2,X3359="S16",3,X3359="E8",4,X3359="F4",5,X3359="2ND",6,X3359="Champions",7)</f>
        <v>0</v>
      </c>
      <c r="X3359" t="s">
        <v>425</v>
      </c>
      <c r="Y3359" t="s">
        <v>425</v>
      </c>
      <c r="Z3359">
        <v>2023</v>
      </c>
    </row>
    <row r="3360" spans="1:26" x14ac:dyDescent="0.3">
      <c r="A3360" t="s">
        <v>115</v>
      </c>
      <c r="B3360" t="s">
        <v>112</v>
      </c>
      <c r="C3360">
        <v>28</v>
      </c>
      <c r="D3360">
        <v>15</v>
      </c>
      <c r="E3360" s="1">
        <f t="shared" si="52"/>
        <v>0.5357142857142857</v>
      </c>
      <c r="F3360">
        <v>96.6</v>
      </c>
      <c r="G3360">
        <v>105.8</v>
      </c>
      <c r="H3360">
        <v>0.25969999999999999</v>
      </c>
      <c r="I3360">
        <v>45.8</v>
      </c>
      <c r="J3360">
        <v>49.1</v>
      </c>
      <c r="K3360">
        <v>15</v>
      </c>
      <c r="L3360">
        <v>16.2</v>
      </c>
      <c r="M3360">
        <v>26</v>
      </c>
      <c r="N3360">
        <v>27.4</v>
      </c>
      <c r="O3360">
        <v>29.6</v>
      </c>
      <c r="P3360">
        <v>30.2</v>
      </c>
      <c r="Q3360">
        <v>42.8</v>
      </c>
      <c r="R3360">
        <v>50</v>
      </c>
      <c r="S3360">
        <v>33.4</v>
      </c>
      <c r="T3360">
        <v>31.5</v>
      </c>
      <c r="U3360">
        <v>64</v>
      </c>
      <c r="V3360">
        <v>-10.6</v>
      </c>
      <c r="W3360" cm="1">
        <f t="array" ref="W3360">_xlfn.IFS(OR(X3360="N/A",X3360="NA"),0,OR(X3360="R64",X3360="R68"),1,X3360="R32",2,X3360="S16",3,X3360="E8",4,X3360="F4",5,X3360="2ND",6,X3360="Champions",7)</f>
        <v>0</v>
      </c>
      <c r="X3360" t="s">
        <v>425</v>
      </c>
      <c r="Y3360" t="s">
        <v>425</v>
      </c>
      <c r="Z3360">
        <v>2023</v>
      </c>
    </row>
    <row r="3361" spans="1:26" x14ac:dyDescent="0.3">
      <c r="A3361" t="s">
        <v>178</v>
      </c>
      <c r="B3361" t="s">
        <v>74</v>
      </c>
      <c r="C3361">
        <v>29</v>
      </c>
      <c r="D3361">
        <v>15</v>
      </c>
      <c r="E3361" s="1">
        <f t="shared" si="52"/>
        <v>0.51724137931034486</v>
      </c>
      <c r="F3361">
        <v>98.2</v>
      </c>
      <c r="G3361">
        <v>100.8</v>
      </c>
      <c r="H3361">
        <v>0.42399999999999999</v>
      </c>
      <c r="I3361">
        <v>50.7</v>
      </c>
      <c r="J3361">
        <v>49.1</v>
      </c>
      <c r="K3361">
        <v>19.5</v>
      </c>
      <c r="L3361">
        <v>20.3</v>
      </c>
      <c r="M3361">
        <v>28.5</v>
      </c>
      <c r="N3361">
        <v>25.1</v>
      </c>
      <c r="O3361">
        <v>34.799999999999997</v>
      </c>
      <c r="P3361">
        <v>39.6</v>
      </c>
      <c r="Q3361">
        <v>51.5</v>
      </c>
      <c r="R3361">
        <v>47.4</v>
      </c>
      <c r="S3361">
        <v>32.799999999999997</v>
      </c>
      <c r="T3361">
        <v>34.700000000000003</v>
      </c>
      <c r="U3361">
        <v>66.099999999999994</v>
      </c>
      <c r="V3361">
        <v>-11.4</v>
      </c>
      <c r="W3361" cm="1">
        <f t="array" ref="W3361">_xlfn.IFS(OR(X3361="N/A",X3361="NA"),0,OR(X3361="R64",X3361="R68"),1,X3361="R32",2,X3361="S16",3,X3361="E8",4,X3361="F4",5,X3361="2ND",6,X3361="Champions",7)</f>
        <v>0</v>
      </c>
      <c r="X3361" t="s">
        <v>425</v>
      </c>
      <c r="Y3361" t="s">
        <v>425</v>
      </c>
      <c r="Z3361">
        <v>2023</v>
      </c>
    </row>
    <row r="3362" spans="1:26" x14ac:dyDescent="0.3">
      <c r="A3362" t="s">
        <v>95</v>
      </c>
      <c r="B3362" t="s">
        <v>45</v>
      </c>
      <c r="C3362">
        <v>31</v>
      </c>
      <c r="D3362">
        <v>15</v>
      </c>
      <c r="E3362" s="1">
        <f t="shared" si="52"/>
        <v>0.4838709677419355</v>
      </c>
      <c r="F3362">
        <v>99.3</v>
      </c>
      <c r="G3362">
        <v>102.7</v>
      </c>
      <c r="H3362">
        <v>0.40529999999999999</v>
      </c>
      <c r="I3362">
        <v>46.4</v>
      </c>
      <c r="J3362">
        <v>50.2</v>
      </c>
      <c r="K3362">
        <v>20.2</v>
      </c>
      <c r="L3362">
        <v>19.2</v>
      </c>
      <c r="M3362">
        <v>34.5</v>
      </c>
      <c r="N3362">
        <v>27.9</v>
      </c>
      <c r="O3362">
        <v>32.200000000000003</v>
      </c>
      <c r="P3362">
        <v>32.4</v>
      </c>
      <c r="Q3362">
        <v>45.2</v>
      </c>
      <c r="R3362">
        <v>50.5</v>
      </c>
      <c r="S3362">
        <v>32.799999999999997</v>
      </c>
      <c r="T3362">
        <v>33.1</v>
      </c>
      <c r="U3362">
        <v>70.5</v>
      </c>
      <c r="V3362">
        <v>-9.3000000000000007</v>
      </c>
      <c r="W3362" cm="1">
        <f t="array" ref="W3362">_xlfn.IFS(OR(X3362="N/A",X3362="NA"),0,OR(X3362="R64",X3362="R68"),1,X3362="R32",2,X3362="S16",3,X3362="E8",4,X3362="F4",5,X3362="2ND",6,X3362="Champions",7)</f>
        <v>0</v>
      </c>
      <c r="X3362" t="s">
        <v>425</v>
      </c>
      <c r="Y3362" t="s">
        <v>425</v>
      </c>
      <c r="Z3362">
        <v>2023</v>
      </c>
    </row>
    <row r="3363" spans="1:26" x14ac:dyDescent="0.3">
      <c r="A3363" t="s">
        <v>84</v>
      </c>
      <c r="B3363" t="s">
        <v>35</v>
      </c>
      <c r="C3363">
        <v>32</v>
      </c>
      <c r="D3363">
        <v>15</v>
      </c>
      <c r="E3363" s="1">
        <f t="shared" si="52"/>
        <v>0.46875</v>
      </c>
      <c r="F3363">
        <v>109.6</v>
      </c>
      <c r="G3363">
        <v>96.3</v>
      </c>
      <c r="H3363">
        <v>0.81720000000000004</v>
      </c>
      <c r="I3363">
        <v>52.4</v>
      </c>
      <c r="J3363">
        <v>48</v>
      </c>
      <c r="K3363">
        <v>20</v>
      </c>
      <c r="L3363">
        <v>15.5</v>
      </c>
      <c r="M3363">
        <v>23.7</v>
      </c>
      <c r="N3363">
        <v>27.2</v>
      </c>
      <c r="O3363">
        <v>30.1</v>
      </c>
      <c r="P3363">
        <v>30.1</v>
      </c>
      <c r="Q3363">
        <v>52.2</v>
      </c>
      <c r="R3363">
        <v>48.5</v>
      </c>
      <c r="S3363">
        <v>35.1</v>
      </c>
      <c r="T3363">
        <v>31.2</v>
      </c>
      <c r="U3363">
        <v>65</v>
      </c>
      <c r="V3363">
        <v>-1.7</v>
      </c>
      <c r="W3363" cm="1">
        <f t="array" ref="W3363">_xlfn.IFS(OR(X3363="N/A",X3363="NA"),0,OR(X3363="R64",X3363="R68"),1,X3363="R32",2,X3363="S16",3,X3363="E8",4,X3363="F4",5,X3363="2ND",6,X3363="Champions",7)</f>
        <v>0</v>
      </c>
      <c r="X3363" t="s">
        <v>425</v>
      </c>
      <c r="Y3363" t="s">
        <v>425</v>
      </c>
      <c r="Z3363">
        <v>2023</v>
      </c>
    </row>
    <row r="3364" spans="1:26" x14ac:dyDescent="0.3">
      <c r="A3364" t="s">
        <v>262</v>
      </c>
      <c r="B3364" t="s">
        <v>57</v>
      </c>
      <c r="C3364">
        <v>30</v>
      </c>
      <c r="D3364">
        <v>15</v>
      </c>
      <c r="E3364" s="1">
        <f t="shared" si="52"/>
        <v>0.5</v>
      </c>
      <c r="F3364">
        <v>103.1</v>
      </c>
      <c r="G3364">
        <v>104.8</v>
      </c>
      <c r="H3364">
        <v>0.45329999999999998</v>
      </c>
      <c r="I3364">
        <v>49.5</v>
      </c>
      <c r="J3364">
        <v>52.5</v>
      </c>
      <c r="K3364">
        <v>19.2</v>
      </c>
      <c r="L3364">
        <v>18.3</v>
      </c>
      <c r="M3364">
        <v>32.200000000000003</v>
      </c>
      <c r="N3364">
        <v>29.1</v>
      </c>
      <c r="O3364">
        <v>32.1</v>
      </c>
      <c r="P3364">
        <v>36.4</v>
      </c>
      <c r="Q3364">
        <v>50.9</v>
      </c>
      <c r="R3364">
        <v>52.3</v>
      </c>
      <c r="S3364">
        <v>31.2</v>
      </c>
      <c r="T3364">
        <v>35.299999999999997</v>
      </c>
      <c r="U3364">
        <v>72.2</v>
      </c>
      <c r="V3364">
        <v>-9.4</v>
      </c>
      <c r="W3364" cm="1">
        <f t="array" ref="W3364">_xlfn.IFS(OR(X3364="N/A",X3364="NA"),0,OR(X3364="R64",X3364="R68"),1,X3364="R32",2,X3364="S16",3,X3364="E8",4,X3364="F4",5,X3364="2ND",6,X3364="Champions",7)</f>
        <v>0</v>
      </c>
      <c r="X3364" t="s">
        <v>425</v>
      </c>
      <c r="Y3364" t="s">
        <v>425</v>
      </c>
      <c r="Z3364">
        <v>2023</v>
      </c>
    </row>
    <row r="3365" spans="1:26" x14ac:dyDescent="0.3">
      <c r="A3365" t="s">
        <v>185</v>
      </c>
      <c r="B3365" t="s">
        <v>74</v>
      </c>
      <c r="C3365">
        <v>30</v>
      </c>
      <c r="D3365">
        <v>15</v>
      </c>
      <c r="E3365" s="1">
        <f t="shared" si="52"/>
        <v>0.5</v>
      </c>
      <c r="F3365">
        <v>107.4</v>
      </c>
      <c r="G3365">
        <v>114.4</v>
      </c>
      <c r="H3365">
        <v>0.32790000000000002</v>
      </c>
      <c r="I3365">
        <v>55.1</v>
      </c>
      <c r="J3365">
        <v>54.8</v>
      </c>
      <c r="K3365">
        <v>20.6</v>
      </c>
      <c r="L3365">
        <v>17.399999999999999</v>
      </c>
      <c r="M3365">
        <v>25.9</v>
      </c>
      <c r="N3365">
        <v>34.200000000000003</v>
      </c>
      <c r="O3365">
        <v>41.6</v>
      </c>
      <c r="P3365">
        <v>31</v>
      </c>
      <c r="Q3365">
        <v>53.8</v>
      </c>
      <c r="R3365">
        <v>55.5</v>
      </c>
      <c r="S3365">
        <v>37.9</v>
      </c>
      <c r="T3365">
        <v>35.799999999999997</v>
      </c>
      <c r="U3365">
        <v>66.8</v>
      </c>
      <c r="V3365">
        <v>-11.3</v>
      </c>
      <c r="W3365" cm="1">
        <f t="array" ref="W3365">_xlfn.IFS(OR(X3365="N/A",X3365="NA"),0,OR(X3365="R64",X3365="R68"),1,X3365="R32",2,X3365="S16",3,X3365="E8",4,X3365="F4",5,X3365="2ND",6,X3365="Champions",7)</f>
        <v>0</v>
      </c>
      <c r="X3365" t="s">
        <v>425</v>
      </c>
      <c r="Y3365" t="s">
        <v>425</v>
      </c>
      <c r="Z3365">
        <v>2023</v>
      </c>
    </row>
    <row r="3366" spans="1:26" x14ac:dyDescent="0.3">
      <c r="A3366" t="s">
        <v>405</v>
      </c>
      <c r="B3366" t="s">
        <v>51</v>
      </c>
      <c r="C3366">
        <v>28</v>
      </c>
      <c r="D3366">
        <v>15</v>
      </c>
      <c r="E3366" s="1">
        <f t="shared" si="52"/>
        <v>0.5357142857142857</v>
      </c>
      <c r="F3366">
        <v>102.3</v>
      </c>
      <c r="G3366">
        <v>110</v>
      </c>
      <c r="H3366">
        <v>0.30099999999999999</v>
      </c>
      <c r="I3366">
        <v>51.2</v>
      </c>
      <c r="J3366">
        <v>52</v>
      </c>
      <c r="K3366">
        <v>22.2</v>
      </c>
      <c r="L3366">
        <v>16.899999999999999</v>
      </c>
      <c r="M3366">
        <v>29</v>
      </c>
      <c r="N3366">
        <v>29.5</v>
      </c>
      <c r="O3366">
        <v>45.9</v>
      </c>
      <c r="P3366">
        <v>38.9</v>
      </c>
      <c r="Q3366">
        <v>51.7</v>
      </c>
      <c r="R3366">
        <v>51.9</v>
      </c>
      <c r="S3366">
        <v>33.5</v>
      </c>
      <c r="T3366">
        <v>34.799999999999997</v>
      </c>
      <c r="U3366">
        <v>72.5</v>
      </c>
      <c r="V3366">
        <v>-10.4</v>
      </c>
      <c r="W3366" cm="1">
        <f t="array" ref="W3366">_xlfn.IFS(OR(X3366="N/A",X3366="NA"),0,OR(X3366="R64",X3366="R68"),1,X3366="R32",2,X3366="S16",3,X3366="E8",4,X3366="F4",5,X3366="2ND",6,X3366="Champions",7)</f>
        <v>0</v>
      </c>
      <c r="X3366" t="s">
        <v>425</v>
      </c>
      <c r="Y3366" t="s">
        <v>425</v>
      </c>
      <c r="Z3366">
        <v>2023</v>
      </c>
    </row>
    <row r="3367" spans="1:26" x14ac:dyDescent="0.3">
      <c r="A3367" t="s">
        <v>381</v>
      </c>
      <c r="B3367" t="s">
        <v>72</v>
      </c>
      <c r="C3367">
        <v>30</v>
      </c>
      <c r="D3367">
        <v>15</v>
      </c>
      <c r="E3367" s="1">
        <f t="shared" si="52"/>
        <v>0.5</v>
      </c>
      <c r="F3367">
        <v>99.9</v>
      </c>
      <c r="G3367">
        <v>109</v>
      </c>
      <c r="H3367">
        <v>0.2676</v>
      </c>
      <c r="I3367">
        <v>52.3</v>
      </c>
      <c r="J3367">
        <v>51.7</v>
      </c>
      <c r="K3367">
        <v>21.4</v>
      </c>
      <c r="L3367">
        <v>15.6</v>
      </c>
      <c r="M3367">
        <v>29.8</v>
      </c>
      <c r="N3367">
        <v>27.4</v>
      </c>
      <c r="O3367">
        <v>39.4</v>
      </c>
      <c r="P3367">
        <v>27.7</v>
      </c>
      <c r="Q3367">
        <v>53.4</v>
      </c>
      <c r="R3367">
        <v>52.2</v>
      </c>
      <c r="S3367">
        <v>32.9</v>
      </c>
      <c r="T3367">
        <v>33.9</v>
      </c>
      <c r="U3367">
        <v>68.5</v>
      </c>
      <c r="V3367">
        <v>-13</v>
      </c>
      <c r="W3367" cm="1">
        <f t="array" ref="W3367">_xlfn.IFS(OR(X3367="N/A",X3367="NA"),0,OR(X3367="R64",X3367="R68"),1,X3367="R32",2,X3367="S16",3,X3367="E8",4,X3367="F4",5,X3367="2ND",6,X3367="Champions",7)</f>
        <v>0</v>
      </c>
      <c r="X3367" t="s">
        <v>425</v>
      </c>
      <c r="Y3367" t="s">
        <v>425</v>
      </c>
      <c r="Z3367">
        <v>2023</v>
      </c>
    </row>
    <row r="3368" spans="1:26" x14ac:dyDescent="0.3">
      <c r="A3368" t="s">
        <v>328</v>
      </c>
      <c r="B3368" t="s">
        <v>67</v>
      </c>
      <c r="C3368">
        <v>31</v>
      </c>
      <c r="D3368">
        <v>15</v>
      </c>
      <c r="E3368" s="1">
        <f t="shared" si="52"/>
        <v>0.4838709677419355</v>
      </c>
      <c r="F3368">
        <v>96.3</v>
      </c>
      <c r="G3368">
        <v>106.5</v>
      </c>
      <c r="H3368">
        <v>0.23930000000000001</v>
      </c>
      <c r="I3368">
        <v>47</v>
      </c>
      <c r="J3368">
        <v>50.5</v>
      </c>
      <c r="K3368">
        <v>17.8</v>
      </c>
      <c r="L3368">
        <v>18.3</v>
      </c>
      <c r="M3368">
        <v>28.7</v>
      </c>
      <c r="N3368">
        <v>24.6</v>
      </c>
      <c r="O3368">
        <v>29</v>
      </c>
      <c r="P3368">
        <v>36.5</v>
      </c>
      <c r="Q3368">
        <v>45.9</v>
      </c>
      <c r="R3368">
        <v>50.3</v>
      </c>
      <c r="S3368">
        <v>32.4</v>
      </c>
      <c r="T3368">
        <v>33.799999999999997</v>
      </c>
      <c r="U3368">
        <v>65.400000000000006</v>
      </c>
      <c r="V3368">
        <v>-12.4</v>
      </c>
      <c r="W3368" cm="1">
        <f t="array" ref="W3368">_xlfn.IFS(OR(X3368="N/A",X3368="NA"),0,OR(X3368="R64",X3368="R68"),1,X3368="R32",2,X3368="S16",3,X3368="E8",4,X3368="F4",5,X3368="2ND",6,X3368="Champions",7)</f>
        <v>0</v>
      </c>
      <c r="X3368" t="s">
        <v>425</v>
      </c>
      <c r="Y3368" t="s">
        <v>425</v>
      </c>
      <c r="Z3368">
        <v>2023</v>
      </c>
    </row>
    <row r="3369" spans="1:26" x14ac:dyDescent="0.3">
      <c r="A3369" t="s">
        <v>398</v>
      </c>
      <c r="B3369" t="s">
        <v>76</v>
      </c>
      <c r="C3369">
        <v>30</v>
      </c>
      <c r="D3369">
        <v>15</v>
      </c>
      <c r="E3369" s="1">
        <f t="shared" si="52"/>
        <v>0.5</v>
      </c>
      <c r="F3369">
        <v>94.4</v>
      </c>
      <c r="G3369">
        <v>105</v>
      </c>
      <c r="H3369">
        <v>0.22819999999999999</v>
      </c>
      <c r="I3369">
        <v>48.5</v>
      </c>
      <c r="J3369">
        <v>51.4</v>
      </c>
      <c r="K3369">
        <v>20.5</v>
      </c>
      <c r="L3369">
        <v>23</v>
      </c>
      <c r="M3369">
        <v>24.4</v>
      </c>
      <c r="N3369">
        <v>28.6</v>
      </c>
      <c r="O3369">
        <v>34.5</v>
      </c>
      <c r="P3369">
        <v>42.9</v>
      </c>
      <c r="Q3369">
        <v>48</v>
      </c>
      <c r="R3369">
        <v>51.6</v>
      </c>
      <c r="S3369">
        <v>32.799999999999997</v>
      </c>
      <c r="T3369">
        <v>34</v>
      </c>
      <c r="U3369">
        <v>70.900000000000006</v>
      </c>
      <c r="V3369">
        <v>-11.4</v>
      </c>
      <c r="W3369" cm="1">
        <f t="array" ref="W3369">_xlfn.IFS(OR(X3369="N/A",X3369="NA"),0,OR(X3369="R64",X3369="R68"),1,X3369="R32",2,X3369="S16",3,X3369="E8",4,X3369="F4",5,X3369="2ND",6,X3369="Champions",7)</f>
        <v>0</v>
      </c>
      <c r="X3369" t="s">
        <v>425</v>
      </c>
      <c r="Y3369" t="s">
        <v>425</v>
      </c>
      <c r="Z3369">
        <v>2023</v>
      </c>
    </row>
    <row r="3370" spans="1:26" x14ac:dyDescent="0.3">
      <c r="A3370" t="s">
        <v>284</v>
      </c>
      <c r="B3370" t="s">
        <v>55</v>
      </c>
      <c r="C3370">
        <v>32</v>
      </c>
      <c r="D3370">
        <v>15</v>
      </c>
      <c r="E3370" s="1">
        <f t="shared" si="52"/>
        <v>0.46875</v>
      </c>
      <c r="F3370">
        <v>110.9</v>
      </c>
      <c r="G3370">
        <v>104.6</v>
      </c>
      <c r="H3370">
        <v>0.66290000000000004</v>
      </c>
      <c r="I3370">
        <v>54.8</v>
      </c>
      <c r="J3370">
        <v>52.2</v>
      </c>
      <c r="K3370">
        <v>16.7</v>
      </c>
      <c r="L3370">
        <v>17.899999999999999</v>
      </c>
      <c r="M3370">
        <v>19.600000000000001</v>
      </c>
      <c r="N3370">
        <v>27.1</v>
      </c>
      <c r="O3370">
        <v>29.8</v>
      </c>
      <c r="P3370">
        <v>29.6</v>
      </c>
      <c r="Q3370">
        <v>55.8</v>
      </c>
      <c r="R3370">
        <v>51</v>
      </c>
      <c r="S3370">
        <v>35.5</v>
      </c>
      <c r="T3370">
        <v>35.799999999999997</v>
      </c>
      <c r="U3370">
        <v>66.2</v>
      </c>
      <c r="V3370">
        <v>-6.7</v>
      </c>
      <c r="W3370" cm="1">
        <f t="array" ref="W3370">_xlfn.IFS(OR(X3370="N/A",X3370="NA"),0,OR(X3370="R64",X3370="R68"),1,X3370="R32",2,X3370="S16",3,X3370="E8",4,X3370="F4",5,X3370="2ND",6,X3370="Champions",7)</f>
        <v>0</v>
      </c>
      <c r="X3370" t="s">
        <v>425</v>
      </c>
      <c r="Y3370" t="s">
        <v>425</v>
      </c>
      <c r="Z3370">
        <v>2023</v>
      </c>
    </row>
    <row r="3371" spans="1:26" x14ac:dyDescent="0.3">
      <c r="A3371" t="s">
        <v>105</v>
      </c>
      <c r="B3371" t="s">
        <v>26</v>
      </c>
      <c r="C3371">
        <v>31</v>
      </c>
      <c r="D3371">
        <v>15</v>
      </c>
      <c r="E3371" s="1">
        <f t="shared" si="52"/>
        <v>0.4838709677419355</v>
      </c>
      <c r="F3371">
        <v>104.7</v>
      </c>
      <c r="G3371">
        <v>102.2</v>
      </c>
      <c r="H3371">
        <v>0.56869999999999998</v>
      </c>
      <c r="I3371">
        <v>48.5</v>
      </c>
      <c r="J3371">
        <v>50.1</v>
      </c>
      <c r="K3371">
        <v>15.6</v>
      </c>
      <c r="L3371">
        <v>15.9</v>
      </c>
      <c r="M3371">
        <v>27.5</v>
      </c>
      <c r="N3371">
        <v>29.9</v>
      </c>
      <c r="O3371">
        <v>23.5</v>
      </c>
      <c r="P3371">
        <v>30.8</v>
      </c>
      <c r="Q3371">
        <v>47.4</v>
      </c>
      <c r="R3371">
        <v>52</v>
      </c>
      <c r="S3371">
        <v>33.4</v>
      </c>
      <c r="T3371">
        <v>31</v>
      </c>
      <c r="U3371">
        <v>66.5</v>
      </c>
      <c r="V3371">
        <v>-8.1</v>
      </c>
      <c r="W3371" cm="1">
        <f t="array" ref="W3371">_xlfn.IFS(OR(X3371="N/A",X3371="NA"),0,OR(X3371="R64",X3371="R68"),1,X3371="R32",2,X3371="S16",3,X3371="E8",4,X3371="F4",5,X3371="2ND",6,X3371="Champions",7)</f>
        <v>0</v>
      </c>
      <c r="X3371" t="s">
        <v>425</v>
      </c>
      <c r="Y3371" t="s">
        <v>425</v>
      </c>
      <c r="Z3371">
        <v>2023</v>
      </c>
    </row>
    <row r="3372" spans="1:26" x14ac:dyDescent="0.3">
      <c r="A3372" t="s">
        <v>97</v>
      </c>
      <c r="B3372" t="s">
        <v>45</v>
      </c>
      <c r="C3372">
        <v>33</v>
      </c>
      <c r="D3372">
        <v>15</v>
      </c>
      <c r="E3372" s="1">
        <f t="shared" si="52"/>
        <v>0.45454545454545453</v>
      </c>
      <c r="F3372">
        <v>102.2</v>
      </c>
      <c r="G3372">
        <v>101.8</v>
      </c>
      <c r="H3372">
        <v>0.51029999999999998</v>
      </c>
      <c r="I3372">
        <v>51.2</v>
      </c>
      <c r="J3372">
        <v>49.6</v>
      </c>
      <c r="K3372">
        <v>17.100000000000001</v>
      </c>
      <c r="L3372">
        <v>17.100000000000001</v>
      </c>
      <c r="M3372">
        <v>21</v>
      </c>
      <c r="N3372">
        <v>25.4</v>
      </c>
      <c r="O3372">
        <v>33</v>
      </c>
      <c r="P3372">
        <v>26.2</v>
      </c>
      <c r="Q3372">
        <v>52.4</v>
      </c>
      <c r="R3372">
        <v>49.7</v>
      </c>
      <c r="S3372">
        <v>33</v>
      </c>
      <c r="T3372">
        <v>32.9</v>
      </c>
      <c r="U3372">
        <v>65.2</v>
      </c>
      <c r="V3372">
        <v>-10.7</v>
      </c>
      <c r="W3372" cm="1">
        <f t="array" ref="W3372">_xlfn.IFS(OR(X3372="N/A",X3372="NA"),0,OR(X3372="R64",X3372="R68"),1,X3372="R32",2,X3372="S16",3,X3372="E8",4,X3372="F4",5,X3372="2ND",6,X3372="Champions",7)</f>
        <v>0</v>
      </c>
      <c r="X3372" t="s">
        <v>425</v>
      </c>
      <c r="Y3372" t="s">
        <v>425</v>
      </c>
      <c r="Z3372">
        <v>2023</v>
      </c>
    </row>
    <row r="3373" spans="1:26" x14ac:dyDescent="0.3">
      <c r="A3373" t="s">
        <v>410</v>
      </c>
      <c r="B3373" t="s">
        <v>37</v>
      </c>
      <c r="C3373">
        <v>31</v>
      </c>
      <c r="D3373">
        <v>15</v>
      </c>
      <c r="E3373" s="1">
        <f t="shared" si="52"/>
        <v>0.4838709677419355</v>
      </c>
      <c r="F3373">
        <v>107.2</v>
      </c>
      <c r="G3373">
        <v>107</v>
      </c>
      <c r="H3373">
        <v>0.50349999999999995</v>
      </c>
      <c r="I3373">
        <v>52.6</v>
      </c>
      <c r="J3373">
        <v>54</v>
      </c>
      <c r="K3373">
        <v>16.2</v>
      </c>
      <c r="L3373">
        <v>17.899999999999999</v>
      </c>
      <c r="M3373">
        <v>22.9</v>
      </c>
      <c r="N3373">
        <v>31.2</v>
      </c>
      <c r="O3373">
        <v>33.1</v>
      </c>
      <c r="P3373">
        <v>36.4</v>
      </c>
      <c r="Q3373">
        <v>49.6</v>
      </c>
      <c r="R3373">
        <v>55.1</v>
      </c>
      <c r="S3373">
        <v>38.299999999999997</v>
      </c>
      <c r="T3373">
        <v>34.9</v>
      </c>
      <c r="U3373">
        <v>69.599999999999994</v>
      </c>
      <c r="V3373">
        <v>-10.199999999999999</v>
      </c>
      <c r="W3373" cm="1">
        <f t="array" ref="W3373">_xlfn.IFS(OR(X3373="N/A",X3373="NA"),0,OR(X3373="R64",X3373="R68"),1,X3373="R32",2,X3373="S16",3,X3373="E8",4,X3373="F4",5,X3373="2ND",6,X3373="Champions",7)</f>
        <v>0</v>
      </c>
      <c r="X3373" t="s">
        <v>425</v>
      </c>
      <c r="Y3373" t="s">
        <v>425</v>
      </c>
      <c r="Z3373">
        <v>2023</v>
      </c>
    </row>
    <row r="3374" spans="1:26" x14ac:dyDescent="0.3">
      <c r="A3374" t="s">
        <v>210</v>
      </c>
      <c r="B3374" t="s">
        <v>40</v>
      </c>
      <c r="C3374">
        <v>30</v>
      </c>
      <c r="D3374">
        <v>15</v>
      </c>
      <c r="E3374" s="1">
        <f t="shared" si="52"/>
        <v>0.5</v>
      </c>
      <c r="F3374">
        <v>104.5</v>
      </c>
      <c r="G3374">
        <v>104.6</v>
      </c>
      <c r="H3374">
        <v>0.49819999999999998</v>
      </c>
      <c r="I3374">
        <v>50.9</v>
      </c>
      <c r="J3374">
        <v>54</v>
      </c>
      <c r="K3374">
        <v>19.899999999999999</v>
      </c>
      <c r="L3374">
        <v>21.3</v>
      </c>
      <c r="M3374">
        <v>30.1</v>
      </c>
      <c r="N3374">
        <v>28.1</v>
      </c>
      <c r="O3374">
        <v>28.4</v>
      </c>
      <c r="P3374">
        <v>38.5</v>
      </c>
      <c r="Q3374">
        <v>50.3</v>
      </c>
      <c r="R3374">
        <v>51.1</v>
      </c>
      <c r="S3374">
        <v>34.5</v>
      </c>
      <c r="T3374">
        <v>38.5</v>
      </c>
      <c r="U3374">
        <v>66.5</v>
      </c>
      <c r="V3374">
        <v>-9.3000000000000007</v>
      </c>
      <c r="W3374" cm="1">
        <f t="array" ref="W3374">_xlfn.IFS(OR(X3374="N/A",X3374="NA"),0,OR(X3374="R64",X3374="R68"),1,X3374="R32",2,X3374="S16",3,X3374="E8",4,X3374="F4",5,X3374="2ND",6,X3374="Champions",7)</f>
        <v>0</v>
      </c>
      <c r="X3374" t="s">
        <v>425</v>
      </c>
      <c r="Y3374" t="s">
        <v>425</v>
      </c>
      <c r="Z3374">
        <v>2023</v>
      </c>
    </row>
    <row r="3375" spans="1:26" x14ac:dyDescent="0.3">
      <c r="A3375" t="s">
        <v>430</v>
      </c>
      <c r="B3375" t="s">
        <v>131</v>
      </c>
      <c r="C3375">
        <v>30</v>
      </c>
      <c r="D3375">
        <v>15</v>
      </c>
      <c r="E3375" s="1">
        <f t="shared" si="52"/>
        <v>0.5</v>
      </c>
      <c r="F3375">
        <v>101.8</v>
      </c>
      <c r="G3375">
        <v>109</v>
      </c>
      <c r="H3375">
        <v>0.3125</v>
      </c>
      <c r="I3375">
        <v>51.7</v>
      </c>
      <c r="J3375">
        <v>54.7</v>
      </c>
      <c r="K3375">
        <v>18.2</v>
      </c>
      <c r="L3375">
        <v>17.7</v>
      </c>
      <c r="M3375">
        <v>20.6</v>
      </c>
      <c r="N3375">
        <v>28.1</v>
      </c>
      <c r="O3375">
        <v>25.4</v>
      </c>
      <c r="P3375">
        <v>31.8</v>
      </c>
      <c r="Q3375">
        <v>53.9</v>
      </c>
      <c r="R3375">
        <v>55</v>
      </c>
      <c r="S3375">
        <v>32.6</v>
      </c>
      <c r="T3375">
        <v>36.299999999999997</v>
      </c>
      <c r="U3375">
        <v>61.9</v>
      </c>
      <c r="V3375">
        <v>-10.199999999999999</v>
      </c>
      <c r="W3375" cm="1">
        <f t="array" ref="W3375">_xlfn.IFS(OR(X3375="N/A",X3375="NA"),0,OR(X3375="R64",X3375="R68"),1,X3375="R32",2,X3375="S16",3,X3375="E8",4,X3375="F4",5,X3375="2ND",6,X3375="Champions",7)</f>
        <v>0</v>
      </c>
      <c r="X3375" t="s">
        <v>425</v>
      </c>
      <c r="Y3375" t="s">
        <v>425</v>
      </c>
      <c r="Z3375">
        <v>2023</v>
      </c>
    </row>
    <row r="3376" spans="1:26" x14ac:dyDescent="0.3">
      <c r="A3376" t="s">
        <v>390</v>
      </c>
      <c r="B3376" t="s">
        <v>76</v>
      </c>
      <c r="C3376">
        <v>30</v>
      </c>
      <c r="D3376">
        <v>15</v>
      </c>
      <c r="E3376" s="1">
        <f t="shared" si="52"/>
        <v>0.5</v>
      </c>
      <c r="F3376">
        <v>95.8</v>
      </c>
      <c r="G3376">
        <v>107.4</v>
      </c>
      <c r="H3376">
        <v>0.21210000000000001</v>
      </c>
      <c r="I3376">
        <v>48.6</v>
      </c>
      <c r="J3376">
        <v>49.4</v>
      </c>
      <c r="K3376">
        <v>21.4</v>
      </c>
      <c r="L3376">
        <v>21.4</v>
      </c>
      <c r="M3376">
        <v>29.5</v>
      </c>
      <c r="N3376">
        <v>33.9</v>
      </c>
      <c r="O3376">
        <v>35.9</v>
      </c>
      <c r="P3376">
        <v>41.8</v>
      </c>
      <c r="Q3376">
        <v>46.9</v>
      </c>
      <c r="R3376">
        <v>48.5</v>
      </c>
      <c r="S3376">
        <v>34.700000000000003</v>
      </c>
      <c r="T3376">
        <v>33.799999999999997</v>
      </c>
      <c r="U3376">
        <v>68.3</v>
      </c>
      <c r="V3376">
        <v>-14.1</v>
      </c>
      <c r="W3376" cm="1">
        <f t="array" ref="W3376">_xlfn.IFS(OR(X3376="N/A",X3376="NA"),0,OR(X3376="R64",X3376="R68"),1,X3376="R32",2,X3376="S16",3,X3376="E8",4,X3376="F4",5,X3376="2ND",6,X3376="Champions",7)</f>
        <v>0</v>
      </c>
      <c r="X3376" t="s">
        <v>425</v>
      </c>
      <c r="Y3376" t="s">
        <v>425</v>
      </c>
      <c r="Z3376">
        <v>2023</v>
      </c>
    </row>
    <row r="3377" spans="1:26" x14ac:dyDescent="0.3">
      <c r="A3377" t="s">
        <v>94</v>
      </c>
      <c r="B3377" t="s">
        <v>45</v>
      </c>
      <c r="C3377">
        <v>34</v>
      </c>
      <c r="D3377">
        <v>15</v>
      </c>
      <c r="E3377" s="1">
        <f t="shared" si="52"/>
        <v>0.44117647058823528</v>
      </c>
      <c r="F3377">
        <v>103.3</v>
      </c>
      <c r="G3377">
        <v>106.7</v>
      </c>
      <c r="H3377">
        <v>0.40860000000000002</v>
      </c>
      <c r="I3377">
        <v>48.5</v>
      </c>
      <c r="J3377">
        <v>51</v>
      </c>
      <c r="K3377">
        <v>18.100000000000001</v>
      </c>
      <c r="L3377">
        <v>17.899999999999999</v>
      </c>
      <c r="M3377">
        <v>30.5</v>
      </c>
      <c r="N3377">
        <v>30.5</v>
      </c>
      <c r="O3377">
        <v>28.3</v>
      </c>
      <c r="P3377">
        <v>31.6</v>
      </c>
      <c r="Q3377">
        <v>46.9</v>
      </c>
      <c r="R3377">
        <v>50.6</v>
      </c>
      <c r="S3377">
        <v>34.200000000000003</v>
      </c>
      <c r="T3377">
        <v>34.5</v>
      </c>
      <c r="U3377">
        <v>67.7</v>
      </c>
      <c r="V3377">
        <v>-11.6</v>
      </c>
      <c r="W3377" cm="1">
        <f t="array" ref="W3377">_xlfn.IFS(OR(X3377="N/A",X3377="NA"),0,OR(X3377="R64",X3377="R68"),1,X3377="R32",2,X3377="S16",3,X3377="E8",4,X3377="F4",5,X3377="2ND",6,X3377="Champions",7)</f>
        <v>0</v>
      </c>
      <c r="X3377" t="s">
        <v>425</v>
      </c>
      <c r="Y3377" t="s">
        <v>425</v>
      </c>
      <c r="Z3377">
        <v>2023</v>
      </c>
    </row>
    <row r="3378" spans="1:26" x14ac:dyDescent="0.3">
      <c r="A3378" t="s">
        <v>247</v>
      </c>
      <c r="B3378" t="s">
        <v>69</v>
      </c>
      <c r="C3378">
        <v>29</v>
      </c>
      <c r="D3378">
        <v>16</v>
      </c>
      <c r="E3378" s="1">
        <f t="shared" si="52"/>
        <v>0.55172413793103448</v>
      </c>
      <c r="F3378">
        <v>104.6</v>
      </c>
      <c r="G3378">
        <v>108.6</v>
      </c>
      <c r="H3378">
        <v>0.3931</v>
      </c>
      <c r="I3378">
        <v>49.5</v>
      </c>
      <c r="J3378">
        <v>50.3</v>
      </c>
      <c r="K3378">
        <v>17.8</v>
      </c>
      <c r="L3378">
        <v>16.5</v>
      </c>
      <c r="M3378">
        <v>33.799999999999997</v>
      </c>
      <c r="N3378">
        <v>28.3</v>
      </c>
      <c r="O3378">
        <v>29.3</v>
      </c>
      <c r="P3378">
        <v>38.6</v>
      </c>
      <c r="Q3378">
        <v>49.4</v>
      </c>
      <c r="R3378">
        <v>47.5</v>
      </c>
      <c r="S3378">
        <v>33.299999999999997</v>
      </c>
      <c r="T3378">
        <v>36.200000000000003</v>
      </c>
      <c r="U3378">
        <v>65</v>
      </c>
      <c r="V3378">
        <v>-9.4</v>
      </c>
      <c r="W3378" cm="1">
        <f t="array" ref="W3378">_xlfn.IFS(OR(X3378="N/A",X3378="NA"),0,OR(X3378="R64",X3378="R68"),1,X3378="R32",2,X3378="S16",3,X3378="E8",4,X3378="F4",5,X3378="2ND",6,X3378="Champions",7)</f>
        <v>0</v>
      </c>
      <c r="X3378" t="s">
        <v>425</v>
      </c>
      <c r="Y3378" t="s">
        <v>425</v>
      </c>
      <c r="Z3378">
        <v>2023</v>
      </c>
    </row>
    <row r="3379" spans="1:26" x14ac:dyDescent="0.3">
      <c r="A3379" t="s">
        <v>332</v>
      </c>
      <c r="B3379" t="s">
        <v>67</v>
      </c>
      <c r="C3379">
        <v>28</v>
      </c>
      <c r="D3379">
        <v>16</v>
      </c>
      <c r="E3379" s="1">
        <f t="shared" si="52"/>
        <v>0.5714285714285714</v>
      </c>
      <c r="F3379">
        <v>96.7</v>
      </c>
      <c r="G3379">
        <v>106.4</v>
      </c>
      <c r="H3379">
        <v>0.24990000000000001</v>
      </c>
      <c r="I3379">
        <v>49.8</v>
      </c>
      <c r="J3379">
        <v>50.3</v>
      </c>
      <c r="K3379">
        <v>17.399999999999999</v>
      </c>
      <c r="L3379">
        <v>16.600000000000001</v>
      </c>
      <c r="M3379">
        <v>18.8</v>
      </c>
      <c r="N3379">
        <v>26.7</v>
      </c>
      <c r="O3379">
        <v>31.1</v>
      </c>
      <c r="P3379">
        <v>28.5</v>
      </c>
      <c r="Q3379">
        <v>48.4</v>
      </c>
      <c r="R3379">
        <v>50.9</v>
      </c>
      <c r="S3379">
        <v>35</v>
      </c>
      <c r="T3379">
        <v>32.799999999999997</v>
      </c>
      <c r="U3379">
        <v>69.400000000000006</v>
      </c>
      <c r="V3379">
        <v>-10</v>
      </c>
      <c r="W3379" cm="1">
        <f t="array" ref="W3379">_xlfn.IFS(OR(X3379="N/A",X3379="NA"),0,OR(X3379="R64",X3379="R68"),1,X3379="R32",2,X3379="S16",3,X3379="E8",4,X3379="F4",5,X3379="2ND",6,X3379="Champions",7)</f>
        <v>0</v>
      </c>
      <c r="X3379" t="s">
        <v>425</v>
      </c>
      <c r="Y3379" t="s">
        <v>425</v>
      </c>
      <c r="Z3379">
        <v>2023</v>
      </c>
    </row>
    <row r="3380" spans="1:26" x14ac:dyDescent="0.3">
      <c r="A3380" t="s">
        <v>387</v>
      </c>
      <c r="B3380" t="s">
        <v>72</v>
      </c>
      <c r="C3380">
        <v>27</v>
      </c>
      <c r="D3380">
        <v>16</v>
      </c>
      <c r="E3380" s="1">
        <f t="shared" si="52"/>
        <v>0.59259259259259256</v>
      </c>
      <c r="F3380">
        <v>100.4</v>
      </c>
      <c r="G3380">
        <v>111.8</v>
      </c>
      <c r="H3380">
        <v>0.22520000000000001</v>
      </c>
      <c r="I3380">
        <v>50.1</v>
      </c>
      <c r="J3380">
        <v>53.4</v>
      </c>
      <c r="K3380">
        <v>15.1</v>
      </c>
      <c r="L3380">
        <v>16.399999999999999</v>
      </c>
      <c r="M3380">
        <v>26.9</v>
      </c>
      <c r="N3380">
        <v>26.7</v>
      </c>
      <c r="O3380">
        <v>31.4</v>
      </c>
      <c r="P3380">
        <v>27.4</v>
      </c>
      <c r="Q3380">
        <v>51.8</v>
      </c>
      <c r="R3380">
        <v>54.6</v>
      </c>
      <c r="S3380">
        <v>31.5</v>
      </c>
      <c r="T3380">
        <v>33.9</v>
      </c>
      <c r="U3380">
        <v>66.599999999999994</v>
      </c>
      <c r="V3380">
        <v>-10.199999999999999</v>
      </c>
      <c r="W3380" cm="1">
        <f t="array" ref="W3380">_xlfn.IFS(OR(X3380="N/A",X3380="NA"),0,OR(X3380="R64",X3380="R68"),1,X3380="R32",2,X3380="S16",3,X3380="E8",4,X3380="F4",5,X3380="2ND",6,X3380="Champions",7)</f>
        <v>0</v>
      </c>
      <c r="X3380" t="s">
        <v>425</v>
      </c>
      <c r="Y3380" t="s">
        <v>425</v>
      </c>
      <c r="Z3380">
        <v>2023</v>
      </c>
    </row>
    <row r="3381" spans="1:26" x14ac:dyDescent="0.3">
      <c r="A3381" t="s">
        <v>245</v>
      </c>
      <c r="B3381" t="s">
        <v>69</v>
      </c>
      <c r="C3381">
        <v>30</v>
      </c>
      <c r="D3381">
        <v>16</v>
      </c>
      <c r="E3381" s="1">
        <f t="shared" si="52"/>
        <v>0.53333333333333333</v>
      </c>
      <c r="F3381">
        <v>100.3</v>
      </c>
      <c r="G3381">
        <v>107.7</v>
      </c>
      <c r="H3381">
        <v>0.30740000000000001</v>
      </c>
      <c r="I3381">
        <v>50.3</v>
      </c>
      <c r="J3381">
        <v>49.8</v>
      </c>
      <c r="K3381">
        <v>18.5</v>
      </c>
      <c r="L3381">
        <v>16.899999999999999</v>
      </c>
      <c r="M3381">
        <v>26.5</v>
      </c>
      <c r="N3381">
        <v>28.6</v>
      </c>
      <c r="O3381">
        <v>30</v>
      </c>
      <c r="P3381">
        <v>33.5</v>
      </c>
      <c r="Q3381">
        <v>50.1</v>
      </c>
      <c r="R3381">
        <v>48</v>
      </c>
      <c r="S3381">
        <v>33.799999999999997</v>
      </c>
      <c r="T3381">
        <v>36</v>
      </c>
      <c r="U3381">
        <v>62.9</v>
      </c>
      <c r="V3381">
        <v>-10.1</v>
      </c>
      <c r="W3381" cm="1">
        <f t="array" ref="W3381">_xlfn.IFS(OR(X3381="N/A",X3381="NA"),0,OR(X3381="R64",X3381="R68"),1,X3381="R32",2,X3381="S16",3,X3381="E8",4,X3381="F4",5,X3381="2ND",6,X3381="Champions",7)</f>
        <v>0</v>
      </c>
      <c r="X3381" t="s">
        <v>425</v>
      </c>
      <c r="Y3381" t="s">
        <v>425</v>
      </c>
      <c r="Z3381">
        <v>2023</v>
      </c>
    </row>
    <row r="3382" spans="1:26" x14ac:dyDescent="0.3">
      <c r="A3382" t="s">
        <v>375</v>
      </c>
      <c r="B3382" t="s">
        <v>61</v>
      </c>
      <c r="C3382">
        <v>27</v>
      </c>
      <c r="D3382">
        <v>16</v>
      </c>
      <c r="E3382" s="1">
        <f t="shared" si="52"/>
        <v>0.59259259259259256</v>
      </c>
      <c r="F3382">
        <v>98.2</v>
      </c>
      <c r="G3382">
        <v>107.1</v>
      </c>
      <c r="H3382">
        <v>0.27</v>
      </c>
      <c r="I3382">
        <v>50.3</v>
      </c>
      <c r="J3382">
        <v>52.5</v>
      </c>
      <c r="K3382">
        <v>18.5</v>
      </c>
      <c r="L3382">
        <v>23.7</v>
      </c>
      <c r="M3382">
        <v>29.3</v>
      </c>
      <c r="N3382">
        <v>33.700000000000003</v>
      </c>
      <c r="O3382">
        <v>27.6</v>
      </c>
      <c r="P3382">
        <v>47.6</v>
      </c>
      <c r="Q3382">
        <v>50.5</v>
      </c>
      <c r="R3382">
        <v>51.4</v>
      </c>
      <c r="S3382">
        <v>33.299999999999997</v>
      </c>
      <c r="T3382">
        <v>36.200000000000003</v>
      </c>
      <c r="U3382">
        <v>70.400000000000006</v>
      </c>
      <c r="V3382">
        <v>-9.6999999999999993</v>
      </c>
      <c r="W3382" cm="1">
        <f t="array" ref="W3382">_xlfn.IFS(OR(X3382="N/A",X3382="NA"),0,OR(X3382="R64",X3382="R68"),1,X3382="R32",2,X3382="S16",3,X3382="E8",4,X3382="F4",5,X3382="2ND",6,X3382="Champions",7)</f>
        <v>0</v>
      </c>
      <c r="X3382" t="s">
        <v>425</v>
      </c>
      <c r="Y3382" t="s">
        <v>425</v>
      </c>
      <c r="Z3382">
        <v>2023</v>
      </c>
    </row>
    <row r="3383" spans="1:26" x14ac:dyDescent="0.3">
      <c r="A3383" t="s">
        <v>34</v>
      </c>
      <c r="B3383" t="s">
        <v>35</v>
      </c>
      <c r="C3383">
        <v>32</v>
      </c>
      <c r="D3383">
        <v>16</v>
      </c>
      <c r="E3383" s="1">
        <f t="shared" si="52"/>
        <v>0.5</v>
      </c>
      <c r="F3383">
        <v>110.7</v>
      </c>
      <c r="G3383">
        <v>97.4</v>
      </c>
      <c r="H3383">
        <v>0.81340000000000001</v>
      </c>
      <c r="I3383">
        <v>52.3</v>
      </c>
      <c r="J3383">
        <v>48.9</v>
      </c>
      <c r="K3383">
        <v>19.899999999999999</v>
      </c>
      <c r="L3383">
        <v>19.899999999999999</v>
      </c>
      <c r="M3383">
        <v>32.1</v>
      </c>
      <c r="N3383">
        <v>30.1</v>
      </c>
      <c r="O3383">
        <v>34.799999999999997</v>
      </c>
      <c r="P3383">
        <v>28.4</v>
      </c>
      <c r="Q3383">
        <v>52.6</v>
      </c>
      <c r="R3383">
        <v>49.1</v>
      </c>
      <c r="S3383">
        <v>34.5</v>
      </c>
      <c r="T3383">
        <v>32.4</v>
      </c>
      <c r="U3383">
        <v>67.3</v>
      </c>
      <c r="V3383">
        <v>-2.5</v>
      </c>
      <c r="W3383" cm="1">
        <f t="array" ref="W3383">_xlfn.IFS(OR(X3383="N/A",X3383="NA"),0,OR(X3383="R64",X3383="R68"),1,X3383="R32",2,X3383="S16",3,X3383="E8",4,X3383="F4",5,X3383="2ND",6,X3383="Champions",7)</f>
        <v>0</v>
      </c>
      <c r="X3383" t="s">
        <v>425</v>
      </c>
      <c r="Y3383" t="s">
        <v>425</v>
      </c>
      <c r="Z3383">
        <v>2023</v>
      </c>
    </row>
    <row r="3384" spans="1:26" x14ac:dyDescent="0.3">
      <c r="A3384" t="s">
        <v>143</v>
      </c>
      <c r="B3384" t="s">
        <v>31</v>
      </c>
      <c r="C3384">
        <v>32</v>
      </c>
      <c r="D3384">
        <v>16</v>
      </c>
      <c r="E3384" s="1">
        <f t="shared" si="52"/>
        <v>0.5</v>
      </c>
      <c r="F3384">
        <v>106</v>
      </c>
      <c r="G3384">
        <v>98.4</v>
      </c>
      <c r="H3384">
        <v>0.70299999999999996</v>
      </c>
      <c r="I3384">
        <v>51.7</v>
      </c>
      <c r="J3384">
        <v>49.9</v>
      </c>
      <c r="K3384">
        <v>18.600000000000001</v>
      </c>
      <c r="L3384">
        <v>17.7</v>
      </c>
      <c r="M3384">
        <v>24.7</v>
      </c>
      <c r="N3384">
        <v>28.3</v>
      </c>
      <c r="O3384">
        <v>28.2</v>
      </c>
      <c r="P3384">
        <v>21.9</v>
      </c>
      <c r="Q3384">
        <v>53.4</v>
      </c>
      <c r="R3384">
        <v>49</v>
      </c>
      <c r="S3384">
        <v>32.6</v>
      </c>
      <c r="T3384">
        <v>34.1</v>
      </c>
      <c r="U3384">
        <v>66.8</v>
      </c>
      <c r="V3384">
        <v>-2.1</v>
      </c>
      <c r="W3384" cm="1">
        <f t="array" ref="W3384">_xlfn.IFS(OR(X3384="N/A",X3384="NA"),0,OR(X3384="R64",X3384="R68"),1,X3384="R32",2,X3384="S16",3,X3384="E8",4,X3384="F4",5,X3384="2ND",6,X3384="Champions",7)</f>
        <v>0</v>
      </c>
      <c r="X3384" t="s">
        <v>425</v>
      </c>
      <c r="Y3384" t="s">
        <v>425</v>
      </c>
      <c r="Z3384">
        <v>2023</v>
      </c>
    </row>
    <row r="3385" spans="1:26" x14ac:dyDescent="0.3">
      <c r="A3385" t="s">
        <v>125</v>
      </c>
      <c r="B3385" t="s">
        <v>50</v>
      </c>
      <c r="C3385">
        <v>32</v>
      </c>
      <c r="D3385">
        <v>16</v>
      </c>
      <c r="E3385" s="1">
        <f t="shared" si="52"/>
        <v>0.5</v>
      </c>
      <c r="F3385">
        <v>107.6</v>
      </c>
      <c r="G3385">
        <v>101.1</v>
      </c>
      <c r="H3385">
        <v>0.67</v>
      </c>
      <c r="I3385">
        <v>49.7</v>
      </c>
      <c r="J3385">
        <v>48.7</v>
      </c>
      <c r="K3385">
        <v>19.8</v>
      </c>
      <c r="L3385">
        <v>16.5</v>
      </c>
      <c r="M3385">
        <v>28.7</v>
      </c>
      <c r="N3385">
        <v>29</v>
      </c>
      <c r="O3385">
        <v>34.6</v>
      </c>
      <c r="P3385">
        <v>31.5</v>
      </c>
      <c r="Q3385">
        <v>49.9</v>
      </c>
      <c r="R3385">
        <v>47.9</v>
      </c>
      <c r="S3385">
        <v>33</v>
      </c>
      <c r="T3385">
        <v>33.6</v>
      </c>
      <c r="U3385">
        <v>65.900000000000006</v>
      </c>
      <c r="V3385">
        <v>-5.6</v>
      </c>
      <c r="W3385" cm="1">
        <f t="array" ref="W3385">_xlfn.IFS(OR(X3385="N/A",X3385="NA"),0,OR(X3385="R64",X3385="R68"),1,X3385="R32",2,X3385="S16",3,X3385="E8",4,X3385="F4",5,X3385="2ND",6,X3385="Champions",7)</f>
        <v>0</v>
      </c>
      <c r="X3385" t="s">
        <v>425</v>
      </c>
      <c r="Y3385" t="s">
        <v>425</v>
      </c>
      <c r="Z3385">
        <v>2023</v>
      </c>
    </row>
    <row r="3386" spans="1:26" x14ac:dyDescent="0.3">
      <c r="A3386" t="s">
        <v>322</v>
      </c>
      <c r="B3386" t="s">
        <v>38</v>
      </c>
      <c r="C3386">
        <v>32</v>
      </c>
      <c r="D3386">
        <v>16</v>
      </c>
      <c r="E3386" s="1">
        <f t="shared" si="52"/>
        <v>0.5</v>
      </c>
      <c r="F3386">
        <v>103.9</v>
      </c>
      <c r="G3386">
        <v>98.3</v>
      </c>
      <c r="H3386">
        <v>0.65490000000000004</v>
      </c>
      <c r="I3386">
        <v>48.8</v>
      </c>
      <c r="J3386">
        <v>47.1</v>
      </c>
      <c r="K3386">
        <v>19.899999999999999</v>
      </c>
      <c r="L3386">
        <v>18.399999999999999</v>
      </c>
      <c r="M3386">
        <v>26.4</v>
      </c>
      <c r="N3386">
        <v>34.6</v>
      </c>
      <c r="O3386">
        <v>31.7</v>
      </c>
      <c r="P3386">
        <v>25.4</v>
      </c>
      <c r="Q3386">
        <v>50</v>
      </c>
      <c r="R3386">
        <v>48.6</v>
      </c>
      <c r="S3386">
        <v>31.3</v>
      </c>
      <c r="T3386">
        <v>29.7</v>
      </c>
      <c r="U3386">
        <v>69.099999999999994</v>
      </c>
      <c r="V3386">
        <v>-3.8</v>
      </c>
      <c r="W3386" cm="1">
        <f t="array" ref="W3386">_xlfn.IFS(OR(X3386="N/A",X3386="NA"),0,OR(X3386="R64",X3386="R68"),1,X3386="R32",2,X3386="S16",3,X3386="E8",4,X3386="F4",5,X3386="2ND",6,X3386="Champions",7)</f>
        <v>0</v>
      </c>
      <c r="X3386" t="s">
        <v>425</v>
      </c>
      <c r="Y3386" t="s">
        <v>425</v>
      </c>
      <c r="Z3386">
        <v>2023</v>
      </c>
    </row>
    <row r="3387" spans="1:26" x14ac:dyDescent="0.3">
      <c r="A3387" t="s">
        <v>101</v>
      </c>
      <c r="B3387" t="s">
        <v>45</v>
      </c>
      <c r="C3387">
        <v>31</v>
      </c>
      <c r="D3387">
        <v>16</v>
      </c>
      <c r="E3387" s="1">
        <f t="shared" si="52"/>
        <v>0.5161290322580645</v>
      </c>
      <c r="F3387">
        <v>107</v>
      </c>
      <c r="G3387">
        <v>103.8</v>
      </c>
      <c r="H3387">
        <v>0.5867</v>
      </c>
      <c r="I3387">
        <v>50.1</v>
      </c>
      <c r="J3387">
        <v>50.8</v>
      </c>
      <c r="K3387">
        <v>16.2</v>
      </c>
      <c r="L3387">
        <v>17.3</v>
      </c>
      <c r="M3387">
        <v>24.9</v>
      </c>
      <c r="N3387">
        <v>27.8</v>
      </c>
      <c r="O3387">
        <v>32.799999999999997</v>
      </c>
      <c r="P3387">
        <v>26.7</v>
      </c>
      <c r="Q3387">
        <v>51.3</v>
      </c>
      <c r="R3387">
        <v>51.5</v>
      </c>
      <c r="S3387">
        <v>31.9</v>
      </c>
      <c r="T3387">
        <v>33</v>
      </c>
      <c r="U3387">
        <v>65.2</v>
      </c>
      <c r="V3387">
        <v>-8.4</v>
      </c>
      <c r="W3387" cm="1">
        <f t="array" ref="W3387">_xlfn.IFS(OR(X3387="N/A",X3387="NA"),0,OR(X3387="R64",X3387="R68"),1,X3387="R32",2,X3387="S16",3,X3387="E8",4,X3387="F4",5,X3387="2ND",6,X3387="Champions",7)</f>
        <v>0</v>
      </c>
      <c r="X3387" t="s">
        <v>425</v>
      </c>
      <c r="Y3387" t="s">
        <v>425</v>
      </c>
      <c r="Z3387">
        <v>2023</v>
      </c>
    </row>
    <row r="3388" spans="1:26" x14ac:dyDescent="0.3">
      <c r="A3388" t="s">
        <v>336</v>
      </c>
      <c r="B3388" t="s">
        <v>58</v>
      </c>
      <c r="C3388">
        <v>29</v>
      </c>
      <c r="D3388">
        <v>16</v>
      </c>
      <c r="E3388" s="1">
        <f t="shared" si="52"/>
        <v>0.55172413793103448</v>
      </c>
      <c r="F3388">
        <v>101.3</v>
      </c>
      <c r="G3388">
        <v>100.2</v>
      </c>
      <c r="H3388">
        <v>0.53200000000000003</v>
      </c>
      <c r="I3388">
        <v>48.7</v>
      </c>
      <c r="J3388">
        <v>47.9</v>
      </c>
      <c r="K3388">
        <v>16.3</v>
      </c>
      <c r="L3388">
        <v>17.100000000000001</v>
      </c>
      <c r="M3388">
        <v>24.5</v>
      </c>
      <c r="N3388">
        <v>28.8</v>
      </c>
      <c r="O3388">
        <v>29.3</v>
      </c>
      <c r="P3388">
        <v>24.8</v>
      </c>
      <c r="Q3388">
        <v>48.3</v>
      </c>
      <c r="R3388">
        <v>46.5</v>
      </c>
      <c r="S3388">
        <v>32.9</v>
      </c>
      <c r="T3388">
        <v>33.4</v>
      </c>
      <c r="U3388">
        <v>65</v>
      </c>
      <c r="V3388">
        <v>-10.1</v>
      </c>
      <c r="W3388" cm="1">
        <f t="array" ref="W3388">_xlfn.IFS(OR(X3388="N/A",X3388="NA"),0,OR(X3388="R64",X3388="R68"),1,X3388="R32",2,X3388="S16",3,X3388="E8",4,X3388="F4",5,X3388="2ND",6,X3388="Champions",7)</f>
        <v>0</v>
      </c>
      <c r="X3388" t="s">
        <v>425</v>
      </c>
      <c r="Y3388" t="s">
        <v>425</v>
      </c>
      <c r="Z3388">
        <v>2023</v>
      </c>
    </row>
    <row r="3389" spans="1:26" x14ac:dyDescent="0.3">
      <c r="A3389" t="s">
        <v>365</v>
      </c>
      <c r="B3389" t="s">
        <v>29</v>
      </c>
      <c r="C3389">
        <v>32</v>
      </c>
      <c r="D3389">
        <v>16</v>
      </c>
      <c r="E3389" s="1">
        <f t="shared" si="52"/>
        <v>0.5</v>
      </c>
      <c r="F3389">
        <v>103.3</v>
      </c>
      <c r="G3389">
        <v>102.6</v>
      </c>
      <c r="H3389">
        <v>0.52010000000000001</v>
      </c>
      <c r="I3389">
        <v>47.1</v>
      </c>
      <c r="J3389">
        <v>49.8</v>
      </c>
      <c r="K3389">
        <v>19.3</v>
      </c>
      <c r="L3389">
        <v>16.8</v>
      </c>
      <c r="M3389">
        <v>30.5</v>
      </c>
      <c r="N3389">
        <v>30.5</v>
      </c>
      <c r="O3389">
        <v>40.5</v>
      </c>
      <c r="P3389">
        <v>28.9</v>
      </c>
      <c r="Q3389">
        <v>46.8</v>
      </c>
      <c r="R3389">
        <v>51</v>
      </c>
      <c r="S3389">
        <v>31.7</v>
      </c>
      <c r="T3389">
        <v>31.9</v>
      </c>
      <c r="U3389">
        <v>67.599999999999994</v>
      </c>
      <c r="V3389">
        <v>-5.5</v>
      </c>
      <c r="W3389" cm="1">
        <f t="array" ref="W3389">_xlfn.IFS(OR(X3389="N/A",X3389="NA"),0,OR(X3389="R64",X3389="R68"),1,X3389="R32",2,X3389="S16",3,X3389="E8",4,X3389="F4",5,X3389="2ND",6,X3389="Champions",7)</f>
        <v>0</v>
      </c>
      <c r="X3389" t="s">
        <v>425</v>
      </c>
      <c r="Y3389" t="s">
        <v>425</v>
      </c>
      <c r="Z3389">
        <v>2023</v>
      </c>
    </row>
    <row r="3390" spans="1:26" x14ac:dyDescent="0.3">
      <c r="A3390" t="s">
        <v>93</v>
      </c>
      <c r="B3390" t="s">
        <v>45</v>
      </c>
      <c r="C3390">
        <v>31</v>
      </c>
      <c r="D3390">
        <v>16</v>
      </c>
      <c r="E3390" s="1">
        <f t="shared" si="52"/>
        <v>0.5161290322580645</v>
      </c>
      <c r="F3390">
        <v>108.9</v>
      </c>
      <c r="G3390">
        <v>110.9</v>
      </c>
      <c r="H3390">
        <v>0.44900000000000001</v>
      </c>
      <c r="I3390">
        <v>53</v>
      </c>
      <c r="J3390">
        <v>52</v>
      </c>
      <c r="K3390">
        <v>17.600000000000001</v>
      </c>
      <c r="L3390">
        <v>15.5</v>
      </c>
      <c r="M3390">
        <v>26.5</v>
      </c>
      <c r="N3390">
        <v>29.7</v>
      </c>
      <c r="O3390">
        <v>34.5</v>
      </c>
      <c r="P3390">
        <v>27.7</v>
      </c>
      <c r="Q3390">
        <v>56</v>
      </c>
      <c r="R3390">
        <v>51.7</v>
      </c>
      <c r="S3390">
        <v>32.1</v>
      </c>
      <c r="T3390">
        <v>34.9</v>
      </c>
      <c r="U3390">
        <v>68.7</v>
      </c>
      <c r="V3390">
        <v>-10.3</v>
      </c>
      <c r="W3390" cm="1">
        <f t="array" ref="W3390">_xlfn.IFS(OR(X3390="N/A",X3390="NA"),0,OR(X3390="R64",X3390="R68"),1,X3390="R32",2,X3390="S16",3,X3390="E8",4,X3390="F4",5,X3390="2ND",6,X3390="Champions",7)</f>
        <v>0</v>
      </c>
      <c r="X3390" t="s">
        <v>425</v>
      </c>
      <c r="Y3390" t="s">
        <v>425</v>
      </c>
      <c r="Z3390">
        <v>2023</v>
      </c>
    </row>
    <row r="3391" spans="1:26" x14ac:dyDescent="0.3">
      <c r="A3391" t="s">
        <v>137</v>
      </c>
      <c r="B3391" t="s">
        <v>74</v>
      </c>
      <c r="C3391">
        <v>30</v>
      </c>
      <c r="D3391">
        <v>16</v>
      </c>
      <c r="E3391" s="1">
        <f t="shared" si="52"/>
        <v>0.53333333333333333</v>
      </c>
      <c r="F3391">
        <v>98.2</v>
      </c>
      <c r="G3391">
        <v>104.5</v>
      </c>
      <c r="H3391">
        <v>0.32869999999999999</v>
      </c>
      <c r="I3391">
        <v>50.7</v>
      </c>
      <c r="J3391">
        <v>50.1</v>
      </c>
      <c r="K3391">
        <v>19.2</v>
      </c>
      <c r="L3391">
        <v>20.5</v>
      </c>
      <c r="M3391">
        <v>24.6</v>
      </c>
      <c r="N3391">
        <v>32.200000000000003</v>
      </c>
      <c r="O3391">
        <v>31.4</v>
      </c>
      <c r="P3391">
        <v>42.8</v>
      </c>
      <c r="Q3391">
        <v>51.3</v>
      </c>
      <c r="R3391">
        <v>49.3</v>
      </c>
      <c r="S3391">
        <v>33</v>
      </c>
      <c r="T3391">
        <v>34.200000000000003</v>
      </c>
      <c r="U3391">
        <v>67.7</v>
      </c>
      <c r="V3391">
        <v>-9.8000000000000007</v>
      </c>
      <c r="W3391" cm="1">
        <f t="array" ref="W3391">_xlfn.IFS(OR(X3391="N/A",X3391="NA"),0,OR(X3391="R64",X3391="R68"),1,X3391="R32",2,X3391="S16",3,X3391="E8",4,X3391="F4",5,X3391="2ND",6,X3391="Champions",7)</f>
        <v>0</v>
      </c>
      <c r="X3391" t="s">
        <v>425</v>
      </c>
      <c r="Y3391" t="s">
        <v>425</v>
      </c>
      <c r="Z3391">
        <v>2023</v>
      </c>
    </row>
    <row r="3392" spans="1:26" x14ac:dyDescent="0.3">
      <c r="A3392" t="s">
        <v>75</v>
      </c>
      <c r="B3392" t="s">
        <v>29</v>
      </c>
      <c r="C3392">
        <v>33</v>
      </c>
      <c r="D3392">
        <v>16</v>
      </c>
      <c r="E3392" s="1">
        <f t="shared" si="52"/>
        <v>0.48484848484848486</v>
      </c>
      <c r="F3392">
        <v>105.7</v>
      </c>
      <c r="G3392">
        <v>96.2</v>
      </c>
      <c r="H3392">
        <v>0.74670000000000003</v>
      </c>
      <c r="I3392">
        <v>49.4</v>
      </c>
      <c r="J3392">
        <v>46.3</v>
      </c>
      <c r="K3392">
        <v>16.100000000000001</v>
      </c>
      <c r="L3392">
        <v>17.8</v>
      </c>
      <c r="M3392">
        <v>23.8</v>
      </c>
      <c r="N3392">
        <v>30.7</v>
      </c>
      <c r="O3392">
        <v>34.5</v>
      </c>
      <c r="P3392">
        <v>29.2</v>
      </c>
      <c r="Q3392">
        <v>50.7</v>
      </c>
      <c r="R3392">
        <v>45.8</v>
      </c>
      <c r="S3392">
        <v>31.4</v>
      </c>
      <c r="T3392">
        <v>31.6</v>
      </c>
      <c r="U3392">
        <v>69.400000000000006</v>
      </c>
      <c r="V3392">
        <v>-2.9</v>
      </c>
      <c r="W3392" cm="1">
        <f t="array" ref="W3392">_xlfn.IFS(OR(X3392="N/A",X3392="NA"),0,OR(X3392="R64",X3392="R68"),1,X3392="R32",2,X3392="S16",3,X3392="E8",4,X3392="F4",5,X3392="2ND",6,X3392="Champions",7)</f>
        <v>0</v>
      </c>
      <c r="X3392" t="s">
        <v>425</v>
      </c>
      <c r="Y3392" t="s">
        <v>425</v>
      </c>
      <c r="Z3392">
        <v>2023</v>
      </c>
    </row>
    <row r="3393" spans="1:26" x14ac:dyDescent="0.3">
      <c r="A3393" t="s">
        <v>103</v>
      </c>
      <c r="B3393" t="s">
        <v>26</v>
      </c>
      <c r="C3393">
        <v>33</v>
      </c>
      <c r="D3393">
        <v>16</v>
      </c>
      <c r="E3393" s="1">
        <f t="shared" si="52"/>
        <v>0.48484848484848486</v>
      </c>
      <c r="F3393">
        <v>102.5</v>
      </c>
      <c r="G3393">
        <v>101.7</v>
      </c>
      <c r="H3393">
        <v>0.52229999999999999</v>
      </c>
      <c r="I3393">
        <v>48.7</v>
      </c>
      <c r="J3393">
        <v>51.5</v>
      </c>
      <c r="K3393">
        <v>18.3</v>
      </c>
      <c r="L3393">
        <v>18.3</v>
      </c>
      <c r="M3393">
        <v>27.6</v>
      </c>
      <c r="N3393">
        <v>28.3</v>
      </c>
      <c r="O3393">
        <v>27.3</v>
      </c>
      <c r="P3393">
        <v>27.6</v>
      </c>
      <c r="Q3393">
        <v>49.2</v>
      </c>
      <c r="R3393">
        <v>49.1</v>
      </c>
      <c r="S3393">
        <v>31.9</v>
      </c>
      <c r="T3393">
        <v>36.799999999999997</v>
      </c>
      <c r="U3393">
        <v>66.5</v>
      </c>
      <c r="V3393">
        <v>-6.6</v>
      </c>
      <c r="W3393" cm="1">
        <f t="array" ref="W3393">_xlfn.IFS(OR(X3393="N/A",X3393="NA"),0,OR(X3393="R64",X3393="R68"),1,X3393="R32",2,X3393="S16",3,X3393="E8",4,X3393="F4",5,X3393="2ND",6,X3393="Champions",7)</f>
        <v>0</v>
      </c>
      <c r="X3393" t="s">
        <v>425</v>
      </c>
      <c r="Y3393" t="s">
        <v>425</v>
      </c>
      <c r="Z3393">
        <v>2023</v>
      </c>
    </row>
    <row r="3394" spans="1:26" x14ac:dyDescent="0.3">
      <c r="A3394" t="s">
        <v>98</v>
      </c>
      <c r="B3394" t="s">
        <v>45</v>
      </c>
      <c r="C3394">
        <v>33</v>
      </c>
      <c r="D3394">
        <v>16</v>
      </c>
      <c r="E3394" s="1">
        <f t="shared" si="52"/>
        <v>0.48484848484848486</v>
      </c>
      <c r="F3394">
        <v>103.9</v>
      </c>
      <c r="G3394">
        <v>104.5</v>
      </c>
      <c r="H3394">
        <v>0.48280000000000001</v>
      </c>
      <c r="I3394">
        <v>50.2</v>
      </c>
      <c r="J3394">
        <v>50.5</v>
      </c>
      <c r="K3394">
        <v>18.2</v>
      </c>
      <c r="L3394">
        <v>18.899999999999999</v>
      </c>
      <c r="M3394">
        <v>28.9</v>
      </c>
      <c r="N3394">
        <v>30.7</v>
      </c>
      <c r="O3394">
        <v>34.200000000000003</v>
      </c>
      <c r="P3394">
        <v>32.799999999999997</v>
      </c>
      <c r="Q3394">
        <v>50.9</v>
      </c>
      <c r="R3394">
        <v>50.1</v>
      </c>
      <c r="S3394">
        <v>32.9</v>
      </c>
      <c r="T3394">
        <v>34.1</v>
      </c>
      <c r="U3394">
        <v>69.099999999999994</v>
      </c>
      <c r="V3394">
        <v>-10</v>
      </c>
      <c r="W3394" cm="1">
        <f t="array" ref="W3394">_xlfn.IFS(OR(X3394="N/A",X3394="NA"),0,OR(X3394="R64",X3394="R68"),1,X3394="R32",2,X3394="S16",3,X3394="E8",4,X3394="F4",5,X3394="2ND",6,X3394="Champions",7)</f>
        <v>0</v>
      </c>
      <c r="X3394" t="s">
        <v>425</v>
      </c>
      <c r="Y3394" t="s">
        <v>425</v>
      </c>
      <c r="Z3394">
        <v>2023</v>
      </c>
    </row>
    <row r="3395" spans="1:26" x14ac:dyDescent="0.3">
      <c r="A3395" t="s">
        <v>121</v>
      </c>
      <c r="B3395" t="s">
        <v>50</v>
      </c>
      <c r="C3395">
        <v>33</v>
      </c>
      <c r="D3395">
        <v>16</v>
      </c>
      <c r="E3395" s="1">
        <f t="shared" ref="E3395:E3458" si="53">D3395/C3395</f>
        <v>0.48484848484848486</v>
      </c>
      <c r="F3395">
        <v>101.6</v>
      </c>
      <c r="G3395">
        <v>103.1</v>
      </c>
      <c r="H3395">
        <v>0.45660000000000001</v>
      </c>
      <c r="I3395">
        <v>47.1</v>
      </c>
      <c r="J3395">
        <v>49.2</v>
      </c>
      <c r="K3395">
        <v>19.2</v>
      </c>
      <c r="L3395">
        <v>17.399999999999999</v>
      </c>
      <c r="M3395">
        <v>33</v>
      </c>
      <c r="N3395">
        <v>28.9</v>
      </c>
      <c r="O3395">
        <v>37.1</v>
      </c>
      <c r="P3395">
        <v>33.1</v>
      </c>
      <c r="Q3395">
        <v>46.9</v>
      </c>
      <c r="R3395">
        <v>49.2</v>
      </c>
      <c r="S3395">
        <v>31.6</v>
      </c>
      <c r="T3395">
        <v>32.9</v>
      </c>
      <c r="U3395">
        <v>67.400000000000006</v>
      </c>
      <c r="V3395">
        <v>-8</v>
      </c>
      <c r="W3395" cm="1">
        <f t="array" ref="W3395">_xlfn.IFS(OR(X3395="N/A",X3395="NA"),0,OR(X3395="R64",X3395="R68"),1,X3395="R32",2,X3395="S16",3,X3395="E8",4,X3395="F4",5,X3395="2ND",6,X3395="Champions",7)</f>
        <v>0</v>
      </c>
      <c r="X3395" t="s">
        <v>425</v>
      </c>
      <c r="Y3395" t="s">
        <v>425</v>
      </c>
      <c r="Z3395">
        <v>2023</v>
      </c>
    </row>
    <row r="3396" spans="1:26" x14ac:dyDescent="0.3">
      <c r="A3396" t="s">
        <v>388</v>
      </c>
      <c r="B3396" t="s">
        <v>72</v>
      </c>
      <c r="C3396">
        <v>31</v>
      </c>
      <c r="D3396">
        <v>16</v>
      </c>
      <c r="E3396" s="1">
        <f t="shared" si="53"/>
        <v>0.5161290322580645</v>
      </c>
      <c r="F3396">
        <v>102.3</v>
      </c>
      <c r="G3396">
        <v>107.3</v>
      </c>
      <c r="H3396">
        <v>0.36499999999999999</v>
      </c>
      <c r="I3396">
        <v>51.7</v>
      </c>
      <c r="J3396">
        <v>50.8</v>
      </c>
      <c r="K3396">
        <v>16.899999999999999</v>
      </c>
      <c r="L3396">
        <v>12.4</v>
      </c>
      <c r="M3396">
        <v>24.4</v>
      </c>
      <c r="N3396">
        <v>22.6</v>
      </c>
      <c r="O3396">
        <v>32.200000000000003</v>
      </c>
      <c r="P3396">
        <v>27.1</v>
      </c>
      <c r="Q3396">
        <v>52.2</v>
      </c>
      <c r="R3396">
        <v>50.6</v>
      </c>
      <c r="S3396">
        <v>33.9</v>
      </c>
      <c r="T3396">
        <v>34.200000000000003</v>
      </c>
      <c r="U3396">
        <v>68</v>
      </c>
      <c r="V3396">
        <v>-10.6</v>
      </c>
      <c r="W3396" cm="1">
        <f t="array" ref="W3396">_xlfn.IFS(OR(X3396="N/A",X3396="NA"),0,OR(X3396="R64",X3396="R68"),1,X3396="R32",2,X3396="S16",3,X3396="E8",4,X3396="F4",5,X3396="2ND",6,X3396="Champions",7)</f>
        <v>0</v>
      </c>
      <c r="X3396" t="s">
        <v>425</v>
      </c>
      <c r="Y3396" t="s">
        <v>425</v>
      </c>
      <c r="Z3396">
        <v>2023</v>
      </c>
    </row>
    <row r="3397" spans="1:26" x14ac:dyDescent="0.3">
      <c r="A3397" t="s">
        <v>303</v>
      </c>
      <c r="B3397" t="s">
        <v>43</v>
      </c>
      <c r="C3397">
        <v>31</v>
      </c>
      <c r="D3397">
        <v>16</v>
      </c>
      <c r="E3397" s="1">
        <f t="shared" si="53"/>
        <v>0.5161290322580645</v>
      </c>
      <c r="F3397">
        <v>97.7</v>
      </c>
      <c r="G3397">
        <v>103.5</v>
      </c>
      <c r="H3397">
        <v>0.34100000000000003</v>
      </c>
      <c r="I3397">
        <v>49.2</v>
      </c>
      <c r="J3397">
        <v>49.6</v>
      </c>
      <c r="K3397">
        <v>19.5</v>
      </c>
      <c r="L3397">
        <v>19.100000000000001</v>
      </c>
      <c r="M3397">
        <v>29.7</v>
      </c>
      <c r="N3397">
        <v>28.5</v>
      </c>
      <c r="O3397">
        <v>26.9</v>
      </c>
      <c r="P3397">
        <v>31.1</v>
      </c>
      <c r="Q3397">
        <v>50.4</v>
      </c>
      <c r="R3397">
        <v>47.4</v>
      </c>
      <c r="S3397">
        <v>31.4</v>
      </c>
      <c r="T3397">
        <v>36.200000000000003</v>
      </c>
      <c r="U3397">
        <v>66.099999999999994</v>
      </c>
      <c r="V3397">
        <v>-12.1</v>
      </c>
      <c r="W3397" cm="1">
        <f t="array" ref="W3397">_xlfn.IFS(OR(X3397="N/A",X3397="NA"),0,OR(X3397="R64",X3397="R68"),1,X3397="R32",2,X3397="S16",3,X3397="E8",4,X3397="F4",5,X3397="2ND",6,X3397="Champions",7)</f>
        <v>0</v>
      </c>
      <c r="X3397" t="s">
        <v>425</v>
      </c>
      <c r="Y3397" t="s">
        <v>425</v>
      </c>
      <c r="Z3397">
        <v>2023</v>
      </c>
    </row>
    <row r="3398" spans="1:26" x14ac:dyDescent="0.3">
      <c r="A3398" t="s">
        <v>314</v>
      </c>
      <c r="B3398" t="s">
        <v>64</v>
      </c>
      <c r="C3398">
        <v>30</v>
      </c>
      <c r="D3398">
        <v>16</v>
      </c>
      <c r="E3398" s="1">
        <f t="shared" si="53"/>
        <v>0.53333333333333333</v>
      </c>
      <c r="F3398">
        <v>100.7</v>
      </c>
      <c r="G3398">
        <v>110.3</v>
      </c>
      <c r="H3398">
        <v>0.25879999999999997</v>
      </c>
      <c r="I3398">
        <v>51.4</v>
      </c>
      <c r="J3398">
        <v>51.7</v>
      </c>
      <c r="K3398">
        <v>17.8</v>
      </c>
      <c r="L3398">
        <v>18</v>
      </c>
      <c r="M3398">
        <v>23.8</v>
      </c>
      <c r="N3398">
        <v>30.2</v>
      </c>
      <c r="O3398">
        <v>29.9</v>
      </c>
      <c r="P3398">
        <v>25.8</v>
      </c>
      <c r="Q3398">
        <v>48.1</v>
      </c>
      <c r="R3398">
        <v>52.1</v>
      </c>
      <c r="S3398">
        <v>37.299999999999997</v>
      </c>
      <c r="T3398">
        <v>34</v>
      </c>
      <c r="U3398">
        <v>66.2</v>
      </c>
      <c r="V3398">
        <v>-12.8</v>
      </c>
      <c r="W3398" cm="1">
        <f t="array" ref="W3398">_xlfn.IFS(OR(X3398="N/A",X3398="NA"),0,OR(X3398="R64",X3398="R68"),1,X3398="R32",2,X3398="S16",3,X3398="E8",4,X3398="F4",5,X3398="2ND",6,X3398="Champions",7)</f>
        <v>0</v>
      </c>
      <c r="X3398" t="s">
        <v>425</v>
      </c>
      <c r="Y3398" t="s">
        <v>425</v>
      </c>
      <c r="Z3398">
        <v>2023</v>
      </c>
    </row>
    <row r="3399" spans="1:26" x14ac:dyDescent="0.3">
      <c r="A3399" t="s">
        <v>437</v>
      </c>
      <c r="B3399" t="s">
        <v>64</v>
      </c>
      <c r="C3399">
        <v>30</v>
      </c>
      <c r="D3399">
        <v>16</v>
      </c>
      <c r="E3399" s="1">
        <f t="shared" si="53"/>
        <v>0.53333333333333333</v>
      </c>
      <c r="F3399">
        <v>101.1</v>
      </c>
      <c r="G3399">
        <v>112.1</v>
      </c>
      <c r="H3399">
        <v>0.23369999999999999</v>
      </c>
      <c r="I3399">
        <v>50.2</v>
      </c>
      <c r="J3399">
        <v>51.7</v>
      </c>
      <c r="K3399">
        <v>18.2</v>
      </c>
      <c r="L3399">
        <v>16.600000000000001</v>
      </c>
      <c r="M3399">
        <v>32.1</v>
      </c>
      <c r="N3399">
        <v>25.9</v>
      </c>
      <c r="O3399">
        <v>33.5</v>
      </c>
      <c r="P3399">
        <v>39.799999999999997</v>
      </c>
      <c r="Q3399">
        <v>47.1</v>
      </c>
      <c r="R3399">
        <v>51</v>
      </c>
      <c r="S3399">
        <v>36.299999999999997</v>
      </c>
      <c r="T3399">
        <v>35.1</v>
      </c>
      <c r="U3399">
        <v>69.2</v>
      </c>
      <c r="V3399">
        <v>-12.6</v>
      </c>
      <c r="W3399" cm="1">
        <f t="array" ref="W3399">_xlfn.IFS(OR(X3399="N/A",X3399="NA"),0,OR(X3399="R64",X3399="R68"),1,X3399="R32",2,X3399="S16",3,X3399="E8",4,X3399="F4",5,X3399="2ND",6,X3399="Champions",7)</f>
        <v>0</v>
      </c>
      <c r="X3399" t="s">
        <v>425</v>
      </c>
      <c r="Y3399" t="s">
        <v>425</v>
      </c>
      <c r="Z3399">
        <v>2023</v>
      </c>
    </row>
    <row r="3400" spans="1:26" x14ac:dyDescent="0.3">
      <c r="A3400" t="s">
        <v>299</v>
      </c>
      <c r="B3400" t="s">
        <v>77</v>
      </c>
      <c r="C3400">
        <v>32</v>
      </c>
      <c r="D3400">
        <v>16</v>
      </c>
      <c r="E3400" s="1">
        <f t="shared" si="53"/>
        <v>0.5</v>
      </c>
      <c r="F3400">
        <v>95.4</v>
      </c>
      <c r="G3400">
        <v>110.5</v>
      </c>
      <c r="H3400">
        <v>0.15490000000000001</v>
      </c>
      <c r="I3400">
        <v>48.4</v>
      </c>
      <c r="J3400">
        <v>50.2</v>
      </c>
      <c r="K3400">
        <v>18.8</v>
      </c>
      <c r="L3400">
        <v>19.399999999999999</v>
      </c>
      <c r="M3400">
        <v>28.8</v>
      </c>
      <c r="N3400">
        <v>30.8</v>
      </c>
      <c r="O3400">
        <v>27.6</v>
      </c>
      <c r="P3400">
        <v>26.5</v>
      </c>
      <c r="Q3400">
        <v>49.8</v>
      </c>
      <c r="R3400">
        <v>49.7</v>
      </c>
      <c r="S3400">
        <v>30.6</v>
      </c>
      <c r="T3400">
        <v>34.1</v>
      </c>
      <c r="U3400">
        <v>69.8</v>
      </c>
      <c r="V3400">
        <v>-13.6</v>
      </c>
      <c r="W3400" cm="1">
        <f t="array" ref="W3400">_xlfn.IFS(OR(X3400="N/A",X3400="NA"),0,OR(X3400="R64",X3400="R68"),1,X3400="R32",2,X3400="S16",3,X3400="E8",4,X3400="F4",5,X3400="2ND",6,X3400="Champions",7)</f>
        <v>0</v>
      </c>
      <c r="X3400" t="s">
        <v>425</v>
      </c>
      <c r="Y3400" t="s">
        <v>425</v>
      </c>
      <c r="Z3400">
        <v>2023</v>
      </c>
    </row>
    <row r="3401" spans="1:26" x14ac:dyDescent="0.3">
      <c r="A3401" t="s">
        <v>176</v>
      </c>
      <c r="B3401" t="s">
        <v>74</v>
      </c>
      <c r="C3401">
        <v>32</v>
      </c>
      <c r="D3401">
        <v>16</v>
      </c>
      <c r="E3401" s="1">
        <f t="shared" si="53"/>
        <v>0.5</v>
      </c>
      <c r="F3401">
        <v>104.6</v>
      </c>
      <c r="G3401">
        <v>108.7</v>
      </c>
      <c r="H3401">
        <v>0.38919999999999999</v>
      </c>
      <c r="I3401">
        <v>52.7</v>
      </c>
      <c r="J3401">
        <v>52.5</v>
      </c>
      <c r="K3401">
        <v>18.100000000000001</v>
      </c>
      <c r="L3401">
        <v>18.399999999999999</v>
      </c>
      <c r="M3401">
        <v>24.4</v>
      </c>
      <c r="N3401">
        <v>27.8</v>
      </c>
      <c r="O3401">
        <v>38</v>
      </c>
      <c r="P3401">
        <v>32.1</v>
      </c>
      <c r="Q3401">
        <v>54.7</v>
      </c>
      <c r="R3401">
        <v>53.2</v>
      </c>
      <c r="S3401">
        <v>32.9</v>
      </c>
      <c r="T3401">
        <v>34.4</v>
      </c>
      <c r="U3401">
        <v>64.099999999999994</v>
      </c>
      <c r="V3401">
        <v>-13.3</v>
      </c>
      <c r="W3401" cm="1">
        <f t="array" ref="W3401">_xlfn.IFS(OR(X3401="N/A",X3401="NA"),0,OR(X3401="R64",X3401="R68"),1,X3401="R32",2,X3401="S16",3,X3401="E8",4,X3401="F4",5,X3401="2ND",6,X3401="Champions",7)</f>
        <v>0</v>
      </c>
      <c r="X3401" t="s">
        <v>425</v>
      </c>
      <c r="Y3401" t="s">
        <v>425</v>
      </c>
      <c r="Z3401">
        <v>2023</v>
      </c>
    </row>
    <row r="3402" spans="1:26" x14ac:dyDescent="0.3">
      <c r="A3402" t="s">
        <v>80</v>
      </c>
      <c r="B3402" t="s">
        <v>31</v>
      </c>
      <c r="C3402">
        <v>35</v>
      </c>
      <c r="D3402">
        <v>16</v>
      </c>
      <c r="E3402" s="1">
        <f t="shared" si="53"/>
        <v>0.45714285714285713</v>
      </c>
      <c r="F3402">
        <v>115.8</v>
      </c>
      <c r="G3402">
        <v>100.7</v>
      </c>
      <c r="H3402">
        <v>0.83220000000000005</v>
      </c>
      <c r="I3402">
        <v>52</v>
      </c>
      <c r="J3402">
        <v>48.9</v>
      </c>
      <c r="K3402">
        <v>16.100000000000001</v>
      </c>
      <c r="L3402">
        <v>15.9</v>
      </c>
      <c r="M3402">
        <v>31.5</v>
      </c>
      <c r="N3402">
        <v>28.6</v>
      </c>
      <c r="O3402">
        <v>26.6</v>
      </c>
      <c r="P3402">
        <v>28.1</v>
      </c>
      <c r="Q3402">
        <v>50.6</v>
      </c>
      <c r="R3402">
        <v>49.3</v>
      </c>
      <c r="S3402">
        <v>36.799999999999997</v>
      </c>
      <c r="T3402">
        <v>32.1</v>
      </c>
      <c r="U3402">
        <v>66</v>
      </c>
      <c r="V3402">
        <v>-3.1</v>
      </c>
      <c r="W3402" cm="1">
        <f t="array" ref="W3402">_xlfn.IFS(OR(X3402="N/A",X3402="NA"),0,OR(X3402="R64",X3402="R68"),1,X3402="R32",2,X3402="S16",3,X3402="E8",4,X3402="F4",5,X3402="2ND",6,X3402="Champions",7)</f>
        <v>0</v>
      </c>
      <c r="X3402" t="s">
        <v>425</v>
      </c>
      <c r="Y3402" t="s">
        <v>425</v>
      </c>
      <c r="Z3402">
        <v>2023</v>
      </c>
    </row>
    <row r="3403" spans="1:26" x14ac:dyDescent="0.3">
      <c r="A3403" t="s">
        <v>343</v>
      </c>
      <c r="B3403" t="s">
        <v>58</v>
      </c>
      <c r="C3403">
        <v>32</v>
      </c>
      <c r="D3403">
        <v>16</v>
      </c>
      <c r="E3403" s="1">
        <f t="shared" si="53"/>
        <v>0.5</v>
      </c>
      <c r="F3403">
        <v>104.6</v>
      </c>
      <c r="G3403">
        <v>106.2</v>
      </c>
      <c r="H3403">
        <v>0.45400000000000001</v>
      </c>
      <c r="I3403">
        <v>48.2</v>
      </c>
      <c r="J3403">
        <v>50.9</v>
      </c>
      <c r="K3403">
        <v>17.899999999999999</v>
      </c>
      <c r="L3403">
        <v>18.600000000000001</v>
      </c>
      <c r="M3403">
        <v>31.6</v>
      </c>
      <c r="N3403">
        <v>28.5</v>
      </c>
      <c r="O3403">
        <v>32.5</v>
      </c>
      <c r="P3403">
        <v>41.7</v>
      </c>
      <c r="Q3403">
        <v>48.6</v>
      </c>
      <c r="R3403">
        <v>49</v>
      </c>
      <c r="S3403">
        <v>31.4</v>
      </c>
      <c r="T3403">
        <v>36.4</v>
      </c>
      <c r="U3403">
        <v>63.5</v>
      </c>
      <c r="V3403">
        <v>-12.1</v>
      </c>
      <c r="W3403" cm="1">
        <f t="array" ref="W3403">_xlfn.IFS(OR(X3403="N/A",X3403="NA"),0,OR(X3403="R64",X3403="R68"),1,X3403="R32",2,X3403="S16",3,X3403="E8",4,X3403="F4",5,X3403="2ND",6,X3403="Champions",7)</f>
        <v>0</v>
      </c>
      <c r="X3403" t="s">
        <v>425</v>
      </c>
      <c r="Y3403" t="s">
        <v>425</v>
      </c>
      <c r="Z3403">
        <v>2023</v>
      </c>
    </row>
    <row r="3404" spans="1:26" x14ac:dyDescent="0.3">
      <c r="A3404" t="s">
        <v>234</v>
      </c>
      <c r="B3404" t="s">
        <v>59</v>
      </c>
      <c r="C3404">
        <v>26</v>
      </c>
      <c r="D3404">
        <v>17</v>
      </c>
      <c r="E3404" s="1">
        <f t="shared" si="53"/>
        <v>0.65384615384615385</v>
      </c>
      <c r="F3404">
        <v>109.8</v>
      </c>
      <c r="G3404">
        <v>109.4</v>
      </c>
      <c r="H3404">
        <v>0.50990000000000002</v>
      </c>
      <c r="I3404">
        <v>54.8</v>
      </c>
      <c r="J3404">
        <v>55.7</v>
      </c>
      <c r="K3404">
        <v>16.7</v>
      </c>
      <c r="L3404">
        <v>21.9</v>
      </c>
      <c r="M3404">
        <v>28.8</v>
      </c>
      <c r="N3404">
        <v>29</v>
      </c>
      <c r="O3404">
        <v>28.5</v>
      </c>
      <c r="P3404">
        <v>30.9</v>
      </c>
      <c r="Q3404">
        <v>57.5</v>
      </c>
      <c r="R3404">
        <v>56.6</v>
      </c>
      <c r="S3404">
        <v>34.5</v>
      </c>
      <c r="T3404">
        <v>36.200000000000003</v>
      </c>
      <c r="U3404">
        <v>71</v>
      </c>
      <c r="V3404">
        <v>-5.4</v>
      </c>
      <c r="W3404" cm="1">
        <f t="array" ref="W3404">_xlfn.IFS(OR(X3404="N/A",X3404="NA"),0,OR(X3404="R64",X3404="R68"),1,X3404="R32",2,X3404="S16",3,X3404="E8",4,X3404="F4",5,X3404="2ND",6,X3404="Champions",7)</f>
        <v>0</v>
      </c>
      <c r="X3404" t="s">
        <v>425</v>
      </c>
      <c r="Y3404" t="s">
        <v>425</v>
      </c>
      <c r="Z3404">
        <v>2023</v>
      </c>
    </row>
    <row r="3405" spans="1:26" x14ac:dyDescent="0.3">
      <c r="A3405" t="s">
        <v>236</v>
      </c>
      <c r="B3405" t="s">
        <v>59</v>
      </c>
      <c r="C3405">
        <v>29</v>
      </c>
      <c r="D3405">
        <v>17</v>
      </c>
      <c r="E3405" s="1">
        <f t="shared" si="53"/>
        <v>0.58620689655172409</v>
      </c>
      <c r="F3405">
        <v>109.9</v>
      </c>
      <c r="G3405">
        <v>104.9</v>
      </c>
      <c r="H3405">
        <v>0.63129999999999997</v>
      </c>
      <c r="I3405">
        <v>53.3</v>
      </c>
      <c r="J3405">
        <v>49.3</v>
      </c>
      <c r="K3405">
        <v>18.899999999999999</v>
      </c>
      <c r="L3405">
        <v>14.9</v>
      </c>
      <c r="M3405">
        <v>30.1</v>
      </c>
      <c r="N3405">
        <v>27.9</v>
      </c>
      <c r="O3405">
        <v>29.5</v>
      </c>
      <c r="P3405">
        <v>31.2</v>
      </c>
      <c r="Q3405">
        <v>52.7</v>
      </c>
      <c r="R3405">
        <v>49.1</v>
      </c>
      <c r="S3405">
        <v>36.200000000000003</v>
      </c>
      <c r="T3405">
        <v>33</v>
      </c>
      <c r="U3405">
        <v>66.900000000000006</v>
      </c>
      <c r="V3405">
        <v>-6</v>
      </c>
      <c r="W3405" cm="1">
        <f t="array" ref="W3405">_xlfn.IFS(OR(X3405="N/A",X3405="NA"),0,OR(X3405="R64",X3405="R68"),1,X3405="R32",2,X3405="S16",3,X3405="E8",4,X3405="F4",5,X3405="2ND",6,X3405="Champions",7)</f>
        <v>0</v>
      </c>
      <c r="X3405" t="s">
        <v>425</v>
      </c>
      <c r="Y3405" t="s">
        <v>425</v>
      </c>
      <c r="Z3405">
        <v>2023</v>
      </c>
    </row>
    <row r="3406" spans="1:26" x14ac:dyDescent="0.3">
      <c r="A3406" t="s">
        <v>294</v>
      </c>
      <c r="B3406" t="s">
        <v>112</v>
      </c>
      <c r="C3406">
        <v>28</v>
      </c>
      <c r="D3406">
        <v>17</v>
      </c>
      <c r="E3406" s="1">
        <f t="shared" si="53"/>
        <v>0.6071428571428571</v>
      </c>
      <c r="F3406">
        <v>102.8</v>
      </c>
      <c r="G3406">
        <v>106.4</v>
      </c>
      <c r="H3406">
        <v>0.4037</v>
      </c>
      <c r="I3406">
        <v>52</v>
      </c>
      <c r="J3406">
        <v>50</v>
      </c>
      <c r="K3406">
        <v>18.7</v>
      </c>
      <c r="L3406">
        <v>15.8</v>
      </c>
      <c r="M3406">
        <v>29</v>
      </c>
      <c r="N3406">
        <v>25.2</v>
      </c>
      <c r="O3406">
        <v>32.9</v>
      </c>
      <c r="P3406">
        <v>31.9</v>
      </c>
      <c r="Q3406">
        <v>53.4</v>
      </c>
      <c r="R3406">
        <v>49.3</v>
      </c>
      <c r="S3406">
        <v>33.299999999999997</v>
      </c>
      <c r="T3406">
        <v>34.1</v>
      </c>
      <c r="U3406">
        <v>72</v>
      </c>
      <c r="V3406">
        <v>-7.9</v>
      </c>
      <c r="W3406" cm="1">
        <f t="array" ref="W3406">_xlfn.IFS(OR(X3406="N/A",X3406="NA"),0,OR(X3406="R64",X3406="R68"),1,X3406="R32",2,X3406="S16",3,X3406="E8",4,X3406="F4",5,X3406="2ND",6,X3406="Champions",7)</f>
        <v>0</v>
      </c>
      <c r="X3406" t="s">
        <v>425</v>
      </c>
      <c r="Y3406" t="s">
        <v>425</v>
      </c>
      <c r="Z3406">
        <v>2023</v>
      </c>
    </row>
    <row r="3407" spans="1:26" x14ac:dyDescent="0.3">
      <c r="A3407" t="s">
        <v>166</v>
      </c>
      <c r="B3407" t="s">
        <v>164</v>
      </c>
      <c r="C3407">
        <v>30</v>
      </c>
      <c r="D3407">
        <v>17</v>
      </c>
      <c r="E3407" s="1">
        <f t="shared" si="53"/>
        <v>0.56666666666666665</v>
      </c>
      <c r="F3407">
        <v>107.8</v>
      </c>
      <c r="G3407">
        <v>107.5</v>
      </c>
      <c r="H3407">
        <v>0.50770000000000004</v>
      </c>
      <c r="I3407">
        <v>53.8</v>
      </c>
      <c r="J3407">
        <v>51.2</v>
      </c>
      <c r="K3407">
        <v>17.3</v>
      </c>
      <c r="L3407">
        <v>15.9</v>
      </c>
      <c r="M3407">
        <v>24.4</v>
      </c>
      <c r="N3407">
        <v>25.1</v>
      </c>
      <c r="O3407">
        <v>29.1</v>
      </c>
      <c r="P3407">
        <v>37.9</v>
      </c>
      <c r="Q3407">
        <v>52.4</v>
      </c>
      <c r="R3407">
        <v>52.5</v>
      </c>
      <c r="S3407">
        <v>37.299999999999997</v>
      </c>
      <c r="T3407">
        <v>32.5</v>
      </c>
      <c r="U3407">
        <v>63.5</v>
      </c>
      <c r="V3407">
        <v>-7.9</v>
      </c>
      <c r="W3407" cm="1">
        <f t="array" ref="W3407">_xlfn.IFS(OR(X3407="N/A",X3407="NA"),0,OR(X3407="R64",X3407="R68"),1,X3407="R32",2,X3407="S16",3,X3407="E8",4,X3407="F4",5,X3407="2ND",6,X3407="Champions",7)</f>
        <v>0</v>
      </c>
      <c r="X3407" t="s">
        <v>425</v>
      </c>
      <c r="Y3407" t="s">
        <v>425</v>
      </c>
      <c r="Z3407">
        <v>2023</v>
      </c>
    </row>
    <row r="3408" spans="1:26" x14ac:dyDescent="0.3">
      <c r="A3408" t="s">
        <v>136</v>
      </c>
      <c r="B3408" t="s">
        <v>131</v>
      </c>
      <c r="C3408">
        <v>29</v>
      </c>
      <c r="D3408">
        <v>17</v>
      </c>
      <c r="E3408" s="1">
        <f t="shared" si="53"/>
        <v>0.58620689655172409</v>
      </c>
      <c r="F3408">
        <v>111.5</v>
      </c>
      <c r="G3408">
        <v>112.2</v>
      </c>
      <c r="H3408">
        <v>0.48280000000000001</v>
      </c>
      <c r="I3408">
        <v>53.5</v>
      </c>
      <c r="J3408">
        <v>52.9</v>
      </c>
      <c r="K3408">
        <v>15.9</v>
      </c>
      <c r="L3408">
        <v>14.3</v>
      </c>
      <c r="M3408">
        <v>29.4</v>
      </c>
      <c r="N3408">
        <v>28.1</v>
      </c>
      <c r="O3408">
        <v>25.8</v>
      </c>
      <c r="P3408">
        <v>30</v>
      </c>
      <c r="Q3408">
        <v>50.8</v>
      </c>
      <c r="R3408">
        <v>52.7</v>
      </c>
      <c r="S3408">
        <v>38</v>
      </c>
      <c r="T3408">
        <v>35.4</v>
      </c>
      <c r="U3408">
        <v>64.5</v>
      </c>
      <c r="V3408">
        <v>-7</v>
      </c>
      <c r="W3408" cm="1">
        <f t="array" ref="W3408">_xlfn.IFS(OR(X3408="N/A",X3408="NA"),0,OR(X3408="R64",X3408="R68"),1,X3408="R32",2,X3408="S16",3,X3408="E8",4,X3408="F4",5,X3408="2ND",6,X3408="Champions",7)</f>
        <v>0</v>
      </c>
      <c r="X3408" t="s">
        <v>425</v>
      </c>
      <c r="Y3408" t="s">
        <v>425</v>
      </c>
      <c r="Z3408">
        <v>2023</v>
      </c>
    </row>
    <row r="3409" spans="1:26" x14ac:dyDescent="0.3">
      <c r="A3409" t="s">
        <v>325</v>
      </c>
      <c r="B3409" t="s">
        <v>38</v>
      </c>
      <c r="C3409">
        <v>32</v>
      </c>
      <c r="D3409">
        <v>17</v>
      </c>
      <c r="E3409" s="1">
        <f t="shared" si="53"/>
        <v>0.53125</v>
      </c>
      <c r="F3409">
        <v>106.7</v>
      </c>
      <c r="G3409">
        <v>95</v>
      </c>
      <c r="H3409">
        <v>0.79079999999999995</v>
      </c>
      <c r="I3409">
        <v>48.9</v>
      </c>
      <c r="J3409">
        <v>45</v>
      </c>
      <c r="K3409">
        <v>18</v>
      </c>
      <c r="L3409">
        <v>15.2</v>
      </c>
      <c r="M3409">
        <v>31.3</v>
      </c>
      <c r="N3409">
        <v>27.4</v>
      </c>
      <c r="O3409">
        <v>29.2</v>
      </c>
      <c r="P3409">
        <v>24.4</v>
      </c>
      <c r="Q3409">
        <v>48.4</v>
      </c>
      <c r="R3409">
        <v>44.9</v>
      </c>
      <c r="S3409">
        <v>33.299999999999997</v>
      </c>
      <c r="T3409">
        <v>30.2</v>
      </c>
      <c r="U3409">
        <v>66</v>
      </c>
      <c r="V3409">
        <v>-3.3</v>
      </c>
      <c r="W3409" cm="1">
        <f t="array" ref="W3409">_xlfn.IFS(OR(X3409="N/A",X3409="NA"),0,OR(X3409="R64",X3409="R68"),1,X3409="R32",2,X3409="S16",3,X3409="E8",4,X3409="F4",5,X3409="2ND",6,X3409="Champions",7)</f>
        <v>0</v>
      </c>
      <c r="X3409" t="s">
        <v>425</v>
      </c>
      <c r="Y3409" t="s">
        <v>425</v>
      </c>
      <c r="Z3409">
        <v>2023</v>
      </c>
    </row>
    <row r="3410" spans="1:26" x14ac:dyDescent="0.3">
      <c r="A3410" t="s">
        <v>88</v>
      </c>
      <c r="B3410" t="s">
        <v>50</v>
      </c>
      <c r="C3410">
        <v>32</v>
      </c>
      <c r="D3410">
        <v>17</v>
      </c>
      <c r="E3410" s="1">
        <f t="shared" si="53"/>
        <v>0.53125</v>
      </c>
      <c r="F3410">
        <v>108.1</v>
      </c>
      <c r="G3410">
        <v>98.7</v>
      </c>
      <c r="H3410">
        <v>0.73950000000000005</v>
      </c>
      <c r="I3410">
        <v>50.7</v>
      </c>
      <c r="J3410">
        <v>47.5</v>
      </c>
      <c r="K3410">
        <v>18.2</v>
      </c>
      <c r="L3410">
        <v>16.899999999999999</v>
      </c>
      <c r="M3410">
        <v>29.1</v>
      </c>
      <c r="N3410">
        <v>28.2</v>
      </c>
      <c r="O3410">
        <v>30.8</v>
      </c>
      <c r="P3410">
        <v>25.9</v>
      </c>
      <c r="Q3410">
        <v>53.3</v>
      </c>
      <c r="R3410">
        <v>45.4</v>
      </c>
      <c r="S3410">
        <v>30.9</v>
      </c>
      <c r="T3410">
        <v>33.6</v>
      </c>
      <c r="U3410">
        <v>66</v>
      </c>
      <c r="V3410">
        <v>-5.5</v>
      </c>
      <c r="W3410" cm="1">
        <f t="array" ref="W3410">_xlfn.IFS(OR(X3410="N/A",X3410="NA"),0,OR(X3410="R64",X3410="R68"),1,X3410="R32",2,X3410="S16",3,X3410="E8",4,X3410="F4",5,X3410="2ND",6,X3410="Champions",7)</f>
        <v>0</v>
      </c>
      <c r="X3410" t="s">
        <v>425</v>
      </c>
      <c r="Y3410" t="s">
        <v>425</v>
      </c>
      <c r="Z3410">
        <v>2023</v>
      </c>
    </row>
    <row r="3411" spans="1:26" x14ac:dyDescent="0.3">
      <c r="A3411" t="s">
        <v>82</v>
      </c>
      <c r="B3411" t="s">
        <v>26</v>
      </c>
      <c r="C3411">
        <v>32</v>
      </c>
      <c r="D3411">
        <v>17</v>
      </c>
      <c r="E3411" s="1">
        <f t="shared" si="53"/>
        <v>0.53125</v>
      </c>
      <c r="F3411">
        <v>109</v>
      </c>
      <c r="G3411">
        <v>105.7</v>
      </c>
      <c r="H3411">
        <v>0.58630000000000004</v>
      </c>
      <c r="I3411">
        <v>51.6</v>
      </c>
      <c r="J3411">
        <v>51.2</v>
      </c>
      <c r="K3411">
        <v>17</v>
      </c>
      <c r="L3411">
        <v>18.7</v>
      </c>
      <c r="M3411">
        <v>30</v>
      </c>
      <c r="N3411">
        <v>33.6</v>
      </c>
      <c r="O3411">
        <v>30.7</v>
      </c>
      <c r="P3411">
        <v>21.7</v>
      </c>
      <c r="Q3411">
        <v>50.5</v>
      </c>
      <c r="R3411">
        <v>50.9</v>
      </c>
      <c r="S3411">
        <v>36.1</v>
      </c>
      <c r="T3411">
        <v>34.4</v>
      </c>
      <c r="U3411">
        <v>67.2</v>
      </c>
      <c r="V3411">
        <v>-5.7</v>
      </c>
      <c r="W3411" cm="1">
        <f t="array" ref="W3411">_xlfn.IFS(OR(X3411="N/A",X3411="NA"),0,OR(X3411="R64",X3411="R68"),1,X3411="R32",2,X3411="S16",3,X3411="E8",4,X3411="F4",5,X3411="2ND",6,X3411="Champions",7)</f>
        <v>0</v>
      </c>
      <c r="X3411" t="s">
        <v>425</v>
      </c>
      <c r="Y3411" t="s">
        <v>425</v>
      </c>
      <c r="Z3411">
        <v>2023</v>
      </c>
    </row>
    <row r="3412" spans="1:26" x14ac:dyDescent="0.3">
      <c r="A3412" t="s">
        <v>280</v>
      </c>
      <c r="B3412" t="s">
        <v>47</v>
      </c>
      <c r="C3412">
        <v>31</v>
      </c>
      <c r="D3412">
        <v>17</v>
      </c>
      <c r="E3412" s="1">
        <f t="shared" si="53"/>
        <v>0.54838709677419351</v>
      </c>
      <c r="F3412">
        <v>103.8</v>
      </c>
      <c r="G3412">
        <v>102.2</v>
      </c>
      <c r="H3412">
        <v>0.54510000000000003</v>
      </c>
      <c r="I3412">
        <v>50.1</v>
      </c>
      <c r="J3412">
        <v>49.3</v>
      </c>
      <c r="K3412">
        <v>19.100000000000001</v>
      </c>
      <c r="L3412">
        <v>18.600000000000001</v>
      </c>
      <c r="M3412">
        <v>33.200000000000003</v>
      </c>
      <c r="N3412">
        <v>26.9</v>
      </c>
      <c r="O3412">
        <v>27.2</v>
      </c>
      <c r="P3412">
        <v>30.4</v>
      </c>
      <c r="Q3412">
        <v>50.9</v>
      </c>
      <c r="R3412">
        <v>49.5</v>
      </c>
      <c r="S3412">
        <v>32.799999999999997</v>
      </c>
      <c r="T3412">
        <v>32.6</v>
      </c>
      <c r="U3412">
        <v>61.9</v>
      </c>
      <c r="V3412">
        <v>-8.1</v>
      </c>
      <c r="W3412" cm="1">
        <f t="array" ref="W3412">_xlfn.IFS(OR(X3412="N/A",X3412="NA"),0,OR(X3412="R64",X3412="R68"),1,X3412="R32",2,X3412="S16",3,X3412="E8",4,X3412="F4",5,X3412="2ND",6,X3412="Champions",7)</f>
        <v>0</v>
      </c>
      <c r="X3412" t="s">
        <v>425</v>
      </c>
      <c r="Y3412" t="s">
        <v>425</v>
      </c>
      <c r="Z3412">
        <v>2023</v>
      </c>
    </row>
    <row r="3413" spans="1:26" x14ac:dyDescent="0.3">
      <c r="A3413" t="s">
        <v>199</v>
      </c>
      <c r="B3413" t="s">
        <v>53</v>
      </c>
      <c r="C3413">
        <v>31</v>
      </c>
      <c r="D3413">
        <v>17</v>
      </c>
      <c r="E3413" s="1">
        <f t="shared" si="53"/>
        <v>0.54838709677419351</v>
      </c>
      <c r="F3413">
        <v>100</v>
      </c>
      <c r="G3413">
        <v>101.1</v>
      </c>
      <c r="H3413">
        <v>0.46850000000000003</v>
      </c>
      <c r="I3413">
        <v>49.4</v>
      </c>
      <c r="J3413">
        <v>47.4</v>
      </c>
      <c r="K3413">
        <v>17.899999999999999</v>
      </c>
      <c r="L3413">
        <v>18</v>
      </c>
      <c r="M3413">
        <v>29.4</v>
      </c>
      <c r="N3413">
        <v>27.4</v>
      </c>
      <c r="O3413">
        <v>30.1</v>
      </c>
      <c r="P3413">
        <v>24.2</v>
      </c>
      <c r="Q3413">
        <v>50.6</v>
      </c>
      <c r="R3413">
        <v>46.2</v>
      </c>
      <c r="S3413">
        <v>31.8</v>
      </c>
      <c r="T3413">
        <v>33.5</v>
      </c>
      <c r="U3413">
        <v>63.4</v>
      </c>
      <c r="V3413">
        <v>-10.3</v>
      </c>
      <c r="W3413" cm="1">
        <f t="array" ref="W3413">_xlfn.IFS(OR(X3413="N/A",X3413="NA"),0,OR(X3413="R64",X3413="R68"),1,X3413="R32",2,X3413="S16",3,X3413="E8",4,X3413="F4",5,X3413="2ND",6,X3413="Champions",7)</f>
        <v>0</v>
      </c>
      <c r="X3413" t="s">
        <v>425</v>
      </c>
      <c r="Y3413" t="s">
        <v>425</v>
      </c>
      <c r="Z3413">
        <v>2023</v>
      </c>
    </row>
    <row r="3414" spans="1:26" x14ac:dyDescent="0.3">
      <c r="A3414" t="s">
        <v>130</v>
      </c>
      <c r="B3414" t="s">
        <v>131</v>
      </c>
      <c r="C3414">
        <v>31</v>
      </c>
      <c r="D3414">
        <v>17</v>
      </c>
      <c r="E3414" s="1">
        <f t="shared" si="53"/>
        <v>0.54838709677419351</v>
      </c>
      <c r="F3414">
        <v>103.6</v>
      </c>
      <c r="G3414">
        <v>105.9</v>
      </c>
      <c r="H3414">
        <v>0.43759999999999999</v>
      </c>
      <c r="I3414">
        <v>51.2</v>
      </c>
      <c r="J3414">
        <v>50.7</v>
      </c>
      <c r="K3414">
        <v>17.100000000000001</v>
      </c>
      <c r="L3414">
        <v>17.3</v>
      </c>
      <c r="M3414">
        <v>26.6</v>
      </c>
      <c r="N3414">
        <v>28.8</v>
      </c>
      <c r="O3414">
        <v>28.2</v>
      </c>
      <c r="P3414">
        <v>28.1</v>
      </c>
      <c r="Q3414">
        <v>50.1</v>
      </c>
      <c r="R3414">
        <v>51.1</v>
      </c>
      <c r="S3414">
        <v>35.1</v>
      </c>
      <c r="T3414">
        <v>33.4</v>
      </c>
      <c r="U3414">
        <v>66.2</v>
      </c>
      <c r="V3414">
        <v>-8.6999999999999993</v>
      </c>
      <c r="W3414" cm="1">
        <f t="array" ref="W3414">_xlfn.IFS(OR(X3414="N/A",X3414="NA"),0,OR(X3414="R64",X3414="R68"),1,X3414="R32",2,X3414="S16",3,X3414="E8",4,X3414="F4",5,X3414="2ND",6,X3414="Champions",7)</f>
        <v>0</v>
      </c>
      <c r="X3414" t="s">
        <v>425</v>
      </c>
      <c r="Y3414" t="s">
        <v>425</v>
      </c>
      <c r="Z3414">
        <v>2023</v>
      </c>
    </row>
    <row r="3415" spans="1:26" x14ac:dyDescent="0.3">
      <c r="A3415" t="s">
        <v>249</v>
      </c>
      <c r="B3415" t="s">
        <v>69</v>
      </c>
      <c r="C3415">
        <v>32</v>
      </c>
      <c r="D3415">
        <v>17</v>
      </c>
      <c r="E3415" s="1">
        <f t="shared" si="53"/>
        <v>0.53125</v>
      </c>
      <c r="F3415">
        <v>100.2</v>
      </c>
      <c r="G3415">
        <v>104.2</v>
      </c>
      <c r="H3415">
        <v>0.39029999999999998</v>
      </c>
      <c r="I3415">
        <v>49.3</v>
      </c>
      <c r="J3415">
        <v>49.6</v>
      </c>
      <c r="K3415">
        <v>19.5</v>
      </c>
      <c r="L3415">
        <v>18.5</v>
      </c>
      <c r="M3415">
        <v>30.5</v>
      </c>
      <c r="N3415">
        <v>26.8</v>
      </c>
      <c r="O3415">
        <v>34.5</v>
      </c>
      <c r="P3415">
        <v>33</v>
      </c>
      <c r="Q3415">
        <v>47.8</v>
      </c>
      <c r="R3415">
        <v>49.4</v>
      </c>
      <c r="S3415">
        <v>34.9</v>
      </c>
      <c r="T3415">
        <v>33.5</v>
      </c>
      <c r="U3415">
        <v>66.7</v>
      </c>
      <c r="V3415">
        <v>-10.5</v>
      </c>
      <c r="W3415" cm="1">
        <f t="array" ref="W3415">_xlfn.IFS(OR(X3415="N/A",X3415="NA"),0,OR(X3415="R64",X3415="R68"),1,X3415="R32",2,X3415="S16",3,X3415="E8",4,X3415="F4",5,X3415="2ND",6,X3415="Champions",7)</f>
        <v>0</v>
      </c>
      <c r="X3415" t="s">
        <v>425</v>
      </c>
      <c r="Y3415" t="s">
        <v>425</v>
      </c>
      <c r="Z3415">
        <v>2023</v>
      </c>
    </row>
    <row r="3416" spans="1:26" x14ac:dyDescent="0.3">
      <c r="A3416" t="s">
        <v>309</v>
      </c>
      <c r="B3416" t="s">
        <v>47</v>
      </c>
      <c r="C3416">
        <v>31</v>
      </c>
      <c r="D3416">
        <v>17</v>
      </c>
      <c r="E3416" s="1">
        <f t="shared" si="53"/>
        <v>0.54838709677419351</v>
      </c>
      <c r="F3416">
        <v>104.8</v>
      </c>
      <c r="G3416">
        <v>109.4</v>
      </c>
      <c r="H3416">
        <v>0.37759999999999999</v>
      </c>
      <c r="I3416">
        <v>49</v>
      </c>
      <c r="J3416">
        <v>51.9</v>
      </c>
      <c r="K3416">
        <v>16.2</v>
      </c>
      <c r="L3416">
        <v>15.6</v>
      </c>
      <c r="M3416">
        <v>27.4</v>
      </c>
      <c r="N3416">
        <v>27.3</v>
      </c>
      <c r="O3416">
        <v>33.200000000000003</v>
      </c>
      <c r="P3416">
        <v>24.4</v>
      </c>
      <c r="Q3416">
        <v>49.1</v>
      </c>
      <c r="R3416">
        <v>53.2</v>
      </c>
      <c r="S3416">
        <v>32.6</v>
      </c>
      <c r="T3416">
        <v>33.4</v>
      </c>
      <c r="U3416">
        <v>66.599999999999994</v>
      </c>
      <c r="V3416">
        <v>-8.1</v>
      </c>
      <c r="W3416" cm="1">
        <f t="array" ref="W3416">_xlfn.IFS(OR(X3416="N/A",X3416="NA"),0,OR(X3416="R64",X3416="R68"),1,X3416="R32",2,X3416="S16",3,X3416="E8",4,X3416="F4",5,X3416="2ND",6,X3416="Champions",7)</f>
        <v>0</v>
      </c>
      <c r="X3416" t="s">
        <v>425</v>
      </c>
      <c r="Y3416" t="s">
        <v>425</v>
      </c>
      <c r="Z3416">
        <v>2023</v>
      </c>
    </row>
    <row r="3417" spans="1:26" x14ac:dyDescent="0.3">
      <c r="A3417" t="s">
        <v>389</v>
      </c>
      <c r="B3417" t="s">
        <v>43</v>
      </c>
      <c r="C3417">
        <v>30</v>
      </c>
      <c r="D3417">
        <v>17</v>
      </c>
      <c r="E3417" s="1">
        <f t="shared" si="53"/>
        <v>0.56666666666666665</v>
      </c>
      <c r="F3417">
        <v>99.5</v>
      </c>
      <c r="G3417">
        <v>105.5</v>
      </c>
      <c r="H3417">
        <v>0.33789999999999998</v>
      </c>
      <c r="I3417">
        <v>50.5</v>
      </c>
      <c r="J3417">
        <v>51.9</v>
      </c>
      <c r="K3417">
        <v>18.899999999999999</v>
      </c>
      <c r="L3417">
        <v>17.7</v>
      </c>
      <c r="M3417">
        <v>27.1</v>
      </c>
      <c r="N3417">
        <v>26.1</v>
      </c>
      <c r="O3417">
        <v>28.7</v>
      </c>
      <c r="P3417">
        <v>23</v>
      </c>
      <c r="Q3417">
        <v>50.8</v>
      </c>
      <c r="R3417">
        <v>55.2</v>
      </c>
      <c r="S3417">
        <v>33.5</v>
      </c>
      <c r="T3417">
        <v>31.2</v>
      </c>
      <c r="U3417">
        <v>68.900000000000006</v>
      </c>
      <c r="V3417">
        <v>-10.199999999999999</v>
      </c>
      <c r="W3417" cm="1">
        <f t="array" ref="W3417">_xlfn.IFS(OR(X3417="N/A",X3417="NA"),0,OR(X3417="R64",X3417="R68"),1,X3417="R32",2,X3417="S16",3,X3417="E8",4,X3417="F4",5,X3417="2ND",6,X3417="Champions",7)</f>
        <v>0</v>
      </c>
      <c r="X3417" t="s">
        <v>425</v>
      </c>
      <c r="Y3417" t="s">
        <v>425</v>
      </c>
      <c r="Z3417">
        <v>2023</v>
      </c>
    </row>
    <row r="3418" spans="1:26" x14ac:dyDescent="0.3">
      <c r="A3418" t="s">
        <v>326</v>
      </c>
      <c r="B3418" t="s">
        <v>67</v>
      </c>
      <c r="C3418">
        <v>32</v>
      </c>
      <c r="D3418">
        <v>17</v>
      </c>
      <c r="E3418" s="1">
        <f t="shared" si="53"/>
        <v>0.53125</v>
      </c>
      <c r="F3418">
        <v>100.1</v>
      </c>
      <c r="G3418">
        <v>109.7</v>
      </c>
      <c r="H3418">
        <v>0.25790000000000002</v>
      </c>
      <c r="I3418">
        <v>54.4</v>
      </c>
      <c r="J3418">
        <v>51.8</v>
      </c>
      <c r="K3418">
        <v>22</v>
      </c>
      <c r="L3418">
        <v>19.2</v>
      </c>
      <c r="M3418">
        <v>28.3</v>
      </c>
      <c r="N3418">
        <v>27.9</v>
      </c>
      <c r="O3418">
        <v>27.9</v>
      </c>
      <c r="P3418">
        <v>32.1</v>
      </c>
      <c r="Q3418">
        <v>55.8</v>
      </c>
      <c r="R3418">
        <v>48.7</v>
      </c>
      <c r="S3418">
        <v>34.6</v>
      </c>
      <c r="T3418">
        <v>38.5</v>
      </c>
      <c r="U3418">
        <v>62.4</v>
      </c>
      <c r="V3418">
        <v>-11.4</v>
      </c>
      <c r="W3418" cm="1">
        <f t="array" ref="W3418">_xlfn.IFS(OR(X3418="N/A",X3418="NA"),0,OR(X3418="R64",X3418="R68"),1,X3418="R32",2,X3418="S16",3,X3418="E8",4,X3418="F4",5,X3418="2ND",6,X3418="Champions",7)</f>
        <v>0</v>
      </c>
      <c r="X3418" t="s">
        <v>425</v>
      </c>
      <c r="Y3418" t="s">
        <v>425</v>
      </c>
      <c r="Z3418">
        <v>2023</v>
      </c>
    </row>
    <row r="3419" spans="1:26" x14ac:dyDescent="0.3">
      <c r="A3419" t="s">
        <v>158</v>
      </c>
      <c r="B3419" t="s">
        <v>33</v>
      </c>
      <c r="C3419">
        <v>32</v>
      </c>
      <c r="D3419">
        <v>17</v>
      </c>
      <c r="E3419" s="1">
        <f t="shared" si="53"/>
        <v>0.53125</v>
      </c>
      <c r="F3419">
        <v>106.2</v>
      </c>
      <c r="G3419">
        <v>93.7</v>
      </c>
      <c r="H3419">
        <v>0.80820000000000003</v>
      </c>
      <c r="I3419">
        <v>49</v>
      </c>
      <c r="J3419">
        <v>47.6</v>
      </c>
      <c r="K3419">
        <v>20.100000000000001</v>
      </c>
      <c r="L3419">
        <v>21.1</v>
      </c>
      <c r="M3419">
        <v>30.5</v>
      </c>
      <c r="N3419">
        <v>30</v>
      </c>
      <c r="O3419">
        <v>40.1</v>
      </c>
      <c r="P3419">
        <v>30.9</v>
      </c>
      <c r="Q3419">
        <v>49</v>
      </c>
      <c r="R3419">
        <v>47.7</v>
      </c>
      <c r="S3419">
        <v>32.799999999999997</v>
      </c>
      <c r="T3419">
        <v>31.6</v>
      </c>
      <c r="U3419">
        <v>66.400000000000006</v>
      </c>
      <c r="V3419">
        <v>-2</v>
      </c>
      <c r="W3419" cm="1">
        <f t="array" ref="W3419">_xlfn.IFS(OR(X3419="N/A",X3419="NA"),0,OR(X3419="R64",X3419="R68"),1,X3419="R32",2,X3419="S16",3,X3419="E8",4,X3419="F4",5,X3419="2ND",6,X3419="Champions",7)</f>
        <v>0</v>
      </c>
      <c r="X3419" t="s">
        <v>425</v>
      </c>
      <c r="Y3419" t="s">
        <v>425</v>
      </c>
      <c r="Z3419">
        <v>2023</v>
      </c>
    </row>
    <row r="3420" spans="1:26" x14ac:dyDescent="0.3">
      <c r="A3420" t="s">
        <v>192</v>
      </c>
      <c r="B3420" t="s">
        <v>48</v>
      </c>
      <c r="C3420">
        <v>31</v>
      </c>
      <c r="D3420">
        <v>17</v>
      </c>
      <c r="E3420" s="1">
        <f t="shared" si="53"/>
        <v>0.54838709677419351</v>
      </c>
      <c r="F3420">
        <v>104.8</v>
      </c>
      <c r="G3420">
        <v>103.7</v>
      </c>
      <c r="H3420">
        <v>0.53149999999999997</v>
      </c>
      <c r="I3420">
        <v>48.4</v>
      </c>
      <c r="J3420">
        <v>49.8</v>
      </c>
      <c r="K3420">
        <v>18.7</v>
      </c>
      <c r="L3420">
        <v>18.2</v>
      </c>
      <c r="M3420">
        <v>34.6</v>
      </c>
      <c r="N3420">
        <v>28</v>
      </c>
      <c r="O3420">
        <v>34.4</v>
      </c>
      <c r="P3420">
        <v>30</v>
      </c>
      <c r="Q3420">
        <v>49.4</v>
      </c>
      <c r="R3420">
        <v>48.8</v>
      </c>
      <c r="S3420">
        <v>30.2</v>
      </c>
      <c r="T3420">
        <v>34.200000000000003</v>
      </c>
      <c r="U3420">
        <v>72.900000000000006</v>
      </c>
      <c r="V3420">
        <v>-8.6999999999999993</v>
      </c>
      <c r="W3420" cm="1">
        <f t="array" ref="W3420">_xlfn.IFS(OR(X3420="N/A",X3420="NA"),0,OR(X3420="R64",X3420="R68"),1,X3420="R32",2,X3420="S16",3,X3420="E8",4,X3420="F4",5,X3420="2ND",6,X3420="Champions",7)</f>
        <v>0</v>
      </c>
      <c r="X3420" t="s">
        <v>425</v>
      </c>
      <c r="Y3420" t="s">
        <v>425</v>
      </c>
      <c r="Z3420">
        <v>2023</v>
      </c>
    </row>
    <row r="3421" spans="1:26" x14ac:dyDescent="0.3">
      <c r="A3421" t="s">
        <v>408</v>
      </c>
      <c r="B3421" t="s">
        <v>51</v>
      </c>
      <c r="C3421">
        <v>31</v>
      </c>
      <c r="D3421">
        <v>17</v>
      </c>
      <c r="E3421" s="1">
        <f t="shared" si="53"/>
        <v>0.54838709677419351</v>
      </c>
      <c r="F3421">
        <v>102.4</v>
      </c>
      <c r="G3421">
        <v>101.7</v>
      </c>
      <c r="H3421">
        <v>0.51949999999999996</v>
      </c>
      <c r="I3421">
        <v>49</v>
      </c>
      <c r="J3421">
        <v>47.6</v>
      </c>
      <c r="K3421">
        <v>18.100000000000001</v>
      </c>
      <c r="L3421">
        <v>16</v>
      </c>
      <c r="M3421">
        <v>28.9</v>
      </c>
      <c r="N3421">
        <v>26.1</v>
      </c>
      <c r="O3421">
        <v>31.6</v>
      </c>
      <c r="P3421">
        <v>29.3</v>
      </c>
      <c r="Q3421">
        <v>49.2</v>
      </c>
      <c r="R3421">
        <v>49</v>
      </c>
      <c r="S3421">
        <v>32.5</v>
      </c>
      <c r="T3421">
        <v>29.7</v>
      </c>
      <c r="U3421">
        <v>64</v>
      </c>
      <c r="V3421">
        <v>-9.8000000000000007</v>
      </c>
      <c r="W3421" cm="1">
        <f t="array" ref="W3421">_xlfn.IFS(OR(X3421="N/A",X3421="NA"),0,OR(X3421="R64",X3421="R68"),1,X3421="R32",2,X3421="S16",3,X3421="E8",4,X3421="F4",5,X3421="2ND",6,X3421="Champions",7)</f>
        <v>0</v>
      </c>
      <c r="X3421" t="s">
        <v>425</v>
      </c>
      <c r="Y3421" t="s">
        <v>425</v>
      </c>
      <c r="Z3421">
        <v>2023</v>
      </c>
    </row>
    <row r="3422" spans="1:26" x14ac:dyDescent="0.3">
      <c r="A3422" t="s">
        <v>219</v>
      </c>
      <c r="B3422" t="s">
        <v>40</v>
      </c>
      <c r="C3422">
        <v>31</v>
      </c>
      <c r="D3422">
        <v>17</v>
      </c>
      <c r="E3422" s="1">
        <f t="shared" si="53"/>
        <v>0.54838709677419351</v>
      </c>
      <c r="F3422">
        <v>103.2</v>
      </c>
      <c r="G3422">
        <v>104</v>
      </c>
      <c r="H3422">
        <v>0.47899999999999998</v>
      </c>
      <c r="I3422">
        <v>49.6</v>
      </c>
      <c r="J3422">
        <v>50.7</v>
      </c>
      <c r="K3422">
        <v>17.100000000000001</v>
      </c>
      <c r="L3422">
        <v>18</v>
      </c>
      <c r="M3422">
        <v>25.9</v>
      </c>
      <c r="N3422">
        <v>31</v>
      </c>
      <c r="O3422">
        <v>32.299999999999997</v>
      </c>
      <c r="P3422">
        <v>25.6</v>
      </c>
      <c r="Q3422">
        <v>48.5</v>
      </c>
      <c r="R3422">
        <v>48</v>
      </c>
      <c r="S3422">
        <v>34.4</v>
      </c>
      <c r="T3422">
        <v>36.200000000000003</v>
      </c>
      <c r="U3422">
        <v>67.3</v>
      </c>
      <c r="V3422">
        <v>-7.8</v>
      </c>
      <c r="W3422" cm="1">
        <f t="array" ref="W3422">_xlfn.IFS(OR(X3422="N/A",X3422="NA"),0,OR(X3422="R64",X3422="R68"),1,X3422="R32",2,X3422="S16",3,X3422="E8",4,X3422="F4",5,X3422="2ND",6,X3422="Champions",7)</f>
        <v>0</v>
      </c>
      <c r="X3422" t="s">
        <v>425</v>
      </c>
      <c r="Y3422" t="s">
        <v>425</v>
      </c>
      <c r="Z3422">
        <v>2023</v>
      </c>
    </row>
    <row r="3423" spans="1:26" x14ac:dyDescent="0.3">
      <c r="A3423" t="s">
        <v>339</v>
      </c>
      <c r="B3423" t="s">
        <v>58</v>
      </c>
      <c r="C3423">
        <v>30</v>
      </c>
      <c r="D3423">
        <v>17</v>
      </c>
      <c r="E3423" s="1">
        <f t="shared" si="53"/>
        <v>0.56666666666666665</v>
      </c>
      <c r="F3423">
        <v>99.5</v>
      </c>
      <c r="G3423">
        <v>101.1</v>
      </c>
      <c r="H3423">
        <v>0.45500000000000002</v>
      </c>
      <c r="I3423">
        <v>48.2</v>
      </c>
      <c r="J3423">
        <v>49.5</v>
      </c>
      <c r="K3423">
        <v>16.3</v>
      </c>
      <c r="L3423">
        <v>18.3</v>
      </c>
      <c r="M3423">
        <v>25.8</v>
      </c>
      <c r="N3423">
        <v>27.3</v>
      </c>
      <c r="O3423">
        <v>27.9</v>
      </c>
      <c r="P3423">
        <v>34.6</v>
      </c>
      <c r="Q3423">
        <v>48.4</v>
      </c>
      <c r="R3423">
        <v>49.4</v>
      </c>
      <c r="S3423">
        <v>31.8</v>
      </c>
      <c r="T3423">
        <v>33.200000000000003</v>
      </c>
      <c r="U3423">
        <v>66.5</v>
      </c>
      <c r="V3423">
        <v>-10</v>
      </c>
      <c r="W3423" cm="1">
        <f t="array" ref="W3423">_xlfn.IFS(OR(X3423="N/A",X3423="NA"),0,OR(X3423="R64",X3423="R68"),1,X3423="R32",2,X3423="S16",3,X3423="E8",4,X3423="F4",5,X3423="2ND",6,X3423="Champions",7)</f>
        <v>0</v>
      </c>
      <c r="X3423" t="s">
        <v>425</v>
      </c>
      <c r="Y3423" t="s">
        <v>425</v>
      </c>
      <c r="Z3423">
        <v>2023</v>
      </c>
    </row>
    <row r="3424" spans="1:26" x14ac:dyDescent="0.3">
      <c r="A3424" t="s">
        <v>198</v>
      </c>
      <c r="B3424" t="s">
        <v>53</v>
      </c>
      <c r="C3424">
        <v>32</v>
      </c>
      <c r="D3424">
        <v>17</v>
      </c>
      <c r="E3424" s="1">
        <f t="shared" si="53"/>
        <v>0.53125</v>
      </c>
      <c r="F3424">
        <v>101.9</v>
      </c>
      <c r="G3424">
        <v>107</v>
      </c>
      <c r="H3424">
        <v>0.36370000000000002</v>
      </c>
      <c r="I3424">
        <v>49.6</v>
      </c>
      <c r="J3424">
        <v>51.8</v>
      </c>
      <c r="K3424">
        <v>16.5</v>
      </c>
      <c r="L3424">
        <v>18.600000000000001</v>
      </c>
      <c r="M3424">
        <v>25</v>
      </c>
      <c r="N3424">
        <v>29.8</v>
      </c>
      <c r="O3424">
        <v>33</v>
      </c>
      <c r="P3424">
        <v>29.4</v>
      </c>
      <c r="Q3424">
        <v>50.5</v>
      </c>
      <c r="R3424">
        <v>50.1</v>
      </c>
      <c r="S3424">
        <v>32</v>
      </c>
      <c r="T3424">
        <v>36.6</v>
      </c>
      <c r="U3424">
        <v>67</v>
      </c>
      <c r="V3424">
        <v>-9.8000000000000007</v>
      </c>
      <c r="W3424" cm="1">
        <f t="array" ref="W3424">_xlfn.IFS(OR(X3424="N/A",X3424="NA"),0,OR(X3424="R64",X3424="R68"),1,X3424="R32",2,X3424="S16",3,X3424="E8",4,X3424="F4",5,X3424="2ND",6,X3424="Champions",7)</f>
        <v>0</v>
      </c>
      <c r="X3424" t="s">
        <v>425</v>
      </c>
      <c r="Y3424" t="s">
        <v>425</v>
      </c>
      <c r="Z3424">
        <v>2023</v>
      </c>
    </row>
    <row r="3425" spans="1:26" x14ac:dyDescent="0.3">
      <c r="A3425" t="s">
        <v>357</v>
      </c>
      <c r="B3425" t="s">
        <v>62</v>
      </c>
      <c r="C3425">
        <v>30</v>
      </c>
      <c r="D3425">
        <v>17</v>
      </c>
      <c r="E3425" s="1">
        <f t="shared" si="53"/>
        <v>0.56666666666666665</v>
      </c>
      <c r="F3425">
        <v>107.8</v>
      </c>
      <c r="G3425">
        <v>113.8</v>
      </c>
      <c r="H3425">
        <v>0.35110000000000002</v>
      </c>
      <c r="I3425">
        <v>52.4</v>
      </c>
      <c r="J3425">
        <v>54.8</v>
      </c>
      <c r="K3425">
        <v>16.3</v>
      </c>
      <c r="L3425">
        <v>16.600000000000001</v>
      </c>
      <c r="M3425">
        <v>28.6</v>
      </c>
      <c r="N3425">
        <v>28.7</v>
      </c>
      <c r="O3425">
        <v>30</v>
      </c>
      <c r="P3425">
        <v>26.4</v>
      </c>
      <c r="Q3425">
        <v>55.1</v>
      </c>
      <c r="R3425">
        <v>56.1</v>
      </c>
      <c r="S3425">
        <v>32.1</v>
      </c>
      <c r="T3425">
        <v>35.299999999999997</v>
      </c>
      <c r="U3425">
        <v>65</v>
      </c>
      <c r="V3425">
        <v>-10</v>
      </c>
      <c r="W3425" cm="1">
        <f t="array" ref="W3425">_xlfn.IFS(OR(X3425="N/A",X3425="NA"),0,OR(X3425="R64",X3425="R68"),1,X3425="R32",2,X3425="S16",3,X3425="E8",4,X3425="F4",5,X3425="2ND",6,X3425="Champions",7)</f>
        <v>0</v>
      </c>
      <c r="X3425" t="s">
        <v>425</v>
      </c>
      <c r="Y3425" t="s">
        <v>425</v>
      </c>
      <c r="Z3425">
        <v>2023</v>
      </c>
    </row>
    <row r="3426" spans="1:26" x14ac:dyDescent="0.3">
      <c r="A3426" t="s">
        <v>327</v>
      </c>
      <c r="B3426" t="s">
        <v>67</v>
      </c>
      <c r="C3426">
        <v>31</v>
      </c>
      <c r="D3426">
        <v>17</v>
      </c>
      <c r="E3426" s="1">
        <f t="shared" si="53"/>
        <v>0.54838709677419351</v>
      </c>
      <c r="F3426">
        <v>102.1</v>
      </c>
      <c r="G3426">
        <v>107.7</v>
      </c>
      <c r="H3426">
        <v>0.3508</v>
      </c>
      <c r="I3426">
        <v>53.8</v>
      </c>
      <c r="J3426">
        <v>51.4</v>
      </c>
      <c r="K3426">
        <v>19.100000000000001</v>
      </c>
      <c r="L3426">
        <v>15.6</v>
      </c>
      <c r="M3426">
        <v>25.4</v>
      </c>
      <c r="N3426">
        <v>24.2</v>
      </c>
      <c r="O3426">
        <v>31.3</v>
      </c>
      <c r="P3426">
        <v>28.5</v>
      </c>
      <c r="Q3426">
        <v>54.7</v>
      </c>
      <c r="R3426">
        <v>52.4</v>
      </c>
      <c r="S3426">
        <v>34.9</v>
      </c>
      <c r="T3426">
        <v>33.1</v>
      </c>
      <c r="U3426">
        <v>68.5</v>
      </c>
      <c r="V3426">
        <v>-12.5</v>
      </c>
      <c r="W3426" cm="1">
        <f t="array" ref="W3426">_xlfn.IFS(OR(X3426="N/A",X3426="NA"),0,OR(X3426="R64",X3426="R68"),1,X3426="R32",2,X3426="S16",3,X3426="E8",4,X3426="F4",5,X3426="2ND",6,X3426="Champions",7)</f>
        <v>0</v>
      </c>
      <c r="X3426" t="s">
        <v>425</v>
      </c>
      <c r="Y3426" t="s">
        <v>425</v>
      </c>
      <c r="Z3426">
        <v>2023</v>
      </c>
    </row>
    <row r="3427" spans="1:26" x14ac:dyDescent="0.3">
      <c r="A3427" t="s">
        <v>323</v>
      </c>
      <c r="B3427" t="s">
        <v>38</v>
      </c>
      <c r="C3427">
        <v>34</v>
      </c>
      <c r="D3427">
        <v>17</v>
      </c>
      <c r="E3427" s="1">
        <f t="shared" si="53"/>
        <v>0.5</v>
      </c>
      <c r="F3427">
        <v>111.3</v>
      </c>
      <c r="G3427">
        <v>98</v>
      </c>
      <c r="H3427">
        <v>0.8115</v>
      </c>
      <c r="I3427">
        <v>50.4</v>
      </c>
      <c r="J3427">
        <v>49.8</v>
      </c>
      <c r="K3427">
        <v>18.5</v>
      </c>
      <c r="L3427">
        <v>16.600000000000001</v>
      </c>
      <c r="M3427">
        <v>31.5</v>
      </c>
      <c r="N3427">
        <v>26.1</v>
      </c>
      <c r="O3427">
        <v>28.2</v>
      </c>
      <c r="P3427">
        <v>28.4</v>
      </c>
      <c r="Q3427">
        <v>46.3</v>
      </c>
      <c r="R3427">
        <v>50.5</v>
      </c>
      <c r="S3427">
        <v>37.299999999999997</v>
      </c>
      <c r="T3427">
        <v>32.200000000000003</v>
      </c>
      <c r="U3427">
        <v>64.2</v>
      </c>
      <c r="V3427">
        <v>-3</v>
      </c>
      <c r="W3427" cm="1">
        <f t="array" ref="W3427">_xlfn.IFS(OR(X3427="N/A",X3427="NA"),0,OR(X3427="R64",X3427="R68"),1,X3427="R32",2,X3427="S16",3,X3427="E8",4,X3427="F4",5,X3427="2ND",6,X3427="Champions",7)</f>
        <v>0</v>
      </c>
      <c r="X3427" t="s">
        <v>425</v>
      </c>
      <c r="Y3427" t="s">
        <v>425</v>
      </c>
      <c r="Z3427">
        <v>2023</v>
      </c>
    </row>
    <row r="3428" spans="1:26" x14ac:dyDescent="0.3">
      <c r="A3428" t="s">
        <v>46</v>
      </c>
      <c r="B3428" t="s">
        <v>33</v>
      </c>
      <c r="C3428">
        <v>34</v>
      </c>
      <c r="D3428">
        <v>17</v>
      </c>
      <c r="E3428" s="1">
        <f t="shared" si="53"/>
        <v>0.5</v>
      </c>
      <c r="F3428">
        <v>112.3</v>
      </c>
      <c r="G3428">
        <v>99.3</v>
      </c>
      <c r="H3428">
        <v>0.80469999999999997</v>
      </c>
      <c r="I3428">
        <v>51.5</v>
      </c>
      <c r="J3428">
        <v>50.7</v>
      </c>
      <c r="K3428">
        <v>15.5</v>
      </c>
      <c r="L3428">
        <v>17.3</v>
      </c>
      <c r="M3428">
        <v>22.6</v>
      </c>
      <c r="N3428">
        <v>25.2</v>
      </c>
      <c r="O3428">
        <v>30</v>
      </c>
      <c r="P3428">
        <v>27.7</v>
      </c>
      <c r="Q3428">
        <v>52.8</v>
      </c>
      <c r="R3428">
        <v>50.7</v>
      </c>
      <c r="S3428">
        <v>33.4</v>
      </c>
      <c r="T3428">
        <v>33.799999999999997</v>
      </c>
      <c r="U3428">
        <v>63.7</v>
      </c>
      <c r="V3428">
        <v>-2.2000000000000002</v>
      </c>
      <c r="W3428" cm="1">
        <f t="array" ref="W3428">_xlfn.IFS(OR(X3428="N/A",X3428="NA"),0,OR(X3428="R64",X3428="R68"),1,X3428="R32",2,X3428="S16",3,X3428="E8",4,X3428="F4",5,X3428="2ND",6,X3428="Champions",7)</f>
        <v>0</v>
      </c>
      <c r="X3428" t="s">
        <v>425</v>
      </c>
      <c r="Y3428" t="s">
        <v>425</v>
      </c>
      <c r="Z3428">
        <v>2023</v>
      </c>
    </row>
    <row r="3429" spans="1:26" x14ac:dyDescent="0.3">
      <c r="A3429" t="s">
        <v>429</v>
      </c>
      <c r="B3429" t="s">
        <v>51</v>
      </c>
      <c r="C3429">
        <v>30</v>
      </c>
      <c r="D3429">
        <v>17</v>
      </c>
      <c r="E3429" s="1">
        <f t="shared" si="53"/>
        <v>0.56666666666666665</v>
      </c>
      <c r="F3429">
        <v>104</v>
      </c>
      <c r="G3429">
        <v>100.4</v>
      </c>
      <c r="H3429">
        <v>0.59970000000000001</v>
      </c>
      <c r="I3429">
        <v>47.6</v>
      </c>
      <c r="J3429">
        <v>53.3</v>
      </c>
      <c r="K3429">
        <v>18.3</v>
      </c>
      <c r="L3429">
        <v>24.2</v>
      </c>
      <c r="M3429">
        <v>26</v>
      </c>
      <c r="N3429">
        <v>30</v>
      </c>
      <c r="O3429">
        <v>47.6</v>
      </c>
      <c r="P3429">
        <v>46.2</v>
      </c>
      <c r="Q3429">
        <v>46.5</v>
      </c>
      <c r="R3429">
        <v>52.2</v>
      </c>
      <c r="S3429">
        <v>33.9</v>
      </c>
      <c r="T3429">
        <v>36.6</v>
      </c>
      <c r="U3429">
        <v>66.400000000000006</v>
      </c>
      <c r="V3429">
        <v>-7.7</v>
      </c>
      <c r="W3429" cm="1">
        <f t="array" ref="W3429">_xlfn.IFS(OR(X3429="N/A",X3429="NA"),0,OR(X3429="R64",X3429="R68"),1,X3429="R32",2,X3429="S16",3,X3429="E8",4,X3429="F4",5,X3429="2ND",6,X3429="Champions",7)</f>
        <v>0</v>
      </c>
      <c r="X3429" t="s">
        <v>425</v>
      </c>
      <c r="Y3429" t="s">
        <v>425</v>
      </c>
      <c r="Z3429">
        <v>2023</v>
      </c>
    </row>
    <row r="3430" spans="1:26" x14ac:dyDescent="0.3">
      <c r="A3430" t="s">
        <v>272</v>
      </c>
      <c r="B3430" t="s">
        <v>66</v>
      </c>
      <c r="C3430">
        <v>26</v>
      </c>
      <c r="D3430">
        <v>18</v>
      </c>
      <c r="E3430" s="1">
        <f t="shared" si="53"/>
        <v>0.69230769230769229</v>
      </c>
      <c r="F3430">
        <v>99.9</v>
      </c>
      <c r="G3430">
        <v>100</v>
      </c>
      <c r="H3430">
        <v>0.49859999999999999</v>
      </c>
      <c r="I3430">
        <v>50.9</v>
      </c>
      <c r="J3430">
        <v>48.9</v>
      </c>
      <c r="K3430">
        <v>22.6</v>
      </c>
      <c r="L3430">
        <v>21.6</v>
      </c>
      <c r="M3430">
        <v>32.299999999999997</v>
      </c>
      <c r="N3430">
        <v>29.6</v>
      </c>
      <c r="O3430">
        <v>34.200000000000003</v>
      </c>
      <c r="P3430">
        <v>35.5</v>
      </c>
      <c r="Q3430">
        <v>50.1</v>
      </c>
      <c r="R3430">
        <v>49.9</v>
      </c>
      <c r="S3430">
        <v>35</v>
      </c>
      <c r="T3430">
        <v>31.3</v>
      </c>
      <c r="U3430">
        <v>67.7</v>
      </c>
      <c r="V3430">
        <v>-7.5</v>
      </c>
      <c r="W3430" cm="1">
        <f t="array" ref="W3430">_xlfn.IFS(OR(X3430="N/A",X3430="NA"),0,OR(X3430="R64",X3430="R68"),1,X3430="R32",2,X3430="S16",3,X3430="E8",4,X3430="F4",5,X3430="2ND",6,X3430="Champions",7)</f>
        <v>0</v>
      </c>
      <c r="X3430" t="s">
        <v>425</v>
      </c>
      <c r="Y3430" t="s">
        <v>425</v>
      </c>
      <c r="Z3430">
        <v>2023</v>
      </c>
    </row>
    <row r="3431" spans="1:26" x14ac:dyDescent="0.3">
      <c r="A3431" t="s">
        <v>334</v>
      </c>
      <c r="B3431" t="s">
        <v>67</v>
      </c>
      <c r="C3431">
        <v>30</v>
      </c>
      <c r="D3431">
        <v>18</v>
      </c>
      <c r="E3431" s="1">
        <f t="shared" si="53"/>
        <v>0.6</v>
      </c>
      <c r="F3431">
        <v>101.3</v>
      </c>
      <c r="G3431">
        <v>103.2</v>
      </c>
      <c r="H3431">
        <v>0.4476</v>
      </c>
      <c r="I3431">
        <v>51.5</v>
      </c>
      <c r="J3431">
        <v>50.4</v>
      </c>
      <c r="K3431">
        <v>17.3</v>
      </c>
      <c r="L3431">
        <v>19.5</v>
      </c>
      <c r="M3431">
        <v>29.9</v>
      </c>
      <c r="N3431">
        <v>28</v>
      </c>
      <c r="O3431">
        <v>23.7</v>
      </c>
      <c r="P3431">
        <v>30</v>
      </c>
      <c r="Q3431">
        <v>49.3</v>
      </c>
      <c r="R3431">
        <v>49.8</v>
      </c>
      <c r="S3431">
        <v>36.9</v>
      </c>
      <c r="T3431">
        <v>34.200000000000003</v>
      </c>
      <c r="U3431">
        <v>64.400000000000006</v>
      </c>
      <c r="V3431">
        <v>-8.6</v>
      </c>
      <c r="W3431" cm="1">
        <f t="array" ref="W3431">_xlfn.IFS(OR(X3431="N/A",X3431="NA"),0,OR(X3431="R64",X3431="R68"),1,X3431="R32",2,X3431="S16",3,X3431="E8",4,X3431="F4",5,X3431="2ND",6,X3431="Champions",7)</f>
        <v>0</v>
      </c>
      <c r="X3431" t="s">
        <v>425</v>
      </c>
      <c r="Y3431" t="s">
        <v>425</v>
      </c>
      <c r="Z3431">
        <v>2023</v>
      </c>
    </row>
    <row r="3432" spans="1:26" x14ac:dyDescent="0.3">
      <c r="A3432" t="s">
        <v>268</v>
      </c>
      <c r="B3432" t="s">
        <v>66</v>
      </c>
      <c r="C3432">
        <v>27</v>
      </c>
      <c r="D3432">
        <v>18</v>
      </c>
      <c r="E3432" s="1">
        <f t="shared" si="53"/>
        <v>0.66666666666666663</v>
      </c>
      <c r="F3432">
        <v>92.3</v>
      </c>
      <c r="G3432">
        <v>100.4</v>
      </c>
      <c r="H3432">
        <v>0.27600000000000002</v>
      </c>
      <c r="I3432">
        <v>47.6</v>
      </c>
      <c r="J3432">
        <v>50.6</v>
      </c>
      <c r="K3432">
        <v>21.1</v>
      </c>
      <c r="L3432">
        <v>24.9</v>
      </c>
      <c r="M3432">
        <v>27.1</v>
      </c>
      <c r="N3432">
        <v>31.7</v>
      </c>
      <c r="O3432">
        <v>31.4</v>
      </c>
      <c r="P3432">
        <v>34.4</v>
      </c>
      <c r="Q3432">
        <v>46.8</v>
      </c>
      <c r="R3432">
        <v>51.4</v>
      </c>
      <c r="S3432">
        <v>32.6</v>
      </c>
      <c r="T3432">
        <v>32.9</v>
      </c>
      <c r="U3432">
        <v>69.3</v>
      </c>
      <c r="V3432">
        <v>-7.8</v>
      </c>
      <c r="W3432" cm="1">
        <f t="array" ref="W3432">_xlfn.IFS(OR(X3432="N/A",X3432="NA"),0,OR(X3432="R64",X3432="R68"),1,X3432="R32",2,X3432="S16",3,X3432="E8",4,X3432="F4",5,X3432="2ND",6,X3432="Champions",7)</f>
        <v>0</v>
      </c>
      <c r="X3432" t="s">
        <v>425</v>
      </c>
      <c r="Y3432" t="s">
        <v>425</v>
      </c>
      <c r="Z3432">
        <v>2023</v>
      </c>
    </row>
    <row r="3433" spans="1:26" x14ac:dyDescent="0.3">
      <c r="A3433" t="s">
        <v>193</v>
      </c>
      <c r="B3433" t="s">
        <v>48</v>
      </c>
      <c r="C3433">
        <v>30</v>
      </c>
      <c r="D3433">
        <v>18</v>
      </c>
      <c r="E3433" s="1">
        <f t="shared" si="53"/>
        <v>0.6</v>
      </c>
      <c r="F3433">
        <v>102.8</v>
      </c>
      <c r="G3433">
        <v>102.8</v>
      </c>
      <c r="H3433">
        <v>0.50039999999999996</v>
      </c>
      <c r="I3433">
        <v>49.8</v>
      </c>
      <c r="J3433">
        <v>50.7</v>
      </c>
      <c r="K3433">
        <v>20.6</v>
      </c>
      <c r="L3433">
        <v>20.8</v>
      </c>
      <c r="M3433">
        <v>32.200000000000003</v>
      </c>
      <c r="N3433">
        <v>28.6</v>
      </c>
      <c r="O3433">
        <v>42.8</v>
      </c>
      <c r="P3433">
        <v>31.5</v>
      </c>
      <c r="Q3433">
        <v>49.6</v>
      </c>
      <c r="R3433">
        <v>48.9</v>
      </c>
      <c r="S3433">
        <v>33.5</v>
      </c>
      <c r="T3433">
        <v>36.700000000000003</v>
      </c>
      <c r="U3433">
        <v>70.5</v>
      </c>
      <c r="V3433">
        <v>-8.4</v>
      </c>
      <c r="W3433" cm="1">
        <f t="array" ref="W3433">_xlfn.IFS(OR(X3433="N/A",X3433="NA"),0,OR(X3433="R64",X3433="R68"),1,X3433="R32",2,X3433="S16",3,X3433="E8",4,X3433="F4",5,X3433="2ND",6,X3433="Champions",7)</f>
        <v>0</v>
      </c>
      <c r="X3433" t="s">
        <v>425</v>
      </c>
      <c r="Y3433" t="s">
        <v>425</v>
      </c>
      <c r="Z3433">
        <v>2023</v>
      </c>
    </row>
    <row r="3434" spans="1:26" x14ac:dyDescent="0.3">
      <c r="A3434" t="s">
        <v>118</v>
      </c>
      <c r="B3434" t="s">
        <v>112</v>
      </c>
      <c r="C3434">
        <v>31</v>
      </c>
      <c r="D3434">
        <v>18</v>
      </c>
      <c r="E3434" s="1">
        <f t="shared" si="53"/>
        <v>0.58064516129032262</v>
      </c>
      <c r="F3434">
        <v>103.9</v>
      </c>
      <c r="G3434">
        <v>110.9</v>
      </c>
      <c r="H3434">
        <v>0.32169999999999999</v>
      </c>
      <c r="I3434">
        <v>51.3</v>
      </c>
      <c r="J3434">
        <v>52.9</v>
      </c>
      <c r="K3434">
        <v>14.8</v>
      </c>
      <c r="L3434">
        <v>16.899999999999999</v>
      </c>
      <c r="M3434">
        <v>26.4</v>
      </c>
      <c r="N3434">
        <v>26.8</v>
      </c>
      <c r="O3434">
        <v>27</v>
      </c>
      <c r="P3434">
        <v>25.6</v>
      </c>
      <c r="Q3434">
        <v>51.8</v>
      </c>
      <c r="R3434">
        <v>50.6</v>
      </c>
      <c r="S3434">
        <v>33.799999999999997</v>
      </c>
      <c r="T3434">
        <v>37.700000000000003</v>
      </c>
      <c r="U3434">
        <v>67.599999999999994</v>
      </c>
      <c r="V3434">
        <v>-9.6</v>
      </c>
      <c r="W3434" cm="1">
        <f t="array" ref="W3434">_xlfn.IFS(OR(X3434="N/A",X3434="NA"),0,OR(X3434="R64",X3434="R68"),1,X3434="R32",2,X3434="S16",3,X3434="E8",4,X3434="F4",5,X3434="2ND",6,X3434="Champions",7)</f>
        <v>0</v>
      </c>
      <c r="X3434" t="s">
        <v>425</v>
      </c>
      <c r="Y3434" t="s">
        <v>425</v>
      </c>
      <c r="Z3434">
        <v>2023</v>
      </c>
    </row>
    <row r="3435" spans="1:26" x14ac:dyDescent="0.3">
      <c r="A3435" t="s">
        <v>392</v>
      </c>
      <c r="B3435" t="s">
        <v>76</v>
      </c>
      <c r="C3435">
        <v>32</v>
      </c>
      <c r="D3435">
        <v>18</v>
      </c>
      <c r="E3435" s="1">
        <f t="shared" si="53"/>
        <v>0.5625</v>
      </c>
      <c r="F3435">
        <v>100.2</v>
      </c>
      <c r="G3435">
        <v>107.8</v>
      </c>
      <c r="H3435">
        <v>0.3009</v>
      </c>
      <c r="I3435">
        <v>45.2</v>
      </c>
      <c r="J3435">
        <v>51.4</v>
      </c>
      <c r="K3435">
        <v>18.3</v>
      </c>
      <c r="L3435">
        <v>21</v>
      </c>
      <c r="M3435">
        <v>33.700000000000003</v>
      </c>
      <c r="N3435">
        <v>31.4</v>
      </c>
      <c r="O3435">
        <v>35.299999999999997</v>
      </c>
      <c r="P3435">
        <v>39.299999999999997</v>
      </c>
      <c r="Q3435">
        <v>45.6</v>
      </c>
      <c r="R3435">
        <v>52.6</v>
      </c>
      <c r="S3435">
        <v>29.6</v>
      </c>
      <c r="T3435">
        <v>33.1</v>
      </c>
      <c r="U3435">
        <v>67.2</v>
      </c>
      <c r="V3435">
        <v>-7.1</v>
      </c>
      <c r="W3435" cm="1">
        <f t="array" ref="W3435">_xlfn.IFS(OR(X3435="N/A",X3435="NA"),0,OR(X3435="R64",X3435="R68"),1,X3435="R32",2,X3435="S16",3,X3435="E8",4,X3435="F4",5,X3435="2ND",6,X3435="Champions",7)</f>
        <v>0</v>
      </c>
      <c r="X3435" t="s">
        <v>425</v>
      </c>
      <c r="Y3435" t="s">
        <v>425</v>
      </c>
      <c r="Z3435">
        <v>2023</v>
      </c>
    </row>
    <row r="3436" spans="1:26" x14ac:dyDescent="0.3">
      <c r="A3436" t="s">
        <v>378</v>
      </c>
      <c r="B3436" t="s">
        <v>61</v>
      </c>
      <c r="C3436">
        <v>29</v>
      </c>
      <c r="D3436">
        <v>18</v>
      </c>
      <c r="E3436" s="1">
        <f t="shared" si="53"/>
        <v>0.62068965517241381</v>
      </c>
      <c r="F3436">
        <v>102.6</v>
      </c>
      <c r="G3436">
        <v>110.4</v>
      </c>
      <c r="H3436">
        <v>0.30080000000000001</v>
      </c>
      <c r="I3436">
        <v>50.9</v>
      </c>
      <c r="J3436">
        <v>54.2</v>
      </c>
      <c r="K3436">
        <v>16.899999999999999</v>
      </c>
      <c r="L3436">
        <v>19.8</v>
      </c>
      <c r="M3436">
        <v>27.6</v>
      </c>
      <c r="N3436">
        <v>29.9</v>
      </c>
      <c r="O3436">
        <v>32.1</v>
      </c>
      <c r="P3436">
        <v>33.4</v>
      </c>
      <c r="Q3436">
        <v>49.1</v>
      </c>
      <c r="R3436">
        <v>52.1</v>
      </c>
      <c r="S3436">
        <v>36.4</v>
      </c>
      <c r="T3436">
        <v>38.200000000000003</v>
      </c>
      <c r="U3436">
        <v>68.7</v>
      </c>
      <c r="V3436">
        <v>-9.3000000000000007</v>
      </c>
      <c r="W3436" cm="1">
        <f t="array" ref="W3436">_xlfn.IFS(OR(X3436="N/A",X3436="NA"),0,OR(X3436="R64",X3436="R68"),1,X3436="R32",2,X3436="S16",3,X3436="E8",4,X3436="F4",5,X3436="2ND",6,X3436="Champions",7)</f>
        <v>0</v>
      </c>
      <c r="X3436" t="s">
        <v>425</v>
      </c>
      <c r="Y3436" t="s">
        <v>425</v>
      </c>
      <c r="Z3436">
        <v>2023</v>
      </c>
    </row>
    <row r="3437" spans="1:26" x14ac:dyDescent="0.3">
      <c r="A3437" t="s">
        <v>313</v>
      </c>
      <c r="B3437" t="s">
        <v>64</v>
      </c>
      <c r="C3437">
        <v>28</v>
      </c>
      <c r="D3437">
        <v>18</v>
      </c>
      <c r="E3437" s="1">
        <f t="shared" si="53"/>
        <v>0.6428571428571429</v>
      </c>
      <c r="F3437">
        <v>100.3</v>
      </c>
      <c r="G3437">
        <v>109.5</v>
      </c>
      <c r="H3437">
        <v>0.26629999999999998</v>
      </c>
      <c r="I3437">
        <v>50.9</v>
      </c>
      <c r="J3437">
        <v>49.9</v>
      </c>
      <c r="K3437">
        <v>17.3</v>
      </c>
      <c r="L3437">
        <v>18.5</v>
      </c>
      <c r="M3437">
        <v>26.9</v>
      </c>
      <c r="N3437">
        <v>28.2</v>
      </c>
      <c r="O3437">
        <v>35.1</v>
      </c>
      <c r="P3437">
        <v>42.4</v>
      </c>
      <c r="Q3437">
        <v>49.6</v>
      </c>
      <c r="R3437">
        <v>49.5</v>
      </c>
      <c r="S3437">
        <v>35.1</v>
      </c>
      <c r="T3437">
        <v>33.799999999999997</v>
      </c>
      <c r="U3437">
        <v>70.400000000000006</v>
      </c>
      <c r="V3437">
        <v>-11.5</v>
      </c>
      <c r="W3437" cm="1">
        <f t="array" ref="W3437">_xlfn.IFS(OR(X3437="N/A",X3437="NA"),0,OR(X3437="R64",X3437="R68"),1,X3437="R32",2,X3437="S16",3,X3437="E8",4,X3437="F4",5,X3437="2ND",6,X3437="Champions",7)</f>
        <v>0</v>
      </c>
      <c r="X3437" t="s">
        <v>425</v>
      </c>
      <c r="Y3437" t="s">
        <v>425</v>
      </c>
      <c r="Z3437">
        <v>2023</v>
      </c>
    </row>
    <row r="3438" spans="1:26" x14ac:dyDescent="0.3">
      <c r="A3438" t="s">
        <v>160</v>
      </c>
      <c r="B3438" t="s">
        <v>33</v>
      </c>
      <c r="C3438">
        <v>33</v>
      </c>
      <c r="D3438">
        <v>18</v>
      </c>
      <c r="E3438" s="1">
        <f t="shared" si="53"/>
        <v>0.54545454545454541</v>
      </c>
      <c r="F3438">
        <v>107.9</v>
      </c>
      <c r="G3438">
        <v>97.7</v>
      </c>
      <c r="H3438">
        <v>0.75680000000000003</v>
      </c>
      <c r="I3438">
        <v>49.4</v>
      </c>
      <c r="J3438">
        <v>50.2</v>
      </c>
      <c r="K3438">
        <v>18.7</v>
      </c>
      <c r="L3438">
        <v>19.7</v>
      </c>
      <c r="M3438">
        <v>34</v>
      </c>
      <c r="N3438">
        <v>27.6</v>
      </c>
      <c r="O3438">
        <v>27.7</v>
      </c>
      <c r="P3438">
        <v>29.6</v>
      </c>
      <c r="Q3438">
        <v>49.3</v>
      </c>
      <c r="R3438">
        <v>49.2</v>
      </c>
      <c r="S3438">
        <v>33.1</v>
      </c>
      <c r="T3438">
        <v>34.5</v>
      </c>
      <c r="U3438">
        <v>73.400000000000006</v>
      </c>
      <c r="V3438">
        <v>-2.6</v>
      </c>
      <c r="W3438" cm="1">
        <f t="array" ref="W3438">_xlfn.IFS(OR(X3438="N/A",X3438="NA"),0,OR(X3438="R64",X3438="R68"),1,X3438="R32",2,X3438="S16",3,X3438="E8",4,X3438="F4",5,X3438="2ND",6,X3438="Champions",7)</f>
        <v>0</v>
      </c>
      <c r="X3438" t="s">
        <v>425</v>
      </c>
      <c r="Y3438" t="s">
        <v>425</v>
      </c>
      <c r="Z3438">
        <v>2023</v>
      </c>
    </row>
    <row r="3439" spans="1:26" x14ac:dyDescent="0.3">
      <c r="A3439" t="s">
        <v>227</v>
      </c>
      <c r="B3439" t="s">
        <v>43</v>
      </c>
      <c r="C3439">
        <v>31</v>
      </c>
      <c r="D3439">
        <v>18</v>
      </c>
      <c r="E3439" s="1">
        <f t="shared" si="53"/>
        <v>0.58064516129032262</v>
      </c>
      <c r="F3439">
        <v>103.4</v>
      </c>
      <c r="G3439">
        <v>105.4</v>
      </c>
      <c r="H3439">
        <v>0.44490000000000002</v>
      </c>
      <c r="I3439">
        <v>53.5</v>
      </c>
      <c r="J3439">
        <v>50.3</v>
      </c>
      <c r="K3439">
        <v>17.3</v>
      </c>
      <c r="L3439">
        <v>17.2</v>
      </c>
      <c r="M3439">
        <v>26.2</v>
      </c>
      <c r="N3439">
        <v>26.6</v>
      </c>
      <c r="O3439">
        <v>24</v>
      </c>
      <c r="P3439">
        <v>27.6</v>
      </c>
      <c r="Q3439">
        <v>53.9</v>
      </c>
      <c r="R3439">
        <v>51.2</v>
      </c>
      <c r="S3439">
        <v>35.1</v>
      </c>
      <c r="T3439">
        <v>32.6</v>
      </c>
      <c r="U3439">
        <v>71.2</v>
      </c>
      <c r="V3439">
        <v>-11</v>
      </c>
      <c r="W3439" cm="1">
        <f t="array" ref="W3439">_xlfn.IFS(OR(X3439="N/A",X3439="NA"),0,OR(X3439="R64",X3439="R68"),1,X3439="R32",2,X3439="S16",3,X3439="E8",4,X3439="F4",5,X3439="2ND",6,X3439="Champions",7)</f>
        <v>0</v>
      </c>
      <c r="X3439" t="s">
        <v>425</v>
      </c>
      <c r="Y3439" t="s">
        <v>425</v>
      </c>
      <c r="Z3439">
        <v>2023</v>
      </c>
    </row>
    <row r="3440" spans="1:26" x14ac:dyDescent="0.3">
      <c r="A3440" t="s">
        <v>174</v>
      </c>
      <c r="B3440" t="s">
        <v>164</v>
      </c>
      <c r="C3440">
        <v>31</v>
      </c>
      <c r="D3440">
        <v>18</v>
      </c>
      <c r="E3440" s="1">
        <f t="shared" si="53"/>
        <v>0.58064516129032262</v>
      </c>
      <c r="F3440">
        <v>99</v>
      </c>
      <c r="G3440">
        <v>101.1</v>
      </c>
      <c r="H3440">
        <v>0.4405</v>
      </c>
      <c r="I3440">
        <v>50.8</v>
      </c>
      <c r="J3440">
        <v>52.8</v>
      </c>
      <c r="K3440">
        <v>19.2</v>
      </c>
      <c r="L3440">
        <v>19.3</v>
      </c>
      <c r="M3440">
        <v>21</v>
      </c>
      <c r="N3440">
        <v>22.4</v>
      </c>
      <c r="O3440">
        <v>33.700000000000003</v>
      </c>
      <c r="P3440">
        <v>31.7</v>
      </c>
      <c r="Q3440">
        <v>51.8</v>
      </c>
      <c r="R3440">
        <v>51.1</v>
      </c>
      <c r="S3440">
        <v>32.799999999999997</v>
      </c>
      <c r="T3440">
        <v>36.799999999999997</v>
      </c>
      <c r="U3440">
        <v>65</v>
      </c>
      <c r="V3440">
        <v>-8.4</v>
      </c>
      <c r="W3440" cm="1">
        <f t="array" ref="W3440">_xlfn.IFS(OR(X3440="N/A",X3440="NA"),0,OR(X3440="R64",X3440="R68"),1,X3440="R32",2,X3440="S16",3,X3440="E8",4,X3440="F4",5,X3440="2ND",6,X3440="Champions",7)</f>
        <v>0</v>
      </c>
      <c r="X3440" t="s">
        <v>425</v>
      </c>
      <c r="Y3440" t="s">
        <v>425</v>
      </c>
      <c r="Z3440">
        <v>2023</v>
      </c>
    </row>
    <row r="3441" spans="1:26" x14ac:dyDescent="0.3">
      <c r="A3441" t="s">
        <v>438</v>
      </c>
      <c r="B3441" t="s">
        <v>131</v>
      </c>
      <c r="C3441">
        <v>30</v>
      </c>
      <c r="D3441">
        <v>18</v>
      </c>
      <c r="E3441" s="1">
        <f t="shared" si="53"/>
        <v>0.6</v>
      </c>
      <c r="F3441">
        <v>105.7</v>
      </c>
      <c r="G3441">
        <v>108.3</v>
      </c>
      <c r="H3441">
        <v>0.4299</v>
      </c>
      <c r="I3441">
        <v>51.2</v>
      </c>
      <c r="J3441">
        <v>53</v>
      </c>
      <c r="K3441">
        <v>17.600000000000001</v>
      </c>
      <c r="L3441">
        <v>15.7</v>
      </c>
      <c r="M3441">
        <v>29.7</v>
      </c>
      <c r="N3441">
        <v>26.1</v>
      </c>
      <c r="O3441">
        <v>35.9</v>
      </c>
      <c r="P3441">
        <v>25.4</v>
      </c>
      <c r="Q3441">
        <v>50.5</v>
      </c>
      <c r="R3441">
        <v>53</v>
      </c>
      <c r="S3441">
        <v>34.799999999999997</v>
      </c>
      <c r="T3441">
        <v>35.299999999999997</v>
      </c>
      <c r="U3441">
        <v>69.8</v>
      </c>
      <c r="V3441">
        <v>-9.4</v>
      </c>
      <c r="W3441" cm="1">
        <f t="array" ref="W3441">_xlfn.IFS(OR(X3441="N/A",X3441="NA"),0,OR(X3441="R64",X3441="R68"),1,X3441="R32",2,X3441="S16",3,X3441="E8",4,X3441="F4",5,X3441="2ND",6,X3441="Champions",7)</f>
        <v>0</v>
      </c>
      <c r="X3441" t="s">
        <v>425</v>
      </c>
      <c r="Y3441" t="s">
        <v>425</v>
      </c>
      <c r="Z3441">
        <v>2023</v>
      </c>
    </row>
    <row r="3442" spans="1:26" x14ac:dyDescent="0.3">
      <c r="A3442" t="s">
        <v>140</v>
      </c>
      <c r="B3442" t="s">
        <v>131</v>
      </c>
      <c r="C3442">
        <v>30</v>
      </c>
      <c r="D3442">
        <v>18</v>
      </c>
      <c r="E3442" s="1">
        <f t="shared" si="53"/>
        <v>0.6</v>
      </c>
      <c r="F3442">
        <v>102.4</v>
      </c>
      <c r="G3442">
        <v>109.3</v>
      </c>
      <c r="H3442">
        <v>0.31900000000000001</v>
      </c>
      <c r="I3442">
        <v>50.7</v>
      </c>
      <c r="J3442">
        <v>52.1</v>
      </c>
      <c r="K3442">
        <v>15.8</v>
      </c>
      <c r="L3442">
        <v>15.1</v>
      </c>
      <c r="M3442">
        <v>23.1</v>
      </c>
      <c r="N3442">
        <v>27.9</v>
      </c>
      <c r="O3442">
        <v>30.1</v>
      </c>
      <c r="P3442">
        <v>31.8</v>
      </c>
      <c r="Q3442">
        <v>49.1</v>
      </c>
      <c r="R3442">
        <v>49.6</v>
      </c>
      <c r="S3442">
        <v>35.799999999999997</v>
      </c>
      <c r="T3442">
        <v>37.6</v>
      </c>
      <c r="U3442">
        <v>68.400000000000006</v>
      </c>
      <c r="V3442">
        <v>-7.9</v>
      </c>
      <c r="W3442" cm="1">
        <f t="array" ref="W3442">_xlfn.IFS(OR(X3442="N/A",X3442="NA"),0,OR(X3442="R64",X3442="R68"),1,X3442="R32",2,X3442="S16",3,X3442="E8",4,X3442="F4",5,X3442="2ND",6,X3442="Champions",7)</f>
        <v>0</v>
      </c>
      <c r="X3442" t="s">
        <v>425</v>
      </c>
      <c r="Y3442" t="s">
        <v>425</v>
      </c>
      <c r="Z3442">
        <v>2023</v>
      </c>
    </row>
    <row r="3443" spans="1:26" x14ac:dyDescent="0.3">
      <c r="A3443" t="s">
        <v>32</v>
      </c>
      <c r="B3443" t="s">
        <v>31</v>
      </c>
      <c r="C3443">
        <v>34</v>
      </c>
      <c r="D3443">
        <v>18</v>
      </c>
      <c r="E3443" s="1">
        <f t="shared" si="53"/>
        <v>0.52941176470588236</v>
      </c>
      <c r="F3443">
        <v>111.7</v>
      </c>
      <c r="G3443">
        <v>97.1</v>
      </c>
      <c r="H3443">
        <v>0.83230000000000004</v>
      </c>
      <c r="I3443">
        <v>51.6</v>
      </c>
      <c r="J3443">
        <v>47.9</v>
      </c>
      <c r="K3443">
        <v>15.2</v>
      </c>
      <c r="L3443">
        <v>14.4</v>
      </c>
      <c r="M3443">
        <v>25.7</v>
      </c>
      <c r="N3443">
        <v>25.8</v>
      </c>
      <c r="O3443">
        <v>30.8</v>
      </c>
      <c r="P3443">
        <v>25.8</v>
      </c>
      <c r="Q3443">
        <v>51</v>
      </c>
      <c r="R3443">
        <v>48</v>
      </c>
      <c r="S3443">
        <v>35.1</v>
      </c>
      <c r="T3443">
        <v>31.7</v>
      </c>
      <c r="U3443">
        <v>67.5</v>
      </c>
      <c r="V3443">
        <v>-1.8</v>
      </c>
      <c r="W3443" cm="1">
        <f t="array" ref="W3443">_xlfn.IFS(OR(X3443="N/A",X3443="NA"),0,OR(X3443="R64",X3443="R68"),1,X3443="R32",2,X3443="S16",3,X3443="E8",4,X3443="F4",5,X3443="2ND",6,X3443="Champions",7)</f>
        <v>0</v>
      </c>
      <c r="X3443" t="s">
        <v>425</v>
      </c>
      <c r="Y3443" t="s">
        <v>425</v>
      </c>
      <c r="Z3443">
        <v>2023</v>
      </c>
    </row>
    <row r="3444" spans="1:26" x14ac:dyDescent="0.3">
      <c r="A3444" t="s">
        <v>356</v>
      </c>
      <c r="B3444" t="s">
        <v>62</v>
      </c>
      <c r="C3444">
        <v>31</v>
      </c>
      <c r="D3444">
        <v>18</v>
      </c>
      <c r="E3444" s="1">
        <f t="shared" si="53"/>
        <v>0.58064516129032262</v>
      </c>
      <c r="F3444">
        <v>101</v>
      </c>
      <c r="G3444">
        <v>107.2</v>
      </c>
      <c r="H3444">
        <v>0.33589999999999998</v>
      </c>
      <c r="I3444">
        <v>49.1</v>
      </c>
      <c r="J3444">
        <v>51</v>
      </c>
      <c r="K3444">
        <v>15.7</v>
      </c>
      <c r="L3444">
        <v>15.6</v>
      </c>
      <c r="M3444">
        <v>25.5</v>
      </c>
      <c r="N3444">
        <v>25.2</v>
      </c>
      <c r="O3444">
        <v>33.799999999999997</v>
      </c>
      <c r="P3444">
        <v>34.1</v>
      </c>
      <c r="Q3444">
        <v>48.7</v>
      </c>
      <c r="R3444">
        <v>51.4</v>
      </c>
      <c r="S3444">
        <v>33.1</v>
      </c>
      <c r="T3444">
        <v>33.299999999999997</v>
      </c>
      <c r="U3444">
        <v>67.5</v>
      </c>
      <c r="V3444">
        <v>-9.8000000000000007</v>
      </c>
      <c r="W3444" cm="1">
        <f t="array" ref="W3444">_xlfn.IFS(OR(X3444="N/A",X3444="NA"),0,OR(X3444="R64",X3444="R68"),1,X3444="R32",2,X3444="S16",3,X3444="E8",4,X3444="F4",5,X3444="2ND",6,X3444="Champions",7)</f>
        <v>0</v>
      </c>
      <c r="X3444" t="s">
        <v>425</v>
      </c>
      <c r="Y3444" t="s">
        <v>425</v>
      </c>
      <c r="Z3444">
        <v>2023</v>
      </c>
    </row>
    <row r="3445" spans="1:26" x14ac:dyDescent="0.3">
      <c r="A3445" t="s">
        <v>428</v>
      </c>
      <c r="B3445" t="s">
        <v>77</v>
      </c>
      <c r="C3445">
        <v>32</v>
      </c>
      <c r="D3445">
        <v>18</v>
      </c>
      <c r="E3445" s="1">
        <f t="shared" si="53"/>
        <v>0.5625</v>
      </c>
      <c r="F3445">
        <v>90.5</v>
      </c>
      <c r="G3445">
        <v>98.8</v>
      </c>
      <c r="H3445">
        <v>0.26700000000000002</v>
      </c>
      <c r="I3445">
        <v>48.3</v>
      </c>
      <c r="J3445">
        <v>49.1</v>
      </c>
      <c r="K3445">
        <v>20.7</v>
      </c>
      <c r="L3445">
        <v>26</v>
      </c>
      <c r="M3445">
        <v>20.5</v>
      </c>
      <c r="N3445">
        <v>35.6</v>
      </c>
      <c r="O3445">
        <v>34.6</v>
      </c>
      <c r="P3445">
        <v>26.9</v>
      </c>
      <c r="Q3445">
        <v>48.2</v>
      </c>
      <c r="R3445">
        <v>48.9</v>
      </c>
      <c r="S3445">
        <v>32.299999999999997</v>
      </c>
      <c r="T3445">
        <v>33</v>
      </c>
      <c r="U3445">
        <v>66.099999999999994</v>
      </c>
      <c r="V3445">
        <v>-11.8</v>
      </c>
      <c r="W3445" cm="1">
        <f t="array" ref="W3445">_xlfn.IFS(OR(X3445="N/A",X3445="NA"),0,OR(X3445="R64",X3445="R68"),1,X3445="R32",2,X3445="S16",3,X3445="E8",4,X3445="F4",5,X3445="2ND",6,X3445="Champions",7)</f>
        <v>0</v>
      </c>
      <c r="X3445" t="s">
        <v>425</v>
      </c>
      <c r="Y3445" t="s">
        <v>425</v>
      </c>
      <c r="Z3445">
        <v>2023</v>
      </c>
    </row>
    <row r="3446" spans="1:26" x14ac:dyDescent="0.3">
      <c r="A3446" t="s">
        <v>318</v>
      </c>
      <c r="B3446" t="s">
        <v>38</v>
      </c>
      <c r="C3446">
        <v>35</v>
      </c>
      <c r="D3446">
        <v>18</v>
      </c>
      <c r="E3446" s="1">
        <f t="shared" si="53"/>
        <v>0.51428571428571423</v>
      </c>
      <c r="F3446">
        <v>106.5</v>
      </c>
      <c r="G3446">
        <v>95.1</v>
      </c>
      <c r="H3446">
        <v>0.78759999999999997</v>
      </c>
      <c r="I3446">
        <v>49</v>
      </c>
      <c r="J3446">
        <v>48</v>
      </c>
      <c r="K3446">
        <v>19</v>
      </c>
      <c r="L3446">
        <v>19.3</v>
      </c>
      <c r="M3446">
        <v>30.8</v>
      </c>
      <c r="N3446">
        <v>25.1</v>
      </c>
      <c r="O3446">
        <v>29.9</v>
      </c>
      <c r="P3446">
        <v>31.4</v>
      </c>
      <c r="Q3446">
        <v>49.4</v>
      </c>
      <c r="R3446">
        <v>47.9</v>
      </c>
      <c r="S3446">
        <v>32.200000000000003</v>
      </c>
      <c r="T3446">
        <v>32.1</v>
      </c>
      <c r="U3446">
        <v>69</v>
      </c>
      <c r="V3446">
        <v>-3.4</v>
      </c>
      <c r="W3446" cm="1">
        <f t="array" ref="W3446">_xlfn.IFS(OR(X3446="N/A",X3446="NA"),0,OR(X3446="R64",X3446="R68"),1,X3446="R32",2,X3446="S16",3,X3446="E8",4,X3446="F4",5,X3446="2ND",6,X3446="Champions",7)</f>
        <v>0</v>
      </c>
      <c r="X3446" t="s">
        <v>425</v>
      </c>
      <c r="Y3446" t="s">
        <v>425</v>
      </c>
      <c r="Z3446">
        <v>2023</v>
      </c>
    </row>
    <row r="3447" spans="1:26" x14ac:dyDescent="0.3">
      <c r="A3447" t="s">
        <v>348</v>
      </c>
      <c r="B3447" t="s">
        <v>62</v>
      </c>
      <c r="C3447">
        <v>32</v>
      </c>
      <c r="D3447">
        <v>18</v>
      </c>
      <c r="E3447" s="1">
        <f t="shared" si="53"/>
        <v>0.5625</v>
      </c>
      <c r="F3447">
        <v>107.3</v>
      </c>
      <c r="G3447">
        <v>107.3</v>
      </c>
      <c r="H3447">
        <v>0.50009999999999999</v>
      </c>
      <c r="I3447">
        <v>54</v>
      </c>
      <c r="J3447">
        <v>50.9</v>
      </c>
      <c r="K3447">
        <v>17.5</v>
      </c>
      <c r="L3447">
        <v>15.3</v>
      </c>
      <c r="M3447">
        <v>27.3</v>
      </c>
      <c r="N3447">
        <v>26.7</v>
      </c>
      <c r="O3447">
        <v>32</v>
      </c>
      <c r="P3447">
        <v>30.2</v>
      </c>
      <c r="Q3447">
        <v>51.8</v>
      </c>
      <c r="R3447">
        <v>50.6</v>
      </c>
      <c r="S3447">
        <v>37.299999999999997</v>
      </c>
      <c r="T3447">
        <v>34.200000000000003</v>
      </c>
      <c r="U3447">
        <v>68</v>
      </c>
      <c r="V3447">
        <v>-11.3</v>
      </c>
      <c r="W3447" cm="1">
        <f t="array" ref="W3447">_xlfn.IFS(OR(X3447="N/A",X3447="NA"),0,OR(X3447="R64",X3447="R68"),1,X3447="R32",2,X3447="S16",3,X3447="E8",4,X3447="F4",5,X3447="2ND",6,X3447="Champions",7)</f>
        <v>0</v>
      </c>
      <c r="X3447" t="s">
        <v>425</v>
      </c>
      <c r="Y3447" t="s">
        <v>425</v>
      </c>
      <c r="Z3447">
        <v>2023</v>
      </c>
    </row>
    <row r="3448" spans="1:26" x14ac:dyDescent="0.3">
      <c r="A3448" t="s">
        <v>409</v>
      </c>
      <c r="B3448" t="s">
        <v>37</v>
      </c>
      <c r="C3448">
        <v>30</v>
      </c>
      <c r="D3448">
        <v>19</v>
      </c>
      <c r="E3448" s="1">
        <f t="shared" si="53"/>
        <v>0.6333333333333333</v>
      </c>
      <c r="F3448">
        <v>107.7</v>
      </c>
      <c r="G3448">
        <v>104.1</v>
      </c>
      <c r="H3448">
        <v>0.59809999999999997</v>
      </c>
      <c r="I3448">
        <v>53.1</v>
      </c>
      <c r="J3448">
        <v>51.8</v>
      </c>
      <c r="K3448">
        <v>18.3</v>
      </c>
      <c r="L3448">
        <v>16.2</v>
      </c>
      <c r="M3448">
        <v>30.2</v>
      </c>
      <c r="N3448">
        <v>24.6</v>
      </c>
      <c r="O3448">
        <v>31.6</v>
      </c>
      <c r="P3448">
        <v>34.9</v>
      </c>
      <c r="Q3448">
        <v>51.9</v>
      </c>
      <c r="R3448">
        <v>52</v>
      </c>
      <c r="S3448">
        <v>36.5</v>
      </c>
      <c r="T3448">
        <v>34.299999999999997</v>
      </c>
      <c r="U3448">
        <v>67.099999999999994</v>
      </c>
      <c r="V3448">
        <v>-2.9</v>
      </c>
      <c r="W3448" cm="1">
        <f t="array" ref="W3448">_xlfn.IFS(OR(X3448="N/A",X3448="NA"),0,OR(X3448="R64",X3448="R68"),1,X3448="R32",2,X3448="S16",3,X3448="E8",4,X3448="F4",5,X3448="2ND",6,X3448="Champions",7)</f>
        <v>0</v>
      </c>
      <c r="X3448" t="s">
        <v>425</v>
      </c>
      <c r="Y3448" t="s">
        <v>425</v>
      </c>
      <c r="Z3448">
        <v>2023</v>
      </c>
    </row>
    <row r="3449" spans="1:26" x14ac:dyDescent="0.3">
      <c r="A3449" t="s">
        <v>214</v>
      </c>
      <c r="B3449" t="s">
        <v>58</v>
      </c>
      <c r="C3449">
        <v>30</v>
      </c>
      <c r="D3449">
        <v>19</v>
      </c>
      <c r="E3449" s="1">
        <f t="shared" si="53"/>
        <v>0.6333333333333333</v>
      </c>
      <c r="F3449">
        <v>101.2</v>
      </c>
      <c r="G3449">
        <v>103.1</v>
      </c>
      <c r="H3449">
        <v>0.44800000000000001</v>
      </c>
      <c r="I3449">
        <v>46.4</v>
      </c>
      <c r="J3449">
        <v>48.3</v>
      </c>
      <c r="K3449">
        <v>17.100000000000001</v>
      </c>
      <c r="L3449">
        <v>17.7</v>
      </c>
      <c r="M3449">
        <v>32.799999999999997</v>
      </c>
      <c r="N3449">
        <v>29</v>
      </c>
      <c r="O3449">
        <v>36.200000000000003</v>
      </c>
      <c r="P3449">
        <v>34.700000000000003</v>
      </c>
      <c r="Q3449">
        <v>46.1</v>
      </c>
      <c r="R3449">
        <v>48.8</v>
      </c>
      <c r="S3449">
        <v>31.5</v>
      </c>
      <c r="T3449">
        <v>31.7</v>
      </c>
      <c r="U3449">
        <v>64.8</v>
      </c>
      <c r="V3449">
        <v>-5.9</v>
      </c>
      <c r="W3449" cm="1">
        <f t="array" ref="W3449">_xlfn.IFS(OR(X3449="N/A",X3449="NA"),0,OR(X3449="R64",X3449="R68"),1,X3449="R32",2,X3449="S16",3,X3449="E8",4,X3449="F4",5,X3449="2ND",6,X3449="Champions",7)</f>
        <v>0</v>
      </c>
      <c r="X3449" t="s">
        <v>425</v>
      </c>
      <c r="Y3449" t="s">
        <v>425</v>
      </c>
      <c r="Z3449">
        <v>2023</v>
      </c>
    </row>
    <row r="3450" spans="1:26" x14ac:dyDescent="0.3">
      <c r="A3450" t="s">
        <v>289</v>
      </c>
      <c r="B3450" t="s">
        <v>55</v>
      </c>
      <c r="C3450">
        <v>31</v>
      </c>
      <c r="D3450">
        <v>19</v>
      </c>
      <c r="E3450" s="1">
        <f t="shared" si="53"/>
        <v>0.61290322580645162</v>
      </c>
      <c r="F3450">
        <v>106.4</v>
      </c>
      <c r="G3450">
        <v>99</v>
      </c>
      <c r="H3450">
        <v>0.69630000000000003</v>
      </c>
      <c r="I3450">
        <v>49.2</v>
      </c>
      <c r="J3450">
        <v>52.4</v>
      </c>
      <c r="K3450">
        <v>17.5</v>
      </c>
      <c r="L3450">
        <v>24.7</v>
      </c>
      <c r="M3450">
        <v>27.9</v>
      </c>
      <c r="N3450">
        <v>31</v>
      </c>
      <c r="O3450">
        <v>35.5</v>
      </c>
      <c r="P3450">
        <v>31</v>
      </c>
      <c r="Q3450">
        <v>47.9</v>
      </c>
      <c r="R3450">
        <v>50.9</v>
      </c>
      <c r="S3450">
        <v>34.1</v>
      </c>
      <c r="T3450">
        <v>36.1</v>
      </c>
      <c r="U3450">
        <v>69.400000000000006</v>
      </c>
      <c r="V3450">
        <v>-3.4</v>
      </c>
      <c r="W3450" cm="1">
        <f t="array" ref="W3450">_xlfn.IFS(OR(X3450="N/A",X3450="NA"),0,OR(X3450="R64",X3450="R68"),1,X3450="R32",2,X3450="S16",3,X3450="E8",4,X3450="F4",5,X3450="2ND",6,X3450="Champions",7)</f>
        <v>0</v>
      </c>
      <c r="X3450" t="s">
        <v>425</v>
      </c>
      <c r="Y3450" t="s">
        <v>425</v>
      </c>
      <c r="Z3450">
        <v>2023</v>
      </c>
    </row>
    <row r="3451" spans="1:26" x14ac:dyDescent="0.3">
      <c r="A3451" t="s">
        <v>380</v>
      </c>
      <c r="B3451" t="s">
        <v>51</v>
      </c>
      <c r="C3451">
        <v>29</v>
      </c>
      <c r="D3451">
        <v>19</v>
      </c>
      <c r="E3451" s="1">
        <f t="shared" si="53"/>
        <v>0.65517241379310343</v>
      </c>
      <c r="F3451">
        <v>104</v>
      </c>
      <c r="G3451">
        <v>101.8</v>
      </c>
      <c r="H3451">
        <v>0.55920000000000003</v>
      </c>
      <c r="I3451">
        <v>51.5</v>
      </c>
      <c r="J3451">
        <v>51.4</v>
      </c>
      <c r="K3451">
        <v>21.3</v>
      </c>
      <c r="L3451">
        <v>23.8</v>
      </c>
      <c r="M3451">
        <v>31.6</v>
      </c>
      <c r="N3451">
        <v>32.200000000000003</v>
      </c>
      <c r="O3451">
        <v>38.9</v>
      </c>
      <c r="P3451">
        <v>41.8</v>
      </c>
      <c r="Q3451">
        <v>49.2</v>
      </c>
      <c r="R3451">
        <v>51.7</v>
      </c>
      <c r="S3451">
        <v>38</v>
      </c>
      <c r="T3451">
        <v>34</v>
      </c>
      <c r="U3451">
        <v>69.099999999999994</v>
      </c>
      <c r="V3451">
        <v>-7</v>
      </c>
      <c r="W3451" cm="1">
        <f t="array" ref="W3451">_xlfn.IFS(OR(X3451="N/A",X3451="NA"),0,OR(X3451="R64",X3451="R68"),1,X3451="R32",2,X3451="S16",3,X3451="E8",4,X3451="F4",5,X3451="2ND",6,X3451="Champions",7)</f>
        <v>0</v>
      </c>
      <c r="X3451" t="s">
        <v>425</v>
      </c>
      <c r="Y3451" t="s">
        <v>425</v>
      </c>
      <c r="Z3451">
        <v>2023</v>
      </c>
    </row>
    <row r="3452" spans="1:26" x14ac:dyDescent="0.3">
      <c r="A3452" t="s">
        <v>386</v>
      </c>
      <c r="B3452" t="s">
        <v>72</v>
      </c>
      <c r="C3452">
        <v>31</v>
      </c>
      <c r="D3452">
        <v>19</v>
      </c>
      <c r="E3452" s="1">
        <f t="shared" si="53"/>
        <v>0.61290322580645162</v>
      </c>
      <c r="F3452">
        <v>103</v>
      </c>
      <c r="G3452">
        <v>105.2</v>
      </c>
      <c r="H3452">
        <v>0.43769999999999998</v>
      </c>
      <c r="I3452">
        <v>51.7</v>
      </c>
      <c r="J3452">
        <v>50.9</v>
      </c>
      <c r="K3452">
        <v>17.100000000000001</v>
      </c>
      <c r="L3452">
        <v>17.3</v>
      </c>
      <c r="M3452">
        <v>21.5</v>
      </c>
      <c r="N3452">
        <v>26</v>
      </c>
      <c r="O3452">
        <v>28.1</v>
      </c>
      <c r="P3452">
        <v>23.1</v>
      </c>
      <c r="Q3452">
        <v>51.2</v>
      </c>
      <c r="R3452">
        <v>51.7</v>
      </c>
      <c r="S3452">
        <v>35.1</v>
      </c>
      <c r="T3452">
        <v>33.200000000000003</v>
      </c>
      <c r="U3452">
        <v>66.7</v>
      </c>
      <c r="V3452">
        <v>-6.5</v>
      </c>
      <c r="W3452" cm="1">
        <f t="array" ref="W3452">_xlfn.IFS(OR(X3452="N/A",X3452="NA"),0,OR(X3452="R64",X3452="R68"),1,X3452="R32",2,X3452="S16",3,X3452="E8",4,X3452="F4",5,X3452="2ND",6,X3452="Champions",7)</f>
        <v>0</v>
      </c>
      <c r="X3452" t="s">
        <v>425</v>
      </c>
      <c r="Y3452" t="s">
        <v>425</v>
      </c>
      <c r="Z3452">
        <v>2023</v>
      </c>
    </row>
    <row r="3453" spans="1:26" x14ac:dyDescent="0.3">
      <c r="A3453" t="s">
        <v>109</v>
      </c>
      <c r="B3453" t="s">
        <v>26</v>
      </c>
      <c r="C3453">
        <v>33</v>
      </c>
      <c r="D3453">
        <v>19</v>
      </c>
      <c r="E3453" s="1">
        <f t="shared" si="53"/>
        <v>0.5757575757575758</v>
      </c>
      <c r="F3453">
        <v>111.4</v>
      </c>
      <c r="G3453">
        <v>101.5</v>
      </c>
      <c r="H3453">
        <v>0.74319999999999997</v>
      </c>
      <c r="I3453">
        <v>54.2</v>
      </c>
      <c r="J3453">
        <v>51.6</v>
      </c>
      <c r="K3453">
        <v>17.100000000000001</v>
      </c>
      <c r="L3453">
        <v>17.3</v>
      </c>
      <c r="M3453">
        <v>24.8</v>
      </c>
      <c r="N3453">
        <v>26.6</v>
      </c>
      <c r="O3453">
        <v>32.1</v>
      </c>
      <c r="P3453">
        <v>26.7</v>
      </c>
      <c r="Q3453">
        <v>54</v>
      </c>
      <c r="R3453">
        <v>51</v>
      </c>
      <c r="S3453">
        <v>36.4</v>
      </c>
      <c r="T3453">
        <v>35</v>
      </c>
      <c r="U3453">
        <v>69.400000000000006</v>
      </c>
      <c r="V3453">
        <v>-3</v>
      </c>
      <c r="W3453" cm="1">
        <f t="array" ref="W3453">_xlfn.IFS(OR(X3453="N/A",X3453="NA"),0,OR(X3453="R64",X3453="R68"),1,X3453="R32",2,X3453="S16",3,X3453="E8",4,X3453="F4",5,X3453="2ND",6,X3453="Champions",7)</f>
        <v>0</v>
      </c>
      <c r="X3453" t="s">
        <v>425</v>
      </c>
      <c r="Y3453" t="s">
        <v>425</v>
      </c>
      <c r="Z3453">
        <v>2023</v>
      </c>
    </row>
    <row r="3454" spans="1:26" x14ac:dyDescent="0.3">
      <c r="A3454" t="s">
        <v>212</v>
      </c>
      <c r="B3454" t="s">
        <v>40</v>
      </c>
      <c r="C3454">
        <v>31</v>
      </c>
      <c r="D3454">
        <v>19</v>
      </c>
      <c r="E3454" s="1">
        <f t="shared" si="53"/>
        <v>0.61290322580645162</v>
      </c>
      <c r="F3454">
        <v>105.8</v>
      </c>
      <c r="G3454">
        <v>101.3</v>
      </c>
      <c r="H3454">
        <v>0.62239999999999995</v>
      </c>
      <c r="I3454">
        <v>51.2</v>
      </c>
      <c r="J3454">
        <v>51.6</v>
      </c>
      <c r="K3454">
        <v>19.3</v>
      </c>
      <c r="L3454">
        <v>21.8</v>
      </c>
      <c r="M3454">
        <v>31.9</v>
      </c>
      <c r="N3454">
        <v>29.2</v>
      </c>
      <c r="O3454">
        <v>29.4</v>
      </c>
      <c r="P3454">
        <v>34.6</v>
      </c>
      <c r="Q3454">
        <v>51</v>
      </c>
      <c r="R3454">
        <v>50.2</v>
      </c>
      <c r="S3454">
        <v>34.299999999999997</v>
      </c>
      <c r="T3454">
        <v>36.200000000000003</v>
      </c>
      <c r="U3454">
        <v>66.8</v>
      </c>
      <c r="V3454">
        <v>-5.2</v>
      </c>
      <c r="W3454" cm="1">
        <f t="array" ref="W3454">_xlfn.IFS(OR(X3454="N/A",X3454="NA"),0,OR(X3454="R64",X3454="R68"),1,X3454="R32",2,X3454="S16",3,X3454="E8",4,X3454="F4",5,X3454="2ND",6,X3454="Champions",7)</f>
        <v>0</v>
      </c>
      <c r="X3454" t="s">
        <v>425</v>
      </c>
      <c r="Y3454" t="s">
        <v>425</v>
      </c>
      <c r="Z3454">
        <v>2023</v>
      </c>
    </row>
    <row r="3455" spans="1:26" x14ac:dyDescent="0.3">
      <c r="A3455" t="s">
        <v>259</v>
      </c>
      <c r="B3455" t="s">
        <v>57</v>
      </c>
      <c r="C3455">
        <v>32</v>
      </c>
      <c r="D3455">
        <v>19</v>
      </c>
      <c r="E3455" s="1">
        <f t="shared" si="53"/>
        <v>0.59375</v>
      </c>
      <c r="F3455">
        <v>109.3</v>
      </c>
      <c r="G3455">
        <v>106.8</v>
      </c>
      <c r="H3455">
        <v>0.56620000000000004</v>
      </c>
      <c r="I3455">
        <v>52.4</v>
      </c>
      <c r="J3455">
        <v>51.6</v>
      </c>
      <c r="K3455">
        <v>16.2</v>
      </c>
      <c r="L3455">
        <v>17.600000000000001</v>
      </c>
      <c r="M3455">
        <v>32.799999999999997</v>
      </c>
      <c r="N3455">
        <v>28.9</v>
      </c>
      <c r="O3455">
        <v>27.5</v>
      </c>
      <c r="P3455">
        <v>33.9</v>
      </c>
      <c r="Q3455">
        <v>50.1</v>
      </c>
      <c r="R3455">
        <v>51.9</v>
      </c>
      <c r="S3455">
        <v>37.299999999999997</v>
      </c>
      <c r="T3455">
        <v>34.1</v>
      </c>
      <c r="U3455">
        <v>68.099999999999994</v>
      </c>
      <c r="V3455">
        <v>-7.7</v>
      </c>
      <c r="W3455" cm="1">
        <f t="array" ref="W3455">_xlfn.IFS(OR(X3455="N/A",X3455="NA"),0,OR(X3455="R64",X3455="R68"),1,X3455="R32",2,X3455="S16",3,X3455="E8",4,X3455="F4",5,X3455="2ND",6,X3455="Champions",7)</f>
        <v>0</v>
      </c>
      <c r="X3455" t="s">
        <v>425</v>
      </c>
      <c r="Y3455" t="s">
        <v>425</v>
      </c>
      <c r="Z3455">
        <v>2023</v>
      </c>
    </row>
    <row r="3456" spans="1:26" x14ac:dyDescent="0.3">
      <c r="A3456" t="s">
        <v>432</v>
      </c>
      <c r="B3456" t="s">
        <v>72</v>
      </c>
      <c r="C3456">
        <v>31</v>
      </c>
      <c r="D3456">
        <v>19</v>
      </c>
      <c r="E3456" s="1">
        <f t="shared" si="53"/>
        <v>0.61290322580645162</v>
      </c>
      <c r="F3456">
        <v>106.1</v>
      </c>
      <c r="G3456">
        <v>108</v>
      </c>
      <c r="H3456">
        <v>0.44969999999999999</v>
      </c>
      <c r="I3456">
        <v>51.8</v>
      </c>
      <c r="J3456">
        <v>51.9</v>
      </c>
      <c r="K3456">
        <v>15.1</v>
      </c>
      <c r="L3456">
        <v>17.3</v>
      </c>
      <c r="M3456">
        <v>24</v>
      </c>
      <c r="N3456">
        <v>28.8</v>
      </c>
      <c r="O3456">
        <v>30.7</v>
      </c>
      <c r="P3456">
        <v>31</v>
      </c>
      <c r="Q3456">
        <v>51.2</v>
      </c>
      <c r="R3456">
        <v>52.6</v>
      </c>
      <c r="S3456">
        <v>35.1</v>
      </c>
      <c r="T3456">
        <v>33.700000000000003</v>
      </c>
      <c r="U3456">
        <v>66</v>
      </c>
      <c r="V3456">
        <v>-8.8000000000000007</v>
      </c>
      <c r="W3456" cm="1">
        <f t="array" ref="W3456">_xlfn.IFS(OR(X3456="N/A",X3456="NA"),0,OR(X3456="R64",X3456="R68"),1,X3456="R32",2,X3456="S16",3,X3456="E8",4,X3456="F4",5,X3456="2ND",6,X3456="Champions",7)</f>
        <v>0</v>
      </c>
      <c r="X3456" t="s">
        <v>425</v>
      </c>
      <c r="Y3456" t="s">
        <v>425</v>
      </c>
      <c r="Z3456">
        <v>2023</v>
      </c>
    </row>
    <row r="3457" spans="1:26" x14ac:dyDescent="0.3">
      <c r="A3457" t="s">
        <v>310</v>
      </c>
      <c r="B3457" t="s">
        <v>64</v>
      </c>
      <c r="C3457">
        <v>30</v>
      </c>
      <c r="D3457">
        <v>19</v>
      </c>
      <c r="E3457" s="1">
        <f t="shared" si="53"/>
        <v>0.6333333333333333</v>
      </c>
      <c r="F3457">
        <v>98.8</v>
      </c>
      <c r="G3457">
        <v>106.3</v>
      </c>
      <c r="H3457">
        <v>0.2999</v>
      </c>
      <c r="I3457">
        <v>48.5</v>
      </c>
      <c r="J3457">
        <v>49</v>
      </c>
      <c r="K3457">
        <v>18.5</v>
      </c>
      <c r="L3457">
        <v>19.2</v>
      </c>
      <c r="M3457">
        <v>30.6</v>
      </c>
      <c r="N3457">
        <v>29.4</v>
      </c>
      <c r="O3457">
        <v>40.299999999999997</v>
      </c>
      <c r="P3457">
        <v>34.6</v>
      </c>
      <c r="Q3457">
        <v>48.5</v>
      </c>
      <c r="R3457">
        <v>48.1</v>
      </c>
      <c r="S3457">
        <v>32.299999999999997</v>
      </c>
      <c r="T3457">
        <v>33.6</v>
      </c>
      <c r="U3457">
        <v>69</v>
      </c>
      <c r="V3457">
        <v>-10.5</v>
      </c>
      <c r="W3457" cm="1">
        <f t="array" ref="W3457">_xlfn.IFS(OR(X3457="N/A",X3457="NA"),0,OR(X3457="R64",X3457="R68"),1,X3457="R32",2,X3457="S16",3,X3457="E8",4,X3457="F4",5,X3457="2ND",6,X3457="Champions",7)</f>
        <v>0</v>
      </c>
      <c r="X3457" t="s">
        <v>425</v>
      </c>
      <c r="Y3457" t="s">
        <v>425</v>
      </c>
      <c r="Z3457">
        <v>2023</v>
      </c>
    </row>
    <row r="3458" spans="1:26" x14ac:dyDescent="0.3">
      <c r="A3458" t="s">
        <v>312</v>
      </c>
      <c r="B3458" t="s">
        <v>64</v>
      </c>
      <c r="C3458">
        <v>29</v>
      </c>
      <c r="D3458">
        <v>19</v>
      </c>
      <c r="E3458" s="1">
        <f t="shared" si="53"/>
        <v>0.65517241379310343</v>
      </c>
      <c r="F3458">
        <v>100.9</v>
      </c>
      <c r="G3458">
        <v>110.5</v>
      </c>
      <c r="H3458">
        <v>0.25990000000000002</v>
      </c>
      <c r="I3458">
        <v>50.4</v>
      </c>
      <c r="J3458">
        <v>49.6</v>
      </c>
      <c r="K3458">
        <v>16.8</v>
      </c>
      <c r="L3458">
        <v>16.8</v>
      </c>
      <c r="M3458">
        <v>27</v>
      </c>
      <c r="N3458">
        <v>29</v>
      </c>
      <c r="O3458">
        <v>36.1</v>
      </c>
      <c r="P3458">
        <v>34</v>
      </c>
      <c r="Q3458">
        <v>51.9</v>
      </c>
      <c r="R3458">
        <v>50.5</v>
      </c>
      <c r="S3458">
        <v>31.9</v>
      </c>
      <c r="T3458">
        <v>32.299999999999997</v>
      </c>
      <c r="U3458">
        <v>71</v>
      </c>
      <c r="V3458">
        <v>-10.7</v>
      </c>
      <c r="W3458" cm="1">
        <f t="array" ref="W3458">_xlfn.IFS(OR(X3458="N/A",X3458="NA"),0,OR(X3458="R64",X3458="R68"),1,X3458="R32",2,X3458="S16",3,X3458="E8",4,X3458="F4",5,X3458="2ND",6,X3458="Champions",7)</f>
        <v>0</v>
      </c>
      <c r="X3458" t="s">
        <v>425</v>
      </c>
      <c r="Y3458" t="s">
        <v>425</v>
      </c>
      <c r="Z3458">
        <v>2023</v>
      </c>
    </row>
    <row r="3459" spans="1:26" x14ac:dyDescent="0.3">
      <c r="A3459" t="s">
        <v>146</v>
      </c>
      <c r="B3459" t="s">
        <v>31</v>
      </c>
      <c r="C3459">
        <v>34</v>
      </c>
      <c r="D3459">
        <v>19</v>
      </c>
      <c r="E3459" s="1">
        <f t="shared" ref="E3459:E3522" si="54">D3459/C3459</f>
        <v>0.55882352941176472</v>
      </c>
      <c r="F3459">
        <v>105.4</v>
      </c>
      <c r="G3459">
        <v>91</v>
      </c>
      <c r="H3459">
        <v>0.84379999999999999</v>
      </c>
      <c r="I3459">
        <v>47.9</v>
      </c>
      <c r="J3459">
        <v>46.6</v>
      </c>
      <c r="K3459">
        <v>17.100000000000001</v>
      </c>
      <c r="L3459">
        <v>21.7</v>
      </c>
      <c r="M3459">
        <v>32.1</v>
      </c>
      <c r="N3459">
        <v>27.9</v>
      </c>
      <c r="O3459">
        <v>28.2</v>
      </c>
      <c r="P3459">
        <v>27.4</v>
      </c>
      <c r="Q3459">
        <v>47.9</v>
      </c>
      <c r="R3459">
        <v>47</v>
      </c>
      <c r="S3459">
        <v>32.1</v>
      </c>
      <c r="T3459">
        <v>30.7</v>
      </c>
      <c r="U3459">
        <v>65.8</v>
      </c>
      <c r="V3459">
        <v>-1</v>
      </c>
      <c r="W3459" cm="1">
        <f t="array" ref="W3459">_xlfn.IFS(OR(X3459="N/A",X3459="NA"),0,OR(X3459="R64",X3459="R68"),1,X3459="R32",2,X3459="S16",3,X3459="E8",4,X3459="F4",5,X3459="2ND",6,X3459="Champions",7)</f>
        <v>0</v>
      </c>
      <c r="X3459" t="s">
        <v>425</v>
      </c>
      <c r="Y3459" t="s">
        <v>425</v>
      </c>
      <c r="Z3459">
        <v>2023</v>
      </c>
    </row>
    <row r="3460" spans="1:26" x14ac:dyDescent="0.3">
      <c r="A3460" t="s">
        <v>128</v>
      </c>
      <c r="B3460" t="s">
        <v>50</v>
      </c>
      <c r="C3460">
        <v>34</v>
      </c>
      <c r="D3460">
        <v>19</v>
      </c>
      <c r="E3460" s="1">
        <f t="shared" si="54"/>
        <v>0.55882352941176472</v>
      </c>
      <c r="F3460">
        <v>107.7</v>
      </c>
      <c r="G3460">
        <v>95.6</v>
      </c>
      <c r="H3460">
        <v>0.79879999999999995</v>
      </c>
      <c r="I3460">
        <v>50.3</v>
      </c>
      <c r="J3460">
        <v>48</v>
      </c>
      <c r="K3460">
        <v>19.600000000000001</v>
      </c>
      <c r="L3460">
        <v>21.9</v>
      </c>
      <c r="M3460">
        <v>33.6</v>
      </c>
      <c r="N3460">
        <v>30.7</v>
      </c>
      <c r="O3460">
        <v>28.9</v>
      </c>
      <c r="P3460">
        <v>33.4</v>
      </c>
      <c r="Q3460">
        <v>48.3</v>
      </c>
      <c r="R3460">
        <v>49.2</v>
      </c>
      <c r="S3460">
        <v>35.299999999999997</v>
      </c>
      <c r="T3460">
        <v>30.7</v>
      </c>
      <c r="U3460">
        <v>64.5</v>
      </c>
      <c r="V3460">
        <v>-3.8</v>
      </c>
      <c r="W3460" cm="1">
        <f t="array" ref="W3460">_xlfn.IFS(OR(X3460="N/A",X3460="NA"),0,OR(X3460="R64",X3460="R68"),1,X3460="R32",2,X3460="S16",3,X3460="E8",4,X3460="F4",5,X3460="2ND",6,X3460="Champions",7)</f>
        <v>0</v>
      </c>
      <c r="X3460" t="s">
        <v>425</v>
      </c>
      <c r="Y3460" t="s">
        <v>425</v>
      </c>
      <c r="Z3460">
        <v>2023</v>
      </c>
    </row>
    <row r="3461" spans="1:26" x14ac:dyDescent="0.3">
      <c r="A3461" t="s">
        <v>108</v>
      </c>
      <c r="B3461" t="s">
        <v>26</v>
      </c>
      <c r="C3461">
        <v>34</v>
      </c>
      <c r="D3461">
        <v>19</v>
      </c>
      <c r="E3461" s="1">
        <f t="shared" si="54"/>
        <v>0.55882352941176472</v>
      </c>
      <c r="F3461">
        <v>114</v>
      </c>
      <c r="G3461">
        <v>102.6</v>
      </c>
      <c r="H3461">
        <v>0.77100000000000002</v>
      </c>
      <c r="I3461">
        <v>54</v>
      </c>
      <c r="J3461">
        <v>50.7</v>
      </c>
      <c r="K3461">
        <v>14.7</v>
      </c>
      <c r="L3461">
        <v>16.3</v>
      </c>
      <c r="M3461">
        <v>25.9</v>
      </c>
      <c r="N3461">
        <v>27.7</v>
      </c>
      <c r="O3461">
        <v>25.9</v>
      </c>
      <c r="P3461">
        <v>25.2</v>
      </c>
      <c r="Q3461">
        <v>54.3</v>
      </c>
      <c r="R3461">
        <v>50.5</v>
      </c>
      <c r="S3461">
        <v>35.799999999999997</v>
      </c>
      <c r="T3461">
        <v>34</v>
      </c>
      <c r="U3461">
        <v>66.599999999999994</v>
      </c>
      <c r="V3461">
        <v>-3.2</v>
      </c>
      <c r="W3461" cm="1">
        <f t="array" ref="W3461">_xlfn.IFS(OR(X3461="N/A",X3461="NA"),0,OR(X3461="R64",X3461="R68"),1,X3461="R32",2,X3461="S16",3,X3461="E8",4,X3461="F4",5,X3461="2ND",6,X3461="Champions",7)</f>
        <v>0</v>
      </c>
      <c r="X3461" t="s">
        <v>425</v>
      </c>
      <c r="Y3461" t="s">
        <v>425</v>
      </c>
      <c r="Z3461">
        <v>2023</v>
      </c>
    </row>
    <row r="3462" spans="1:26" x14ac:dyDescent="0.3">
      <c r="A3462" t="s">
        <v>417</v>
      </c>
      <c r="B3462" t="s">
        <v>37</v>
      </c>
      <c r="C3462">
        <v>32</v>
      </c>
      <c r="D3462">
        <v>19</v>
      </c>
      <c r="E3462" s="1">
        <f t="shared" si="54"/>
        <v>0.59375</v>
      </c>
      <c r="F3462">
        <v>108.6</v>
      </c>
      <c r="G3462">
        <v>98.3</v>
      </c>
      <c r="H3462">
        <v>0.75770000000000004</v>
      </c>
      <c r="I3462">
        <v>51.5</v>
      </c>
      <c r="J3462">
        <v>49.5</v>
      </c>
      <c r="K3462">
        <v>20.2</v>
      </c>
      <c r="L3462">
        <v>18.5</v>
      </c>
      <c r="M3462">
        <v>31.8</v>
      </c>
      <c r="N3462">
        <v>24.1</v>
      </c>
      <c r="O3462">
        <v>32.5</v>
      </c>
      <c r="P3462">
        <v>37.799999999999997</v>
      </c>
      <c r="Q3462">
        <v>53.1</v>
      </c>
      <c r="R3462">
        <v>48.8</v>
      </c>
      <c r="S3462">
        <v>32.700000000000003</v>
      </c>
      <c r="T3462">
        <v>33.700000000000003</v>
      </c>
      <c r="U3462">
        <v>69.5</v>
      </c>
      <c r="V3462">
        <v>-4.5</v>
      </c>
      <c r="W3462" cm="1">
        <f t="array" ref="W3462">_xlfn.IFS(OR(X3462="N/A",X3462="NA"),0,OR(X3462="R64",X3462="R68"),1,X3462="R32",2,X3462="S16",3,X3462="E8",4,X3462="F4",5,X3462="2ND",6,X3462="Champions",7)</f>
        <v>0</v>
      </c>
      <c r="X3462" t="s">
        <v>425</v>
      </c>
      <c r="Y3462" t="s">
        <v>425</v>
      </c>
      <c r="Z3462">
        <v>2023</v>
      </c>
    </row>
    <row r="3463" spans="1:26" x14ac:dyDescent="0.3">
      <c r="A3463" t="s">
        <v>342</v>
      </c>
      <c r="B3463" t="s">
        <v>58</v>
      </c>
      <c r="C3463">
        <v>33</v>
      </c>
      <c r="D3463">
        <v>19</v>
      </c>
      <c r="E3463" s="1">
        <f t="shared" si="54"/>
        <v>0.5757575757575758</v>
      </c>
      <c r="F3463">
        <v>108.4</v>
      </c>
      <c r="G3463">
        <v>99.5</v>
      </c>
      <c r="H3463">
        <v>0.72940000000000005</v>
      </c>
      <c r="I3463">
        <v>52.8</v>
      </c>
      <c r="J3463">
        <v>46.6</v>
      </c>
      <c r="K3463">
        <v>14.6</v>
      </c>
      <c r="L3463">
        <v>16.100000000000001</v>
      </c>
      <c r="M3463">
        <v>20.9</v>
      </c>
      <c r="N3463">
        <v>28.4</v>
      </c>
      <c r="O3463">
        <v>22.3</v>
      </c>
      <c r="P3463">
        <v>28.3</v>
      </c>
      <c r="Q3463">
        <v>53.4</v>
      </c>
      <c r="R3463">
        <v>47.9</v>
      </c>
      <c r="S3463">
        <v>34.5</v>
      </c>
      <c r="T3463">
        <v>29</v>
      </c>
      <c r="U3463">
        <v>65.5</v>
      </c>
      <c r="V3463">
        <v>-7.9</v>
      </c>
      <c r="W3463" cm="1">
        <f t="array" ref="W3463">_xlfn.IFS(OR(X3463="N/A",X3463="NA"),0,OR(X3463="R64",X3463="R68"),1,X3463="R32",2,X3463="S16",3,X3463="E8",4,X3463="F4",5,X3463="2ND",6,X3463="Champions",7)</f>
        <v>0</v>
      </c>
      <c r="X3463" t="s">
        <v>425</v>
      </c>
      <c r="Y3463" t="s">
        <v>425</v>
      </c>
      <c r="Z3463">
        <v>2023</v>
      </c>
    </row>
    <row r="3464" spans="1:26" x14ac:dyDescent="0.3">
      <c r="A3464" t="s">
        <v>215</v>
      </c>
      <c r="B3464" t="s">
        <v>40</v>
      </c>
      <c r="C3464">
        <v>32</v>
      </c>
      <c r="D3464">
        <v>19</v>
      </c>
      <c r="E3464" s="1">
        <f t="shared" si="54"/>
        <v>0.59375</v>
      </c>
      <c r="F3464">
        <v>106.7</v>
      </c>
      <c r="G3464">
        <v>110.2</v>
      </c>
      <c r="H3464">
        <v>0.40910000000000002</v>
      </c>
      <c r="I3464">
        <v>53.1</v>
      </c>
      <c r="J3464">
        <v>54.7</v>
      </c>
      <c r="K3464">
        <v>18</v>
      </c>
      <c r="L3464">
        <v>16.100000000000001</v>
      </c>
      <c r="M3464">
        <v>24.1</v>
      </c>
      <c r="N3464">
        <v>26.6</v>
      </c>
      <c r="O3464">
        <v>32.5</v>
      </c>
      <c r="P3464">
        <v>25.7</v>
      </c>
      <c r="Q3464">
        <v>53.7</v>
      </c>
      <c r="R3464">
        <v>54</v>
      </c>
      <c r="S3464">
        <v>34.700000000000003</v>
      </c>
      <c r="T3464">
        <v>37.299999999999997</v>
      </c>
      <c r="U3464">
        <v>69.599999999999994</v>
      </c>
      <c r="V3464">
        <v>-6.8</v>
      </c>
      <c r="W3464" cm="1">
        <f t="array" ref="W3464">_xlfn.IFS(OR(X3464="N/A",X3464="NA"),0,OR(X3464="R64",X3464="R68"),1,X3464="R32",2,X3464="S16",3,X3464="E8",4,X3464="F4",5,X3464="2ND",6,X3464="Champions",7)</f>
        <v>0</v>
      </c>
      <c r="X3464" t="s">
        <v>425</v>
      </c>
      <c r="Y3464" t="s">
        <v>425</v>
      </c>
      <c r="Z3464">
        <v>2023</v>
      </c>
    </row>
    <row r="3465" spans="1:26" x14ac:dyDescent="0.3">
      <c r="A3465" t="s">
        <v>126</v>
      </c>
      <c r="B3465" t="s">
        <v>50</v>
      </c>
      <c r="C3465">
        <v>31</v>
      </c>
      <c r="D3465">
        <v>20</v>
      </c>
      <c r="E3465" s="1">
        <f t="shared" si="54"/>
        <v>0.64516129032258063</v>
      </c>
      <c r="F3465">
        <v>108.7</v>
      </c>
      <c r="G3465">
        <v>102.4</v>
      </c>
      <c r="H3465">
        <v>0.66720000000000002</v>
      </c>
      <c r="I3465">
        <v>52.4</v>
      </c>
      <c r="J3465">
        <v>50.4</v>
      </c>
      <c r="K3465">
        <v>15.1</v>
      </c>
      <c r="L3465">
        <v>19.3</v>
      </c>
      <c r="M3465">
        <v>19.3</v>
      </c>
      <c r="N3465">
        <v>30.5</v>
      </c>
      <c r="O3465">
        <v>35.4</v>
      </c>
      <c r="P3465">
        <v>29.6</v>
      </c>
      <c r="Q3465">
        <v>53.4</v>
      </c>
      <c r="R3465">
        <v>48.2</v>
      </c>
      <c r="S3465">
        <v>33.799999999999997</v>
      </c>
      <c r="T3465">
        <v>35.700000000000003</v>
      </c>
      <c r="U3465">
        <v>72.900000000000006</v>
      </c>
      <c r="V3465">
        <v>-2.1</v>
      </c>
      <c r="W3465" cm="1">
        <f t="array" ref="W3465">_xlfn.IFS(OR(X3465="N/A",X3465="NA"),0,OR(X3465="R64",X3465="R68"),1,X3465="R32",2,X3465="S16",3,X3465="E8",4,X3465="F4",5,X3465="2ND",6,X3465="Champions",7)</f>
        <v>0</v>
      </c>
      <c r="X3465" t="s">
        <v>425</v>
      </c>
      <c r="Y3465" t="s">
        <v>425</v>
      </c>
      <c r="Z3465">
        <v>2023</v>
      </c>
    </row>
    <row r="3466" spans="1:26" x14ac:dyDescent="0.3">
      <c r="A3466" t="s">
        <v>246</v>
      </c>
      <c r="B3466" t="s">
        <v>69</v>
      </c>
      <c r="C3466">
        <v>31</v>
      </c>
      <c r="D3466">
        <v>20</v>
      </c>
      <c r="E3466" s="1">
        <f t="shared" si="54"/>
        <v>0.64516129032258063</v>
      </c>
      <c r="F3466">
        <v>103.5</v>
      </c>
      <c r="G3466">
        <v>104.9</v>
      </c>
      <c r="H3466">
        <v>0.46079999999999999</v>
      </c>
      <c r="I3466">
        <v>49.9</v>
      </c>
      <c r="J3466">
        <v>48.1</v>
      </c>
      <c r="K3466">
        <v>18.100000000000001</v>
      </c>
      <c r="L3466">
        <v>16.5</v>
      </c>
      <c r="M3466">
        <v>32.200000000000003</v>
      </c>
      <c r="N3466">
        <v>27.6</v>
      </c>
      <c r="O3466">
        <v>33</v>
      </c>
      <c r="P3466">
        <v>27.1</v>
      </c>
      <c r="Q3466">
        <v>47.4</v>
      </c>
      <c r="R3466">
        <v>48.5</v>
      </c>
      <c r="S3466">
        <v>36.1</v>
      </c>
      <c r="T3466">
        <v>31.6</v>
      </c>
      <c r="U3466">
        <v>69.599999999999994</v>
      </c>
      <c r="V3466">
        <v>-7.4</v>
      </c>
      <c r="W3466" cm="1">
        <f t="array" ref="W3466">_xlfn.IFS(OR(X3466="N/A",X3466="NA"),0,OR(X3466="R64",X3466="R68"),1,X3466="R32",2,X3466="S16",3,X3466="E8",4,X3466="F4",5,X3466="2ND",6,X3466="Champions",7)</f>
        <v>0</v>
      </c>
      <c r="X3466" t="s">
        <v>425</v>
      </c>
      <c r="Y3466" t="s">
        <v>425</v>
      </c>
      <c r="Z3466">
        <v>2023</v>
      </c>
    </row>
    <row r="3467" spans="1:26" x14ac:dyDescent="0.3">
      <c r="A3467" t="s">
        <v>354</v>
      </c>
      <c r="B3467" t="s">
        <v>62</v>
      </c>
      <c r="C3467">
        <v>30</v>
      </c>
      <c r="D3467">
        <v>20</v>
      </c>
      <c r="E3467" s="1">
        <f t="shared" si="54"/>
        <v>0.66666666666666663</v>
      </c>
      <c r="F3467">
        <v>103</v>
      </c>
      <c r="G3467">
        <v>97.5</v>
      </c>
      <c r="H3467">
        <v>0.65469999999999995</v>
      </c>
      <c r="I3467">
        <v>50.6</v>
      </c>
      <c r="J3467">
        <v>47.8</v>
      </c>
      <c r="K3467">
        <v>17.8</v>
      </c>
      <c r="L3467">
        <v>19.3</v>
      </c>
      <c r="M3467">
        <v>29.2</v>
      </c>
      <c r="N3467">
        <v>26.5</v>
      </c>
      <c r="O3467">
        <v>32.4</v>
      </c>
      <c r="P3467">
        <v>31.4</v>
      </c>
      <c r="Q3467">
        <v>49.3</v>
      </c>
      <c r="R3467">
        <v>46.8</v>
      </c>
      <c r="S3467">
        <v>35.1</v>
      </c>
      <c r="T3467">
        <v>32.799999999999997</v>
      </c>
      <c r="U3467">
        <v>65.8</v>
      </c>
      <c r="V3467">
        <v>-6.2</v>
      </c>
      <c r="W3467" cm="1">
        <f t="array" ref="W3467">_xlfn.IFS(OR(X3467="N/A",X3467="NA"),0,OR(X3467="R64",X3467="R68"),1,X3467="R32",2,X3467="S16",3,X3467="E8",4,X3467="F4",5,X3467="2ND",6,X3467="Champions",7)</f>
        <v>0</v>
      </c>
      <c r="X3467" t="s">
        <v>425</v>
      </c>
      <c r="Y3467" t="s">
        <v>425</v>
      </c>
      <c r="Z3467">
        <v>2023</v>
      </c>
    </row>
    <row r="3468" spans="1:26" x14ac:dyDescent="0.3">
      <c r="A3468" t="s">
        <v>403</v>
      </c>
      <c r="B3468" t="s">
        <v>51</v>
      </c>
      <c r="C3468">
        <v>30</v>
      </c>
      <c r="D3468">
        <v>20</v>
      </c>
      <c r="E3468" s="1">
        <f t="shared" si="54"/>
        <v>0.66666666666666663</v>
      </c>
      <c r="F3468">
        <v>100</v>
      </c>
      <c r="G3468">
        <v>99.4</v>
      </c>
      <c r="H3468">
        <v>0.51959999999999995</v>
      </c>
      <c r="I3468">
        <v>46.3</v>
      </c>
      <c r="J3468">
        <v>48.8</v>
      </c>
      <c r="K3468">
        <v>16.899999999999999</v>
      </c>
      <c r="L3468">
        <v>17.8</v>
      </c>
      <c r="M3468">
        <v>29.9</v>
      </c>
      <c r="N3468">
        <v>26.6</v>
      </c>
      <c r="O3468">
        <v>32.4</v>
      </c>
      <c r="P3468">
        <v>33.299999999999997</v>
      </c>
      <c r="Q3468">
        <v>46.4</v>
      </c>
      <c r="R3468">
        <v>49</v>
      </c>
      <c r="S3468">
        <v>30.9</v>
      </c>
      <c r="T3468">
        <v>32.299999999999997</v>
      </c>
      <c r="U3468">
        <v>68.8</v>
      </c>
      <c r="V3468">
        <v>-4.9000000000000004</v>
      </c>
      <c r="W3468" cm="1">
        <f t="array" ref="W3468">_xlfn.IFS(OR(X3468="N/A",X3468="NA"),0,OR(X3468="R64",X3468="R68"),1,X3468="R32",2,X3468="S16",3,X3468="E8",4,X3468="F4",5,X3468="2ND",6,X3468="Champions",7)</f>
        <v>0</v>
      </c>
      <c r="X3468" t="s">
        <v>425</v>
      </c>
      <c r="Y3468" t="s">
        <v>425</v>
      </c>
      <c r="Z3468">
        <v>2023</v>
      </c>
    </row>
    <row r="3469" spans="1:26" x14ac:dyDescent="0.3">
      <c r="A3469" t="s">
        <v>181</v>
      </c>
      <c r="B3469" t="s">
        <v>74</v>
      </c>
      <c r="C3469">
        <v>30</v>
      </c>
      <c r="D3469">
        <v>20</v>
      </c>
      <c r="E3469" s="1">
        <f t="shared" si="54"/>
        <v>0.66666666666666663</v>
      </c>
      <c r="F3469">
        <v>103.7</v>
      </c>
      <c r="G3469">
        <v>103.1</v>
      </c>
      <c r="H3469">
        <v>0.51670000000000005</v>
      </c>
      <c r="I3469">
        <v>50.2</v>
      </c>
      <c r="J3469">
        <v>51.2</v>
      </c>
      <c r="K3469">
        <v>17.8</v>
      </c>
      <c r="L3469">
        <v>21.5</v>
      </c>
      <c r="M3469">
        <v>32.1</v>
      </c>
      <c r="N3469">
        <v>26.9</v>
      </c>
      <c r="O3469">
        <v>33.6</v>
      </c>
      <c r="P3469">
        <v>33.5</v>
      </c>
      <c r="Q3469">
        <v>49.5</v>
      </c>
      <c r="R3469">
        <v>50.5</v>
      </c>
      <c r="S3469">
        <v>34.299999999999997</v>
      </c>
      <c r="T3469">
        <v>34.700000000000003</v>
      </c>
      <c r="U3469">
        <v>65.900000000000006</v>
      </c>
      <c r="V3469">
        <v>-7.8</v>
      </c>
      <c r="W3469" cm="1">
        <f t="array" ref="W3469">_xlfn.IFS(OR(X3469="N/A",X3469="NA"),0,OR(X3469="R64",X3469="R68"),1,X3469="R32",2,X3469="S16",3,X3469="E8",4,X3469="F4",5,X3469="2ND",6,X3469="Champions",7)</f>
        <v>0</v>
      </c>
      <c r="X3469" t="s">
        <v>425</v>
      </c>
      <c r="Y3469" t="s">
        <v>425</v>
      </c>
      <c r="Z3469">
        <v>2023</v>
      </c>
    </row>
    <row r="3470" spans="1:26" x14ac:dyDescent="0.3">
      <c r="A3470" t="s">
        <v>252</v>
      </c>
      <c r="B3470" t="s">
        <v>57</v>
      </c>
      <c r="C3470">
        <v>30</v>
      </c>
      <c r="D3470">
        <v>20</v>
      </c>
      <c r="E3470" s="1">
        <f t="shared" si="54"/>
        <v>0.66666666666666663</v>
      </c>
      <c r="F3470">
        <v>107.2</v>
      </c>
      <c r="G3470">
        <v>107.6</v>
      </c>
      <c r="H3470">
        <v>0.48980000000000001</v>
      </c>
      <c r="I3470">
        <v>53</v>
      </c>
      <c r="J3470">
        <v>51</v>
      </c>
      <c r="K3470">
        <v>17.8</v>
      </c>
      <c r="L3470">
        <v>16.7</v>
      </c>
      <c r="M3470">
        <v>30.5</v>
      </c>
      <c r="N3470">
        <v>28.4</v>
      </c>
      <c r="O3470">
        <v>42.3</v>
      </c>
      <c r="P3470">
        <v>31.3</v>
      </c>
      <c r="Q3470">
        <v>51.7</v>
      </c>
      <c r="R3470">
        <v>47.7</v>
      </c>
      <c r="S3470">
        <v>36.9</v>
      </c>
      <c r="T3470">
        <v>38.4</v>
      </c>
      <c r="U3470">
        <v>67.2</v>
      </c>
      <c r="V3470">
        <v>-6.7</v>
      </c>
      <c r="W3470" cm="1">
        <f t="array" ref="W3470">_xlfn.IFS(OR(X3470="N/A",X3470="NA"),0,OR(X3470="R64",X3470="R68"),1,X3470="R32",2,X3470="S16",3,X3470="E8",4,X3470="F4",5,X3470="2ND",6,X3470="Champions",7)</f>
        <v>0</v>
      </c>
      <c r="X3470" t="s">
        <v>425</v>
      </c>
      <c r="Y3470" t="s">
        <v>425</v>
      </c>
      <c r="Z3470">
        <v>2023</v>
      </c>
    </row>
    <row r="3471" spans="1:26" x14ac:dyDescent="0.3">
      <c r="A3471" t="s">
        <v>27</v>
      </c>
      <c r="B3471" t="s">
        <v>26</v>
      </c>
      <c r="C3471">
        <v>33</v>
      </c>
      <c r="D3471">
        <v>20</v>
      </c>
      <c r="E3471" s="1">
        <f t="shared" si="54"/>
        <v>0.60606060606060608</v>
      </c>
      <c r="F3471">
        <v>111.5</v>
      </c>
      <c r="G3471">
        <v>96.4</v>
      </c>
      <c r="H3471">
        <v>0.84309999999999996</v>
      </c>
      <c r="I3471">
        <v>49.2</v>
      </c>
      <c r="J3471">
        <v>48.7</v>
      </c>
      <c r="K3471">
        <v>15.2</v>
      </c>
      <c r="L3471">
        <v>14.9</v>
      </c>
      <c r="M3471">
        <v>30.4</v>
      </c>
      <c r="N3471">
        <v>23.3</v>
      </c>
      <c r="O3471">
        <v>37</v>
      </c>
      <c r="P3471">
        <v>26.3</v>
      </c>
      <c r="Q3471">
        <v>50.8</v>
      </c>
      <c r="R3471">
        <v>48.4</v>
      </c>
      <c r="S3471">
        <v>31.1</v>
      </c>
      <c r="T3471">
        <v>33</v>
      </c>
      <c r="U3471">
        <v>68.8</v>
      </c>
      <c r="V3471">
        <v>-0.7</v>
      </c>
      <c r="W3471" cm="1">
        <f t="array" ref="W3471">_xlfn.IFS(OR(X3471="N/A",X3471="NA"),0,OR(X3471="R64",X3471="R68"),1,X3471="R32",2,X3471="S16",3,X3471="E8",4,X3471="F4",5,X3471="2ND",6,X3471="Champions",7)</f>
        <v>0</v>
      </c>
      <c r="X3471" t="s">
        <v>425</v>
      </c>
      <c r="Y3471" t="s">
        <v>425</v>
      </c>
      <c r="Z3471">
        <v>2023</v>
      </c>
    </row>
    <row r="3472" spans="1:26" x14ac:dyDescent="0.3">
      <c r="A3472" t="s">
        <v>189</v>
      </c>
      <c r="B3472" t="s">
        <v>48</v>
      </c>
      <c r="C3472">
        <v>31</v>
      </c>
      <c r="D3472">
        <v>20</v>
      </c>
      <c r="E3472" s="1">
        <f t="shared" si="54"/>
        <v>0.64516129032258063</v>
      </c>
      <c r="F3472">
        <v>104.1</v>
      </c>
      <c r="G3472">
        <v>99.3</v>
      </c>
      <c r="H3472">
        <v>0.63360000000000005</v>
      </c>
      <c r="I3472">
        <v>49.4</v>
      </c>
      <c r="J3472">
        <v>48.6</v>
      </c>
      <c r="K3472">
        <v>17.399999999999999</v>
      </c>
      <c r="L3472">
        <v>20.5</v>
      </c>
      <c r="M3472">
        <v>25.9</v>
      </c>
      <c r="N3472">
        <v>29.4</v>
      </c>
      <c r="O3472">
        <v>38.700000000000003</v>
      </c>
      <c r="P3472">
        <v>33.4</v>
      </c>
      <c r="Q3472">
        <v>46.5</v>
      </c>
      <c r="R3472">
        <v>49.2</v>
      </c>
      <c r="S3472">
        <v>36.200000000000003</v>
      </c>
      <c r="T3472">
        <v>31.7</v>
      </c>
      <c r="U3472">
        <v>64.7</v>
      </c>
      <c r="V3472">
        <v>-6.1</v>
      </c>
      <c r="W3472" cm="1">
        <f t="array" ref="W3472">_xlfn.IFS(OR(X3472="N/A",X3472="NA"),0,OR(X3472="R64",X3472="R68"),1,X3472="R32",2,X3472="S16",3,X3472="E8",4,X3472="F4",5,X3472="2ND",6,X3472="Champions",7)</f>
        <v>0</v>
      </c>
      <c r="X3472" t="s">
        <v>425</v>
      </c>
      <c r="Y3472" t="s">
        <v>425</v>
      </c>
      <c r="Z3472">
        <v>2023</v>
      </c>
    </row>
    <row r="3473" spans="1:26" x14ac:dyDescent="0.3">
      <c r="A3473" t="s">
        <v>89</v>
      </c>
      <c r="B3473" t="s">
        <v>45</v>
      </c>
      <c r="C3473">
        <v>33</v>
      </c>
      <c r="D3473">
        <v>20</v>
      </c>
      <c r="E3473" s="1">
        <f t="shared" si="54"/>
        <v>0.60606060606060608</v>
      </c>
      <c r="F3473">
        <v>107.8</v>
      </c>
      <c r="G3473">
        <v>103</v>
      </c>
      <c r="H3473">
        <v>0.62790000000000001</v>
      </c>
      <c r="I3473">
        <v>51.1</v>
      </c>
      <c r="J3473">
        <v>50.5</v>
      </c>
      <c r="K3473">
        <v>17.3</v>
      </c>
      <c r="L3473">
        <v>20.8</v>
      </c>
      <c r="M3473">
        <v>33.4</v>
      </c>
      <c r="N3473">
        <v>33.1</v>
      </c>
      <c r="O3473">
        <v>26.4</v>
      </c>
      <c r="P3473">
        <v>35.1</v>
      </c>
      <c r="Q3473">
        <v>48.5</v>
      </c>
      <c r="R3473">
        <v>49.4</v>
      </c>
      <c r="S3473">
        <v>36.6</v>
      </c>
      <c r="T3473">
        <v>35.200000000000003</v>
      </c>
      <c r="U3473">
        <v>68</v>
      </c>
      <c r="V3473">
        <v>-6</v>
      </c>
      <c r="W3473" cm="1">
        <f t="array" ref="W3473">_xlfn.IFS(OR(X3473="N/A",X3473="NA"),0,OR(X3473="R64",X3473="R68"),1,X3473="R32",2,X3473="S16",3,X3473="E8",4,X3473="F4",5,X3473="2ND",6,X3473="Champions",7)</f>
        <v>0</v>
      </c>
      <c r="X3473" t="s">
        <v>425</v>
      </c>
      <c r="Y3473" t="s">
        <v>425</v>
      </c>
      <c r="Z3473">
        <v>2023</v>
      </c>
    </row>
    <row r="3474" spans="1:26" x14ac:dyDescent="0.3">
      <c r="A3474" t="s">
        <v>344</v>
      </c>
      <c r="B3474" t="s">
        <v>58</v>
      </c>
      <c r="C3474">
        <v>30</v>
      </c>
      <c r="D3474">
        <v>20</v>
      </c>
      <c r="E3474" s="1">
        <f t="shared" si="54"/>
        <v>0.66666666666666663</v>
      </c>
      <c r="F3474">
        <v>102.8</v>
      </c>
      <c r="G3474">
        <v>101.4</v>
      </c>
      <c r="H3474">
        <v>0.53959999999999997</v>
      </c>
      <c r="I3474">
        <v>49.4</v>
      </c>
      <c r="J3474">
        <v>48.6</v>
      </c>
      <c r="K3474">
        <v>18.7</v>
      </c>
      <c r="L3474">
        <v>21.1</v>
      </c>
      <c r="M3474">
        <v>30.3</v>
      </c>
      <c r="N3474">
        <v>30.1</v>
      </c>
      <c r="O3474">
        <v>32.5</v>
      </c>
      <c r="P3474">
        <v>34.6</v>
      </c>
      <c r="Q3474">
        <v>51.2</v>
      </c>
      <c r="R3474">
        <v>48.4</v>
      </c>
      <c r="S3474">
        <v>31.2</v>
      </c>
      <c r="T3474">
        <v>32.700000000000003</v>
      </c>
      <c r="U3474">
        <v>67.7</v>
      </c>
      <c r="V3474">
        <v>-6.1</v>
      </c>
      <c r="W3474" cm="1">
        <f t="array" ref="W3474">_xlfn.IFS(OR(X3474="N/A",X3474="NA"),0,OR(X3474="R64",X3474="R68"),1,X3474="R32",2,X3474="S16",3,X3474="E8",4,X3474="F4",5,X3474="2ND",6,X3474="Champions",7)</f>
        <v>0</v>
      </c>
      <c r="X3474" t="s">
        <v>425</v>
      </c>
      <c r="Y3474" t="s">
        <v>425</v>
      </c>
      <c r="Z3474">
        <v>2023</v>
      </c>
    </row>
    <row r="3475" spans="1:26" x14ac:dyDescent="0.3">
      <c r="A3475" t="s">
        <v>92</v>
      </c>
      <c r="B3475" t="s">
        <v>45</v>
      </c>
      <c r="C3475">
        <v>33</v>
      </c>
      <c r="D3475">
        <v>20</v>
      </c>
      <c r="E3475" s="1">
        <f t="shared" si="54"/>
        <v>0.60606060606060608</v>
      </c>
      <c r="F3475">
        <v>100.7</v>
      </c>
      <c r="G3475">
        <v>100</v>
      </c>
      <c r="H3475">
        <v>0.52010000000000001</v>
      </c>
      <c r="I3475">
        <v>51.9</v>
      </c>
      <c r="J3475">
        <v>47.9</v>
      </c>
      <c r="K3475">
        <v>20.2</v>
      </c>
      <c r="L3475">
        <v>16.899999999999999</v>
      </c>
      <c r="M3475">
        <v>27.9</v>
      </c>
      <c r="N3475">
        <v>24.8</v>
      </c>
      <c r="O3475">
        <v>37.1</v>
      </c>
      <c r="P3475">
        <v>33</v>
      </c>
      <c r="Q3475">
        <v>51.5</v>
      </c>
      <c r="R3475">
        <v>49.4</v>
      </c>
      <c r="S3475">
        <v>35</v>
      </c>
      <c r="T3475">
        <v>30.1</v>
      </c>
      <c r="U3475">
        <v>66.3</v>
      </c>
      <c r="V3475">
        <v>-6</v>
      </c>
      <c r="W3475" cm="1">
        <f t="array" ref="W3475">_xlfn.IFS(OR(X3475="N/A",X3475="NA"),0,OR(X3475="R64",X3475="R68"),1,X3475="R32",2,X3475="S16",3,X3475="E8",4,X3475="F4",5,X3475="2ND",6,X3475="Champions",7)</f>
        <v>0</v>
      </c>
      <c r="X3475" t="s">
        <v>425</v>
      </c>
      <c r="Y3475" t="s">
        <v>425</v>
      </c>
      <c r="Z3475">
        <v>2023</v>
      </c>
    </row>
    <row r="3476" spans="1:26" x14ac:dyDescent="0.3">
      <c r="A3476" t="s">
        <v>134</v>
      </c>
      <c r="B3476" t="s">
        <v>131</v>
      </c>
      <c r="C3476">
        <v>30</v>
      </c>
      <c r="D3476">
        <v>20</v>
      </c>
      <c r="E3476" s="1">
        <f t="shared" si="54"/>
        <v>0.66666666666666663</v>
      </c>
      <c r="F3476">
        <v>103.5</v>
      </c>
      <c r="G3476">
        <v>103.8</v>
      </c>
      <c r="H3476">
        <v>0.49359999999999998</v>
      </c>
      <c r="I3476">
        <v>53.7</v>
      </c>
      <c r="J3476">
        <v>50.2</v>
      </c>
      <c r="K3476">
        <v>17.3</v>
      </c>
      <c r="L3476">
        <v>15.6</v>
      </c>
      <c r="M3476">
        <v>25</v>
      </c>
      <c r="N3476">
        <v>24.6</v>
      </c>
      <c r="O3476">
        <v>23.6</v>
      </c>
      <c r="P3476">
        <v>23.3</v>
      </c>
      <c r="Q3476">
        <v>53.5</v>
      </c>
      <c r="R3476">
        <v>49.4</v>
      </c>
      <c r="S3476">
        <v>36</v>
      </c>
      <c r="T3476">
        <v>34.299999999999997</v>
      </c>
      <c r="U3476">
        <v>69.2</v>
      </c>
      <c r="V3476">
        <v>-7.4</v>
      </c>
      <c r="W3476" cm="1">
        <f t="array" ref="W3476">_xlfn.IFS(OR(X3476="N/A",X3476="NA"),0,OR(X3476="R64",X3476="R68"),1,X3476="R32",2,X3476="S16",3,X3476="E8",4,X3476="F4",5,X3476="2ND",6,X3476="Champions",7)</f>
        <v>0</v>
      </c>
      <c r="X3476" t="s">
        <v>425</v>
      </c>
      <c r="Y3476" t="s">
        <v>425</v>
      </c>
      <c r="Z3476">
        <v>2023</v>
      </c>
    </row>
    <row r="3477" spans="1:26" x14ac:dyDescent="0.3">
      <c r="A3477" t="s">
        <v>415</v>
      </c>
      <c r="B3477" t="s">
        <v>37</v>
      </c>
      <c r="C3477">
        <v>33</v>
      </c>
      <c r="D3477">
        <v>20</v>
      </c>
      <c r="E3477" s="1">
        <f t="shared" si="54"/>
        <v>0.60606060606060608</v>
      </c>
      <c r="F3477">
        <v>109.2</v>
      </c>
      <c r="G3477">
        <v>102.2</v>
      </c>
      <c r="H3477">
        <v>0.68240000000000001</v>
      </c>
      <c r="I3477">
        <v>53.6</v>
      </c>
      <c r="J3477">
        <v>49.9</v>
      </c>
      <c r="K3477">
        <v>19.600000000000001</v>
      </c>
      <c r="L3477">
        <v>17.600000000000001</v>
      </c>
      <c r="M3477">
        <v>28.5</v>
      </c>
      <c r="N3477">
        <v>26.5</v>
      </c>
      <c r="O3477">
        <v>32.200000000000003</v>
      </c>
      <c r="P3477">
        <v>38.1</v>
      </c>
      <c r="Q3477">
        <v>52.6</v>
      </c>
      <c r="R3477">
        <v>49.4</v>
      </c>
      <c r="S3477">
        <v>36.4</v>
      </c>
      <c r="T3477">
        <v>33.799999999999997</v>
      </c>
      <c r="U3477">
        <v>68.599999999999994</v>
      </c>
      <c r="V3477">
        <v>-3.7</v>
      </c>
      <c r="W3477" cm="1">
        <f t="array" ref="W3477">_xlfn.IFS(OR(X3477="N/A",X3477="NA"),0,OR(X3477="R64",X3477="R68"),1,X3477="R32",2,X3477="S16",3,X3477="E8",4,X3477="F4",5,X3477="2ND",6,X3477="Champions",7)</f>
        <v>0</v>
      </c>
      <c r="X3477" t="s">
        <v>425</v>
      </c>
      <c r="Y3477" t="s">
        <v>425</v>
      </c>
      <c r="Z3477">
        <v>2023</v>
      </c>
    </row>
    <row r="3478" spans="1:26" x14ac:dyDescent="0.3">
      <c r="A3478" t="s">
        <v>30</v>
      </c>
      <c r="B3478" t="s">
        <v>31</v>
      </c>
      <c r="C3478">
        <v>35</v>
      </c>
      <c r="D3478">
        <v>20</v>
      </c>
      <c r="E3478" s="1">
        <f t="shared" si="54"/>
        <v>0.5714285714285714</v>
      </c>
      <c r="F3478">
        <v>106.5</v>
      </c>
      <c r="G3478">
        <v>94</v>
      </c>
      <c r="H3478">
        <v>0.8075</v>
      </c>
      <c r="I3478">
        <v>48.3</v>
      </c>
      <c r="J3478">
        <v>50.2</v>
      </c>
      <c r="K3478">
        <v>13.4</v>
      </c>
      <c r="L3478">
        <v>18.3</v>
      </c>
      <c r="M3478">
        <v>22.6</v>
      </c>
      <c r="N3478">
        <v>24.9</v>
      </c>
      <c r="O3478">
        <v>25</v>
      </c>
      <c r="P3478">
        <v>27.5</v>
      </c>
      <c r="Q3478">
        <v>46.3</v>
      </c>
      <c r="R3478">
        <v>51.8</v>
      </c>
      <c r="S3478">
        <v>34.200000000000003</v>
      </c>
      <c r="T3478">
        <v>31.6</v>
      </c>
      <c r="U3478">
        <v>63.3</v>
      </c>
      <c r="V3478">
        <v>-0.5</v>
      </c>
      <c r="W3478" cm="1">
        <f t="array" ref="W3478">_xlfn.IFS(OR(X3478="N/A",X3478="NA"),0,OR(X3478="R64",X3478="R68"),1,X3478="R32",2,X3478="S16",3,X3478="E8",4,X3478="F4",5,X3478="2ND",6,X3478="Champions",7)</f>
        <v>0</v>
      </c>
      <c r="X3478" t="s">
        <v>425</v>
      </c>
      <c r="Y3478" t="s">
        <v>425</v>
      </c>
      <c r="Z3478">
        <v>2023</v>
      </c>
    </row>
    <row r="3479" spans="1:26" x14ac:dyDescent="0.3">
      <c r="A3479" t="s">
        <v>151</v>
      </c>
      <c r="B3479" t="s">
        <v>35</v>
      </c>
      <c r="C3479">
        <v>36</v>
      </c>
      <c r="D3479">
        <v>20</v>
      </c>
      <c r="E3479" s="1">
        <f t="shared" si="54"/>
        <v>0.55555555555555558</v>
      </c>
      <c r="F3479">
        <v>106.3</v>
      </c>
      <c r="G3479">
        <v>92.1</v>
      </c>
      <c r="H3479">
        <v>0.83799999999999997</v>
      </c>
      <c r="I3479">
        <v>48.8</v>
      </c>
      <c r="J3479">
        <v>45.6</v>
      </c>
      <c r="K3479">
        <v>20.6</v>
      </c>
      <c r="L3479">
        <v>18.899999999999999</v>
      </c>
      <c r="M3479">
        <v>32.6</v>
      </c>
      <c r="N3479">
        <v>28.2</v>
      </c>
      <c r="O3479">
        <v>32.5</v>
      </c>
      <c r="P3479">
        <v>30.4</v>
      </c>
      <c r="Q3479">
        <v>50.3</v>
      </c>
      <c r="R3479">
        <v>44.6</v>
      </c>
      <c r="S3479">
        <v>31</v>
      </c>
      <c r="T3479">
        <v>31.6</v>
      </c>
      <c r="U3479">
        <v>67.400000000000006</v>
      </c>
      <c r="V3479">
        <v>0.1</v>
      </c>
      <c r="W3479" cm="1">
        <f t="array" ref="W3479">_xlfn.IFS(OR(X3479="N/A",X3479="NA"),0,OR(X3479="R64",X3479="R68"),1,X3479="R32",2,X3479="S16",3,X3479="E8",4,X3479="F4",5,X3479="2ND",6,X3479="Champions",7)</f>
        <v>0</v>
      </c>
      <c r="X3479" t="s">
        <v>425</v>
      </c>
      <c r="Y3479" t="s">
        <v>425</v>
      </c>
      <c r="Z3479">
        <v>2023</v>
      </c>
    </row>
    <row r="3480" spans="1:26" x14ac:dyDescent="0.3">
      <c r="A3480" t="s">
        <v>315</v>
      </c>
      <c r="B3480" t="s">
        <v>47</v>
      </c>
      <c r="C3480">
        <v>31</v>
      </c>
      <c r="D3480">
        <v>21</v>
      </c>
      <c r="E3480" s="1">
        <f t="shared" si="54"/>
        <v>0.67741935483870963</v>
      </c>
      <c r="F3480">
        <v>110.2</v>
      </c>
      <c r="G3480">
        <v>106.4</v>
      </c>
      <c r="H3480">
        <v>0.59930000000000005</v>
      </c>
      <c r="I3480">
        <v>55.3</v>
      </c>
      <c r="J3480">
        <v>51.1</v>
      </c>
      <c r="K3480">
        <v>16.8</v>
      </c>
      <c r="L3480">
        <v>17.7</v>
      </c>
      <c r="M3480">
        <v>25.4</v>
      </c>
      <c r="N3480">
        <v>30</v>
      </c>
      <c r="O3480">
        <v>24.3</v>
      </c>
      <c r="P3480">
        <v>29.3</v>
      </c>
      <c r="Q3480">
        <v>53.2</v>
      </c>
      <c r="R3480">
        <v>49.8</v>
      </c>
      <c r="S3480">
        <v>38.9</v>
      </c>
      <c r="T3480">
        <v>35.6</v>
      </c>
      <c r="U3480">
        <v>68.3</v>
      </c>
      <c r="V3480">
        <v>-5.0999999999999996</v>
      </c>
      <c r="W3480" cm="1">
        <f t="array" ref="W3480">_xlfn.IFS(OR(X3480="N/A",X3480="NA"),0,OR(X3480="R64",X3480="R68"),1,X3480="R32",2,X3480="S16",3,X3480="E8",4,X3480="F4",5,X3480="2ND",6,X3480="Champions",7)</f>
        <v>0</v>
      </c>
      <c r="X3480" t="s">
        <v>425</v>
      </c>
      <c r="Y3480" t="s">
        <v>425</v>
      </c>
      <c r="Z3480">
        <v>2023</v>
      </c>
    </row>
    <row r="3481" spans="1:26" x14ac:dyDescent="0.3">
      <c r="A3481" t="s">
        <v>352</v>
      </c>
      <c r="B3481" t="s">
        <v>62</v>
      </c>
      <c r="C3481">
        <v>28</v>
      </c>
      <c r="D3481">
        <v>21</v>
      </c>
      <c r="E3481" s="1">
        <f t="shared" si="54"/>
        <v>0.75</v>
      </c>
      <c r="F3481">
        <v>107.7</v>
      </c>
      <c r="G3481">
        <v>105.6</v>
      </c>
      <c r="H3481">
        <v>0.55600000000000005</v>
      </c>
      <c r="I3481">
        <v>53.6</v>
      </c>
      <c r="J3481">
        <v>51.9</v>
      </c>
      <c r="K3481">
        <v>17.899999999999999</v>
      </c>
      <c r="L3481">
        <v>19.8</v>
      </c>
      <c r="M3481">
        <v>28.2</v>
      </c>
      <c r="N3481">
        <v>27</v>
      </c>
      <c r="O3481">
        <v>41</v>
      </c>
      <c r="P3481">
        <v>37.6</v>
      </c>
      <c r="Q3481">
        <v>52.6</v>
      </c>
      <c r="R3481">
        <v>49</v>
      </c>
      <c r="S3481">
        <v>36.5</v>
      </c>
      <c r="T3481">
        <v>37</v>
      </c>
      <c r="U3481">
        <v>67.900000000000006</v>
      </c>
      <c r="V3481">
        <v>-6.1</v>
      </c>
      <c r="W3481" cm="1">
        <f t="array" ref="W3481">_xlfn.IFS(OR(X3481="N/A",X3481="NA"),0,OR(X3481="R64",X3481="R68"),1,X3481="R32",2,X3481="S16",3,X3481="E8",4,X3481="F4",5,X3481="2ND",6,X3481="Champions",7)</f>
        <v>0</v>
      </c>
      <c r="X3481" t="s">
        <v>425</v>
      </c>
      <c r="Y3481" t="s">
        <v>425</v>
      </c>
      <c r="Z3481">
        <v>2023</v>
      </c>
    </row>
    <row r="3482" spans="1:26" x14ac:dyDescent="0.3">
      <c r="A3482" t="s">
        <v>99</v>
      </c>
      <c r="B3482" t="s">
        <v>45</v>
      </c>
      <c r="C3482">
        <v>32</v>
      </c>
      <c r="D3482">
        <v>21</v>
      </c>
      <c r="E3482" s="1">
        <f t="shared" si="54"/>
        <v>0.65625</v>
      </c>
      <c r="F3482">
        <v>110.8</v>
      </c>
      <c r="G3482">
        <v>103.3</v>
      </c>
      <c r="H3482">
        <v>0.69289999999999996</v>
      </c>
      <c r="I3482">
        <v>52.1</v>
      </c>
      <c r="J3482">
        <v>48.3</v>
      </c>
      <c r="K3482">
        <v>17.3</v>
      </c>
      <c r="L3482">
        <v>15.3</v>
      </c>
      <c r="M3482">
        <v>29.7</v>
      </c>
      <c r="N3482">
        <v>26.5</v>
      </c>
      <c r="O3482">
        <v>29.1</v>
      </c>
      <c r="P3482">
        <v>32.700000000000003</v>
      </c>
      <c r="Q3482">
        <v>51.8</v>
      </c>
      <c r="R3482">
        <v>46.6</v>
      </c>
      <c r="S3482">
        <v>35.200000000000003</v>
      </c>
      <c r="T3482">
        <v>34</v>
      </c>
      <c r="U3482">
        <v>69.099999999999994</v>
      </c>
      <c r="V3482">
        <v>-3.3</v>
      </c>
      <c r="W3482" cm="1">
        <f t="array" ref="W3482">_xlfn.IFS(OR(X3482="N/A",X3482="NA"),0,OR(X3482="R64",X3482="R68"),1,X3482="R32",2,X3482="S16",3,X3482="E8",4,X3482="F4",5,X3482="2ND",6,X3482="Champions",7)</f>
        <v>0</v>
      </c>
      <c r="X3482" t="s">
        <v>425</v>
      </c>
      <c r="Y3482" t="s">
        <v>425</v>
      </c>
      <c r="Z3482">
        <v>2023</v>
      </c>
    </row>
    <row r="3483" spans="1:26" x14ac:dyDescent="0.3">
      <c r="A3483" t="s">
        <v>203</v>
      </c>
      <c r="B3483" t="s">
        <v>53</v>
      </c>
      <c r="C3483">
        <v>33</v>
      </c>
      <c r="D3483">
        <v>21</v>
      </c>
      <c r="E3483" s="1">
        <f t="shared" si="54"/>
        <v>0.63636363636363635</v>
      </c>
      <c r="F3483">
        <v>107.7</v>
      </c>
      <c r="G3483">
        <v>103.8</v>
      </c>
      <c r="H3483">
        <v>0.60389999999999999</v>
      </c>
      <c r="I3483">
        <v>51.1</v>
      </c>
      <c r="J3483">
        <v>48.6</v>
      </c>
      <c r="K3483">
        <v>18.399999999999999</v>
      </c>
      <c r="L3483">
        <v>17.7</v>
      </c>
      <c r="M3483">
        <v>35.700000000000003</v>
      </c>
      <c r="N3483">
        <v>26.7</v>
      </c>
      <c r="O3483">
        <v>29.8</v>
      </c>
      <c r="P3483">
        <v>29.5</v>
      </c>
      <c r="Q3483">
        <v>49</v>
      </c>
      <c r="R3483">
        <v>47.7</v>
      </c>
      <c r="S3483">
        <v>36.700000000000003</v>
      </c>
      <c r="T3483">
        <v>33.200000000000003</v>
      </c>
      <c r="U3483">
        <v>64.599999999999994</v>
      </c>
      <c r="V3483">
        <v>-6</v>
      </c>
      <c r="W3483" cm="1">
        <f t="array" ref="W3483">_xlfn.IFS(OR(X3483="N/A",X3483="NA"),0,OR(X3483="R64",X3483="R68"),1,X3483="R32",2,X3483="S16",3,X3483="E8",4,X3483="F4",5,X3483="2ND",6,X3483="Champions",7)</f>
        <v>0</v>
      </c>
      <c r="X3483" t="s">
        <v>425</v>
      </c>
      <c r="Y3483" t="s">
        <v>425</v>
      </c>
      <c r="Z3483">
        <v>2023</v>
      </c>
    </row>
    <row r="3484" spans="1:26" x14ac:dyDescent="0.3">
      <c r="A3484" t="s">
        <v>288</v>
      </c>
      <c r="B3484" t="s">
        <v>55</v>
      </c>
      <c r="C3484">
        <v>34</v>
      </c>
      <c r="D3484">
        <v>21</v>
      </c>
      <c r="E3484" s="1">
        <f t="shared" si="54"/>
        <v>0.61764705882352944</v>
      </c>
      <c r="F3484">
        <v>108.4</v>
      </c>
      <c r="G3484">
        <v>101.6</v>
      </c>
      <c r="H3484">
        <v>0.67720000000000002</v>
      </c>
      <c r="I3484">
        <v>50.2</v>
      </c>
      <c r="J3484">
        <v>48.4</v>
      </c>
      <c r="K3484">
        <v>18.7</v>
      </c>
      <c r="L3484">
        <v>13.2</v>
      </c>
      <c r="M3484">
        <v>34.700000000000003</v>
      </c>
      <c r="N3484">
        <v>24.6</v>
      </c>
      <c r="O3484">
        <v>27.2</v>
      </c>
      <c r="P3484">
        <v>28.6</v>
      </c>
      <c r="Q3484">
        <v>50.8</v>
      </c>
      <c r="R3484">
        <v>46.5</v>
      </c>
      <c r="S3484">
        <v>32.799999999999997</v>
      </c>
      <c r="T3484">
        <v>34.5</v>
      </c>
      <c r="U3484">
        <v>62.5</v>
      </c>
      <c r="V3484">
        <v>-2.1</v>
      </c>
      <c r="W3484" cm="1">
        <f t="array" ref="W3484">_xlfn.IFS(OR(X3484="N/A",X3484="NA"),0,OR(X3484="R64",X3484="R68"),1,X3484="R32",2,X3484="S16",3,X3484="E8",4,X3484="F4",5,X3484="2ND",6,X3484="Champions",7)</f>
        <v>0</v>
      </c>
      <c r="X3484" t="s">
        <v>425</v>
      </c>
      <c r="Y3484" t="s">
        <v>425</v>
      </c>
      <c r="Z3484">
        <v>2023</v>
      </c>
    </row>
    <row r="3485" spans="1:26" x14ac:dyDescent="0.3">
      <c r="A3485" t="s">
        <v>221</v>
      </c>
      <c r="B3485" t="s">
        <v>43</v>
      </c>
      <c r="C3485">
        <v>33</v>
      </c>
      <c r="D3485">
        <v>21</v>
      </c>
      <c r="E3485" s="1">
        <f t="shared" si="54"/>
        <v>0.63636363636363635</v>
      </c>
      <c r="F3485">
        <v>104</v>
      </c>
      <c r="G3485">
        <v>104.2</v>
      </c>
      <c r="H3485">
        <v>0.49430000000000002</v>
      </c>
      <c r="I3485">
        <v>49.4</v>
      </c>
      <c r="J3485">
        <v>48.4</v>
      </c>
      <c r="K3485">
        <v>17.2</v>
      </c>
      <c r="L3485">
        <v>20.399999999999999</v>
      </c>
      <c r="M3485">
        <v>34.9</v>
      </c>
      <c r="N3485">
        <v>35.5</v>
      </c>
      <c r="O3485">
        <v>29.7</v>
      </c>
      <c r="P3485">
        <v>30.3</v>
      </c>
      <c r="Q3485">
        <v>50.7</v>
      </c>
      <c r="R3485">
        <v>49</v>
      </c>
      <c r="S3485">
        <v>30.6</v>
      </c>
      <c r="T3485">
        <v>31.6</v>
      </c>
      <c r="U3485">
        <v>65.5</v>
      </c>
      <c r="V3485">
        <v>-8.3000000000000007</v>
      </c>
      <c r="W3485" cm="1">
        <f t="array" ref="W3485">_xlfn.IFS(OR(X3485="N/A",X3485="NA"),0,OR(X3485="R64",X3485="R68"),1,X3485="R32",2,X3485="S16",3,X3485="E8",4,X3485="F4",5,X3485="2ND",6,X3485="Champions",7)</f>
        <v>0</v>
      </c>
      <c r="X3485" t="s">
        <v>425</v>
      </c>
      <c r="Y3485" t="s">
        <v>425</v>
      </c>
      <c r="Z3485">
        <v>2023</v>
      </c>
    </row>
    <row r="3486" spans="1:26" x14ac:dyDescent="0.3">
      <c r="A3486" t="s">
        <v>73</v>
      </c>
      <c r="B3486" t="s">
        <v>38</v>
      </c>
      <c r="C3486">
        <v>36</v>
      </c>
      <c r="D3486">
        <v>21</v>
      </c>
      <c r="E3486" s="1">
        <f t="shared" si="54"/>
        <v>0.58333333333333337</v>
      </c>
      <c r="F3486">
        <v>113</v>
      </c>
      <c r="G3486">
        <v>97.1</v>
      </c>
      <c r="H3486">
        <v>0.85109999999999997</v>
      </c>
      <c r="I3486">
        <v>51.1</v>
      </c>
      <c r="J3486">
        <v>47.1</v>
      </c>
      <c r="K3486">
        <v>18.3</v>
      </c>
      <c r="L3486">
        <v>16.399999999999999</v>
      </c>
      <c r="M3486">
        <v>32.5</v>
      </c>
      <c r="N3486">
        <v>26.4</v>
      </c>
      <c r="O3486">
        <v>32</v>
      </c>
      <c r="P3486">
        <v>23.9</v>
      </c>
      <c r="Q3486">
        <v>53.1</v>
      </c>
      <c r="R3486">
        <v>45.1</v>
      </c>
      <c r="S3486">
        <v>32</v>
      </c>
      <c r="T3486">
        <v>33.700000000000003</v>
      </c>
      <c r="U3486">
        <v>66.400000000000006</v>
      </c>
      <c r="V3486">
        <v>-0.3</v>
      </c>
      <c r="W3486" cm="1">
        <f t="array" ref="W3486">_xlfn.IFS(OR(X3486="N/A",X3486="NA"),0,OR(X3486="R64",X3486="R68"),1,X3486="R32",2,X3486="S16",3,X3486="E8",4,X3486="F4",5,X3486="2ND",6,X3486="Champions",7)</f>
        <v>0</v>
      </c>
      <c r="X3486" t="s">
        <v>425</v>
      </c>
      <c r="Y3486" t="s">
        <v>425</v>
      </c>
      <c r="Z3486">
        <v>2023</v>
      </c>
    </row>
    <row r="3487" spans="1:26" x14ac:dyDescent="0.3">
      <c r="A3487" t="s">
        <v>183</v>
      </c>
      <c r="B3487" t="s">
        <v>74</v>
      </c>
      <c r="C3487">
        <v>34</v>
      </c>
      <c r="D3487">
        <v>21</v>
      </c>
      <c r="E3487" s="1">
        <f t="shared" si="54"/>
        <v>0.61764705882352944</v>
      </c>
      <c r="F3487">
        <v>103.6</v>
      </c>
      <c r="G3487">
        <v>103.8</v>
      </c>
      <c r="H3487">
        <v>0.49370000000000003</v>
      </c>
      <c r="I3487">
        <v>51.3</v>
      </c>
      <c r="J3487">
        <v>52.2</v>
      </c>
      <c r="K3487">
        <v>18.3</v>
      </c>
      <c r="L3487">
        <v>20.2</v>
      </c>
      <c r="M3487">
        <v>30.9</v>
      </c>
      <c r="N3487">
        <v>27.9</v>
      </c>
      <c r="O3487">
        <v>27.4</v>
      </c>
      <c r="P3487">
        <v>32.299999999999997</v>
      </c>
      <c r="Q3487">
        <v>50.3</v>
      </c>
      <c r="R3487">
        <v>52.9</v>
      </c>
      <c r="S3487">
        <v>35.6</v>
      </c>
      <c r="T3487">
        <v>34</v>
      </c>
      <c r="U3487">
        <v>64.5</v>
      </c>
      <c r="V3487">
        <v>-8.5</v>
      </c>
      <c r="W3487" cm="1">
        <f t="array" ref="W3487">_xlfn.IFS(OR(X3487="N/A",X3487="NA"),0,OR(X3487="R64",X3487="R68"),1,X3487="R32",2,X3487="S16",3,X3487="E8",4,X3487="F4",5,X3487="2ND",6,X3487="Champions",7)</f>
        <v>0</v>
      </c>
      <c r="X3487" t="s">
        <v>425</v>
      </c>
      <c r="Y3487" t="s">
        <v>425</v>
      </c>
      <c r="Z3487">
        <v>2023</v>
      </c>
    </row>
    <row r="3488" spans="1:26" x14ac:dyDescent="0.3">
      <c r="A3488" t="s">
        <v>238</v>
      </c>
      <c r="B3488" t="s">
        <v>59</v>
      </c>
      <c r="C3488">
        <v>28</v>
      </c>
      <c r="D3488">
        <v>21</v>
      </c>
      <c r="E3488" s="1">
        <f t="shared" si="54"/>
        <v>0.75</v>
      </c>
      <c r="F3488">
        <v>107.7</v>
      </c>
      <c r="G3488">
        <v>97.8</v>
      </c>
      <c r="H3488">
        <v>0.75339999999999996</v>
      </c>
      <c r="I3488">
        <v>52.8</v>
      </c>
      <c r="J3488">
        <v>47</v>
      </c>
      <c r="K3488">
        <v>16.5</v>
      </c>
      <c r="L3488">
        <v>18.399999999999999</v>
      </c>
      <c r="M3488">
        <v>28</v>
      </c>
      <c r="N3488">
        <v>23.2</v>
      </c>
      <c r="O3488">
        <v>30.6</v>
      </c>
      <c r="P3488">
        <v>33.9</v>
      </c>
      <c r="Q3488">
        <v>52.4</v>
      </c>
      <c r="R3488">
        <v>45.7</v>
      </c>
      <c r="S3488">
        <v>35.799999999999997</v>
      </c>
      <c r="T3488">
        <v>32.6</v>
      </c>
      <c r="U3488">
        <v>66</v>
      </c>
      <c r="V3488">
        <v>-2</v>
      </c>
      <c r="W3488" cm="1">
        <f t="array" ref="W3488">_xlfn.IFS(OR(X3488="N/A",X3488="NA"),0,OR(X3488="R64",X3488="R68"),1,X3488="R32",2,X3488="S16",3,X3488="E8",4,X3488="F4",5,X3488="2ND",6,X3488="Champions",7)</f>
        <v>0</v>
      </c>
      <c r="X3488" t="s">
        <v>425</v>
      </c>
      <c r="Y3488" t="s">
        <v>425</v>
      </c>
      <c r="Z3488">
        <v>2023</v>
      </c>
    </row>
    <row r="3489" spans="1:26" x14ac:dyDescent="0.3">
      <c r="A3489" t="s">
        <v>251</v>
      </c>
      <c r="B3489" t="s">
        <v>57</v>
      </c>
      <c r="C3489">
        <v>31</v>
      </c>
      <c r="D3489">
        <v>22</v>
      </c>
      <c r="E3489" s="1">
        <f t="shared" si="54"/>
        <v>0.70967741935483875</v>
      </c>
      <c r="F3489">
        <v>108.6</v>
      </c>
      <c r="G3489">
        <v>103</v>
      </c>
      <c r="H3489">
        <v>0.64790000000000003</v>
      </c>
      <c r="I3489">
        <v>51.9</v>
      </c>
      <c r="J3489">
        <v>49.7</v>
      </c>
      <c r="K3489">
        <v>16.600000000000001</v>
      </c>
      <c r="L3489">
        <v>17.8</v>
      </c>
      <c r="M3489">
        <v>29.8</v>
      </c>
      <c r="N3489">
        <v>26.5</v>
      </c>
      <c r="O3489">
        <v>33.700000000000003</v>
      </c>
      <c r="P3489">
        <v>28</v>
      </c>
      <c r="Q3489">
        <v>51.5</v>
      </c>
      <c r="R3489">
        <v>48.1</v>
      </c>
      <c r="S3489">
        <v>35</v>
      </c>
      <c r="T3489">
        <v>35</v>
      </c>
      <c r="U3489">
        <v>65.2</v>
      </c>
      <c r="V3489">
        <v>-4.9000000000000004</v>
      </c>
      <c r="W3489" cm="1">
        <f t="array" ref="W3489">_xlfn.IFS(OR(X3489="N/A",X3489="NA"),0,OR(X3489="R64",X3489="R68"),1,X3489="R32",2,X3489="S16",3,X3489="E8",4,X3489="F4",5,X3489="2ND",6,X3489="Champions",7)</f>
        <v>0</v>
      </c>
      <c r="X3489" t="s">
        <v>425</v>
      </c>
      <c r="Y3489" t="s">
        <v>425</v>
      </c>
      <c r="Z3489">
        <v>2023</v>
      </c>
    </row>
    <row r="3490" spans="1:26" x14ac:dyDescent="0.3">
      <c r="A3490" t="s">
        <v>202</v>
      </c>
      <c r="B3490" t="s">
        <v>58</v>
      </c>
      <c r="C3490">
        <v>30</v>
      </c>
      <c r="D3490">
        <v>22</v>
      </c>
      <c r="E3490" s="1">
        <f t="shared" si="54"/>
        <v>0.73333333333333328</v>
      </c>
      <c r="F3490">
        <v>105.4</v>
      </c>
      <c r="G3490">
        <v>100</v>
      </c>
      <c r="H3490">
        <v>0.64549999999999996</v>
      </c>
      <c r="I3490">
        <v>51.5</v>
      </c>
      <c r="J3490">
        <v>49.4</v>
      </c>
      <c r="K3490">
        <v>18.600000000000001</v>
      </c>
      <c r="L3490">
        <v>21.4</v>
      </c>
      <c r="M3490">
        <v>31.3</v>
      </c>
      <c r="N3490">
        <v>27.6</v>
      </c>
      <c r="O3490">
        <v>38.9</v>
      </c>
      <c r="P3490">
        <v>31.8</v>
      </c>
      <c r="Q3490">
        <v>51.4</v>
      </c>
      <c r="R3490">
        <v>50.7</v>
      </c>
      <c r="S3490">
        <v>34.5</v>
      </c>
      <c r="T3490">
        <v>31.5</v>
      </c>
      <c r="U3490">
        <v>70.400000000000006</v>
      </c>
      <c r="V3490">
        <v>-4.7</v>
      </c>
      <c r="W3490" cm="1">
        <f t="array" ref="W3490">_xlfn.IFS(OR(X3490="N/A",X3490="NA"),0,OR(X3490="R64",X3490="R68"),1,X3490="R32",2,X3490="S16",3,X3490="E8",4,X3490="F4",5,X3490="2ND",6,X3490="Champions",7)</f>
        <v>0</v>
      </c>
      <c r="X3490" t="s">
        <v>425</v>
      </c>
      <c r="Y3490" t="s">
        <v>425</v>
      </c>
      <c r="Z3490">
        <v>2023</v>
      </c>
    </row>
    <row r="3491" spans="1:26" x14ac:dyDescent="0.3">
      <c r="A3491" t="s">
        <v>191</v>
      </c>
      <c r="B3491" t="s">
        <v>48</v>
      </c>
      <c r="C3491">
        <v>32</v>
      </c>
      <c r="D3491">
        <v>22</v>
      </c>
      <c r="E3491" s="1">
        <f t="shared" si="54"/>
        <v>0.6875</v>
      </c>
      <c r="F3491">
        <v>100.5</v>
      </c>
      <c r="G3491">
        <v>98.1</v>
      </c>
      <c r="H3491">
        <v>0.57050000000000001</v>
      </c>
      <c r="I3491">
        <v>48.6</v>
      </c>
      <c r="J3491">
        <v>44.5</v>
      </c>
      <c r="K3491">
        <v>18.600000000000001</v>
      </c>
      <c r="L3491">
        <v>16.399999999999999</v>
      </c>
      <c r="M3491">
        <v>29.6</v>
      </c>
      <c r="N3491">
        <v>26.5</v>
      </c>
      <c r="O3491">
        <v>33.6</v>
      </c>
      <c r="P3491">
        <v>27.2</v>
      </c>
      <c r="Q3491">
        <v>48.2</v>
      </c>
      <c r="R3491">
        <v>44.5</v>
      </c>
      <c r="S3491">
        <v>32.799999999999997</v>
      </c>
      <c r="T3491">
        <v>29.5</v>
      </c>
      <c r="U3491">
        <v>64.5</v>
      </c>
      <c r="V3491">
        <v>-5.7</v>
      </c>
      <c r="W3491" cm="1">
        <f t="array" ref="W3491">_xlfn.IFS(OR(X3491="N/A",X3491="NA"),0,OR(X3491="R64",X3491="R68"),1,X3491="R32",2,X3491="S16",3,X3491="E8",4,X3491="F4",5,X3491="2ND",6,X3491="Champions",7)</f>
        <v>0</v>
      </c>
      <c r="X3491" t="s">
        <v>425</v>
      </c>
      <c r="Y3491" t="s">
        <v>425</v>
      </c>
      <c r="Z3491">
        <v>2023</v>
      </c>
    </row>
    <row r="3492" spans="1:26" x14ac:dyDescent="0.3">
      <c r="A3492" t="s">
        <v>270</v>
      </c>
      <c r="B3492" t="s">
        <v>66</v>
      </c>
      <c r="C3492">
        <v>29</v>
      </c>
      <c r="D3492">
        <v>22</v>
      </c>
      <c r="E3492" s="1">
        <f t="shared" si="54"/>
        <v>0.75862068965517238</v>
      </c>
      <c r="F3492">
        <v>104.9</v>
      </c>
      <c r="G3492">
        <v>109</v>
      </c>
      <c r="H3492">
        <v>0.3921</v>
      </c>
      <c r="I3492">
        <v>52.2</v>
      </c>
      <c r="J3492">
        <v>50.2</v>
      </c>
      <c r="K3492">
        <v>19.8</v>
      </c>
      <c r="L3492">
        <v>19</v>
      </c>
      <c r="M3492">
        <v>33.4</v>
      </c>
      <c r="N3492">
        <v>30.6</v>
      </c>
      <c r="O3492">
        <v>39.5</v>
      </c>
      <c r="P3492">
        <v>36.299999999999997</v>
      </c>
      <c r="Q3492">
        <v>53.8</v>
      </c>
      <c r="R3492">
        <v>48.3</v>
      </c>
      <c r="S3492">
        <v>32.700000000000003</v>
      </c>
      <c r="T3492">
        <v>34.9</v>
      </c>
      <c r="U3492">
        <v>65.2</v>
      </c>
      <c r="V3492">
        <v>-6</v>
      </c>
      <c r="W3492" cm="1">
        <f t="array" ref="W3492">_xlfn.IFS(OR(X3492="N/A",X3492="NA"),0,OR(X3492="R64",X3492="R68"),1,X3492="R32",2,X3492="S16",3,X3492="E8",4,X3492="F4",5,X3492="2ND",6,X3492="Champions",7)</f>
        <v>0</v>
      </c>
      <c r="X3492" t="s">
        <v>425</v>
      </c>
      <c r="Y3492" t="s">
        <v>425</v>
      </c>
      <c r="Z3492">
        <v>2023</v>
      </c>
    </row>
    <row r="3493" spans="1:26" x14ac:dyDescent="0.3">
      <c r="A3493" t="s">
        <v>376</v>
      </c>
      <c r="B3493" t="s">
        <v>61</v>
      </c>
      <c r="C3493">
        <v>32</v>
      </c>
      <c r="D3493">
        <v>22</v>
      </c>
      <c r="E3493" s="1">
        <f t="shared" si="54"/>
        <v>0.6875</v>
      </c>
      <c r="F3493">
        <v>104</v>
      </c>
      <c r="G3493">
        <v>108.7</v>
      </c>
      <c r="H3493">
        <v>0.37480000000000002</v>
      </c>
      <c r="I3493">
        <v>51.3</v>
      </c>
      <c r="J3493">
        <v>51</v>
      </c>
      <c r="K3493">
        <v>17.3</v>
      </c>
      <c r="L3493">
        <v>21</v>
      </c>
      <c r="M3493">
        <v>33.299999999999997</v>
      </c>
      <c r="N3493">
        <v>33.6</v>
      </c>
      <c r="O3493">
        <v>27.2</v>
      </c>
      <c r="P3493">
        <v>38.700000000000003</v>
      </c>
      <c r="Q3493">
        <v>49.8</v>
      </c>
      <c r="R3493">
        <v>51.8</v>
      </c>
      <c r="S3493">
        <v>35.799999999999997</v>
      </c>
      <c r="T3493">
        <v>32.9</v>
      </c>
      <c r="U3493">
        <v>66.400000000000006</v>
      </c>
      <c r="V3493">
        <v>-5.9</v>
      </c>
      <c r="W3493" cm="1">
        <f t="array" ref="W3493">_xlfn.IFS(OR(X3493="N/A",X3493="NA"),0,OR(X3493="R64",X3493="R68"),1,X3493="R32",2,X3493="S16",3,X3493="E8",4,X3493="F4",5,X3493="2ND",6,X3493="Champions",7)</f>
        <v>0</v>
      </c>
      <c r="X3493" t="s">
        <v>425</v>
      </c>
      <c r="Y3493" t="s">
        <v>425</v>
      </c>
      <c r="Z3493">
        <v>2023</v>
      </c>
    </row>
    <row r="3494" spans="1:26" x14ac:dyDescent="0.3">
      <c r="A3494" t="s">
        <v>287</v>
      </c>
      <c r="B3494" t="s">
        <v>55</v>
      </c>
      <c r="C3494">
        <v>33</v>
      </c>
      <c r="D3494">
        <v>22</v>
      </c>
      <c r="E3494" s="1">
        <f t="shared" si="54"/>
        <v>0.66666666666666663</v>
      </c>
      <c r="F3494">
        <v>114.4</v>
      </c>
      <c r="G3494">
        <v>102.4</v>
      </c>
      <c r="H3494">
        <v>0.78129999999999999</v>
      </c>
      <c r="I3494">
        <v>52.6</v>
      </c>
      <c r="J3494">
        <v>50.5</v>
      </c>
      <c r="K3494">
        <v>15.6</v>
      </c>
      <c r="L3494">
        <v>17.5</v>
      </c>
      <c r="M3494">
        <v>27.9</v>
      </c>
      <c r="N3494">
        <v>27.3</v>
      </c>
      <c r="O3494">
        <v>39.1</v>
      </c>
      <c r="P3494">
        <v>28.5</v>
      </c>
      <c r="Q3494">
        <v>52.4</v>
      </c>
      <c r="R3494">
        <v>50.8</v>
      </c>
      <c r="S3494">
        <v>35.6</v>
      </c>
      <c r="T3494">
        <v>33.4</v>
      </c>
      <c r="U3494">
        <v>71.599999999999994</v>
      </c>
      <c r="V3494">
        <v>-1</v>
      </c>
      <c r="W3494" cm="1">
        <f t="array" ref="W3494">_xlfn.IFS(OR(X3494="N/A",X3494="NA"),0,OR(X3494="R64",X3494="R68"),1,X3494="R32",2,X3494="S16",3,X3494="E8",4,X3494="F4",5,X3494="2ND",6,X3494="Champions",7)</f>
        <v>0</v>
      </c>
      <c r="X3494" t="s">
        <v>425</v>
      </c>
      <c r="Y3494" t="s">
        <v>425</v>
      </c>
      <c r="Z3494">
        <v>2023</v>
      </c>
    </row>
    <row r="3495" spans="1:26" x14ac:dyDescent="0.3">
      <c r="A3495" t="s">
        <v>79</v>
      </c>
      <c r="B3495" t="s">
        <v>45</v>
      </c>
      <c r="C3495">
        <v>34</v>
      </c>
      <c r="D3495">
        <v>22</v>
      </c>
      <c r="E3495" s="1">
        <f t="shared" si="54"/>
        <v>0.6470588235294118</v>
      </c>
      <c r="F3495">
        <v>109.8</v>
      </c>
      <c r="G3495">
        <v>97.9</v>
      </c>
      <c r="H3495">
        <v>0.78820000000000001</v>
      </c>
      <c r="I3495">
        <v>53</v>
      </c>
      <c r="J3495">
        <v>45</v>
      </c>
      <c r="K3495">
        <v>18.8</v>
      </c>
      <c r="L3495">
        <v>16.100000000000001</v>
      </c>
      <c r="M3495">
        <v>30.7</v>
      </c>
      <c r="N3495">
        <v>27</v>
      </c>
      <c r="O3495">
        <v>35.5</v>
      </c>
      <c r="P3495">
        <v>23.9</v>
      </c>
      <c r="Q3495">
        <v>54.3</v>
      </c>
      <c r="R3495">
        <v>45.7</v>
      </c>
      <c r="S3495">
        <v>33.799999999999997</v>
      </c>
      <c r="T3495">
        <v>29.3</v>
      </c>
      <c r="U3495">
        <v>62.4</v>
      </c>
      <c r="V3495">
        <v>-4.3</v>
      </c>
      <c r="W3495" cm="1">
        <f t="array" ref="W3495">_xlfn.IFS(OR(X3495="N/A",X3495="NA"),0,OR(X3495="R64",X3495="R68"),1,X3495="R32",2,X3495="S16",3,X3495="E8",4,X3495="F4",5,X3495="2ND",6,X3495="Champions",7)</f>
        <v>0</v>
      </c>
      <c r="X3495" t="s">
        <v>425</v>
      </c>
      <c r="Y3495" t="s">
        <v>425</v>
      </c>
      <c r="Z3495">
        <v>2023</v>
      </c>
    </row>
    <row r="3496" spans="1:26" x14ac:dyDescent="0.3">
      <c r="A3496" t="s">
        <v>194</v>
      </c>
      <c r="B3496" t="s">
        <v>48</v>
      </c>
      <c r="C3496">
        <v>33</v>
      </c>
      <c r="D3496">
        <v>22</v>
      </c>
      <c r="E3496" s="1">
        <f t="shared" si="54"/>
        <v>0.66666666666666663</v>
      </c>
      <c r="F3496">
        <v>105.9</v>
      </c>
      <c r="G3496">
        <v>105.1</v>
      </c>
      <c r="H3496">
        <v>0.52190000000000003</v>
      </c>
      <c r="I3496">
        <v>50.5</v>
      </c>
      <c r="J3496">
        <v>51.3</v>
      </c>
      <c r="K3496">
        <v>18</v>
      </c>
      <c r="L3496">
        <v>17.2</v>
      </c>
      <c r="M3496">
        <v>31.8</v>
      </c>
      <c r="N3496">
        <v>22.9</v>
      </c>
      <c r="O3496">
        <v>26.2</v>
      </c>
      <c r="P3496">
        <v>38</v>
      </c>
      <c r="Q3496">
        <v>48.8</v>
      </c>
      <c r="R3496">
        <v>51.5</v>
      </c>
      <c r="S3496">
        <v>35.6</v>
      </c>
      <c r="T3496">
        <v>34</v>
      </c>
      <c r="U3496">
        <v>66.8</v>
      </c>
      <c r="V3496">
        <v>-4.7</v>
      </c>
      <c r="W3496" cm="1">
        <f t="array" ref="W3496">_xlfn.IFS(OR(X3496="N/A",X3496="NA"),0,OR(X3496="R64",X3496="R68"),1,X3496="R32",2,X3496="S16",3,X3496="E8",4,X3496="F4",5,X3496="2ND",6,X3496="Champions",7)</f>
        <v>0</v>
      </c>
      <c r="X3496" t="s">
        <v>425</v>
      </c>
      <c r="Y3496" t="s">
        <v>425</v>
      </c>
      <c r="Z3496">
        <v>2023</v>
      </c>
    </row>
    <row r="3497" spans="1:26" x14ac:dyDescent="0.3">
      <c r="A3497" t="s">
        <v>308</v>
      </c>
      <c r="B3497" t="s">
        <v>64</v>
      </c>
      <c r="C3497">
        <v>30</v>
      </c>
      <c r="D3497">
        <v>22</v>
      </c>
      <c r="E3497" s="1">
        <f t="shared" si="54"/>
        <v>0.73333333333333328</v>
      </c>
      <c r="F3497">
        <v>100.4</v>
      </c>
      <c r="G3497">
        <v>103.3</v>
      </c>
      <c r="H3497">
        <v>0.42059999999999997</v>
      </c>
      <c r="I3497">
        <v>49</v>
      </c>
      <c r="J3497">
        <v>49.8</v>
      </c>
      <c r="K3497">
        <v>18.3</v>
      </c>
      <c r="L3497">
        <v>15.4</v>
      </c>
      <c r="M3497">
        <v>26.6</v>
      </c>
      <c r="N3497">
        <v>24.7</v>
      </c>
      <c r="O3497">
        <v>34.700000000000003</v>
      </c>
      <c r="P3497">
        <v>27.5</v>
      </c>
      <c r="Q3497">
        <v>47</v>
      </c>
      <c r="R3497">
        <v>50.7</v>
      </c>
      <c r="S3497">
        <v>34.799999999999997</v>
      </c>
      <c r="T3497">
        <v>31.9</v>
      </c>
      <c r="U3497">
        <v>63.5</v>
      </c>
      <c r="V3497">
        <v>-6.7</v>
      </c>
      <c r="W3497" cm="1">
        <f t="array" ref="W3497">_xlfn.IFS(OR(X3497="N/A",X3497="NA"),0,OR(X3497="R64",X3497="R68"),1,X3497="R32",2,X3497="S16",3,X3497="E8",4,X3497="F4",5,X3497="2ND",6,X3497="Champions",7)</f>
        <v>0</v>
      </c>
      <c r="X3497" t="s">
        <v>425</v>
      </c>
      <c r="Y3497" t="s">
        <v>425</v>
      </c>
      <c r="Z3497">
        <v>2023</v>
      </c>
    </row>
    <row r="3498" spans="1:26" x14ac:dyDescent="0.3">
      <c r="A3498" t="s">
        <v>225</v>
      </c>
      <c r="B3498" t="s">
        <v>43</v>
      </c>
      <c r="C3498">
        <v>31</v>
      </c>
      <c r="D3498">
        <v>22</v>
      </c>
      <c r="E3498" s="1">
        <f t="shared" si="54"/>
        <v>0.70967741935483875</v>
      </c>
      <c r="F3498">
        <v>101.3</v>
      </c>
      <c r="G3498">
        <v>107</v>
      </c>
      <c r="H3498">
        <v>0.34710000000000002</v>
      </c>
      <c r="I3498">
        <v>51.4</v>
      </c>
      <c r="J3498">
        <v>48.2</v>
      </c>
      <c r="K3498">
        <v>21.3</v>
      </c>
      <c r="L3498">
        <v>17.600000000000001</v>
      </c>
      <c r="M3498">
        <v>32.5</v>
      </c>
      <c r="N3498">
        <v>32.799999999999997</v>
      </c>
      <c r="O3498">
        <v>31.9</v>
      </c>
      <c r="P3498">
        <v>29.3</v>
      </c>
      <c r="Q3498">
        <v>51.5</v>
      </c>
      <c r="R3498">
        <v>49</v>
      </c>
      <c r="S3498">
        <v>34.200000000000003</v>
      </c>
      <c r="T3498">
        <v>31.4</v>
      </c>
      <c r="U3498">
        <v>71.900000000000006</v>
      </c>
      <c r="V3498">
        <v>-6.3</v>
      </c>
      <c r="W3498" cm="1">
        <f t="array" ref="W3498">_xlfn.IFS(OR(X3498="N/A",X3498="NA"),0,OR(X3498="R64",X3498="R68"),1,X3498="R32",2,X3498="S16",3,X3498="E8",4,X3498="F4",5,X3498="2ND",6,X3498="Champions",7)</f>
        <v>0</v>
      </c>
      <c r="X3498" t="s">
        <v>425</v>
      </c>
      <c r="Y3498" t="s">
        <v>425</v>
      </c>
      <c r="Z3498">
        <v>2023</v>
      </c>
    </row>
    <row r="3499" spans="1:26" x14ac:dyDescent="0.3">
      <c r="A3499" t="s">
        <v>207</v>
      </c>
      <c r="B3499" t="s">
        <v>40</v>
      </c>
      <c r="C3499">
        <v>36</v>
      </c>
      <c r="D3499">
        <v>22</v>
      </c>
      <c r="E3499" s="1">
        <f t="shared" si="54"/>
        <v>0.61111111111111116</v>
      </c>
      <c r="F3499">
        <v>108</v>
      </c>
      <c r="G3499">
        <v>101.5</v>
      </c>
      <c r="H3499">
        <v>0.67030000000000001</v>
      </c>
      <c r="I3499">
        <v>55.1</v>
      </c>
      <c r="J3499">
        <v>50.2</v>
      </c>
      <c r="K3499">
        <v>17</v>
      </c>
      <c r="L3499">
        <v>17.8</v>
      </c>
      <c r="M3499">
        <v>22.3</v>
      </c>
      <c r="N3499">
        <v>24.4</v>
      </c>
      <c r="O3499">
        <v>24.9</v>
      </c>
      <c r="P3499">
        <v>24</v>
      </c>
      <c r="Q3499">
        <v>54</v>
      </c>
      <c r="R3499">
        <v>49.7</v>
      </c>
      <c r="S3499">
        <v>37.700000000000003</v>
      </c>
      <c r="T3499">
        <v>33.9</v>
      </c>
      <c r="U3499">
        <v>60.3</v>
      </c>
      <c r="V3499">
        <v>-6.5</v>
      </c>
      <c r="W3499" cm="1">
        <f t="array" ref="W3499">_xlfn.IFS(OR(X3499="N/A",X3499="NA"),0,OR(X3499="R64",X3499="R68"),1,X3499="R32",2,X3499="S16",3,X3499="E8",4,X3499="F4",5,X3499="2ND",6,X3499="Champions",7)</f>
        <v>0</v>
      </c>
      <c r="X3499" t="s">
        <v>425</v>
      </c>
      <c r="Y3499" t="s">
        <v>425</v>
      </c>
      <c r="Z3499">
        <v>2023</v>
      </c>
    </row>
    <row r="3500" spans="1:26" x14ac:dyDescent="0.3">
      <c r="A3500" t="s">
        <v>363</v>
      </c>
      <c r="B3500" t="s">
        <v>29</v>
      </c>
      <c r="C3500">
        <v>37</v>
      </c>
      <c r="D3500">
        <v>22</v>
      </c>
      <c r="E3500" s="1">
        <f t="shared" si="54"/>
        <v>0.59459459459459463</v>
      </c>
      <c r="F3500">
        <v>114</v>
      </c>
      <c r="G3500">
        <v>102.5</v>
      </c>
      <c r="H3500">
        <v>0.77280000000000004</v>
      </c>
      <c r="I3500">
        <v>49.6</v>
      </c>
      <c r="J3500">
        <v>48.6</v>
      </c>
      <c r="K3500">
        <v>16</v>
      </c>
      <c r="L3500">
        <v>15.3</v>
      </c>
      <c r="M3500">
        <v>30.8</v>
      </c>
      <c r="N3500">
        <v>31.9</v>
      </c>
      <c r="O3500">
        <v>31.6</v>
      </c>
      <c r="P3500">
        <v>31.2</v>
      </c>
      <c r="Q3500">
        <v>49</v>
      </c>
      <c r="R3500">
        <v>49.8</v>
      </c>
      <c r="S3500">
        <v>33.6</v>
      </c>
      <c r="T3500">
        <v>31</v>
      </c>
      <c r="U3500">
        <v>66.400000000000006</v>
      </c>
      <c r="V3500">
        <v>-0.3</v>
      </c>
      <c r="W3500" cm="1">
        <f t="array" ref="W3500">_xlfn.IFS(OR(X3500="N/A",X3500="NA"),0,OR(X3500="R64",X3500="R68"),1,X3500="R32",2,X3500="S16",3,X3500="E8",4,X3500="F4",5,X3500="2ND",6,X3500="Champions",7)</f>
        <v>0</v>
      </c>
      <c r="X3500" t="s">
        <v>425</v>
      </c>
      <c r="Y3500" t="s">
        <v>425</v>
      </c>
      <c r="Z3500">
        <v>2023</v>
      </c>
    </row>
    <row r="3501" spans="1:26" x14ac:dyDescent="0.3">
      <c r="A3501" t="s">
        <v>416</v>
      </c>
      <c r="B3501" t="s">
        <v>37</v>
      </c>
      <c r="C3501">
        <v>32</v>
      </c>
      <c r="D3501">
        <v>23</v>
      </c>
      <c r="E3501" s="1">
        <f t="shared" si="54"/>
        <v>0.71875</v>
      </c>
      <c r="F3501">
        <v>109.7</v>
      </c>
      <c r="G3501">
        <v>99.5</v>
      </c>
      <c r="H3501">
        <v>0.75329999999999997</v>
      </c>
      <c r="I3501">
        <v>52.4</v>
      </c>
      <c r="J3501">
        <v>50.8</v>
      </c>
      <c r="K3501">
        <v>17.399999999999999</v>
      </c>
      <c r="L3501">
        <v>16.7</v>
      </c>
      <c r="M3501">
        <v>30.2</v>
      </c>
      <c r="N3501">
        <v>24.4</v>
      </c>
      <c r="O3501">
        <v>30.6</v>
      </c>
      <c r="P3501">
        <v>25.4</v>
      </c>
      <c r="Q3501">
        <v>50.2</v>
      </c>
      <c r="R3501">
        <v>48.7</v>
      </c>
      <c r="S3501">
        <v>37.5</v>
      </c>
      <c r="T3501">
        <v>36</v>
      </c>
      <c r="U3501">
        <v>69.8</v>
      </c>
      <c r="V3501">
        <v>0.1</v>
      </c>
      <c r="W3501" cm="1">
        <f t="array" ref="W3501">_xlfn.IFS(OR(X3501="N/A",X3501="NA"),0,OR(X3501="R64",X3501="R68"),1,X3501="R32",2,X3501="S16",3,X3501="E8",4,X3501="F4",5,X3501="2ND",6,X3501="Champions",7)</f>
        <v>0</v>
      </c>
      <c r="X3501" t="s">
        <v>425</v>
      </c>
      <c r="Y3501" t="s">
        <v>425</v>
      </c>
      <c r="Z3501">
        <v>2023</v>
      </c>
    </row>
    <row r="3502" spans="1:26" x14ac:dyDescent="0.3">
      <c r="A3502" t="s">
        <v>281</v>
      </c>
      <c r="B3502" t="s">
        <v>47</v>
      </c>
      <c r="C3502">
        <v>32</v>
      </c>
      <c r="D3502">
        <v>23</v>
      </c>
      <c r="E3502" s="1">
        <f t="shared" si="54"/>
        <v>0.71875</v>
      </c>
      <c r="F3502">
        <v>99.8</v>
      </c>
      <c r="G3502">
        <v>98.2</v>
      </c>
      <c r="H3502">
        <v>0.54590000000000005</v>
      </c>
      <c r="I3502">
        <v>51.7</v>
      </c>
      <c r="J3502">
        <v>47.6</v>
      </c>
      <c r="K3502">
        <v>19.3</v>
      </c>
      <c r="L3502">
        <v>19.600000000000001</v>
      </c>
      <c r="M3502">
        <v>22.8</v>
      </c>
      <c r="N3502">
        <v>27.3</v>
      </c>
      <c r="O3502">
        <v>30.6</v>
      </c>
      <c r="P3502">
        <v>29.8</v>
      </c>
      <c r="Q3502">
        <v>54.6</v>
      </c>
      <c r="R3502">
        <v>46.7</v>
      </c>
      <c r="S3502">
        <v>32.200000000000003</v>
      </c>
      <c r="T3502">
        <v>33</v>
      </c>
      <c r="U3502">
        <v>63.7</v>
      </c>
      <c r="V3502">
        <v>-3.5</v>
      </c>
      <c r="W3502" cm="1">
        <f t="array" ref="W3502">_xlfn.IFS(OR(X3502="N/A",X3502="NA"),0,OR(X3502="R64",X3502="R68"),1,X3502="R32",2,X3502="S16",3,X3502="E8",4,X3502="F4",5,X3502="2ND",6,X3502="Champions",7)</f>
        <v>0</v>
      </c>
      <c r="X3502" t="s">
        <v>425</v>
      </c>
      <c r="Y3502" t="s">
        <v>425</v>
      </c>
      <c r="Z3502">
        <v>2023</v>
      </c>
    </row>
    <row r="3503" spans="1:26" x14ac:dyDescent="0.3">
      <c r="A3503" t="s">
        <v>104</v>
      </c>
      <c r="B3503" t="s">
        <v>26</v>
      </c>
      <c r="C3503">
        <v>34</v>
      </c>
      <c r="D3503">
        <v>23</v>
      </c>
      <c r="E3503" s="1">
        <f t="shared" si="54"/>
        <v>0.67647058823529416</v>
      </c>
      <c r="F3503">
        <v>110.9</v>
      </c>
      <c r="G3503">
        <v>97.7</v>
      </c>
      <c r="H3503">
        <v>0.80959999999999999</v>
      </c>
      <c r="I3503">
        <v>54.1</v>
      </c>
      <c r="J3503">
        <v>47.3</v>
      </c>
      <c r="K3503">
        <v>16.100000000000001</v>
      </c>
      <c r="L3503">
        <v>16.399999999999999</v>
      </c>
      <c r="M3503">
        <v>23.4</v>
      </c>
      <c r="N3503">
        <v>24.3</v>
      </c>
      <c r="O3503">
        <v>30.5</v>
      </c>
      <c r="P3503">
        <v>30.7</v>
      </c>
      <c r="Q3503">
        <v>53.7</v>
      </c>
      <c r="R3503">
        <v>45.6</v>
      </c>
      <c r="S3503">
        <v>36.4</v>
      </c>
      <c r="T3503">
        <v>33.200000000000003</v>
      </c>
      <c r="U3503">
        <v>68</v>
      </c>
      <c r="V3503">
        <v>-0.3</v>
      </c>
      <c r="W3503" cm="1">
        <f t="array" ref="W3503">_xlfn.IFS(OR(X3503="N/A",X3503="NA"),0,OR(X3503="R64",X3503="R68"),1,X3503="R32",2,X3503="S16",3,X3503="E8",4,X3503="F4",5,X3503="2ND",6,X3503="Champions",7)</f>
        <v>0</v>
      </c>
      <c r="X3503" t="s">
        <v>425</v>
      </c>
      <c r="Y3503" t="s">
        <v>425</v>
      </c>
      <c r="Z3503">
        <v>2023</v>
      </c>
    </row>
    <row r="3504" spans="1:26" x14ac:dyDescent="0.3">
      <c r="A3504" t="s">
        <v>175</v>
      </c>
      <c r="B3504" t="s">
        <v>164</v>
      </c>
      <c r="C3504">
        <v>33</v>
      </c>
      <c r="D3504">
        <v>23</v>
      </c>
      <c r="E3504" s="1">
        <f t="shared" si="54"/>
        <v>0.69696969696969702</v>
      </c>
      <c r="F3504">
        <v>109.9</v>
      </c>
      <c r="G3504">
        <v>106.4</v>
      </c>
      <c r="H3504">
        <v>0.59130000000000005</v>
      </c>
      <c r="I3504">
        <v>56.2</v>
      </c>
      <c r="J3504">
        <v>50.2</v>
      </c>
      <c r="K3504">
        <v>19.899999999999999</v>
      </c>
      <c r="L3504">
        <v>16.2</v>
      </c>
      <c r="M3504">
        <v>28</v>
      </c>
      <c r="N3504">
        <v>25.8</v>
      </c>
      <c r="O3504">
        <v>31.5</v>
      </c>
      <c r="P3504">
        <v>29.4</v>
      </c>
      <c r="Q3504">
        <v>58.4</v>
      </c>
      <c r="R3504">
        <v>50.2</v>
      </c>
      <c r="S3504">
        <v>35.5</v>
      </c>
      <c r="T3504">
        <v>33.4</v>
      </c>
      <c r="U3504">
        <v>68.5</v>
      </c>
      <c r="V3504">
        <v>-4.2</v>
      </c>
      <c r="W3504" cm="1">
        <f t="array" ref="W3504">_xlfn.IFS(OR(X3504="N/A",X3504="NA"),0,OR(X3504="R64",X3504="R68"),1,X3504="R32",2,X3504="S16",3,X3504="E8",4,X3504="F4",5,X3504="2ND",6,X3504="Champions",7)</f>
        <v>0</v>
      </c>
      <c r="X3504" t="s">
        <v>425</v>
      </c>
      <c r="Y3504" t="s">
        <v>425</v>
      </c>
      <c r="Z3504">
        <v>2023</v>
      </c>
    </row>
    <row r="3505" spans="1:26" x14ac:dyDescent="0.3">
      <c r="A3505" t="s">
        <v>196</v>
      </c>
      <c r="B3505" t="s">
        <v>48</v>
      </c>
      <c r="C3505">
        <v>33</v>
      </c>
      <c r="D3505">
        <v>23</v>
      </c>
      <c r="E3505" s="1">
        <f t="shared" si="54"/>
        <v>0.69696969696969702</v>
      </c>
      <c r="F3505">
        <v>105.9</v>
      </c>
      <c r="G3505">
        <v>99.1</v>
      </c>
      <c r="H3505">
        <v>0.68410000000000004</v>
      </c>
      <c r="I3505">
        <v>51.5</v>
      </c>
      <c r="J3505">
        <v>45.8</v>
      </c>
      <c r="K3505">
        <v>17.5</v>
      </c>
      <c r="L3505">
        <v>17.5</v>
      </c>
      <c r="M3505">
        <v>27.4</v>
      </c>
      <c r="N3505">
        <v>27</v>
      </c>
      <c r="O3505">
        <v>29.3</v>
      </c>
      <c r="P3505">
        <v>36.9</v>
      </c>
      <c r="Q3505">
        <v>49.4</v>
      </c>
      <c r="R3505">
        <v>44.2</v>
      </c>
      <c r="S3505">
        <v>37.200000000000003</v>
      </c>
      <c r="T3505">
        <v>32.5</v>
      </c>
      <c r="U3505">
        <v>69.400000000000006</v>
      </c>
      <c r="V3505">
        <v>-4.5</v>
      </c>
      <c r="W3505" cm="1">
        <f t="array" ref="W3505">_xlfn.IFS(OR(X3505="N/A",X3505="NA"),0,OR(X3505="R64",X3505="R68"),1,X3505="R32",2,X3505="S16",3,X3505="E8",4,X3505="F4",5,X3505="2ND",6,X3505="Champions",7)</f>
        <v>0</v>
      </c>
      <c r="X3505" t="s">
        <v>425</v>
      </c>
      <c r="Y3505" t="s">
        <v>425</v>
      </c>
      <c r="Z3505">
        <v>2023</v>
      </c>
    </row>
    <row r="3506" spans="1:26" x14ac:dyDescent="0.3">
      <c r="A3506" t="s">
        <v>421</v>
      </c>
      <c r="B3506" t="s">
        <v>50</v>
      </c>
      <c r="C3506">
        <v>35</v>
      </c>
      <c r="D3506">
        <v>23</v>
      </c>
      <c r="E3506" s="1">
        <f t="shared" si="54"/>
        <v>0.65714285714285714</v>
      </c>
      <c r="F3506">
        <v>111.9</v>
      </c>
      <c r="G3506">
        <v>97.5</v>
      </c>
      <c r="H3506">
        <v>0.82950000000000002</v>
      </c>
      <c r="I3506">
        <v>51.3</v>
      </c>
      <c r="J3506">
        <v>47.7</v>
      </c>
      <c r="K3506">
        <v>15.2</v>
      </c>
      <c r="L3506">
        <v>16.899999999999999</v>
      </c>
      <c r="M3506">
        <v>30.8</v>
      </c>
      <c r="N3506">
        <v>27.4</v>
      </c>
      <c r="O3506">
        <v>25.7</v>
      </c>
      <c r="P3506">
        <v>29.1</v>
      </c>
      <c r="Q3506">
        <v>50.6</v>
      </c>
      <c r="R3506">
        <v>48.1</v>
      </c>
      <c r="S3506">
        <v>34.9</v>
      </c>
      <c r="T3506">
        <v>31.2</v>
      </c>
      <c r="U3506">
        <v>68.5</v>
      </c>
      <c r="V3506">
        <v>-1.7</v>
      </c>
      <c r="W3506" cm="1">
        <f t="array" ref="W3506">_xlfn.IFS(OR(X3506="N/A",X3506="NA"),0,OR(X3506="R64",X3506="R68"),1,X3506="R32",2,X3506="S16",3,X3506="E8",4,X3506="F4",5,X3506="2ND",6,X3506="Champions",7)</f>
        <v>0</v>
      </c>
      <c r="X3506" t="s">
        <v>425</v>
      </c>
      <c r="Y3506" t="s">
        <v>425</v>
      </c>
      <c r="Z3506">
        <v>2023</v>
      </c>
    </row>
    <row r="3507" spans="1:26" x14ac:dyDescent="0.3">
      <c r="A3507" t="s">
        <v>279</v>
      </c>
      <c r="B3507" t="s">
        <v>47</v>
      </c>
      <c r="C3507">
        <v>35</v>
      </c>
      <c r="D3507">
        <v>23</v>
      </c>
      <c r="E3507" s="1">
        <f t="shared" si="54"/>
        <v>0.65714285714285714</v>
      </c>
      <c r="F3507">
        <v>109.5</v>
      </c>
      <c r="G3507">
        <v>101.7</v>
      </c>
      <c r="H3507">
        <v>0.7016</v>
      </c>
      <c r="I3507">
        <v>56.4</v>
      </c>
      <c r="J3507">
        <v>48.2</v>
      </c>
      <c r="K3507">
        <v>17</v>
      </c>
      <c r="L3507">
        <v>17.2</v>
      </c>
      <c r="M3507">
        <v>21.4</v>
      </c>
      <c r="N3507">
        <v>22.8</v>
      </c>
      <c r="O3507">
        <v>31.5</v>
      </c>
      <c r="P3507">
        <v>30.4</v>
      </c>
      <c r="Q3507">
        <v>58.8</v>
      </c>
      <c r="R3507">
        <v>48.6</v>
      </c>
      <c r="S3507">
        <v>35.799999999999997</v>
      </c>
      <c r="T3507">
        <v>31.8</v>
      </c>
      <c r="U3507">
        <v>70.5</v>
      </c>
      <c r="V3507">
        <v>-6.9</v>
      </c>
      <c r="W3507" cm="1">
        <f t="array" ref="W3507">_xlfn.IFS(OR(X3507="N/A",X3507="NA"),0,OR(X3507="R64",X3507="R68"),1,X3507="R32",2,X3507="S16",3,X3507="E8",4,X3507="F4",5,X3507="2ND",6,X3507="Champions",7)</f>
        <v>0</v>
      </c>
      <c r="X3507" t="s">
        <v>425</v>
      </c>
      <c r="Y3507" t="s">
        <v>425</v>
      </c>
      <c r="Z3507">
        <v>2023</v>
      </c>
    </row>
    <row r="3508" spans="1:26" x14ac:dyDescent="0.3">
      <c r="A3508" t="s">
        <v>306</v>
      </c>
      <c r="B3508" t="s">
        <v>131</v>
      </c>
      <c r="C3508">
        <v>34</v>
      </c>
      <c r="D3508">
        <v>23</v>
      </c>
      <c r="E3508" s="1">
        <f t="shared" si="54"/>
        <v>0.67647058823529416</v>
      </c>
      <c r="F3508">
        <v>104.4</v>
      </c>
      <c r="G3508">
        <v>102.8</v>
      </c>
      <c r="H3508">
        <v>0.54369999999999996</v>
      </c>
      <c r="I3508">
        <v>48.6</v>
      </c>
      <c r="J3508">
        <v>50.6</v>
      </c>
      <c r="K3508">
        <v>16.7</v>
      </c>
      <c r="L3508">
        <v>18.600000000000001</v>
      </c>
      <c r="M3508">
        <v>33.4</v>
      </c>
      <c r="N3508">
        <v>29.3</v>
      </c>
      <c r="O3508">
        <v>24.3</v>
      </c>
      <c r="P3508">
        <v>25.4</v>
      </c>
      <c r="Q3508">
        <v>48.6</v>
      </c>
      <c r="R3508">
        <v>49.7</v>
      </c>
      <c r="S3508">
        <v>32.4</v>
      </c>
      <c r="T3508">
        <v>34.700000000000003</v>
      </c>
      <c r="U3508">
        <v>69.8</v>
      </c>
      <c r="V3508">
        <v>-6.3</v>
      </c>
      <c r="W3508" cm="1">
        <f t="array" ref="W3508">_xlfn.IFS(OR(X3508="N/A",X3508="NA"),0,OR(X3508="R64",X3508="R68"),1,X3508="R32",2,X3508="S16",3,X3508="E8",4,X3508="F4",5,X3508="2ND",6,X3508="Champions",7)</f>
        <v>0</v>
      </c>
      <c r="X3508" t="s">
        <v>425</v>
      </c>
      <c r="Y3508" t="s">
        <v>425</v>
      </c>
      <c r="Z3508">
        <v>2023</v>
      </c>
    </row>
    <row r="3509" spans="1:26" x14ac:dyDescent="0.3">
      <c r="A3509" t="s">
        <v>228</v>
      </c>
      <c r="B3509" t="s">
        <v>43</v>
      </c>
      <c r="C3509">
        <v>32</v>
      </c>
      <c r="D3509">
        <v>24</v>
      </c>
      <c r="E3509" s="1">
        <f t="shared" si="54"/>
        <v>0.75</v>
      </c>
      <c r="F3509">
        <v>110.1</v>
      </c>
      <c r="G3509">
        <v>109.1</v>
      </c>
      <c r="H3509">
        <v>0.52739999999999998</v>
      </c>
      <c r="I3509">
        <v>54.7</v>
      </c>
      <c r="J3509">
        <v>51.3</v>
      </c>
      <c r="K3509">
        <v>15.6</v>
      </c>
      <c r="L3509">
        <v>17.899999999999999</v>
      </c>
      <c r="M3509">
        <v>30.6</v>
      </c>
      <c r="N3509">
        <v>29.2</v>
      </c>
      <c r="O3509">
        <v>29.4</v>
      </c>
      <c r="P3509">
        <v>26.2</v>
      </c>
      <c r="Q3509">
        <v>54.9</v>
      </c>
      <c r="R3509">
        <v>51.3</v>
      </c>
      <c r="S3509">
        <v>36.200000000000003</v>
      </c>
      <c r="T3509">
        <v>34.1</v>
      </c>
      <c r="U3509">
        <v>68</v>
      </c>
      <c r="V3509">
        <v>-5.3</v>
      </c>
      <c r="W3509" cm="1">
        <f t="array" ref="W3509">_xlfn.IFS(OR(X3509="N/A",X3509="NA"),0,OR(X3509="R64",X3509="R68"),1,X3509="R32",2,X3509="S16",3,X3509="E8",4,X3509="F4",5,X3509="2ND",6,X3509="Champions",7)</f>
        <v>0</v>
      </c>
      <c r="X3509" t="s">
        <v>425</v>
      </c>
      <c r="Y3509" t="s">
        <v>425</v>
      </c>
      <c r="Z3509">
        <v>2023</v>
      </c>
    </row>
    <row r="3510" spans="1:26" x14ac:dyDescent="0.3">
      <c r="A3510" t="s">
        <v>204</v>
      </c>
      <c r="B3510" t="s">
        <v>53</v>
      </c>
      <c r="C3510">
        <v>32</v>
      </c>
      <c r="D3510">
        <v>24</v>
      </c>
      <c r="E3510" s="1">
        <f t="shared" si="54"/>
        <v>0.75</v>
      </c>
      <c r="F3510">
        <v>101.5</v>
      </c>
      <c r="G3510">
        <v>100.6</v>
      </c>
      <c r="H3510">
        <v>0.5252</v>
      </c>
      <c r="I3510">
        <v>48.9</v>
      </c>
      <c r="J3510">
        <v>49.2</v>
      </c>
      <c r="K3510">
        <v>18.600000000000001</v>
      </c>
      <c r="L3510">
        <v>20.7</v>
      </c>
      <c r="M3510">
        <v>27.8</v>
      </c>
      <c r="N3510">
        <v>28</v>
      </c>
      <c r="O3510">
        <v>39.700000000000003</v>
      </c>
      <c r="P3510">
        <v>37.6</v>
      </c>
      <c r="Q3510">
        <v>48.3</v>
      </c>
      <c r="R3510">
        <v>51.2</v>
      </c>
      <c r="S3510">
        <v>33.299999999999997</v>
      </c>
      <c r="T3510">
        <v>30.5</v>
      </c>
      <c r="U3510">
        <v>65.099999999999994</v>
      </c>
      <c r="V3510">
        <v>-2.9</v>
      </c>
      <c r="W3510" cm="1">
        <f t="array" ref="W3510">_xlfn.IFS(OR(X3510="N/A",X3510="NA"),0,OR(X3510="R64",X3510="R68"),1,X3510="R32",2,X3510="S16",3,X3510="E8",4,X3510="F4",5,X3510="2ND",6,X3510="Champions",7)</f>
        <v>0</v>
      </c>
      <c r="X3510" t="s">
        <v>425</v>
      </c>
      <c r="Y3510" t="s">
        <v>425</v>
      </c>
      <c r="Z3510">
        <v>2023</v>
      </c>
    </row>
    <row r="3511" spans="1:26" x14ac:dyDescent="0.3">
      <c r="A3511" t="s">
        <v>173</v>
      </c>
      <c r="B3511" t="s">
        <v>51</v>
      </c>
      <c r="C3511">
        <v>33</v>
      </c>
      <c r="D3511">
        <v>24</v>
      </c>
      <c r="E3511" s="1">
        <f t="shared" si="54"/>
        <v>0.72727272727272729</v>
      </c>
      <c r="F3511">
        <v>108.6</v>
      </c>
      <c r="G3511">
        <v>103.4</v>
      </c>
      <c r="H3511">
        <v>0.63780000000000003</v>
      </c>
      <c r="I3511">
        <v>52</v>
      </c>
      <c r="J3511">
        <v>51.5</v>
      </c>
      <c r="K3511">
        <v>18.600000000000001</v>
      </c>
      <c r="L3511">
        <v>17.5</v>
      </c>
      <c r="M3511">
        <v>27.9</v>
      </c>
      <c r="N3511">
        <v>26.1</v>
      </c>
      <c r="O3511">
        <v>39.5</v>
      </c>
      <c r="P3511">
        <v>31.4</v>
      </c>
      <c r="Q3511">
        <v>51.3</v>
      </c>
      <c r="R3511">
        <v>50.3</v>
      </c>
      <c r="S3511">
        <v>35.4</v>
      </c>
      <c r="T3511">
        <v>35.9</v>
      </c>
      <c r="U3511">
        <v>71.599999999999994</v>
      </c>
      <c r="V3511">
        <v>-3.8</v>
      </c>
      <c r="W3511" cm="1">
        <f t="array" ref="W3511">_xlfn.IFS(OR(X3511="N/A",X3511="NA"),0,OR(X3511="R64",X3511="R68"),1,X3511="R32",2,X3511="S16",3,X3511="E8",4,X3511="F4",5,X3511="2ND",6,X3511="Champions",7)</f>
        <v>0</v>
      </c>
      <c r="X3511" t="s">
        <v>425</v>
      </c>
      <c r="Y3511" t="s">
        <v>425</v>
      </c>
      <c r="Z3511">
        <v>2023</v>
      </c>
    </row>
    <row r="3512" spans="1:26" x14ac:dyDescent="0.3">
      <c r="A3512" t="s">
        <v>211</v>
      </c>
      <c r="B3512" t="s">
        <v>58</v>
      </c>
      <c r="C3512">
        <v>31</v>
      </c>
      <c r="D3512">
        <v>24</v>
      </c>
      <c r="E3512" s="1">
        <f t="shared" si="54"/>
        <v>0.77419354838709675</v>
      </c>
      <c r="F3512">
        <v>109.6</v>
      </c>
      <c r="G3512">
        <v>100.6</v>
      </c>
      <c r="H3512">
        <v>0.72729999999999995</v>
      </c>
      <c r="I3512">
        <v>52.6</v>
      </c>
      <c r="J3512">
        <v>47.7</v>
      </c>
      <c r="K3512">
        <v>15.5</v>
      </c>
      <c r="L3512">
        <v>20.100000000000001</v>
      </c>
      <c r="M3512">
        <v>31.7</v>
      </c>
      <c r="N3512">
        <v>32.6</v>
      </c>
      <c r="O3512">
        <v>26.2</v>
      </c>
      <c r="P3512">
        <v>28</v>
      </c>
      <c r="Q3512">
        <v>53.9</v>
      </c>
      <c r="R3512">
        <v>47.7</v>
      </c>
      <c r="S3512">
        <v>33.6</v>
      </c>
      <c r="T3512">
        <v>31.9</v>
      </c>
      <c r="U3512">
        <v>71.900000000000006</v>
      </c>
      <c r="V3512">
        <v>-2.8</v>
      </c>
      <c r="W3512" cm="1">
        <f t="array" ref="W3512">_xlfn.IFS(OR(X3512="N/A",X3512="NA"),0,OR(X3512="R64",X3512="R68"),1,X3512="R32",2,X3512="S16",3,X3512="E8",4,X3512="F4",5,X3512="2ND",6,X3512="Champions",7)</f>
        <v>0</v>
      </c>
      <c r="X3512" t="s">
        <v>425</v>
      </c>
      <c r="Y3512" t="s">
        <v>425</v>
      </c>
      <c r="Z3512">
        <v>2023</v>
      </c>
    </row>
    <row r="3513" spans="1:26" x14ac:dyDescent="0.3">
      <c r="A3513" t="s">
        <v>394</v>
      </c>
      <c r="B3513" t="s">
        <v>76</v>
      </c>
      <c r="C3513">
        <v>31</v>
      </c>
      <c r="D3513">
        <v>24</v>
      </c>
      <c r="E3513" s="1">
        <f t="shared" si="54"/>
        <v>0.77419354838709675</v>
      </c>
      <c r="F3513">
        <v>98.7</v>
      </c>
      <c r="G3513">
        <v>99.3</v>
      </c>
      <c r="H3513">
        <v>0.48409999999999997</v>
      </c>
      <c r="I3513">
        <v>50</v>
      </c>
      <c r="J3513">
        <v>44.6</v>
      </c>
      <c r="K3513">
        <v>21.2</v>
      </c>
      <c r="L3513">
        <v>21</v>
      </c>
      <c r="M3513">
        <v>31.5</v>
      </c>
      <c r="N3513">
        <v>31.6</v>
      </c>
      <c r="O3513">
        <v>41.5</v>
      </c>
      <c r="P3513">
        <v>41.1</v>
      </c>
      <c r="Q3513">
        <v>48.8</v>
      </c>
      <c r="R3513">
        <v>43.2</v>
      </c>
      <c r="S3513">
        <v>35.5</v>
      </c>
      <c r="T3513">
        <v>31.2</v>
      </c>
      <c r="U3513">
        <v>66</v>
      </c>
      <c r="V3513">
        <v>-4.5999999999999996</v>
      </c>
      <c r="W3513" cm="1">
        <f t="array" ref="W3513">_xlfn.IFS(OR(X3513="N/A",X3513="NA"),0,OR(X3513="R64",X3513="R68"),1,X3513="R32",2,X3513="S16",3,X3513="E8",4,X3513="F4",5,X3513="2ND",6,X3513="Champions",7)</f>
        <v>0</v>
      </c>
      <c r="X3513" t="s">
        <v>425</v>
      </c>
      <c r="Y3513" t="s">
        <v>425</v>
      </c>
      <c r="Z3513">
        <v>2023</v>
      </c>
    </row>
    <row r="3514" spans="1:26" x14ac:dyDescent="0.3">
      <c r="A3514" t="s">
        <v>201</v>
      </c>
      <c r="B3514" t="s">
        <v>53</v>
      </c>
      <c r="C3514">
        <v>34</v>
      </c>
      <c r="D3514">
        <v>25</v>
      </c>
      <c r="E3514" s="1">
        <f t="shared" si="54"/>
        <v>0.73529411764705888</v>
      </c>
      <c r="F3514">
        <v>109.9</v>
      </c>
      <c r="G3514">
        <v>100.4</v>
      </c>
      <c r="H3514">
        <v>0.7389</v>
      </c>
      <c r="I3514">
        <v>55.1</v>
      </c>
      <c r="J3514">
        <v>46.8</v>
      </c>
      <c r="K3514">
        <v>15.9</v>
      </c>
      <c r="L3514">
        <v>18.5</v>
      </c>
      <c r="M3514">
        <v>23.6</v>
      </c>
      <c r="N3514">
        <v>31.7</v>
      </c>
      <c r="O3514">
        <v>20.9</v>
      </c>
      <c r="P3514">
        <v>25.3</v>
      </c>
      <c r="Q3514">
        <v>55.1</v>
      </c>
      <c r="R3514">
        <v>46.9</v>
      </c>
      <c r="S3514">
        <v>36.700000000000003</v>
      </c>
      <c r="T3514">
        <v>31.1</v>
      </c>
      <c r="U3514">
        <v>67.2</v>
      </c>
      <c r="V3514">
        <v>-2.4</v>
      </c>
      <c r="W3514" cm="1">
        <f t="array" ref="W3514">_xlfn.IFS(OR(X3514="N/A",X3514="NA"),0,OR(X3514="R64",X3514="R68"),1,X3514="R32",2,X3514="S16",3,X3514="E8",4,X3514="F4",5,X3514="2ND",6,X3514="Champions",7)</f>
        <v>0</v>
      </c>
      <c r="X3514" t="s">
        <v>425</v>
      </c>
      <c r="Y3514" t="s">
        <v>425</v>
      </c>
      <c r="Z3514">
        <v>2023</v>
      </c>
    </row>
    <row r="3515" spans="1:26" x14ac:dyDescent="0.3">
      <c r="A3515" t="s">
        <v>275</v>
      </c>
      <c r="B3515" t="s">
        <v>47</v>
      </c>
      <c r="C3515">
        <v>34</v>
      </c>
      <c r="D3515">
        <v>25</v>
      </c>
      <c r="E3515" s="1">
        <f t="shared" si="54"/>
        <v>0.73529411764705888</v>
      </c>
      <c r="F3515">
        <v>106</v>
      </c>
      <c r="G3515">
        <v>97.8</v>
      </c>
      <c r="H3515">
        <v>0.71750000000000003</v>
      </c>
      <c r="I3515">
        <v>52.7</v>
      </c>
      <c r="J3515">
        <v>46.7</v>
      </c>
      <c r="K3515">
        <v>17.899999999999999</v>
      </c>
      <c r="L3515">
        <v>18.899999999999999</v>
      </c>
      <c r="M3515">
        <v>29.2</v>
      </c>
      <c r="N3515">
        <v>23.8</v>
      </c>
      <c r="O3515">
        <v>26.8</v>
      </c>
      <c r="P3515">
        <v>32.1</v>
      </c>
      <c r="Q3515">
        <v>52.7</v>
      </c>
      <c r="R3515">
        <v>45.8</v>
      </c>
      <c r="S3515">
        <v>35.1</v>
      </c>
      <c r="T3515">
        <v>32.200000000000003</v>
      </c>
      <c r="U3515">
        <v>65.2</v>
      </c>
      <c r="V3515">
        <v>-1.4</v>
      </c>
      <c r="W3515" cm="1">
        <f t="array" ref="W3515">_xlfn.IFS(OR(X3515="N/A",X3515="NA"),0,OR(X3515="R64",X3515="R68"),1,X3515="R32",2,X3515="S16",3,X3515="E8",4,X3515="F4",5,X3515="2ND",6,X3515="Champions",7)</f>
        <v>0</v>
      </c>
      <c r="X3515" t="s">
        <v>425</v>
      </c>
      <c r="Y3515" t="s">
        <v>425</v>
      </c>
      <c r="Z3515">
        <v>2023</v>
      </c>
    </row>
    <row r="3516" spans="1:26" x14ac:dyDescent="0.3">
      <c r="A3516" t="s">
        <v>216</v>
      </c>
      <c r="B3516" t="s">
        <v>58</v>
      </c>
      <c r="C3516">
        <v>30</v>
      </c>
      <c r="D3516">
        <v>25</v>
      </c>
      <c r="E3516" s="1">
        <f t="shared" si="54"/>
        <v>0.83333333333333337</v>
      </c>
      <c r="F3516">
        <v>105.8</v>
      </c>
      <c r="G3516">
        <v>99.7</v>
      </c>
      <c r="H3516">
        <v>0.66520000000000001</v>
      </c>
      <c r="I3516">
        <v>50.9</v>
      </c>
      <c r="J3516">
        <v>47.8</v>
      </c>
      <c r="K3516">
        <v>18</v>
      </c>
      <c r="L3516">
        <v>19.899999999999999</v>
      </c>
      <c r="M3516">
        <v>30.8</v>
      </c>
      <c r="N3516">
        <v>29.4</v>
      </c>
      <c r="O3516">
        <v>32.200000000000003</v>
      </c>
      <c r="P3516">
        <v>30.2</v>
      </c>
      <c r="Q3516">
        <v>52.3</v>
      </c>
      <c r="R3516">
        <v>47.6</v>
      </c>
      <c r="S3516">
        <v>32.4</v>
      </c>
      <c r="T3516">
        <v>32.200000000000003</v>
      </c>
      <c r="U3516">
        <v>68.5</v>
      </c>
      <c r="V3516">
        <v>-0.8</v>
      </c>
      <c r="W3516" cm="1">
        <f t="array" ref="W3516">_xlfn.IFS(OR(X3516="N/A",X3516="NA"),0,OR(X3516="R64",X3516="R68"),1,X3516="R32",2,X3516="S16",3,X3516="E8",4,X3516="F4",5,X3516="2ND",6,X3516="Champions",7)</f>
        <v>0</v>
      </c>
      <c r="X3516" t="s">
        <v>425</v>
      </c>
      <c r="Y3516" t="s">
        <v>425</v>
      </c>
      <c r="Z3516">
        <v>2023</v>
      </c>
    </row>
    <row r="3517" spans="1:26" x14ac:dyDescent="0.3">
      <c r="A3517" t="s">
        <v>91</v>
      </c>
      <c r="B3517" t="s">
        <v>45</v>
      </c>
      <c r="C3517">
        <v>33</v>
      </c>
      <c r="D3517">
        <v>25</v>
      </c>
      <c r="E3517" s="1">
        <f t="shared" si="54"/>
        <v>0.75757575757575757</v>
      </c>
      <c r="F3517">
        <v>101.7</v>
      </c>
      <c r="G3517">
        <v>100.3</v>
      </c>
      <c r="H3517">
        <v>0.53839999999999999</v>
      </c>
      <c r="I3517">
        <v>48.6</v>
      </c>
      <c r="J3517">
        <v>47</v>
      </c>
      <c r="K3517">
        <v>19.100000000000001</v>
      </c>
      <c r="L3517">
        <v>19.3</v>
      </c>
      <c r="M3517">
        <v>29.9</v>
      </c>
      <c r="N3517">
        <v>25.2</v>
      </c>
      <c r="O3517">
        <v>37.6</v>
      </c>
      <c r="P3517">
        <v>37.4</v>
      </c>
      <c r="Q3517">
        <v>49.1</v>
      </c>
      <c r="R3517">
        <v>46.5</v>
      </c>
      <c r="S3517">
        <v>31.8</v>
      </c>
      <c r="T3517">
        <v>32</v>
      </c>
      <c r="U3517">
        <v>69.5</v>
      </c>
      <c r="V3517">
        <v>-2</v>
      </c>
      <c r="W3517" cm="1">
        <f t="array" ref="W3517">_xlfn.IFS(OR(X3517="N/A",X3517="NA"),0,OR(X3517="R64",X3517="R68"),1,X3517="R32",2,X3517="S16",3,X3517="E8",4,X3517="F4",5,X3517="2ND",6,X3517="Champions",7)</f>
        <v>0</v>
      </c>
      <c r="X3517" t="s">
        <v>425</v>
      </c>
      <c r="Y3517" t="s">
        <v>425</v>
      </c>
      <c r="Z3517">
        <v>2023</v>
      </c>
    </row>
    <row r="3518" spans="1:26" x14ac:dyDescent="0.3">
      <c r="A3518" t="s">
        <v>377</v>
      </c>
      <c r="B3518" t="s">
        <v>51</v>
      </c>
      <c r="C3518">
        <v>30</v>
      </c>
      <c r="D3518">
        <v>26</v>
      </c>
      <c r="E3518" s="1">
        <f t="shared" si="54"/>
        <v>0.8666666666666667</v>
      </c>
      <c r="F3518">
        <v>103.9</v>
      </c>
      <c r="G3518">
        <v>93.6</v>
      </c>
      <c r="H3518">
        <v>0.76819999999999999</v>
      </c>
      <c r="I3518">
        <v>50.7</v>
      </c>
      <c r="J3518">
        <v>49</v>
      </c>
      <c r="K3518">
        <v>19.899999999999999</v>
      </c>
      <c r="L3518">
        <v>23.1</v>
      </c>
      <c r="M3518">
        <v>30.5</v>
      </c>
      <c r="N3518">
        <v>24.9</v>
      </c>
      <c r="O3518">
        <v>32.299999999999997</v>
      </c>
      <c r="P3518">
        <v>37.6</v>
      </c>
      <c r="Q3518">
        <v>47.2</v>
      </c>
      <c r="R3518">
        <v>46.6</v>
      </c>
      <c r="S3518">
        <v>37.799999999999997</v>
      </c>
      <c r="T3518">
        <v>34.5</v>
      </c>
      <c r="U3518">
        <v>64.400000000000006</v>
      </c>
      <c r="V3518">
        <v>0.1</v>
      </c>
      <c r="W3518" cm="1">
        <f t="array" ref="W3518">_xlfn.IFS(OR(X3518="N/A",X3518="NA"),0,OR(X3518="R64",X3518="R68"),1,X3518="R32",2,X3518="S16",3,X3518="E8",4,X3518="F4",5,X3518="2ND",6,X3518="Champions",7)</f>
        <v>0</v>
      </c>
      <c r="X3518" t="s">
        <v>425</v>
      </c>
      <c r="Y3518" t="s">
        <v>425</v>
      </c>
      <c r="Z3518">
        <v>2023</v>
      </c>
    </row>
    <row r="3519" spans="1:26" x14ac:dyDescent="0.3">
      <c r="A3519" t="s">
        <v>117</v>
      </c>
      <c r="B3519" t="s">
        <v>112</v>
      </c>
      <c r="C3519">
        <v>32</v>
      </c>
      <c r="D3519">
        <v>26</v>
      </c>
      <c r="E3519" s="1">
        <f t="shared" si="54"/>
        <v>0.8125</v>
      </c>
      <c r="F3519">
        <v>107.8</v>
      </c>
      <c r="G3519">
        <v>103</v>
      </c>
      <c r="H3519">
        <v>0.628</v>
      </c>
      <c r="I3519">
        <v>53.5</v>
      </c>
      <c r="J3519">
        <v>47</v>
      </c>
      <c r="K3519">
        <v>20</v>
      </c>
      <c r="L3519">
        <v>19.7</v>
      </c>
      <c r="M3519">
        <v>35.700000000000003</v>
      </c>
      <c r="N3519">
        <v>27</v>
      </c>
      <c r="O3519">
        <v>33.799999999999997</v>
      </c>
      <c r="P3519">
        <v>33.9</v>
      </c>
      <c r="Q3519">
        <v>52.2</v>
      </c>
      <c r="R3519">
        <v>44.9</v>
      </c>
      <c r="S3519">
        <v>37.700000000000003</v>
      </c>
      <c r="T3519">
        <v>34.200000000000003</v>
      </c>
      <c r="U3519">
        <v>68.599999999999994</v>
      </c>
      <c r="V3519">
        <v>-4.2</v>
      </c>
      <c r="W3519" cm="1">
        <f t="array" ref="W3519">_xlfn.IFS(OR(X3519="N/A",X3519="NA"),0,OR(X3519="R64",X3519="R68"),1,X3519="R32",2,X3519="S16",3,X3519="E8",4,X3519="F4",5,X3519="2ND",6,X3519="Champions",7)</f>
        <v>0</v>
      </c>
      <c r="X3519" t="s">
        <v>425</v>
      </c>
      <c r="Y3519" t="s">
        <v>425</v>
      </c>
      <c r="Z3519">
        <v>2023</v>
      </c>
    </row>
    <row r="3520" spans="1:26" x14ac:dyDescent="0.3">
      <c r="A3520" t="s">
        <v>260</v>
      </c>
      <c r="B3520" t="s">
        <v>57</v>
      </c>
      <c r="C3520">
        <v>34</v>
      </c>
      <c r="D3520">
        <v>27</v>
      </c>
      <c r="E3520" s="1">
        <f t="shared" si="54"/>
        <v>0.79411764705882348</v>
      </c>
      <c r="F3520">
        <v>119.9</v>
      </c>
      <c r="G3520">
        <v>109.6</v>
      </c>
      <c r="H3520">
        <v>0.7369</v>
      </c>
      <c r="I3520">
        <v>56.3</v>
      </c>
      <c r="J3520">
        <v>52.9</v>
      </c>
      <c r="K3520">
        <v>13.6</v>
      </c>
      <c r="L3520">
        <v>18.3</v>
      </c>
      <c r="M3520">
        <v>29.8</v>
      </c>
      <c r="N3520">
        <v>30.9</v>
      </c>
      <c r="O3520">
        <v>34.4</v>
      </c>
      <c r="P3520">
        <v>27.5</v>
      </c>
      <c r="Q3520">
        <v>54.6</v>
      </c>
      <c r="R3520">
        <v>52.1</v>
      </c>
      <c r="S3520">
        <v>39.700000000000003</v>
      </c>
      <c r="T3520">
        <v>36.1</v>
      </c>
      <c r="U3520">
        <v>69.5</v>
      </c>
      <c r="V3520">
        <v>-1.2</v>
      </c>
      <c r="W3520" cm="1">
        <f t="array" ref="W3520">_xlfn.IFS(OR(X3520="N/A",X3520="NA"),0,OR(X3520="R64",X3520="R68"),1,X3520="R32",2,X3520="S16",3,X3520="E8",4,X3520="F4",5,X3520="2ND",6,X3520="Champions",7)</f>
        <v>0</v>
      </c>
      <c r="X3520" t="s">
        <v>425</v>
      </c>
      <c r="Y3520" t="s">
        <v>425</v>
      </c>
      <c r="Z3520">
        <v>2023</v>
      </c>
    </row>
    <row r="3521" spans="1:26" x14ac:dyDescent="0.3">
      <c r="A3521" t="s">
        <v>180</v>
      </c>
      <c r="B3521" t="s">
        <v>131</v>
      </c>
      <c r="C3521">
        <v>33</v>
      </c>
      <c r="D3521">
        <v>27</v>
      </c>
      <c r="E3521" s="1">
        <f t="shared" si="54"/>
        <v>0.81818181818181823</v>
      </c>
      <c r="F3521">
        <v>111.4</v>
      </c>
      <c r="G3521">
        <v>97.3</v>
      </c>
      <c r="H3521">
        <v>0.8246</v>
      </c>
      <c r="I3521">
        <v>55.5</v>
      </c>
      <c r="J3521">
        <v>49.3</v>
      </c>
      <c r="K3521">
        <v>16</v>
      </c>
      <c r="L3521">
        <v>18.899999999999999</v>
      </c>
      <c r="M3521">
        <v>25.3</v>
      </c>
      <c r="N3521">
        <v>20.2</v>
      </c>
      <c r="O3521">
        <v>26.2</v>
      </c>
      <c r="P3521">
        <v>27.8</v>
      </c>
      <c r="Q3521">
        <v>56.4</v>
      </c>
      <c r="R3521">
        <v>48.6</v>
      </c>
      <c r="S3521">
        <v>36.4</v>
      </c>
      <c r="T3521">
        <v>33.6</v>
      </c>
      <c r="U3521">
        <v>64.400000000000006</v>
      </c>
      <c r="V3521">
        <v>-2</v>
      </c>
      <c r="W3521" cm="1">
        <f t="array" ref="W3521">_xlfn.IFS(OR(X3521="N/A",X3521="NA"),0,OR(X3521="R64",X3521="R68"),1,X3521="R32",2,X3521="S16",3,X3521="E8",4,X3521="F4",5,X3521="2ND",6,X3521="Champions",7)</f>
        <v>0</v>
      </c>
      <c r="X3521" t="s">
        <v>425</v>
      </c>
      <c r="Y3521" t="s">
        <v>425</v>
      </c>
      <c r="Z3521">
        <v>2023</v>
      </c>
    </row>
    <row r="3522" spans="1:26" x14ac:dyDescent="0.3">
      <c r="A3522" t="s">
        <v>406</v>
      </c>
      <c r="B3522" t="s">
        <v>51</v>
      </c>
      <c r="C3522">
        <v>34</v>
      </c>
      <c r="D3522">
        <v>28</v>
      </c>
      <c r="E3522" s="1">
        <f t="shared" si="54"/>
        <v>0.82352941176470584</v>
      </c>
      <c r="F3522">
        <v>107.1</v>
      </c>
      <c r="G3522">
        <v>94.6</v>
      </c>
      <c r="H3522">
        <v>0.80649999999999999</v>
      </c>
      <c r="I3522">
        <v>51.7</v>
      </c>
      <c r="J3522">
        <v>44</v>
      </c>
      <c r="K3522">
        <v>19.3</v>
      </c>
      <c r="L3522">
        <v>16.3</v>
      </c>
      <c r="M3522">
        <v>28.9</v>
      </c>
      <c r="N3522">
        <v>29.1</v>
      </c>
      <c r="O3522">
        <v>35.6</v>
      </c>
      <c r="P3522">
        <v>28.7</v>
      </c>
      <c r="Q3522">
        <v>52.5</v>
      </c>
      <c r="R3522">
        <v>42.8</v>
      </c>
      <c r="S3522">
        <v>33.4</v>
      </c>
      <c r="T3522">
        <v>31.1</v>
      </c>
      <c r="U3522">
        <v>69.8</v>
      </c>
      <c r="V3522">
        <v>-0.3</v>
      </c>
      <c r="W3522" cm="1">
        <f t="array" ref="W3522">_xlfn.IFS(OR(X3522="N/A",X3522="NA"),0,OR(X3522="R64",X3522="R68"),1,X3522="R32",2,X3522="S16",3,X3522="E8",4,X3522="F4",5,X3522="2ND",6,X3522="Champions",7)</f>
        <v>0</v>
      </c>
      <c r="X3522" t="s">
        <v>425</v>
      </c>
      <c r="Y3522" t="s">
        <v>425</v>
      </c>
      <c r="Z3522">
        <v>2023</v>
      </c>
    </row>
    <row r="3523" spans="1:26" x14ac:dyDescent="0.3">
      <c r="A3523" t="s">
        <v>220</v>
      </c>
      <c r="B3523" t="s">
        <v>40</v>
      </c>
      <c r="C3523">
        <v>38</v>
      </c>
      <c r="D3523">
        <v>29</v>
      </c>
      <c r="E3523" s="1">
        <f t="shared" ref="E3523" si="55">D3523/C3523</f>
        <v>0.76315789473684215</v>
      </c>
      <c r="F3523">
        <v>112.4</v>
      </c>
      <c r="G3523">
        <v>97</v>
      </c>
      <c r="H3523">
        <v>0.84530000000000005</v>
      </c>
      <c r="I3523">
        <v>50.3</v>
      </c>
      <c r="J3523">
        <v>47.3</v>
      </c>
      <c r="K3523">
        <v>17.3</v>
      </c>
      <c r="L3523">
        <v>19.3</v>
      </c>
      <c r="M3523">
        <v>35.799999999999997</v>
      </c>
      <c r="N3523">
        <v>29.3</v>
      </c>
      <c r="O3523">
        <v>35.700000000000003</v>
      </c>
      <c r="P3523">
        <v>28.9</v>
      </c>
      <c r="Q3523">
        <v>48.8</v>
      </c>
      <c r="R3523">
        <v>47.2</v>
      </c>
      <c r="S3523">
        <v>35.6</v>
      </c>
      <c r="T3523">
        <v>31.6</v>
      </c>
      <c r="U3523">
        <v>70.7</v>
      </c>
      <c r="V3523">
        <v>-0.5</v>
      </c>
      <c r="W3523" cm="1">
        <f t="array" ref="W3523">_xlfn.IFS(OR(X3523="N/A",X3523="NA"),0,OR(X3523="R64",X3523="R68"),1,X3523="R32",2,X3523="S16",3,X3523="E8",4,X3523="F4",5,X3523="2ND",6,X3523="Champions",7)</f>
        <v>0</v>
      </c>
      <c r="X3523" t="s">
        <v>425</v>
      </c>
      <c r="Y3523" t="s">
        <v>425</v>
      </c>
      <c r="Z3523">
        <v>2023</v>
      </c>
    </row>
    <row r="3524" spans="1:26" x14ac:dyDescent="0.3">
      <c r="A3524" t="s">
        <v>213</v>
      </c>
      <c r="B3524" t="s">
        <v>40</v>
      </c>
      <c r="C3524">
        <v>36</v>
      </c>
      <c r="D3524">
        <v>31</v>
      </c>
      <c r="E3524" s="1">
        <f>D3524/C3524</f>
        <v>0.86111111111111116</v>
      </c>
      <c r="F3524">
        <v>110</v>
      </c>
      <c r="G3524">
        <v>93.8</v>
      </c>
      <c r="H3524">
        <v>0.86219999999999997</v>
      </c>
      <c r="I3524">
        <v>51.2</v>
      </c>
      <c r="J3524">
        <v>44.5</v>
      </c>
      <c r="K3524">
        <v>19.8</v>
      </c>
      <c r="L3524">
        <v>19.899999999999999</v>
      </c>
      <c r="M3524">
        <v>33.4</v>
      </c>
      <c r="N3524">
        <v>28.6</v>
      </c>
      <c r="O3524">
        <v>31</v>
      </c>
      <c r="P3524">
        <v>40.200000000000003</v>
      </c>
      <c r="Q3524">
        <v>49.6</v>
      </c>
      <c r="R3524">
        <v>44.2</v>
      </c>
      <c r="S3524">
        <v>35.700000000000003</v>
      </c>
      <c r="T3524">
        <v>30.1</v>
      </c>
      <c r="U3524">
        <v>58.7</v>
      </c>
      <c r="V3524">
        <v>1.1000000000000001</v>
      </c>
      <c r="W3524" cm="1">
        <f t="array" ref="W3524">_xlfn.IFS(OR(X3524="N/A",X3524="NA"),0,OR(X3524="R64",X3524="R68"),1,X3524="R32",2,X3524="S16",3,X3524="E8",4,X3524="F4",5,X3524="2ND",6,X3524="Champions",7)</f>
        <v>0</v>
      </c>
      <c r="X3524" t="s">
        <v>425</v>
      </c>
      <c r="Y3524" t="s">
        <v>425</v>
      </c>
      <c r="Z3524"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4676F6983E444877B0FF5773673D8" ma:contentTypeVersion="15" ma:contentTypeDescription="Create a new document." ma:contentTypeScope="" ma:versionID="395a93dc41d78a4bd2b6cf6e0f76751c">
  <xsd:schema xmlns:xsd="http://www.w3.org/2001/XMLSchema" xmlns:xs="http://www.w3.org/2001/XMLSchema" xmlns:p="http://schemas.microsoft.com/office/2006/metadata/properties" xmlns:ns3="d9765c0f-1429-4cf2-960b-a6f59394318d" xmlns:ns4="c2d8e6b2-937e-4f89-954b-ff0dfef8abae" targetNamespace="http://schemas.microsoft.com/office/2006/metadata/properties" ma:root="true" ma:fieldsID="6f511653e94f4b6a9c434086686beecb" ns3:_="" ns4:_="">
    <xsd:import namespace="d9765c0f-1429-4cf2-960b-a6f59394318d"/>
    <xsd:import namespace="c2d8e6b2-937e-4f89-954b-ff0dfef8a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65c0f-1429-4cf2-960b-a6f59394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8e6b2-937e-4f89-954b-ff0dfef8a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765c0f-1429-4cf2-960b-a6f59394318d" xsi:nil="true"/>
  </documentManagement>
</p:properties>
</file>

<file path=customXml/itemProps1.xml><?xml version="1.0" encoding="utf-8"?>
<ds:datastoreItem xmlns:ds="http://schemas.openxmlformats.org/officeDocument/2006/customXml" ds:itemID="{470CA368-960A-43B5-9D2A-056375286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65c0f-1429-4cf2-960b-a6f59394318d"/>
    <ds:schemaRef ds:uri="c2d8e6b2-937e-4f89-954b-ff0dfef8a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C39CD-C53F-444C-8360-2D0E35ACE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01F7DE-92C6-486D-929A-5D99246591C1}">
  <ds:schemaRefs>
    <ds:schemaRef ds:uri="http://purl.org/dc/dcmitype/"/>
    <ds:schemaRef ds:uri="c2d8e6b2-937e-4f89-954b-ff0dfef8abae"/>
    <ds:schemaRef ds:uri="d9765c0f-1429-4cf2-960b-a6f59394318d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Coutts, Anthony</dc:creator>
  <cp:lastModifiedBy>Coutts, Anthony</cp:lastModifiedBy>
  <dcterms:created xsi:type="dcterms:W3CDTF">2026-02-24T21:13:42Z</dcterms:created>
  <dcterms:modified xsi:type="dcterms:W3CDTF">2026-02-24T21:15:16Z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0x01010083D4676F6983E444877B0FF5773673D8</vt:lpwstr>
  </property>
</Properties>
</file>